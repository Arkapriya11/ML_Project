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31" sheetId="42" r:id="rId33"/>
    <sheet name="MONTHLY 31" sheetId="39" r:id="rId34"/>
  </sheets>
  <definedNames/>
  <calcPr calcId="144525"/>
</workbook>
</file>

<file path=xl/calcChain.xml><?xml version="1.0" encoding="utf-8"?>
<calcChain xmlns="http://schemas.openxmlformats.org/spreadsheetml/2006/main">
  <c r="B2" i="16" l="1"/>
</calcChain>
</file>

<file path=xl/sharedStrings.xml><?xml version="1.0" encoding="utf-8"?>
<sst xmlns="http://schemas.openxmlformats.org/spreadsheetml/2006/main" count="2959" uniqueCount="806">
  <si>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</si>
  <si>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</si>
  <si>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</si>
  <si>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</si>
  <si>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</si>
  <si>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</si>
  <si>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</si>
  <si>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</si>
  <si>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</si>
  <si>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</si>
  <si>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</si>
  <si>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</si>
  <si>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</si>
  <si>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</si>
  <si>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</si>
  <si>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</si>
  <si>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</si>
  <si>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</si>
  <si>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</si>
  <si>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</si>
  <si>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</si>
  <si>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</si>
  <si>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</si>
  <si>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</si>
  <si>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</si>
  <si>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</si>
  <si>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</si>
  <si>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</si>
  <si>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</si>
  <si>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</si>
  <si>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</si>
  <si>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</si>
  <si>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</si>
  <si>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</si>
  <si>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</si>
  <si>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</si>
  <si>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</si>
  <si>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</si>
  <si>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</si>
  <si>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</si>
  <si>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</si>
  <si>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</si>
  <si>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</si>
  <si>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</si>
  <si>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</si>
  <si>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</si>
  <si>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</si>
  <si>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</si>
  <si>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</si>
  <si>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</si>
  <si>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</si>
  <si>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</si>
  <si>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</si>
  <si>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</si>
  <si>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</si>
  <si>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</si>
  <si>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</si>
  <si>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</si>
  <si>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</si>
  <si>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</si>
  <si>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RK</t>
  </si>
  <si>
    <t>ppb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</si>
  <si>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</si>
  <si>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</si>
  <si>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</si>
  <si>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</si>
  <si>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</si>
  <si>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</si>
  <si>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</si>
  <si>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</si>
  <si>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</si>
  <si>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</si>
  <si>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</si>
  <si>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</si>
  <si>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</si>
  <si>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</si>
  <si>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</si>
  <si>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</si>
  <si>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</si>
  <si>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</si>
  <si>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</si>
  <si>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</si>
  <si>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</si>
  <si>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</si>
  <si>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</si>
  <si>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01-01-2024 24:00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</si>
  <si>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</si>
  <si>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</si>
  <si>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</si>
  <si>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</si>
  <si>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</si>
  <si>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</si>
  <si>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</si>
  <si>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</si>
  <si>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</si>
  <si>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</si>
  <si>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</si>
  <si>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</si>
  <si>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</si>
  <si>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</si>
  <si>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</si>
  <si>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</si>
  <si>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</si>
  <si>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</si>
  <si>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</si>
  <si>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</si>
  <si>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</si>
  <si>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</si>
  <si>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</si>
  <si>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02-01-2024 24:00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</si>
  <si>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</si>
  <si>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</si>
  <si>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</si>
  <si>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</si>
  <si>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</si>
  <si>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</si>
  <si>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</si>
  <si>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</si>
  <si>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</si>
  <si>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</si>
  <si>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</si>
  <si>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</si>
  <si>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</si>
  <si>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</si>
  <si>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</si>
  <si>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</si>
  <si>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</si>
  <si>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</si>
  <si>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</si>
  <si>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</si>
  <si>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</si>
  <si>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</si>
  <si>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</si>
  <si>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03-01-2024 24:00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</si>
  <si>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</si>
  <si>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</si>
  <si>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</si>
  <si>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</si>
  <si>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</si>
  <si>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</si>
  <si>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</si>
  <si>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</si>
  <si>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</si>
  <si>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</si>
  <si>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</si>
  <si>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</si>
  <si>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</si>
  <si>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</si>
  <si>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</si>
  <si>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</si>
  <si>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</si>
  <si>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</si>
  <si>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</si>
  <si>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</si>
  <si>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</si>
  <si>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</si>
  <si>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</si>
  <si>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04-01-2024 24:00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</si>
  <si>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</si>
  <si>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</si>
  <si>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</si>
  <si>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</si>
  <si>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</si>
  <si>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</si>
  <si>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</si>
  <si>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</si>
  <si>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</si>
  <si>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</si>
  <si>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</si>
  <si>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</si>
  <si>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</si>
  <si>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</si>
  <si>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</si>
  <si>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</si>
  <si>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</si>
  <si>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</si>
  <si>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</si>
  <si>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</si>
  <si>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</si>
  <si>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</si>
  <si>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</si>
  <si>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05-01-2024 24:00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</si>
  <si>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</si>
  <si>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</si>
  <si>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</si>
  <si>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</si>
  <si>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</si>
  <si>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</si>
  <si>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</si>
  <si>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</si>
  <si>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</si>
  <si>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</si>
  <si>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</si>
  <si>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</si>
  <si>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</si>
  <si>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</si>
  <si>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</si>
  <si>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</si>
  <si>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</si>
  <si>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</si>
  <si>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</si>
  <si>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</si>
  <si>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</si>
  <si>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</si>
  <si>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</si>
  <si>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06-01-2024 24:00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</si>
  <si>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</si>
  <si>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</si>
  <si>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</si>
  <si>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</si>
  <si>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</si>
  <si>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</si>
  <si>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</si>
  <si>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</si>
  <si>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</si>
  <si>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</si>
  <si>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</si>
  <si>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</si>
  <si>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</si>
  <si>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</si>
  <si>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</si>
  <si>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</si>
  <si>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</si>
  <si>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</si>
  <si>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</si>
  <si>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</si>
  <si>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</si>
  <si>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</si>
  <si>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</si>
  <si>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07-01-2024 24:00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</si>
  <si>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</si>
  <si>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</si>
  <si>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</si>
  <si>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</si>
  <si>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</si>
  <si>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</si>
  <si>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</si>
  <si>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</si>
  <si>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</si>
  <si>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</si>
  <si>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</si>
  <si>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</si>
  <si>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</si>
  <si>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</si>
  <si>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</si>
  <si>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</si>
  <si>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</si>
  <si>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</si>
  <si>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</si>
  <si>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</si>
  <si>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</si>
  <si>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</si>
  <si>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</si>
  <si>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08-01-2024 24:00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</si>
  <si>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</si>
  <si>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</si>
  <si>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</si>
  <si>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</si>
  <si>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</si>
  <si>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</si>
  <si>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</si>
  <si>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</si>
  <si>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</si>
  <si>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</si>
  <si>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</si>
  <si>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</si>
  <si>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</si>
  <si>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</si>
  <si>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</si>
  <si>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</si>
  <si>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</si>
  <si>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</si>
  <si>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</si>
  <si>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</si>
  <si>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</si>
  <si>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</si>
  <si>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</si>
  <si>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09-01-2024 24:00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</si>
  <si>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</si>
  <si>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</si>
  <si>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</si>
  <si>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</si>
  <si>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</si>
  <si>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</si>
  <si>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</si>
  <si>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</si>
  <si>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</si>
  <si>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</si>
  <si>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</si>
  <si>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</si>
  <si>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</si>
  <si>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</si>
  <si>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</si>
  <si>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</si>
  <si>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</si>
  <si>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</si>
  <si>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</si>
  <si>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</si>
  <si>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</si>
  <si>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</si>
  <si>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</si>
  <si>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10-01-2024 24:00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</si>
  <si>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</si>
  <si>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</si>
  <si>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</si>
  <si>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</si>
  <si>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</si>
  <si>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</si>
  <si>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</si>
  <si>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</si>
  <si>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</si>
  <si>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</si>
  <si>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</si>
  <si>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</si>
  <si>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</si>
  <si>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</si>
  <si>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</si>
  <si>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</si>
  <si>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</si>
  <si>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</si>
  <si>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</si>
  <si>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</si>
  <si>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</si>
  <si>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</si>
  <si>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</si>
  <si>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11-01-2024 24:00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</si>
  <si>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</si>
  <si>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</si>
  <si>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</si>
  <si>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</si>
  <si>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</si>
  <si>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</si>
  <si>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</si>
  <si>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</si>
  <si>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</si>
  <si>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</si>
  <si>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</si>
  <si>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</si>
  <si>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</si>
  <si>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</si>
  <si>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</si>
  <si>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</si>
  <si>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</si>
  <si>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</si>
  <si>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</si>
  <si>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</si>
  <si>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</si>
  <si>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</si>
  <si>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</si>
  <si>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12-01-2024 24:00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</si>
  <si>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</si>
  <si>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</si>
  <si>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</si>
  <si>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</si>
  <si>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</si>
  <si>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</si>
  <si>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</si>
  <si>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</si>
  <si>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</si>
  <si>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</si>
  <si>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</si>
  <si>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</si>
  <si>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</si>
  <si>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</si>
  <si>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</si>
  <si>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</si>
  <si>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</si>
  <si>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</si>
  <si>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</si>
  <si>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</si>
  <si>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</si>
  <si>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</si>
  <si>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</si>
  <si>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13-01-2024 24:00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</si>
  <si>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</si>
  <si>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</si>
  <si>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</si>
  <si>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</si>
  <si>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</si>
  <si>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</si>
  <si>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</si>
  <si>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</si>
  <si>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</si>
  <si>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</si>
  <si>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</si>
  <si>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</si>
  <si>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</si>
  <si>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</si>
  <si>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</si>
  <si>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</si>
  <si>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</si>
  <si>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</si>
  <si>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</si>
  <si>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</si>
  <si>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</si>
  <si>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</si>
  <si>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</si>
  <si>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14-01-2024 24:00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</si>
  <si>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</si>
  <si>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</si>
  <si>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</si>
  <si>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</si>
  <si>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</si>
  <si>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</si>
  <si>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</si>
  <si>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</si>
  <si>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</si>
  <si>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</si>
  <si>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</si>
  <si>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</si>
  <si>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</si>
  <si>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</si>
  <si>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</si>
  <si>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</si>
  <si>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</si>
  <si>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</si>
  <si>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</si>
  <si>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</si>
  <si>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</si>
  <si>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</si>
  <si>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</si>
  <si>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15-01-2024 24:00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</si>
  <si>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</si>
  <si>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</si>
  <si>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</si>
  <si>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</si>
  <si>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</si>
  <si>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</si>
  <si>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</si>
  <si>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</si>
  <si>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</si>
  <si>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</si>
  <si>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</si>
  <si>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</si>
  <si>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</si>
  <si>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</si>
  <si>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</si>
  <si>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</si>
  <si>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</si>
  <si>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</si>
  <si>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</si>
  <si>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</si>
  <si>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</si>
  <si>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</si>
  <si>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</si>
  <si>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16-01-2024 24:00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</si>
  <si>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</si>
  <si>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</si>
  <si>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</si>
  <si>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</si>
  <si>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</si>
  <si>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</si>
  <si>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</si>
  <si>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</si>
  <si>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</si>
  <si>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</si>
  <si>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</si>
  <si>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</si>
  <si>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</si>
  <si>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</si>
  <si>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</si>
  <si>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</si>
  <si>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</si>
  <si>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</si>
  <si>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</si>
  <si>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</si>
  <si>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</si>
  <si>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</si>
  <si>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</si>
  <si>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17-01-2024 24:00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</si>
  <si>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</si>
  <si>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</si>
  <si>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</si>
  <si>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</si>
  <si>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</si>
  <si>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</si>
  <si>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</si>
  <si>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</si>
  <si>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</si>
  <si>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</si>
  <si>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</si>
  <si>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</si>
  <si>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</si>
  <si>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</si>
  <si>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</si>
  <si>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</si>
  <si>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</si>
  <si>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</si>
  <si>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</si>
  <si>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</si>
  <si>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</si>
  <si>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</si>
  <si>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</si>
  <si>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18-01-2024 24:00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</si>
  <si>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</si>
  <si>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</si>
  <si>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</si>
  <si>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</si>
  <si>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</si>
  <si>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</si>
  <si>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</si>
  <si>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</si>
  <si>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</si>
  <si>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</si>
  <si>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</si>
  <si>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</si>
  <si>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</si>
  <si>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</si>
  <si>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</si>
  <si>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</si>
  <si>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</si>
  <si>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</si>
  <si>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</si>
  <si>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</si>
  <si>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</si>
  <si>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</si>
  <si>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</si>
  <si>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19-01-2024 24:00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</si>
  <si>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</si>
  <si>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</si>
  <si>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</si>
  <si>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</si>
  <si>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</si>
  <si>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</si>
  <si>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</si>
  <si>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</si>
  <si>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</si>
  <si>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</si>
  <si>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</si>
  <si>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</si>
  <si>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</si>
  <si>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</si>
  <si>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</si>
  <si>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</si>
  <si>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</si>
  <si>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</si>
  <si>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</si>
  <si>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</si>
  <si>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</si>
  <si>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</si>
  <si>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</si>
  <si>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20-01-2024 24:00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</si>
  <si>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</si>
  <si>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</si>
  <si>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</si>
  <si>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</si>
  <si>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</si>
  <si>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</si>
  <si>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</si>
  <si>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</si>
  <si>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</si>
  <si>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</si>
  <si>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</si>
  <si>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</si>
  <si>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</si>
  <si>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</si>
  <si>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</si>
  <si>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</si>
  <si>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</si>
  <si>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</si>
  <si>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</si>
  <si>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</si>
  <si>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</si>
  <si>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</si>
  <si>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</si>
  <si>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21-01-2024 24:00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</si>
  <si>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</si>
  <si>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</si>
  <si>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</si>
  <si>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</si>
  <si>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</si>
  <si>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</si>
  <si>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</si>
  <si>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</si>
  <si>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</si>
  <si>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</si>
  <si>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</si>
  <si>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</si>
  <si>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</si>
  <si>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</si>
  <si>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</si>
  <si>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</si>
  <si>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</si>
  <si>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</si>
  <si>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</si>
  <si>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</si>
  <si>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</si>
  <si>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</si>
  <si>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</si>
  <si>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22-01-2024 24:00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</si>
  <si>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</si>
  <si>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</si>
  <si>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</si>
  <si>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</si>
  <si>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</si>
  <si>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</si>
  <si>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</si>
  <si>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</si>
  <si>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</si>
  <si>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</si>
  <si>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</si>
  <si>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</si>
  <si>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</si>
  <si>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</si>
  <si>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</si>
  <si>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</si>
  <si>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</si>
  <si>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</si>
  <si>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</si>
  <si>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</si>
  <si>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</si>
  <si>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</si>
  <si>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</si>
  <si>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23-01-2024 24:00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</si>
  <si>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</si>
  <si>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</si>
  <si>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</si>
  <si>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</si>
  <si>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</si>
  <si>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</si>
  <si>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</si>
  <si>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</si>
  <si>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</si>
  <si>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</si>
  <si>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</si>
  <si>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</si>
  <si>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</si>
  <si>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</si>
  <si>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</si>
  <si>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</si>
  <si>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</si>
  <si>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</si>
  <si>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</si>
  <si>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</si>
  <si>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</si>
  <si>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</si>
  <si>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</si>
  <si>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24-01-2024 24:00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</si>
  <si>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</si>
  <si>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</si>
  <si>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</si>
  <si>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</si>
  <si>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</si>
  <si>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</si>
  <si>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</si>
  <si>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</si>
  <si>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</si>
  <si>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</si>
  <si>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</si>
  <si>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</si>
  <si>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</si>
  <si>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</si>
  <si>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</si>
  <si>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</si>
  <si>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</si>
  <si>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</si>
  <si>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</si>
  <si>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</si>
  <si>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</si>
  <si>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</si>
  <si>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</si>
  <si>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25-01-2024 24:00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</si>
  <si>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</si>
  <si>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</si>
  <si>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</si>
  <si>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</si>
  <si>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</si>
  <si>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</si>
  <si>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</si>
  <si>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</si>
  <si>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</si>
  <si>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</si>
  <si>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</si>
  <si>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</si>
  <si>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</si>
  <si>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</si>
  <si>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</si>
  <si>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</si>
  <si>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</si>
  <si>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</si>
  <si>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</si>
  <si>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</si>
  <si>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</si>
  <si>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</si>
  <si>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</si>
  <si>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26-01-2024 24:00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</si>
  <si>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</si>
  <si>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</si>
  <si>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</si>
  <si>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</si>
  <si>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</si>
  <si>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</si>
  <si>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</si>
  <si>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</si>
  <si>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</si>
  <si>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</si>
  <si>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</si>
  <si>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</si>
  <si>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</si>
  <si>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</si>
  <si>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</si>
  <si>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</si>
  <si>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</si>
  <si>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</si>
  <si>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</si>
  <si>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</si>
  <si>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</si>
  <si>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</si>
  <si>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</si>
  <si>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27-01-2024 24:00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</si>
  <si>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</si>
  <si>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</si>
  <si>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</si>
  <si>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</si>
  <si>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</si>
  <si>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</si>
  <si>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</si>
  <si>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</si>
  <si>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</si>
  <si>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</si>
  <si>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</si>
  <si>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</si>
  <si>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</si>
  <si>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</si>
  <si>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</si>
  <si>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</si>
  <si>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</si>
  <si>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</si>
  <si>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</si>
  <si>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</si>
  <si>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</si>
  <si>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</si>
  <si>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</si>
  <si>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28-01-2024 24:00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</si>
  <si>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</si>
  <si>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</si>
  <si>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</si>
  <si>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</si>
  <si>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</si>
  <si>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</si>
  <si>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</si>
  <si>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</si>
  <si>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</si>
  <si>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</si>
  <si>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</si>
  <si>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</si>
  <si>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</si>
  <si>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</si>
  <si>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</si>
  <si>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</si>
  <si>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</si>
  <si>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</si>
  <si>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</si>
  <si>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</si>
  <si>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</si>
  <si>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</si>
  <si>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</si>
  <si>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29-01-2024 24:00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</si>
  <si>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</si>
  <si>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</si>
  <si>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</si>
  <si>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</si>
  <si>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</si>
  <si>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</si>
  <si>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</si>
  <si>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</si>
  <si>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</si>
  <si>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</si>
  <si>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</si>
  <si>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</si>
  <si>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</si>
  <si>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</si>
  <si>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</si>
  <si>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</si>
  <si>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</si>
  <si>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</si>
  <si>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</si>
  <si>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</si>
  <si>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</si>
  <si>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</si>
  <si>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</si>
  <si>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30-01-2024 24:00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</si>
  <si>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</si>
  <si>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</si>
  <si>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</si>
  <si>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</si>
  <si>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</si>
  <si>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</si>
  <si>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</si>
  <si>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</si>
  <si>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</si>
  <si>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</si>
  <si>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</si>
  <si>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</si>
  <si>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</si>
  <si>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</si>
  <si>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</si>
  <si>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</si>
  <si>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</si>
  <si>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</si>
  <si>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</si>
  <si>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</si>
  <si>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</si>
  <si>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</si>
  <si>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</si>
  <si>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31-01-2024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</si>
</sst>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7" fillId="0" borderId="1" xfId="0" applyFont="1" applyBorder="1"/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Fill="1" applyBorder="1" applyAlignment="1">
      <alignment/>
    </xf>
    <xf numFmtId="0" fontId="2" fillId="0" borderId="3" xfId="0" applyFont="1" applyBorder="1" applyAlignment="1">
      <alignment/>
    </xf>
    <xf numFmtId="0" fontId="15" fillId="9" borderId="0" xfId="0" applyFont="1" applyFill="1" applyAlignment="1">
      <alignment horizontal="left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3" Type="http://schemas.openxmlformats.org/officeDocument/2006/relationships/worksheet" Target="worksheets/sheet21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36" Type="http://schemas.openxmlformats.org/officeDocument/2006/relationships/calcChain" Target="calcChain.xml" /><Relationship Id="rId29" Type="http://schemas.openxmlformats.org/officeDocument/2006/relationships/worksheet" Target="worksheets/sheet27.xml" /><Relationship Id="rId18" Type="http://schemas.openxmlformats.org/officeDocument/2006/relationships/worksheet" Target="worksheets/sheet16.xml" /><Relationship Id="rId8" Type="http://schemas.openxmlformats.org/officeDocument/2006/relationships/worksheet" Target="worksheets/sheet6.xml" /><Relationship Id="rId33" Type="http://schemas.openxmlformats.org/officeDocument/2006/relationships/worksheet" Target="worksheets/sheet31.xml" /><Relationship Id="rId14" Type="http://schemas.openxmlformats.org/officeDocument/2006/relationships/worksheet" Target="worksheets/sheet12.xml" /><Relationship Id="rId16" Type="http://schemas.openxmlformats.org/officeDocument/2006/relationships/worksheet" Target="worksheets/sheet14.xml" /><Relationship Id="rId25" Type="http://schemas.openxmlformats.org/officeDocument/2006/relationships/worksheet" Target="worksheets/sheet23.xml" /><Relationship Id="rId30" Type="http://schemas.openxmlformats.org/officeDocument/2006/relationships/worksheet" Target="worksheets/sheet28.xml" /><Relationship Id="rId3" Type="http://schemas.openxmlformats.org/officeDocument/2006/relationships/worksheet" Target="worksheets/sheet1.xml" /><Relationship Id="rId15" Type="http://schemas.openxmlformats.org/officeDocument/2006/relationships/worksheet" Target="worksheets/sheet13.xml" /><Relationship Id="rId22" Type="http://schemas.openxmlformats.org/officeDocument/2006/relationships/worksheet" Target="worksheets/sheet20.xml" /><Relationship Id="rId24" Type="http://schemas.openxmlformats.org/officeDocument/2006/relationships/worksheet" Target="worksheets/sheet22.xml" /><Relationship Id="rId32" Type="http://schemas.openxmlformats.org/officeDocument/2006/relationships/worksheet" Target="worksheets/sheet30.xml" /><Relationship Id="rId6" Type="http://schemas.openxmlformats.org/officeDocument/2006/relationships/worksheet" Target="worksheets/sheet4.xml" /><Relationship Id="rId11" Type="http://schemas.openxmlformats.org/officeDocument/2006/relationships/worksheet" Target="worksheets/sheet9.xml" /><Relationship Id="rId19" Type="http://schemas.openxmlformats.org/officeDocument/2006/relationships/worksheet" Target="worksheets/sheet17.xml" /><Relationship Id="rId12" Type="http://schemas.openxmlformats.org/officeDocument/2006/relationships/worksheet" Target="worksheets/sheet10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28" Type="http://schemas.openxmlformats.org/officeDocument/2006/relationships/worksheet" Target="worksheets/sheet26.xml" /><Relationship Id="rId31" Type="http://schemas.openxmlformats.org/officeDocument/2006/relationships/worksheet" Target="worksheets/sheet29.xml" /><Relationship Id="rId17" Type="http://schemas.openxmlformats.org/officeDocument/2006/relationships/worksheet" Target="worksheets/sheet15.xml" /><Relationship Id="rId10" Type="http://schemas.openxmlformats.org/officeDocument/2006/relationships/worksheet" Target="worksheets/sheet8.xml" /><Relationship Id="rId21" Type="http://schemas.openxmlformats.org/officeDocument/2006/relationships/worksheet" Target="worksheets/sheet19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13" Type="http://schemas.openxmlformats.org/officeDocument/2006/relationships/worksheet" Target="worksheets/sheet11.xml" /><Relationship Id="rId26" Type="http://schemas.openxmlformats.org/officeDocument/2006/relationships/worksheet" Target="worksheets/sheet24.xml" /><Relationship Id="rId35" Type="http://schemas.openxmlformats.org/officeDocument/2006/relationships/sharedStrings" Target="sharedStrings.xml" /><Relationship Id="rId34" Type="http://schemas.openxmlformats.org/officeDocument/2006/relationships/worksheet" Target="worksheets/sheet32.xml" /><Relationship Id="rId27" Type="http://schemas.openxmlformats.org/officeDocument/2006/relationships/worksheet" Target="worksheets/sheet25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961a98-630e-4fc2-a9ef-ec41b7d2d441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G50" sqref="G50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62</v>
      </c>
      <c r="B9" s="54">
        <v>44.21</v>
      </c>
      <c r="C9" s="54">
        <v>94.61</v>
      </c>
      <c r="D9" s="54">
        <v>87.98</v>
      </c>
      <c r="E9" s="54">
        <v>0.17</v>
      </c>
      <c r="F9" s="54">
        <v>3.36</v>
      </c>
      <c r="G9" s="54">
        <v>169.03</v>
      </c>
      <c r="H9" s="54">
        <v>88.51</v>
      </c>
      <c r="I9" s="54">
        <v>1.55</v>
      </c>
      <c r="J9" s="54">
        <v>0.19</v>
      </c>
      <c r="K9" s="54">
        <v>326.07</v>
      </c>
      <c r="L9" s="54">
        <v>15.62</v>
      </c>
      <c r="M9" s="54">
        <v>93.48</v>
      </c>
      <c r="N9" s="54">
        <v>62.70</v>
      </c>
      <c r="O9" s="54">
        <v>0</v>
      </c>
      <c r="P9" s="54">
        <v>1.76</v>
      </c>
      <c r="Q9" s="54">
        <v>9.9700000000000006</v>
      </c>
      <c r="R9" s="43"/>
      <c r="S9" s="43"/>
      <c r="T9" s="43"/>
      <c r="U9" s="43"/>
    </row>
    <row r="10" spans="1:21" s="11" customFormat="1" ht="15">
      <c r="A10" s="53" t="s">
        <v>63</v>
      </c>
      <c r="B10" s="54">
        <v>39.979999999999997</v>
      </c>
      <c r="C10" s="54">
        <v>93.13</v>
      </c>
      <c r="D10" s="54">
        <v>83.89</v>
      </c>
      <c r="E10" s="54">
        <v>0.14000000000000001</v>
      </c>
      <c r="F10" s="54">
        <v>3.35</v>
      </c>
      <c r="G10" s="54">
        <v>166.98</v>
      </c>
      <c r="H10" s="54">
        <v>88.51</v>
      </c>
      <c r="I10" s="54">
        <v>1.51</v>
      </c>
      <c r="J10" s="54">
        <v>0.15</v>
      </c>
      <c r="K10" s="54">
        <v>355.93</v>
      </c>
      <c r="L10" s="54">
        <v>15.15</v>
      </c>
      <c r="M10" s="54">
        <v>95.17</v>
      </c>
      <c r="N10" s="54">
        <v>63.40</v>
      </c>
      <c r="O10" s="54">
        <v>0</v>
      </c>
      <c r="P10" s="54">
        <v>1.55</v>
      </c>
      <c r="Q10" s="54">
        <v>9.85</v>
      </c>
      <c r="R10" s="43"/>
      <c r="S10" s="43"/>
      <c r="T10" s="43"/>
      <c r="U10" s="43"/>
    </row>
    <row r="11" spans="1:21" s="11" customFormat="1" ht="15">
      <c r="A11" s="53" t="s">
        <v>64</v>
      </c>
      <c r="B11" s="54">
        <v>34.869999999999997</v>
      </c>
      <c r="C11" s="54">
        <v>89.82</v>
      </c>
      <c r="D11" s="54">
        <v>78.180000000000007</v>
      </c>
      <c r="E11" s="54">
        <v>0.11</v>
      </c>
      <c r="F11" s="54">
        <v>3.47</v>
      </c>
      <c r="G11" s="54">
        <v>147.16</v>
      </c>
      <c r="H11" s="54">
        <v>87.64</v>
      </c>
      <c r="I11" s="54">
        <v>1.55</v>
      </c>
      <c r="J11" s="54">
        <v>0.11</v>
      </c>
      <c r="K11" s="54">
        <v>334.23</v>
      </c>
      <c r="L11" s="54">
        <v>14.5</v>
      </c>
      <c r="M11" s="54">
        <v>97.83</v>
      </c>
      <c r="N11" s="54">
        <v>61.40</v>
      </c>
      <c r="O11" s="54">
        <v>0</v>
      </c>
      <c r="P11" s="54">
        <v>1.43</v>
      </c>
      <c r="Q11" s="54">
        <v>9.5500000000000007</v>
      </c>
      <c r="R11" s="43"/>
      <c r="S11" s="43"/>
      <c r="T11" s="43"/>
      <c r="U11" s="43"/>
    </row>
    <row r="12" spans="1:21" s="11" customFormat="1" ht="15">
      <c r="A12" s="53" t="s">
        <v>65</v>
      </c>
      <c r="B12" s="54">
        <v>29.11</v>
      </c>
      <c r="C12" s="54">
        <v>87.64</v>
      </c>
      <c r="D12" s="54">
        <v>72.36</v>
      </c>
      <c r="E12" s="54">
        <v>0.13</v>
      </c>
      <c r="F12" s="54">
        <v>3.39</v>
      </c>
      <c r="G12" s="54">
        <v>142.91</v>
      </c>
      <c r="H12" s="54">
        <v>84.39</v>
      </c>
      <c r="I12" s="54">
        <v>1.52</v>
      </c>
      <c r="J12" s="54">
        <v>0.17</v>
      </c>
      <c r="K12" s="54">
        <v>105.31</v>
      </c>
      <c r="L12" s="54">
        <v>14.31</v>
      </c>
      <c r="M12" s="54">
        <v>97.84</v>
      </c>
      <c r="N12" s="54">
        <v>61.10</v>
      </c>
      <c r="O12" s="54">
        <v>0</v>
      </c>
      <c r="P12" s="54">
        <v>1.25</v>
      </c>
      <c r="Q12" s="54">
        <v>9.2100000000000009</v>
      </c>
      <c r="R12" s="43"/>
      <c r="S12" s="43"/>
      <c r="T12" s="43"/>
      <c r="U12" s="43"/>
    </row>
    <row r="13" spans="1:21" s="11" customFormat="1" ht="15">
      <c r="A13" s="53" t="s">
        <v>66</v>
      </c>
      <c r="B13" s="54">
        <v>24.35</v>
      </c>
      <c r="C13" s="54">
        <v>82.87</v>
      </c>
      <c r="D13" s="54">
        <v>65.30</v>
      </c>
      <c r="E13" s="54">
        <v>0.24</v>
      </c>
      <c r="F13" s="54">
        <v>3.15</v>
      </c>
      <c r="G13" s="54">
        <v>140.61000000000001</v>
      </c>
      <c r="H13" s="54">
        <v>81.5</v>
      </c>
      <c r="I13" s="54">
        <v>1.53</v>
      </c>
      <c r="J13" s="54">
        <v>0.13</v>
      </c>
      <c r="K13" s="54">
        <v>93.89</v>
      </c>
      <c r="L13" s="54">
        <v>13.97</v>
      </c>
      <c r="M13" s="54">
        <v>97.85</v>
      </c>
      <c r="N13" s="54">
        <v>62.90</v>
      </c>
      <c r="O13" s="54">
        <v>0</v>
      </c>
      <c r="P13" s="54">
        <v>1.1499999999999999</v>
      </c>
      <c r="Q13" s="54">
        <v>8.59</v>
      </c>
      <c r="R13" s="43"/>
      <c r="S13" s="43"/>
      <c r="T13" s="43"/>
      <c r="U13" s="43"/>
    </row>
    <row r="14" spans="1:21" s="11" customFormat="1" ht="15">
      <c r="A14" s="53" t="s">
        <v>67</v>
      </c>
      <c r="B14" s="54">
        <v>19.93</v>
      </c>
      <c r="C14" s="54">
        <v>83.34</v>
      </c>
      <c r="D14" s="54">
        <v>62.36</v>
      </c>
      <c r="E14" s="54">
        <v>0.24</v>
      </c>
      <c r="F14" s="54">
        <v>3.35</v>
      </c>
      <c r="G14" s="54">
        <v>130.36000000000001</v>
      </c>
      <c r="H14" s="54">
        <v>61.16</v>
      </c>
      <c r="I14" s="54">
        <v>1.48</v>
      </c>
      <c r="J14" s="54">
        <v>0.30</v>
      </c>
      <c r="K14" s="54">
        <v>109.91</v>
      </c>
      <c r="L14" s="54">
        <v>14.35</v>
      </c>
      <c r="M14" s="54">
        <v>97.81</v>
      </c>
      <c r="N14" s="54">
        <v>60.70</v>
      </c>
      <c r="O14" s="54">
        <v>0</v>
      </c>
      <c r="P14" s="54">
        <v>1.06</v>
      </c>
      <c r="Q14" s="54">
        <v>8.09</v>
      </c>
      <c r="R14" s="43"/>
      <c r="S14" s="43"/>
      <c r="T14" s="43"/>
      <c r="U14" s="43"/>
    </row>
    <row r="15" spans="1:21" s="11" customFormat="1" ht="15">
      <c r="A15" s="53" t="s">
        <v>68</v>
      </c>
      <c r="B15" s="54">
        <v>14.26</v>
      </c>
      <c r="C15" s="54">
        <v>83.32</v>
      </c>
      <c r="D15" s="54">
        <v>58.06</v>
      </c>
      <c r="E15" s="54">
        <v>0.21</v>
      </c>
      <c r="F15" s="54">
        <v>3.36</v>
      </c>
      <c r="G15" s="54">
        <v>118.06</v>
      </c>
      <c r="H15" s="54">
        <v>72.17</v>
      </c>
      <c r="I15" s="54">
        <v>1.53</v>
      </c>
      <c r="J15" s="54">
        <v>0.28000000000000003</v>
      </c>
      <c r="K15" s="54">
        <v>108.63</v>
      </c>
      <c r="L15" s="54">
        <v>14.27</v>
      </c>
      <c r="M15" s="54">
        <v>91.56</v>
      </c>
      <c r="N15" s="54">
        <v>77.30</v>
      </c>
      <c r="O15" s="54">
        <v>0</v>
      </c>
      <c r="P15" s="54">
        <v>0.93</v>
      </c>
      <c r="Q15" s="54">
        <v>7.65</v>
      </c>
      <c r="R15" s="43"/>
      <c r="S15" s="43"/>
      <c r="T15" s="43"/>
      <c r="U15" s="43"/>
    </row>
    <row r="16" spans="1:21" s="11" customFormat="1" ht="15">
      <c r="A16" s="53" t="s">
        <v>69</v>
      </c>
      <c r="B16" s="54">
        <v>13.34</v>
      </c>
      <c r="C16" s="54">
        <v>82.31</v>
      </c>
      <c r="D16" s="54">
        <v>56.62</v>
      </c>
      <c r="E16" s="54">
        <v>0.19</v>
      </c>
      <c r="F16" s="54">
        <v>3.49</v>
      </c>
      <c r="G16" s="54">
        <v>101.41</v>
      </c>
      <c r="H16" s="54">
        <v>72.17</v>
      </c>
      <c r="I16" s="54">
        <v>1.56</v>
      </c>
      <c r="J16" s="54">
        <v>0.77</v>
      </c>
      <c r="K16" s="54">
        <v>115.19</v>
      </c>
      <c r="L16" s="54">
        <v>15.78</v>
      </c>
      <c r="M16" s="54">
        <v>84.45</v>
      </c>
      <c r="N16" s="54">
        <v>175.5</v>
      </c>
      <c r="O16" s="54">
        <v>0</v>
      </c>
      <c r="P16" s="54">
        <v>0.89</v>
      </c>
      <c r="Q16" s="54">
        <v>7.30</v>
      </c>
      <c r="R16" s="43"/>
      <c r="S16" s="43"/>
      <c r="T16" s="43"/>
      <c r="U16" s="43"/>
    </row>
    <row r="17" spans="1:21" s="11" customFormat="1" ht="15">
      <c r="A17" s="53" t="s">
        <v>70</v>
      </c>
      <c r="B17" s="54">
        <v>13.61</v>
      </c>
      <c r="C17" s="54">
        <v>81.739999999999995</v>
      </c>
      <c r="D17" s="54">
        <v>56.67</v>
      </c>
      <c r="E17" s="54">
        <v>0.21</v>
      </c>
      <c r="F17" s="54">
        <v>3.63</v>
      </c>
      <c r="G17" s="54">
        <v>89.03</v>
      </c>
      <c r="H17" s="54">
        <v>46.72</v>
      </c>
      <c r="I17" s="54">
        <v>1.54</v>
      </c>
      <c r="J17" s="54">
        <v>1.30</v>
      </c>
      <c r="K17" s="54">
        <v>119.94</v>
      </c>
      <c r="L17" s="54">
        <v>17.5</v>
      </c>
      <c r="M17" s="54">
        <v>75.010000000000005</v>
      </c>
      <c r="N17" s="54">
        <v>313.10000000000002</v>
      </c>
      <c r="O17" s="54">
        <v>0</v>
      </c>
      <c r="P17" s="54">
        <v>0.85</v>
      </c>
      <c r="Q17" s="54">
        <v>7.44</v>
      </c>
      <c r="R17" s="43"/>
      <c r="S17" s="43"/>
      <c r="T17" s="43"/>
      <c r="U17" s="43"/>
    </row>
    <row r="18" spans="1:21" s="11" customFormat="1" ht="15">
      <c r="A18" s="53" t="s">
        <v>71</v>
      </c>
      <c r="B18" s="54">
        <v>13.06</v>
      </c>
      <c r="C18" s="54">
        <v>80.42</v>
      </c>
      <c r="D18" s="54">
        <v>55.44</v>
      </c>
      <c r="E18" s="54">
        <v>0.26</v>
      </c>
      <c r="F18" s="54">
        <v>3.51</v>
      </c>
      <c r="G18" s="54">
        <v>78.180000000000007</v>
      </c>
      <c r="H18" s="54">
        <v>48.14</v>
      </c>
      <c r="I18" s="54">
        <v>1.54</v>
      </c>
      <c r="J18" s="54">
        <v>1.1100000000000001</v>
      </c>
      <c r="K18" s="54">
        <v>113.62</v>
      </c>
      <c r="L18" s="54">
        <v>19.66</v>
      </c>
      <c r="M18" s="54">
        <v>65.540000000000006</v>
      </c>
      <c r="N18" s="54">
        <v>435.10</v>
      </c>
      <c r="O18" s="54">
        <v>0</v>
      </c>
      <c r="P18" s="54">
        <v>0.79</v>
      </c>
      <c r="Q18" s="54">
        <v>7.56</v>
      </c>
      <c r="R18" s="43"/>
      <c r="S18" s="43"/>
      <c r="T18" s="43"/>
      <c r="U18" s="43"/>
    </row>
    <row r="19" spans="1:21" s="11" customFormat="1" ht="15">
      <c r="A19" s="53" t="s">
        <v>72</v>
      </c>
      <c r="B19" s="54">
        <v>12.21</v>
      </c>
      <c r="C19" s="54">
        <v>81.20</v>
      </c>
      <c r="D19" s="54">
        <v>54.93</v>
      </c>
      <c r="E19" s="54">
        <v>0.22</v>
      </c>
      <c r="F19" s="54">
        <v>3.73</v>
      </c>
      <c r="G19" s="54">
        <v>79.38</v>
      </c>
      <c r="H19" s="54">
        <v>53.82</v>
      </c>
      <c r="I19" s="54">
        <v>1.54</v>
      </c>
      <c r="J19" s="54">
        <v>0.40</v>
      </c>
      <c r="K19" s="54">
        <v>116.84</v>
      </c>
      <c r="L19" s="54">
        <v>23.40</v>
      </c>
      <c r="M19" s="54">
        <v>57.11</v>
      </c>
      <c r="N19" s="54">
        <v>553</v>
      </c>
      <c r="O19" s="54">
        <v>0</v>
      </c>
      <c r="P19" s="54">
        <v>0.76</v>
      </c>
      <c r="Q19" s="54">
        <v>7.57</v>
      </c>
      <c r="R19" s="43"/>
      <c r="S19" s="43"/>
      <c r="T19" s="43"/>
      <c r="U19" s="43"/>
    </row>
    <row r="20" spans="1:21" s="11" customFormat="1" ht="15">
      <c r="A20" s="53" t="s">
        <v>73</v>
      </c>
      <c r="B20" s="54">
        <v>8.6300000000000008</v>
      </c>
      <c r="C20" s="54">
        <v>84.26</v>
      </c>
      <c r="D20" s="54">
        <v>53.26</v>
      </c>
      <c r="E20" s="54">
        <v>0.25</v>
      </c>
      <c r="F20" s="54">
        <v>4.25</v>
      </c>
      <c r="G20" s="54">
        <v>79.44</v>
      </c>
      <c r="H20" s="54">
        <v>53.82</v>
      </c>
      <c r="I20" s="54">
        <v>1.52</v>
      </c>
      <c r="J20" s="54">
        <v>0.63</v>
      </c>
      <c r="K20" s="54">
        <v>341.60</v>
      </c>
      <c r="L20" s="54">
        <v>24.41</v>
      </c>
      <c r="M20" s="54">
        <v>49.44</v>
      </c>
      <c r="N20" s="54">
        <v>534.5</v>
      </c>
      <c r="O20" s="54">
        <v>0</v>
      </c>
      <c r="P20" s="54">
        <v>0.75</v>
      </c>
      <c r="Q20" s="54">
        <v>7.41</v>
      </c>
      <c r="R20" s="43"/>
      <c r="S20" s="43"/>
      <c r="T20" s="43"/>
      <c r="U20" s="43"/>
    </row>
    <row r="21" spans="1:21" s="11" customFormat="1" ht="15">
      <c r="A21" s="53" t="s">
        <v>74</v>
      </c>
      <c r="B21" s="54">
        <v>4.75</v>
      </c>
      <c r="C21" s="54">
        <v>83.67</v>
      </c>
      <c r="D21" s="54">
        <v>50.61</v>
      </c>
      <c r="E21" s="54">
        <v>0.21</v>
      </c>
      <c r="F21" s="54">
        <v>4.75</v>
      </c>
      <c r="G21" s="54">
        <v>82.24</v>
      </c>
      <c r="H21" s="54">
        <v>57.80</v>
      </c>
      <c r="I21" s="54">
        <v>1.53</v>
      </c>
      <c r="J21" s="54">
        <v>0.67</v>
      </c>
      <c r="K21" s="54">
        <v>349.77</v>
      </c>
      <c r="L21" s="54">
        <v>27.60</v>
      </c>
      <c r="M21" s="54">
        <v>45.11</v>
      </c>
      <c r="N21" s="54">
        <v>534.10</v>
      </c>
      <c r="O21" s="54">
        <v>0</v>
      </c>
      <c r="P21" s="54">
        <v>0.76</v>
      </c>
      <c r="Q21" s="54">
        <v>7.02</v>
      </c>
      <c r="R21" s="43"/>
      <c r="S21" s="43"/>
      <c r="T21" s="43"/>
      <c r="U21" s="43"/>
    </row>
    <row r="22" spans="1:21" s="11" customFormat="1" ht="15">
      <c r="A22" s="53" t="s">
        <v>75</v>
      </c>
      <c r="B22" s="54">
        <v>4.01</v>
      </c>
      <c r="C22" s="54">
        <v>83.30</v>
      </c>
      <c r="D22" s="54">
        <v>49.79</v>
      </c>
      <c r="E22" s="54">
        <v>0.24</v>
      </c>
      <c r="F22" s="54">
        <v>4.93</v>
      </c>
      <c r="G22" s="54">
        <v>83.48</v>
      </c>
      <c r="H22" s="54">
        <v>58.47</v>
      </c>
      <c r="I22" s="54">
        <v>1.52</v>
      </c>
      <c r="J22" s="54">
        <v>0.61</v>
      </c>
      <c r="K22" s="54">
        <v>350.71</v>
      </c>
      <c r="L22" s="54">
        <v>27.10</v>
      </c>
      <c r="M22" s="54">
        <v>43.70</v>
      </c>
      <c r="N22" s="54">
        <v>454.60</v>
      </c>
      <c r="O22" s="54">
        <v>0</v>
      </c>
      <c r="P22" s="54">
        <v>0.77</v>
      </c>
      <c r="Q22" s="54">
        <v>6.87</v>
      </c>
      <c r="R22" s="43"/>
      <c r="S22" s="43"/>
      <c r="T22" s="43"/>
      <c r="U22" s="43"/>
    </row>
    <row r="23" spans="1:21" s="11" customFormat="1" ht="15">
      <c r="A23" s="53" t="s">
        <v>76</v>
      </c>
      <c r="B23" s="54">
        <v>4.55</v>
      </c>
      <c r="C23" s="54">
        <v>85.04</v>
      </c>
      <c r="D23" s="54">
        <v>51.12</v>
      </c>
      <c r="E23" s="54">
        <v>0.16</v>
      </c>
      <c r="F23" s="54">
        <v>4.93</v>
      </c>
      <c r="G23" s="54">
        <v>87.15</v>
      </c>
      <c r="H23" s="54">
        <v>58.47</v>
      </c>
      <c r="I23" s="54">
        <v>1.53</v>
      </c>
      <c r="J23" s="54">
        <v>0.83</v>
      </c>
      <c r="K23" s="54">
        <v>349.06</v>
      </c>
      <c r="L23" s="54">
        <v>26.03</v>
      </c>
      <c r="M23" s="54">
        <v>45.45</v>
      </c>
      <c r="N23" s="54">
        <v>238</v>
      </c>
      <c r="O23" s="54">
        <v>0</v>
      </c>
      <c r="P23" s="54">
        <v>0.80</v>
      </c>
      <c r="Q23" s="54">
        <v>6.90</v>
      </c>
      <c r="R23" s="43"/>
      <c r="S23" s="43"/>
      <c r="T23" s="43"/>
      <c r="U23" s="43"/>
    </row>
    <row r="24" spans="1:21" s="11" customFormat="1" ht="15">
      <c r="A24" s="53" t="s">
        <v>77</v>
      </c>
      <c r="B24" s="54">
        <v>5.12</v>
      </c>
      <c r="C24" s="54">
        <v>84.46</v>
      </c>
      <c r="D24" s="54">
        <v>51.11</v>
      </c>
      <c r="E24" s="54">
        <v>0.16</v>
      </c>
      <c r="F24" s="54">
        <v>4.30</v>
      </c>
      <c r="G24" s="54">
        <v>88.29</v>
      </c>
      <c r="H24" s="54">
        <v>56.93</v>
      </c>
      <c r="I24" s="54">
        <v>1.52</v>
      </c>
      <c r="J24" s="54">
        <v>0.66</v>
      </c>
      <c r="K24" s="54">
        <v>137.85</v>
      </c>
      <c r="L24" s="54">
        <v>23.44</v>
      </c>
      <c r="M24" s="54">
        <v>46.55</v>
      </c>
      <c r="N24" s="54">
        <v>162</v>
      </c>
      <c r="O24" s="54">
        <v>0</v>
      </c>
      <c r="P24" s="54">
        <v>0.79</v>
      </c>
      <c r="Q24" s="54">
        <v>7.05</v>
      </c>
      <c r="R24" s="43"/>
      <c r="S24" s="43"/>
      <c r="T24" s="43"/>
      <c r="U24" s="43"/>
    </row>
    <row r="25" spans="1:21" s="11" customFormat="1" ht="15">
      <c r="A25" s="53" t="s">
        <v>78</v>
      </c>
      <c r="B25" s="54">
        <v>5.70</v>
      </c>
      <c r="C25" s="54">
        <v>84.59</v>
      </c>
      <c r="D25" s="54">
        <v>51.90</v>
      </c>
      <c r="E25" s="54">
        <v>0.04</v>
      </c>
      <c r="F25" s="54">
        <v>3.97</v>
      </c>
      <c r="G25" s="54">
        <v>84.40</v>
      </c>
      <c r="H25" s="54">
        <v>54.80</v>
      </c>
      <c r="I25" s="54">
        <v>1.54</v>
      </c>
      <c r="J25" s="54">
        <v>0.27</v>
      </c>
      <c r="K25" s="54">
        <v>113.67</v>
      </c>
      <c r="L25" s="54">
        <v>22.89</v>
      </c>
      <c r="M25" s="54">
        <v>48.07</v>
      </c>
      <c r="N25" s="54">
        <v>98.40</v>
      </c>
      <c r="O25" s="54">
        <v>0</v>
      </c>
      <c r="P25" s="54">
        <v>0.76</v>
      </c>
      <c r="Q25" s="54">
        <v>7.21</v>
      </c>
      <c r="R25" s="43"/>
      <c r="S25" s="43"/>
      <c r="T25" s="43"/>
      <c r="U25" s="43"/>
    </row>
    <row r="26" spans="1:21" s="11" customFormat="1" ht="15">
      <c r="A26" s="53" t="s">
        <v>79</v>
      </c>
      <c r="B26" s="54">
        <v>9.4600000000000009</v>
      </c>
      <c r="C26" s="54">
        <v>88.56</v>
      </c>
      <c r="D26" s="54">
        <v>57.10</v>
      </c>
      <c r="E26" s="54">
        <v>0.04</v>
      </c>
      <c r="F26" s="54">
        <v>3.82</v>
      </c>
      <c r="G26" s="54">
        <v>94.49</v>
      </c>
      <c r="H26" s="54">
        <v>55.96</v>
      </c>
      <c r="I26" s="54">
        <v>1.54</v>
      </c>
      <c r="J26" s="54">
        <v>0.070000000000000007</v>
      </c>
      <c r="K26" s="54">
        <v>322.36</v>
      </c>
      <c r="L26" s="54">
        <v>21.30</v>
      </c>
      <c r="M26" s="54">
        <v>70.70</v>
      </c>
      <c r="N26" s="54">
        <v>52.30</v>
      </c>
      <c r="O26" s="54">
        <v>0</v>
      </c>
      <c r="P26" s="54">
        <v>1.02</v>
      </c>
      <c r="Q26" s="54">
        <v>7.52</v>
      </c>
      <c r="R26" s="43"/>
      <c r="S26" s="43"/>
      <c r="T26" s="43"/>
      <c r="U26" s="43"/>
    </row>
    <row r="27" spans="1:21" s="11" customFormat="1" ht="15">
      <c r="A27" s="53" t="s">
        <v>80</v>
      </c>
      <c r="B27" s="54">
        <v>25.90</v>
      </c>
      <c r="C27" s="54">
        <v>95.07</v>
      </c>
      <c r="D27" s="54">
        <v>73.88</v>
      </c>
      <c r="E27" s="54">
        <v>0.13</v>
      </c>
      <c r="F27" s="54">
        <v>3.46</v>
      </c>
      <c r="G27" s="54">
        <v>116.22</v>
      </c>
      <c r="H27" s="54">
        <v>72.150000000000006</v>
      </c>
      <c r="I27" s="54">
        <v>1.54</v>
      </c>
      <c r="J27" s="54">
        <v>0.08</v>
      </c>
      <c r="K27" s="54">
        <v>314.83</v>
      </c>
      <c r="L27" s="54">
        <v>18.670000000000002</v>
      </c>
      <c r="M27" s="54">
        <v>75.599999999999994</v>
      </c>
      <c r="N27" s="54">
        <v>44.10</v>
      </c>
      <c r="O27" s="54">
        <v>0</v>
      </c>
      <c r="P27" s="54">
        <v>1.41</v>
      </c>
      <c r="Q27" s="54">
        <v>8.6199999999999992</v>
      </c>
      <c r="R27" s="43"/>
      <c r="S27" s="43"/>
      <c r="T27" s="43"/>
      <c r="U27" s="43"/>
    </row>
    <row r="28" spans="1:21" s="11" customFormat="1" ht="15">
      <c r="A28" s="53" t="s">
        <v>81</v>
      </c>
      <c r="B28" s="54">
        <v>41.79</v>
      </c>
      <c r="C28" s="54">
        <v>97.56</v>
      </c>
      <c r="D28" s="54">
        <v>87.06</v>
      </c>
      <c r="E28" s="54">
        <v>0.17</v>
      </c>
      <c r="F28" s="54">
        <v>3.44</v>
      </c>
      <c r="G28" s="54">
        <v>137.80000000000001</v>
      </c>
      <c r="H28" s="54">
        <v>75.180000000000007</v>
      </c>
      <c r="I28" s="54">
        <v>1.59</v>
      </c>
      <c r="J28" s="54">
        <v>0.15</v>
      </c>
      <c r="K28" s="54">
        <v>313.64999999999998</v>
      </c>
      <c r="L28" s="54">
        <v>18.32</v>
      </c>
      <c r="M28" s="54">
        <v>82.70</v>
      </c>
      <c r="N28" s="54">
        <v>44.40</v>
      </c>
      <c r="O28" s="54">
        <v>0</v>
      </c>
      <c r="P28" s="54">
        <v>1.82</v>
      </c>
      <c r="Q28" s="54">
        <v>9.65</v>
      </c>
      <c r="R28" s="43"/>
      <c r="S28" s="43"/>
      <c r="T28" s="43"/>
      <c r="U28" s="43"/>
    </row>
    <row r="29" spans="1:21" s="11" customFormat="1" ht="15">
      <c r="A29" s="53" t="s">
        <v>82</v>
      </c>
      <c r="B29" s="54">
        <v>59.49</v>
      </c>
      <c r="C29" s="54">
        <v>96.79</v>
      </c>
      <c r="D29" s="54">
        <v>101.76</v>
      </c>
      <c r="E29" s="54">
        <v>0.28000000000000003</v>
      </c>
      <c r="F29" s="54">
        <v>3.47</v>
      </c>
      <c r="G29" s="54">
        <v>162.59</v>
      </c>
      <c r="H29" s="54">
        <v>84.74</v>
      </c>
      <c r="I29" s="54">
        <v>1.59</v>
      </c>
      <c r="J29" s="54">
        <v>0.11</v>
      </c>
      <c r="K29" s="54">
        <v>312.95999999999998</v>
      </c>
      <c r="L29" s="54">
        <v>16.75</v>
      </c>
      <c r="M29" s="54">
        <v>88.10</v>
      </c>
      <c r="N29" s="54">
        <v>44.70</v>
      </c>
      <c r="O29" s="54">
        <v>0</v>
      </c>
      <c r="P29" s="54">
        <v>2.27</v>
      </c>
      <c r="Q29" s="54">
        <v>10.90</v>
      </c>
      <c r="R29" s="43"/>
      <c r="S29" s="43"/>
      <c r="T29" s="43"/>
      <c r="U29" s="43"/>
    </row>
    <row r="30" spans="1:21" s="11" customFormat="1" ht="15">
      <c r="A30" s="53" t="s">
        <v>83</v>
      </c>
      <c r="B30" s="54">
        <v>73.25</v>
      </c>
      <c r="C30" s="54">
        <v>97.12</v>
      </c>
      <c r="D30" s="54">
        <v>111.55</v>
      </c>
      <c r="E30" s="54">
        <v>0.26</v>
      </c>
      <c r="F30" s="54">
        <v>3.17</v>
      </c>
      <c r="G30" s="54">
        <v>173.52</v>
      </c>
      <c r="H30" s="54">
        <v>84.74</v>
      </c>
      <c r="I30" s="54">
        <v>1.54</v>
      </c>
      <c r="J30" s="54">
        <v>0.12</v>
      </c>
      <c r="K30" s="54">
        <v>313.76</v>
      </c>
      <c r="L30" s="54">
        <v>16.309999999999999</v>
      </c>
      <c r="M30" s="54">
        <v>86.98</v>
      </c>
      <c r="N30" s="54">
        <v>44.60</v>
      </c>
      <c r="O30" s="54">
        <v>0</v>
      </c>
      <c r="P30" s="54">
        <v>2.48</v>
      </c>
      <c r="Q30" s="54">
        <v>12.14</v>
      </c>
      <c r="R30" s="43"/>
      <c r="S30" s="43"/>
      <c r="T30" s="43"/>
      <c r="U30" s="43"/>
    </row>
    <row r="31" spans="1:21" s="11" customFormat="1" ht="15">
      <c r="A31" s="53" t="s">
        <v>84</v>
      </c>
      <c r="B31" s="54">
        <v>82.05</v>
      </c>
      <c r="C31" s="54">
        <v>90.22</v>
      </c>
      <c r="D31" s="54">
        <v>113.32</v>
      </c>
      <c r="E31" s="54">
        <v>0.34</v>
      </c>
      <c r="F31" s="54">
        <v>3.44</v>
      </c>
      <c r="G31" s="54">
        <v>174.99</v>
      </c>
      <c r="H31" s="54">
        <v>83.95</v>
      </c>
      <c r="I31" s="54">
        <v>1.52</v>
      </c>
      <c r="J31" s="54">
        <v>0.12</v>
      </c>
      <c r="K31" s="54">
        <v>319.48</v>
      </c>
      <c r="L31" s="54">
        <v>15.92</v>
      </c>
      <c r="M31" s="54">
        <v>89.94</v>
      </c>
      <c r="N31" s="54">
        <v>44.60</v>
      </c>
      <c r="O31" s="54">
        <v>0</v>
      </c>
      <c r="P31" s="54">
        <v>2.5</v>
      </c>
      <c r="Q31" s="54">
        <v>12.48</v>
      </c>
      <c r="R31" s="43"/>
      <c r="S31" s="43"/>
      <c r="T31" s="43"/>
      <c r="U31" s="43"/>
    </row>
    <row r="32" spans="1:21" s="11" customFormat="1" ht="15">
      <c r="A32" s="53" t="s">
        <v>85</v>
      </c>
      <c r="B32" s="54">
        <v>86.25</v>
      </c>
      <c r="C32" s="54">
        <v>85.02</v>
      </c>
      <c r="D32" s="54">
        <v>113.99</v>
      </c>
      <c r="E32" s="54">
        <v>0.33</v>
      </c>
      <c r="F32" s="54">
        <v>3.42</v>
      </c>
      <c r="G32" s="54">
        <v>167.87</v>
      </c>
      <c r="H32" s="54">
        <v>78.650000000000006</v>
      </c>
      <c r="I32" s="54">
        <v>1.53</v>
      </c>
      <c r="J32" s="54">
        <v>0.14000000000000001</v>
      </c>
      <c r="K32" s="54">
        <v>302.41000000000003</v>
      </c>
      <c r="L32" s="54">
        <v>15.20</v>
      </c>
      <c r="M32" s="54">
        <v>91.06</v>
      </c>
      <c r="N32" s="54">
        <v>44.70</v>
      </c>
      <c r="O32" s="54">
        <v>0</v>
      </c>
      <c r="P32" s="54">
        <v>2.48</v>
      </c>
      <c r="Q32" s="54">
        <v>12.69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4.0099999999999998</v>
      </c>
      <c r="C34" s="28">
        <f t="shared" si="0"/>
        <v>80.420000000000002</v>
      </c>
      <c r="D34" s="28">
        <f t="shared" si="0"/>
        <v>49.789999999999999</v>
      </c>
      <c r="E34" s="28">
        <f t="shared" si="0"/>
        <v>0.040000000000000001</v>
      </c>
      <c r="F34" s="28">
        <f t="shared" si="0"/>
        <v>3.1499999999999999</v>
      </c>
      <c r="G34" s="28">
        <f t="shared" si="0"/>
        <v>78.180000000000007</v>
      </c>
      <c r="H34" s="28">
        <f t="shared" si="0"/>
        <v>46.719999999999999</v>
      </c>
      <c r="I34" s="28">
        <f t="shared" si="0"/>
        <v>1.48</v>
      </c>
      <c r="J34" s="28">
        <f t="shared" si="0"/>
        <v>0.070000000000000007</v>
      </c>
      <c r="K34" s="28">
        <f t="shared" si="0"/>
        <v>93.890000000000001</v>
      </c>
      <c r="L34" s="28">
        <f t="shared" si="0"/>
        <v>13.970000000000001</v>
      </c>
      <c r="M34" s="28">
        <f t="shared" si="0"/>
        <v>43.700000000000003</v>
      </c>
      <c r="N34" s="28">
        <f t="shared" si="0"/>
        <v>44.100000000000001</v>
      </c>
      <c r="O34" s="28">
        <f t="shared" si="0"/>
        <v>0</v>
      </c>
      <c r="P34" s="28">
        <f t="shared" si="0"/>
        <v>0.75</v>
      </c>
      <c r="Q34" s="28">
        <f t="shared" si="0"/>
        <v>6.8700000000000001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86.25</v>
      </c>
      <c r="C35" s="29">
        <f t="shared" si="1"/>
        <v>97.560000000000002</v>
      </c>
      <c r="D35" s="29">
        <f t="shared" si="1"/>
        <v>113.98999999999999</v>
      </c>
      <c r="E35" s="29">
        <f t="shared" si="1"/>
        <v>0.34000000000000002</v>
      </c>
      <c r="F35" s="29">
        <f t="shared" si="1"/>
        <v>4.9299999999999997</v>
      </c>
      <c r="G35" s="29">
        <f t="shared" si="1"/>
        <v>174.99000000000001</v>
      </c>
      <c r="H35" s="29">
        <f t="shared" si="1"/>
        <v>88.510000000000005</v>
      </c>
      <c r="I35" s="29">
        <f t="shared" si="1"/>
        <v>1.5900000000000001</v>
      </c>
      <c r="J35" s="29">
        <f t="shared" si="1"/>
        <v>1.3</v>
      </c>
      <c r="K35" s="29">
        <f t="shared" si="1"/>
        <v>355.93000000000001</v>
      </c>
      <c r="L35" s="29">
        <f t="shared" si="1"/>
        <v>27.600000000000001</v>
      </c>
      <c r="M35" s="29">
        <f t="shared" si="1"/>
        <v>97.849999999999994</v>
      </c>
      <c r="N35" s="29">
        <f t="shared" si="1"/>
        <v>553</v>
      </c>
      <c r="O35" s="29">
        <f t="shared" si="1"/>
        <v>0</v>
      </c>
      <c r="P35" s="29">
        <f t="shared" si="1"/>
        <v>2.5</v>
      </c>
      <c r="Q35" s="29">
        <f t="shared" si="1"/>
        <v>12.69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27.911666666666665</v>
      </c>
      <c r="C36" s="28">
        <f t="shared" si="2"/>
        <v>87.335833333333326</v>
      </c>
      <c r="D36" s="28">
        <f t="shared" si="2"/>
        <v>70.759999999999991</v>
      </c>
      <c r="E36" s="28">
        <f t="shared" si="2"/>
        <v>0.19708333333333336</v>
      </c>
      <c r="F36" s="28">
        <f t="shared" si="2"/>
        <v>3.714166666666666</v>
      </c>
      <c r="G36" s="28">
        <f t="shared" si="2"/>
        <v>120.64958333333334</v>
      </c>
      <c r="H36" s="28">
        <f t="shared" si="2"/>
        <v>69.182916666666685</v>
      </c>
      <c r="I36" s="28">
        <f t="shared" si="2"/>
        <v>1.5358333333333334</v>
      </c>
      <c r="J36" s="28">
        <f t="shared" si="2"/>
        <v>0.39041666666666663</v>
      </c>
      <c r="K36" s="28">
        <f t="shared" si="2"/>
        <v>239.23625000000001</v>
      </c>
      <c r="L36" s="28">
        <f t="shared" si="2"/>
        <v>18.852083333333333</v>
      </c>
      <c r="M36" s="28">
        <f t="shared" si="2"/>
        <v>75.71041666666666</v>
      </c>
      <c r="N36" s="28">
        <f t="shared" si="2"/>
        <v>177.80000000000004</v>
      </c>
      <c r="O36" s="28">
        <f t="shared" si="2"/>
        <v>0</v>
      </c>
      <c r="P36" s="28">
        <f t="shared" si="2"/>
        <v>1.2929166666666667</v>
      </c>
      <c r="Q36" s="28">
        <f t="shared" si="2"/>
        <v>8.7183333333333355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25.169163615453122</v>
      </c>
      <c r="C37" s="28">
        <f t="shared" si="3" ref="C37:Q37">STDEV(C9:C32)</f>
        <v>5.5628675094357796</v>
      </c>
      <c r="D37" s="28">
        <f t="shared" si="3"/>
        <v>21.587595069149458</v>
      </c>
      <c r="E37" s="28">
        <f t="shared" si="3"/>
        <v>0.076810278222251643</v>
      </c>
      <c r="F37" s="28">
        <f t="shared" si="3"/>
        <v>0.53128160605044605</v>
      </c>
      <c r="G37" s="28">
        <f t="shared" si="3"/>
        <v>36.016440265301853</v>
      </c>
      <c r="H37" s="28">
        <f t="shared" si="3"/>
        <v>14.294721579528193</v>
      </c>
      <c r="I37" s="28">
        <f t="shared" si="3"/>
        <v>0.023015432755599825</v>
      </c>
      <c r="J37" s="28">
        <f t="shared" si="3"/>
        <v>0.34961443566189948</v>
      </c>
      <c r="K37" s="28">
        <f t="shared" si="3"/>
        <v>109.5873359794152</v>
      </c>
      <c r="L37" s="28">
        <f t="shared" si="3"/>
        <v>4.4957428937459056</v>
      </c>
      <c r="M37" s="28">
        <f t="shared" si="3"/>
        <v>20.219709385768383</v>
      </c>
      <c r="N37" s="28">
        <f t="shared" si="3"/>
        <v>184.05170114848758</v>
      </c>
      <c r="O37" s="28">
        <f t="shared" si="3"/>
        <v>0</v>
      </c>
      <c r="P37" s="28">
        <f t="shared" si="3"/>
        <v>0.61272363560025001</v>
      </c>
      <c r="Q37" s="28">
        <f t="shared" si="3"/>
        <v>1.8264021812120699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COUNT(N9:N32)+12</f>
        <v>36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4a08dc3-226e-4ab2-8ad2-c7bd0cd4ca4d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4" sqref="G64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0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86</v>
      </c>
      <c r="B9" s="54">
        <v>76.040000000000006</v>
      </c>
      <c r="C9" s="54">
        <v>86.46</v>
      </c>
      <c r="D9" s="54">
        <v>109.34</v>
      </c>
      <c r="E9" s="54">
        <v>0.28000000000000003</v>
      </c>
      <c r="F9" s="54">
        <v>3.5</v>
      </c>
      <c r="G9" s="54">
        <v>161.41999999999999</v>
      </c>
      <c r="H9" s="54">
        <v>135.66</v>
      </c>
      <c r="I9" s="54">
        <v>1.52</v>
      </c>
      <c r="J9" s="54">
        <v>0.11</v>
      </c>
      <c r="K9" s="54">
        <v>303.57</v>
      </c>
      <c r="L9" s="54">
        <v>14.74</v>
      </c>
      <c r="M9" s="54">
        <v>93.64</v>
      </c>
      <c r="N9" s="54">
        <v>44.80</v>
      </c>
      <c r="O9" s="54">
        <v>0</v>
      </c>
      <c r="P9" s="54">
        <v>2.2799999999999998</v>
      </c>
      <c r="Q9" s="54">
        <v>12.5</v>
      </c>
      <c r="R9" s="43"/>
      <c r="S9" s="43"/>
      <c r="T9" s="43"/>
      <c r="U9" s="43"/>
    </row>
    <row r="10" spans="1:21" s="11" customFormat="1" ht="15">
      <c r="A10" s="53" t="s">
        <v>87</v>
      </c>
      <c r="B10" s="54">
        <v>62.03</v>
      </c>
      <c r="C10" s="54">
        <v>86.81</v>
      </c>
      <c r="D10" s="54">
        <v>98.30</v>
      </c>
      <c r="E10" s="54">
        <v>0.25</v>
      </c>
      <c r="F10" s="54">
        <v>3.22</v>
      </c>
      <c r="G10" s="54">
        <v>146.32</v>
      </c>
      <c r="H10" s="54">
        <v>135.66</v>
      </c>
      <c r="I10" s="54">
        <v>1.52</v>
      </c>
      <c r="J10" s="54">
        <v>0.16</v>
      </c>
      <c r="K10" s="54">
        <v>323.10000000000002</v>
      </c>
      <c r="L10" s="54">
        <v>14.51</v>
      </c>
      <c r="M10" s="54">
        <v>97.41</v>
      </c>
      <c r="N10" s="54">
        <v>44.60</v>
      </c>
      <c r="O10" s="54">
        <v>0</v>
      </c>
      <c r="P10" s="54">
        <v>1.88</v>
      </c>
      <c r="Q10" s="54">
        <v>11.43</v>
      </c>
      <c r="R10" s="43"/>
      <c r="S10" s="43"/>
      <c r="T10" s="43"/>
      <c r="U10" s="43"/>
    </row>
    <row r="11" spans="1:21" s="11" customFormat="1" ht="15">
      <c r="A11" s="53" t="s">
        <v>88</v>
      </c>
      <c r="B11" s="54">
        <v>47.10</v>
      </c>
      <c r="C11" s="54">
        <v>86.64</v>
      </c>
      <c r="D11" s="54">
        <v>85.95</v>
      </c>
      <c r="E11" s="54">
        <v>0.23</v>
      </c>
      <c r="F11" s="54">
        <v>3.31</v>
      </c>
      <c r="G11" s="54">
        <v>127.85</v>
      </c>
      <c r="H11" s="54">
        <v>73.59</v>
      </c>
      <c r="I11" s="54">
        <v>1.57</v>
      </c>
      <c r="J11" s="54">
        <v>0.13</v>
      </c>
      <c r="K11" s="54">
        <v>311.92</v>
      </c>
      <c r="L11" s="54">
        <v>14.07</v>
      </c>
      <c r="M11" s="54">
        <v>97.85</v>
      </c>
      <c r="N11" s="54">
        <v>44.5</v>
      </c>
      <c r="O11" s="54">
        <v>0</v>
      </c>
      <c r="P11" s="54">
        <v>1.67</v>
      </c>
      <c r="Q11" s="54">
        <v>10.199999999999999</v>
      </c>
      <c r="R11" s="43"/>
      <c r="S11" s="43"/>
      <c r="T11" s="43"/>
      <c r="U11" s="43"/>
    </row>
    <row r="12" spans="1:21" s="11" customFormat="1" ht="15">
      <c r="A12" s="53" t="s">
        <v>89</v>
      </c>
      <c r="B12" s="54">
        <v>36.43</v>
      </c>
      <c r="C12" s="54">
        <v>84.58</v>
      </c>
      <c r="D12" s="54">
        <v>76.540000000000006</v>
      </c>
      <c r="E12" s="54">
        <v>0.16</v>
      </c>
      <c r="F12" s="54">
        <v>3.14</v>
      </c>
      <c r="G12" s="54">
        <v>116.70</v>
      </c>
      <c r="H12" s="54">
        <v>73.59</v>
      </c>
      <c r="I12" s="54">
        <v>1.53</v>
      </c>
      <c r="J12" s="54">
        <v>0.13</v>
      </c>
      <c r="K12" s="54">
        <v>319.23</v>
      </c>
      <c r="L12" s="54">
        <v>13.78</v>
      </c>
      <c r="M12" s="54">
        <v>97.85</v>
      </c>
      <c r="N12" s="54">
        <v>44.10</v>
      </c>
      <c r="O12" s="54">
        <v>0</v>
      </c>
      <c r="P12" s="54">
        <v>1.42</v>
      </c>
      <c r="Q12" s="54">
        <v>9.23</v>
      </c>
      <c r="R12" s="43"/>
      <c r="S12" s="43"/>
      <c r="T12" s="43"/>
      <c r="U12" s="43"/>
    </row>
    <row r="13" spans="1:21" s="11" customFormat="1" ht="15">
      <c r="A13" s="53" t="s">
        <v>90</v>
      </c>
      <c r="B13" s="54">
        <v>27.78</v>
      </c>
      <c r="C13" s="54">
        <v>82.16</v>
      </c>
      <c r="D13" s="54">
        <v>68.17</v>
      </c>
      <c r="E13" s="54">
        <v>0.12</v>
      </c>
      <c r="F13" s="54">
        <v>3.48</v>
      </c>
      <c r="G13" s="54">
        <v>92.08</v>
      </c>
      <c r="H13" s="54">
        <v>61.44</v>
      </c>
      <c r="I13" s="54">
        <v>1.5</v>
      </c>
      <c r="J13" s="54">
        <v>0.16</v>
      </c>
      <c r="K13" s="54">
        <v>319.56</v>
      </c>
      <c r="L13" s="54">
        <v>13.56</v>
      </c>
      <c r="M13" s="54">
        <v>97.86</v>
      </c>
      <c r="N13" s="54">
        <v>44.10</v>
      </c>
      <c r="O13" s="54">
        <v>0</v>
      </c>
      <c r="P13" s="54">
        <v>1.21</v>
      </c>
      <c r="Q13" s="54">
        <v>8.58</v>
      </c>
      <c r="R13" s="43"/>
      <c r="S13" s="43"/>
      <c r="T13" s="43"/>
      <c r="U13" s="43"/>
    </row>
    <row r="14" spans="1:21" s="11" customFormat="1" ht="15">
      <c r="A14" s="53" t="s">
        <v>91</v>
      </c>
      <c r="B14" s="54">
        <v>42.06</v>
      </c>
      <c r="C14" s="54">
        <v>73.88</v>
      </c>
      <c r="D14" s="54">
        <v>71.5</v>
      </c>
      <c r="E14" s="54">
        <v>0.19</v>
      </c>
      <c r="F14" s="54">
        <v>3.36</v>
      </c>
      <c r="G14" s="54">
        <v>89.92</v>
      </c>
      <c r="H14" s="54">
        <v>72.319999999999993</v>
      </c>
      <c r="I14" s="54">
        <v>1.57</v>
      </c>
      <c r="J14" s="54">
        <v>0.13</v>
      </c>
      <c r="K14" s="54">
        <v>358.71</v>
      </c>
      <c r="L14" s="54">
        <v>13.39</v>
      </c>
      <c r="M14" s="54">
        <v>97.88</v>
      </c>
      <c r="N14" s="54">
        <v>44.10</v>
      </c>
      <c r="O14" s="54">
        <v>0</v>
      </c>
      <c r="P14" s="54">
        <v>1.08</v>
      </c>
      <c r="Q14" s="54">
        <v>8.91</v>
      </c>
      <c r="R14" s="43"/>
      <c r="S14" s="43"/>
      <c r="T14" s="43"/>
      <c r="U14" s="43"/>
    </row>
    <row r="15" spans="1:21" s="11" customFormat="1" ht="15">
      <c r="A15" s="53" t="s">
        <v>92</v>
      </c>
      <c r="B15" s="54">
        <v>42.11</v>
      </c>
      <c r="C15" s="54">
        <v>75.28</v>
      </c>
      <c r="D15" s="54">
        <v>71.64</v>
      </c>
      <c r="E15" s="54">
        <v>0.15</v>
      </c>
      <c r="F15" s="54">
        <v>3.44</v>
      </c>
      <c r="G15" s="54">
        <v>96.83</v>
      </c>
      <c r="H15" s="54">
        <v>72.319999999999993</v>
      </c>
      <c r="I15" s="54">
        <v>1.55</v>
      </c>
      <c r="J15" s="54">
        <v>0.11</v>
      </c>
      <c r="K15" s="54">
        <v>329.64</v>
      </c>
      <c r="L15" s="54">
        <v>13.48</v>
      </c>
      <c r="M15" s="54">
        <v>97.87</v>
      </c>
      <c r="N15" s="54">
        <v>60.10</v>
      </c>
      <c r="O15" s="54">
        <v>0</v>
      </c>
      <c r="P15" s="54">
        <v>1.03</v>
      </c>
      <c r="Q15" s="54">
        <v>9.0299999999999994</v>
      </c>
      <c r="R15" s="43"/>
      <c r="S15" s="43"/>
      <c r="T15" s="43"/>
      <c r="U15" s="43"/>
    </row>
    <row r="16" spans="1:21" s="11" customFormat="1" ht="15">
      <c r="A16" s="53" t="s">
        <v>93</v>
      </c>
      <c r="B16" s="54">
        <v>37.36</v>
      </c>
      <c r="C16" s="54">
        <v>77.739999999999995</v>
      </c>
      <c r="D16" s="54">
        <v>71.37</v>
      </c>
      <c r="E16" s="54">
        <v>0.14000000000000001</v>
      </c>
      <c r="F16" s="54">
        <v>3.29</v>
      </c>
      <c r="G16" s="54">
        <v>103.60</v>
      </c>
      <c r="H16" s="54">
        <v>68.790000000000006</v>
      </c>
      <c r="I16" s="54">
        <v>1.55</v>
      </c>
      <c r="J16" s="54">
        <v>0.68</v>
      </c>
      <c r="K16" s="54">
        <v>238.29</v>
      </c>
      <c r="L16" s="54">
        <v>15.92</v>
      </c>
      <c r="M16" s="54">
        <v>97.85</v>
      </c>
      <c r="N16" s="54">
        <v>163.5</v>
      </c>
      <c r="O16" s="54">
        <v>0</v>
      </c>
      <c r="P16" s="54">
        <v>1.1100000000000001</v>
      </c>
      <c r="Q16" s="54">
        <v>9.0399999999999991</v>
      </c>
      <c r="R16" s="43"/>
      <c r="S16" s="43"/>
      <c r="T16" s="43"/>
      <c r="U16" s="43"/>
    </row>
    <row r="17" spans="1:21" s="11" customFormat="1" ht="15">
      <c r="A17" s="53" t="s">
        <v>94</v>
      </c>
      <c r="B17" s="54">
        <v>31.82</v>
      </c>
      <c r="C17" s="54">
        <v>83.85</v>
      </c>
      <c r="D17" s="54">
        <v>70.22</v>
      </c>
      <c r="E17" s="54">
        <v>0.22</v>
      </c>
      <c r="F17" s="54">
        <v>3.27</v>
      </c>
      <c r="G17" s="54">
        <v>105.12</v>
      </c>
      <c r="H17" s="54">
        <v>68.790000000000006</v>
      </c>
      <c r="I17" s="54">
        <v>1.59</v>
      </c>
      <c r="J17" s="54">
        <v>1.1499999999999999</v>
      </c>
      <c r="K17" s="54">
        <v>109.02</v>
      </c>
      <c r="L17" s="54">
        <v>18.21</v>
      </c>
      <c r="M17" s="54">
        <v>84.10</v>
      </c>
      <c r="N17" s="54">
        <v>306.10000000000002</v>
      </c>
      <c r="O17" s="54">
        <v>0</v>
      </c>
      <c r="P17" s="54">
        <v>1.1000000000000001</v>
      </c>
      <c r="Q17" s="54">
        <v>8.89</v>
      </c>
      <c r="R17" s="43"/>
      <c r="S17" s="43"/>
      <c r="T17" s="43"/>
      <c r="U17" s="43"/>
    </row>
    <row r="18" spans="1:21" s="11" customFormat="1" ht="15">
      <c r="A18" s="53" t="s">
        <v>95</v>
      </c>
      <c r="B18" s="54">
        <v>21.18</v>
      </c>
      <c r="C18" s="54">
        <v>88.11</v>
      </c>
      <c r="D18" s="54">
        <v>64.53</v>
      </c>
      <c r="E18" s="54">
        <v>0.21</v>
      </c>
      <c r="F18" s="54">
        <v>3.61</v>
      </c>
      <c r="G18" s="54">
        <v>105.09</v>
      </c>
      <c r="H18" s="54">
        <v>64.02</v>
      </c>
      <c r="I18" s="54">
        <v>1.55</v>
      </c>
      <c r="J18" s="54">
        <v>0.74</v>
      </c>
      <c r="K18" s="54">
        <v>149.33000000000001</v>
      </c>
      <c r="L18" s="54">
        <v>20.90</v>
      </c>
      <c r="M18" s="54">
        <v>70.959999999999994</v>
      </c>
      <c r="N18" s="54">
        <v>445.90</v>
      </c>
      <c r="O18" s="54">
        <v>0</v>
      </c>
      <c r="P18" s="54">
        <v>1.05</v>
      </c>
      <c r="Q18" s="54">
        <v>8.27</v>
      </c>
      <c r="R18" s="43"/>
      <c r="S18" s="43"/>
      <c r="T18" s="43"/>
      <c r="U18" s="43"/>
    </row>
    <row r="19" spans="1:21" s="11" customFormat="1" ht="15">
      <c r="A19" s="53" t="s">
        <v>96</v>
      </c>
      <c r="B19" s="54">
        <v>11.10</v>
      </c>
      <c r="C19" s="54">
        <v>87.89</v>
      </c>
      <c r="D19" s="54">
        <v>58.05</v>
      </c>
      <c r="E19" s="54">
        <v>0.20</v>
      </c>
      <c r="F19" s="54">
        <v>3.92</v>
      </c>
      <c r="G19" s="54">
        <v>99.36</v>
      </c>
      <c r="H19" s="54">
        <v>64.02</v>
      </c>
      <c r="I19" s="54">
        <v>1.56</v>
      </c>
      <c r="J19" s="54">
        <v>0.85</v>
      </c>
      <c r="K19" s="54">
        <v>147.96</v>
      </c>
      <c r="L19" s="54">
        <v>22.35</v>
      </c>
      <c r="M19" s="54">
        <v>60.88</v>
      </c>
      <c r="N19" s="54">
        <v>512.10</v>
      </c>
      <c r="O19" s="54">
        <v>0</v>
      </c>
      <c r="P19" s="54">
        <v>0.94</v>
      </c>
      <c r="Q19" s="54">
        <v>7.68</v>
      </c>
      <c r="R19" s="43"/>
      <c r="S19" s="43"/>
      <c r="T19" s="43"/>
      <c r="U19" s="43"/>
    </row>
    <row r="20" spans="1:21" s="11" customFormat="1" ht="15">
      <c r="A20" s="53" t="s">
        <v>97</v>
      </c>
      <c r="B20" s="54">
        <v>5.94</v>
      </c>
      <c r="C20" s="54">
        <v>85.91</v>
      </c>
      <c r="D20" s="54">
        <v>52.82</v>
      </c>
      <c r="E20" s="54">
        <v>0.15</v>
      </c>
      <c r="F20" s="54">
        <v>3.90</v>
      </c>
      <c r="G20" s="54">
        <v>91.57</v>
      </c>
      <c r="H20" s="54">
        <v>59.72</v>
      </c>
      <c r="I20" s="54">
        <v>1.5</v>
      </c>
      <c r="J20" s="54">
        <v>0.80</v>
      </c>
      <c r="K20" s="54">
        <v>134.94999999999999</v>
      </c>
      <c r="L20" s="54">
        <v>23.84</v>
      </c>
      <c r="M20" s="54">
        <v>53.49</v>
      </c>
      <c r="N20" s="54">
        <v>557.60</v>
      </c>
      <c r="O20" s="54">
        <v>0</v>
      </c>
      <c r="P20" s="54">
        <v>0.83</v>
      </c>
      <c r="Q20" s="54">
        <v>7.11</v>
      </c>
      <c r="R20" s="43"/>
      <c r="S20" s="43"/>
      <c r="T20" s="43"/>
      <c r="U20" s="43"/>
    </row>
    <row r="21" spans="1:21" s="11" customFormat="1" ht="15">
      <c r="A21" s="53" t="s">
        <v>98</v>
      </c>
      <c r="B21" s="54">
        <v>6.11</v>
      </c>
      <c r="C21" s="54">
        <v>83.36</v>
      </c>
      <c r="D21" s="54">
        <v>51.53</v>
      </c>
      <c r="E21" s="54">
        <v>0.19</v>
      </c>
      <c r="F21" s="54">
        <v>3.87</v>
      </c>
      <c r="G21" s="54">
        <v>83.34</v>
      </c>
      <c r="H21" s="54">
        <v>59.72</v>
      </c>
      <c r="I21" s="54">
        <v>1.56</v>
      </c>
      <c r="J21" s="54">
        <v>0.80</v>
      </c>
      <c r="K21" s="54">
        <v>122.62</v>
      </c>
      <c r="L21" s="54">
        <v>24.35</v>
      </c>
      <c r="M21" s="54">
        <v>48.91</v>
      </c>
      <c r="N21" s="54">
        <v>532.20000000000005</v>
      </c>
      <c r="O21" s="54">
        <v>0</v>
      </c>
      <c r="P21" s="54">
        <v>0.76</v>
      </c>
      <c r="Q21" s="54">
        <v>7.20</v>
      </c>
      <c r="R21" s="43"/>
      <c r="S21" s="43"/>
      <c r="T21" s="43"/>
      <c r="U21" s="43"/>
    </row>
    <row r="22" spans="1:21" s="11" customFormat="1" ht="15">
      <c r="A22" s="53" t="s">
        <v>99</v>
      </c>
      <c r="B22" s="54">
        <v>6.17</v>
      </c>
      <c r="C22" s="54">
        <v>84.36</v>
      </c>
      <c r="D22" s="54">
        <v>52</v>
      </c>
      <c r="E22" s="54">
        <v>0.25</v>
      </c>
      <c r="F22" s="54">
        <v>3.88</v>
      </c>
      <c r="G22" s="54">
        <v>78.930000000000007</v>
      </c>
      <c r="H22" s="54">
        <v>58.01</v>
      </c>
      <c r="I22" s="54">
        <v>1.56</v>
      </c>
      <c r="J22" s="54">
        <v>0.85</v>
      </c>
      <c r="K22" s="54">
        <v>120.86</v>
      </c>
      <c r="L22" s="54">
        <v>25.04</v>
      </c>
      <c r="M22" s="54">
        <v>42.97</v>
      </c>
      <c r="N22" s="54">
        <v>452.40</v>
      </c>
      <c r="O22" s="54">
        <v>0</v>
      </c>
      <c r="P22" s="54">
        <v>0.75</v>
      </c>
      <c r="Q22" s="54">
        <v>7.27</v>
      </c>
      <c r="R22" s="43"/>
      <c r="S22" s="43"/>
      <c r="T22" s="43"/>
      <c r="U22" s="43"/>
    </row>
    <row r="23" spans="1:21" s="11" customFormat="1" ht="15">
      <c r="A23" s="53" t="s">
        <v>100</v>
      </c>
      <c r="B23" s="54">
        <v>5.91</v>
      </c>
      <c r="C23" s="54">
        <v>84.25</v>
      </c>
      <c r="D23" s="54">
        <v>51.88</v>
      </c>
      <c r="E23" s="54">
        <v>0.18</v>
      </c>
      <c r="F23" s="54">
        <v>4.45</v>
      </c>
      <c r="G23" s="54">
        <v>75.94</v>
      </c>
      <c r="H23" s="54">
        <v>50.33</v>
      </c>
      <c r="I23" s="54">
        <v>1.52</v>
      </c>
      <c r="J23" s="54">
        <v>1.21</v>
      </c>
      <c r="K23" s="54">
        <v>110.23</v>
      </c>
      <c r="L23" s="54">
        <v>25.91</v>
      </c>
      <c r="M23" s="54">
        <v>41.21</v>
      </c>
      <c r="N23" s="54">
        <v>227.10</v>
      </c>
      <c r="O23" s="54">
        <v>0</v>
      </c>
      <c r="P23" s="54">
        <v>0.72</v>
      </c>
      <c r="Q23" s="54">
        <v>7.21</v>
      </c>
      <c r="R23" s="43"/>
      <c r="S23" s="43"/>
      <c r="T23" s="43"/>
      <c r="U23" s="43"/>
    </row>
    <row r="24" spans="1:21" s="11" customFormat="1" ht="15">
      <c r="A24" s="53" t="s">
        <v>101</v>
      </c>
      <c r="B24" s="54">
        <v>4.13</v>
      </c>
      <c r="C24" s="54">
        <v>80.73</v>
      </c>
      <c r="D24" s="54">
        <v>48.51</v>
      </c>
      <c r="E24" s="54">
        <v>0.15</v>
      </c>
      <c r="F24" s="54">
        <v>4.74</v>
      </c>
      <c r="G24" s="54">
        <v>72.14</v>
      </c>
      <c r="H24" s="54">
        <v>46.89</v>
      </c>
      <c r="I24" s="54">
        <v>1.54</v>
      </c>
      <c r="J24" s="54">
        <v>1.01</v>
      </c>
      <c r="K24" s="54">
        <v>110.99</v>
      </c>
      <c r="L24" s="54">
        <v>24.23</v>
      </c>
      <c r="M24" s="54">
        <v>41.86</v>
      </c>
      <c r="N24" s="54">
        <v>158.80000000000001</v>
      </c>
      <c r="O24" s="54">
        <v>0</v>
      </c>
      <c r="P24" s="54">
        <v>0.66</v>
      </c>
      <c r="Q24" s="54">
        <v>6.90</v>
      </c>
      <c r="R24" s="43"/>
      <c r="S24" s="43"/>
      <c r="T24" s="43"/>
      <c r="U24" s="43"/>
    </row>
    <row r="25" spans="1:21" s="11" customFormat="1" ht="15">
      <c r="A25" s="53" t="s">
        <v>102</v>
      </c>
      <c r="B25" s="54">
        <v>3.78</v>
      </c>
      <c r="C25" s="54">
        <v>78.45</v>
      </c>
      <c r="D25" s="54">
        <v>46.97</v>
      </c>
      <c r="E25" s="54">
        <v>0.16</v>
      </c>
      <c r="F25" s="54">
        <v>4.71</v>
      </c>
      <c r="G25" s="54">
        <v>68.37</v>
      </c>
      <c r="H25" s="54">
        <v>46.89</v>
      </c>
      <c r="I25" s="54">
        <v>1.53</v>
      </c>
      <c r="J25" s="54">
        <v>0.88</v>
      </c>
      <c r="K25" s="54">
        <v>115.48</v>
      </c>
      <c r="L25" s="54">
        <v>22.90</v>
      </c>
      <c r="M25" s="54">
        <v>43.55</v>
      </c>
      <c r="N25" s="54">
        <v>94.30</v>
      </c>
      <c r="O25" s="54">
        <v>0</v>
      </c>
      <c r="P25" s="54">
        <v>0.61</v>
      </c>
      <c r="Q25" s="54">
        <v>6.60</v>
      </c>
      <c r="R25" s="43"/>
      <c r="S25" s="43"/>
      <c r="T25" s="43"/>
      <c r="U25" s="43"/>
    </row>
    <row r="26" spans="1:21" s="11" customFormat="1" ht="15">
      <c r="A26" s="53" t="s">
        <v>103</v>
      </c>
      <c r="B26" s="54">
        <v>5.1100000000000003</v>
      </c>
      <c r="C26" s="54">
        <v>80.67</v>
      </c>
      <c r="D26" s="54">
        <v>49.26</v>
      </c>
      <c r="E26" s="54">
        <v>0.15</v>
      </c>
      <c r="F26" s="54">
        <v>4.49</v>
      </c>
      <c r="G26" s="54">
        <v>67.849999999999994</v>
      </c>
      <c r="H26" s="54">
        <v>40.159999999999997</v>
      </c>
      <c r="I26" s="54">
        <v>1.54</v>
      </c>
      <c r="J26" s="54">
        <v>0.44</v>
      </c>
      <c r="K26" s="54">
        <v>285.48</v>
      </c>
      <c r="L26" s="54">
        <v>22.05</v>
      </c>
      <c r="M26" s="54">
        <v>63.49</v>
      </c>
      <c r="N26" s="54">
        <v>49.40</v>
      </c>
      <c r="O26" s="54">
        <v>0</v>
      </c>
      <c r="P26" s="54">
        <v>0.66</v>
      </c>
      <c r="Q26" s="54">
        <v>6.52</v>
      </c>
      <c r="R26" s="43"/>
      <c r="S26" s="43"/>
      <c r="T26" s="43"/>
      <c r="U26" s="43"/>
    </row>
    <row r="27" spans="1:21" s="11" customFormat="1" ht="15">
      <c r="A27" s="53" t="s">
        <v>104</v>
      </c>
      <c r="B27" s="54">
        <v>20.350000000000001</v>
      </c>
      <c r="C27" s="54">
        <v>85.07</v>
      </c>
      <c r="D27" s="54">
        <v>63.91</v>
      </c>
      <c r="E27" s="54">
        <v>0.17</v>
      </c>
      <c r="F27" s="54">
        <v>3.23</v>
      </c>
      <c r="G27" s="54">
        <v>87.52</v>
      </c>
      <c r="H27" s="54">
        <v>40.159999999999997</v>
      </c>
      <c r="I27" s="54">
        <v>1.49</v>
      </c>
      <c r="J27" s="54">
        <v>0.06</v>
      </c>
      <c r="K27" s="54">
        <v>344.37</v>
      </c>
      <c r="L27" s="54">
        <v>18.809999999999999</v>
      </c>
      <c r="M27" s="54">
        <v>81.040000000000006</v>
      </c>
      <c r="N27" s="54">
        <v>50.5</v>
      </c>
      <c r="O27" s="54">
        <v>0</v>
      </c>
      <c r="P27" s="54">
        <v>1.03</v>
      </c>
      <c r="Q27" s="54">
        <v>7.62</v>
      </c>
      <c r="R27" s="43"/>
      <c r="S27" s="43"/>
      <c r="T27" s="43"/>
      <c r="U27" s="43"/>
    </row>
    <row r="28" spans="1:21" s="11" customFormat="1" ht="15">
      <c r="A28" s="53" t="s">
        <v>105</v>
      </c>
      <c r="B28" s="54">
        <v>26.26</v>
      </c>
      <c r="C28" s="54">
        <v>91.37</v>
      </c>
      <c r="D28" s="54">
        <v>70.70</v>
      </c>
      <c r="E28" s="54">
        <v>0.20</v>
      </c>
      <c r="F28" s="54">
        <v>3.57</v>
      </c>
      <c r="G28" s="54">
        <v>94.41</v>
      </c>
      <c r="H28" s="54">
        <v>109.46</v>
      </c>
      <c r="I28" s="54">
        <v>1.55</v>
      </c>
      <c r="J28" s="54">
        <v>0.09</v>
      </c>
      <c r="K28" s="54">
        <v>273.99</v>
      </c>
      <c r="L28" s="54">
        <v>18.100000000000001</v>
      </c>
      <c r="M28" s="54">
        <v>74.80</v>
      </c>
      <c r="N28" s="54">
        <v>50.90</v>
      </c>
      <c r="O28" s="54">
        <v>0</v>
      </c>
      <c r="P28" s="54">
        <v>1.0900000000000001</v>
      </c>
      <c r="Q28" s="54">
        <v>8.56</v>
      </c>
      <c r="R28" s="43"/>
      <c r="S28" s="43"/>
      <c r="T28" s="43"/>
      <c r="U28" s="43"/>
    </row>
    <row r="29" spans="1:21" s="11" customFormat="1" ht="15">
      <c r="A29" s="53" t="s">
        <v>106</v>
      </c>
      <c r="B29" s="54">
        <v>23.55</v>
      </c>
      <c r="C29" s="54">
        <v>94.61</v>
      </c>
      <c r="D29" s="54">
        <v>71.010000000000005</v>
      </c>
      <c r="E29" s="54">
        <v>0.24</v>
      </c>
      <c r="F29" s="54">
        <v>3.44</v>
      </c>
      <c r="G29" s="54">
        <v>99</v>
      </c>
      <c r="H29" s="54">
        <v>109.46</v>
      </c>
      <c r="I29" s="54">
        <v>1.52</v>
      </c>
      <c r="J29" s="54">
        <v>0.20</v>
      </c>
      <c r="K29" s="54">
        <v>303.57</v>
      </c>
      <c r="L29" s="54">
        <v>18.440000000000001</v>
      </c>
      <c r="M29" s="54">
        <v>68.66</v>
      </c>
      <c r="N29" s="54">
        <v>51.90</v>
      </c>
      <c r="O29" s="54">
        <v>0</v>
      </c>
      <c r="P29" s="54">
        <v>1.18</v>
      </c>
      <c r="Q29" s="54">
        <v>8.7200000000000006</v>
      </c>
      <c r="R29" s="43"/>
      <c r="S29" s="43"/>
      <c r="T29" s="43"/>
      <c r="U29" s="43"/>
    </row>
    <row r="30" spans="1:21" s="11" customFormat="1" ht="15">
      <c r="A30" s="53" t="s">
        <v>107</v>
      </c>
      <c r="B30" s="54">
        <v>28.63</v>
      </c>
      <c r="C30" s="54">
        <v>95.90</v>
      </c>
      <c r="D30" s="54">
        <v>74.739999999999995</v>
      </c>
      <c r="E30" s="54">
        <v>0.24</v>
      </c>
      <c r="F30" s="54">
        <v>3.31</v>
      </c>
      <c r="G30" s="54">
        <v>107.77</v>
      </c>
      <c r="H30" s="54">
        <v>85.64</v>
      </c>
      <c r="I30" s="54">
        <v>1.55</v>
      </c>
      <c r="J30" s="54">
        <v>0.14000000000000001</v>
      </c>
      <c r="K30" s="54">
        <v>293.23</v>
      </c>
      <c r="L30" s="54">
        <v>18.09</v>
      </c>
      <c r="M30" s="54">
        <v>75.23</v>
      </c>
      <c r="N30" s="54">
        <v>52.40</v>
      </c>
      <c r="O30" s="54">
        <v>0</v>
      </c>
      <c r="P30" s="54">
        <v>1.29</v>
      </c>
      <c r="Q30" s="54">
        <v>9.10</v>
      </c>
      <c r="R30" s="43"/>
      <c r="S30" s="43"/>
      <c r="T30" s="43"/>
      <c r="U30" s="43"/>
    </row>
    <row r="31" spans="1:21" s="11" customFormat="1" ht="15">
      <c r="A31" s="53" t="s">
        <v>108</v>
      </c>
      <c r="B31" s="54">
        <v>22.48</v>
      </c>
      <c r="C31" s="54">
        <v>97.03</v>
      </c>
      <c r="D31" s="54">
        <v>72.22</v>
      </c>
      <c r="E31" s="54">
        <v>0.24</v>
      </c>
      <c r="F31" s="54">
        <v>3.52</v>
      </c>
      <c r="G31" s="54">
        <v>110.05</v>
      </c>
      <c r="H31" s="54">
        <v>68.11</v>
      </c>
      <c r="I31" s="54">
        <v>1.51</v>
      </c>
      <c r="J31" s="54">
        <v>0.44</v>
      </c>
      <c r="K31" s="54">
        <v>168.76</v>
      </c>
      <c r="L31" s="54">
        <v>17.989999999999998</v>
      </c>
      <c r="M31" s="54">
        <v>68.5</v>
      </c>
      <c r="N31" s="54">
        <v>52.40</v>
      </c>
      <c r="O31" s="54">
        <v>0</v>
      </c>
      <c r="P31" s="54">
        <v>1.23</v>
      </c>
      <c r="Q31" s="54">
        <v>8.90</v>
      </c>
      <c r="R31" s="43"/>
      <c r="S31" s="43"/>
      <c r="T31" s="43"/>
      <c r="U31" s="43"/>
    </row>
    <row r="32" spans="1:21" s="11" customFormat="1" ht="15">
      <c r="A32" s="53" t="s">
        <v>109</v>
      </c>
      <c r="B32" s="54">
        <v>11.96</v>
      </c>
      <c r="C32" s="54">
        <v>93.30</v>
      </c>
      <c r="D32" s="54">
        <v>61.73</v>
      </c>
      <c r="E32" s="54">
        <v>0.21</v>
      </c>
      <c r="F32" s="54">
        <v>3.71</v>
      </c>
      <c r="G32" s="54">
        <v>90.43</v>
      </c>
      <c r="H32" s="54">
        <v>51.70</v>
      </c>
      <c r="I32" s="54">
        <v>1.54</v>
      </c>
      <c r="J32" s="54">
        <v>0.20</v>
      </c>
      <c r="K32" s="54">
        <v>213.33</v>
      </c>
      <c r="L32" s="54">
        <v>17.27</v>
      </c>
      <c r="M32" s="54">
        <v>74.760000000000005</v>
      </c>
      <c r="N32" s="54">
        <v>52.70</v>
      </c>
      <c r="O32" s="54">
        <v>0</v>
      </c>
      <c r="P32" s="54">
        <v>1.05</v>
      </c>
      <c r="Q32" s="54">
        <v>7.83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3.7799999999999998</v>
      </c>
      <c r="C34" s="28">
        <f t="shared" si="0"/>
        <v>73.879999999999995</v>
      </c>
      <c r="D34" s="28">
        <f t="shared" si="0"/>
        <v>46.969999999999999</v>
      </c>
      <c r="E34" s="28">
        <f t="shared" si="0"/>
        <v>0.12</v>
      </c>
      <c r="F34" s="28">
        <f t="shared" si="0"/>
        <v>3.1400000000000001</v>
      </c>
      <c r="G34" s="28">
        <f t="shared" si="0"/>
        <v>67.849999999999994</v>
      </c>
      <c r="H34" s="28">
        <f t="shared" si="0"/>
        <v>40.159999999999997</v>
      </c>
      <c r="I34" s="28">
        <f t="shared" si="0"/>
        <v>1.49</v>
      </c>
      <c r="J34" s="28">
        <f t="shared" si="0"/>
        <v>0.059999999999999998</v>
      </c>
      <c r="K34" s="28">
        <f t="shared" si="0"/>
        <v>109.02</v>
      </c>
      <c r="L34" s="28">
        <f t="shared" si="0"/>
        <v>13.390000000000001</v>
      </c>
      <c r="M34" s="28">
        <f t="shared" si="0"/>
        <v>41.210000000000001</v>
      </c>
      <c r="N34" s="28">
        <f t="shared" si="0"/>
        <v>44.100000000000001</v>
      </c>
      <c r="O34" s="28">
        <f t="shared" si="0"/>
        <v>0</v>
      </c>
      <c r="P34" s="28">
        <f t="shared" si="0"/>
        <v>0.60999999999999999</v>
      </c>
      <c r="Q34" s="28">
        <f t="shared" si="0"/>
        <v>6.5199999999999996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76.040000000000006</v>
      </c>
      <c r="C35" s="29">
        <f t="shared" si="1"/>
        <v>97.030000000000001</v>
      </c>
      <c r="D35" s="29">
        <f t="shared" si="1"/>
        <v>109.34</v>
      </c>
      <c r="E35" s="29">
        <f t="shared" si="1"/>
        <v>0.28000000000000003</v>
      </c>
      <c r="F35" s="29">
        <f t="shared" si="1"/>
        <v>4.7400000000000002</v>
      </c>
      <c r="G35" s="29">
        <f t="shared" si="1"/>
        <v>161.41999999999999</v>
      </c>
      <c r="H35" s="29">
        <f t="shared" si="1"/>
        <v>135.66</v>
      </c>
      <c r="I35" s="29">
        <f t="shared" si="1"/>
        <v>1.5900000000000001</v>
      </c>
      <c r="J35" s="29">
        <f t="shared" si="1"/>
        <v>1.21</v>
      </c>
      <c r="K35" s="29">
        <f t="shared" si="1"/>
        <v>358.70999999999998</v>
      </c>
      <c r="L35" s="29">
        <f t="shared" si="1"/>
        <v>25.91</v>
      </c>
      <c r="M35" s="29">
        <f t="shared" si="1"/>
        <v>97.879999999999995</v>
      </c>
      <c r="N35" s="29">
        <f t="shared" si="1"/>
        <v>557.60000000000002</v>
      </c>
      <c r="O35" s="29">
        <f t="shared" si="1"/>
        <v>0</v>
      </c>
      <c r="P35" s="29">
        <f t="shared" si="1"/>
        <v>2.2799999999999998</v>
      </c>
      <c r="Q35" s="29">
        <f t="shared" si="1"/>
        <v>12.5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25.224583333333339</v>
      </c>
      <c r="C36" s="28">
        <f t="shared" si="2"/>
        <v>85.350416666666661</v>
      </c>
      <c r="D36" s="28">
        <f t="shared" si="2"/>
        <v>67.203750000000014</v>
      </c>
      <c r="E36" s="28">
        <f t="shared" si="2"/>
        <v>0.19500000000000003</v>
      </c>
      <c r="F36" s="28">
        <f t="shared" si="2"/>
        <v>3.6816666666666666</v>
      </c>
      <c r="G36" s="28">
        <f t="shared" si="2"/>
        <v>98.817083333333315</v>
      </c>
      <c r="H36" s="28">
        <f t="shared" si="2"/>
        <v>71.518750000000011</v>
      </c>
      <c r="I36" s="28">
        <f t="shared" si="2"/>
        <v>1.5383333333333331</v>
      </c>
      <c r="J36" s="28">
        <f t="shared" si="2"/>
        <v>0.47791666666666655</v>
      </c>
      <c r="K36" s="28">
        <f t="shared" si="2"/>
        <v>229.5079166666666</v>
      </c>
      <c r="L36" s="28">
        <f t="shared" si="2"/>
        <v>18.830416666666668</v>
      </c>
      <c r="M36" s="28">
        <f t="shared" si="2"/>
        <v>73.859166666666667</v>
      </c>
      <c r="N36" s="28">
        <f t="shared" si="2"/>
        <v>172.35416666666671</v>
      </c>
      <c r="O36" s="28">
        <f t="shared" si="2"/>
        <v>0</v>
      </c>
      <c r="P36" s="28">
        <f t="shared" si="2"/>
        <v>1.1095833333333334</v>
      </c>
      <c r="Q36" s="28">
        <f t="shared" si="2"/>
        <v>8.4708333333333332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19.255949950975996</v>
      </c>
      <c r="C37" s="28">
        <f t="shared" si="3" ref="C37:Q37">STDEV(C9:C32)</f>
        <v>6.0910065414844041</v>
      </c>
      <c r="D37" s="28">
        <f t="shared" si="3"/>
        <v>15.444633178607338</v>
      </c>
      <c r="E37" s="28">
        <f t="shared" si="3"/>
        <v>0.042630872666974684</v>
      </c>
      <c r="F37" s="28">
        <f t="shared" si="3"/>
        <v>0.47770890414712541</v>
      </c>
      <c r="G37" s="28">
        <f t="shared" si="3"/>
        <v>22.651834454777966</v>
      </c>
      <c r="H37" s="28">
        <f t="shared" si="3"/>
        <v>26.407881286118684</v>
      </c>
      <c r="I37" s="28">
        <f t="shared" si="3"/>
        <v>0.024963741822833823</v>
      </c>
      <c r="J37" s="28">
        <f t="shared" si="3"/>
        <v>0.38780294375933494</v>
      </c>
      <c r="K37" s="28">
        <f t="shared" si="3"/>
        <v>92.510334697837038</v>
      </c>
      <c r="L37" s="28">
        <f t="shared" si="3"/>
        <v>4.1692137504691953</v>
      </c>
      <c r="M37" s="28">
        <f t="shared" si="3"/>
        <v>20.749415060726839</v>
      </c>
      <c r="N37" s="28">
        <f t="shared" si="3"/>
        <v>184.98308965996034</v>
      </c>
      <c r="O37" s="28">
        <f t="shared" si="3"/>
        <v>0</v>
      </c>
      <c r="P37" s="28">
        <f t="shared" si="3"/>
        <v>0.39678577252134734</v>
      </c>
      <c r="Q37" s="28">
        <f t="shared" si="3"/>
        <v>1.4490864188430344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60a77f0-d4f8-4b1f-b745-8f7299f7ed92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110</v>
      </c>
      <c r="B9" s="54">
        <v>7.94</v>
      </c>
      <c r="C9" s="54">
        <v>87.74</v>
      </c>
      <c r="D9" s="54">
        <v>55.44</v>
      </c>
      <c r="E9" s="54">
        <v>0.21</v>
      </c>
      <c r="F9" s="54">
        <v>3.81</v>
      </c>
      <c r="G9" s="54">
        <v>74.86</v>
      </c>
      <c r="H9" s="54">
        <v>36.06</v>
      </c>
      <c r="I9" s="54">
        <v>1.53</v>
      </c>
      <c r="J9" s="54">
        <v>0.17</v>
      </c>
      <c r="K9" s="54">
        <v>283.77</v>
      </c>
      <c r="L9" s="54">
        <v>16.54</v>
      </c>
      <c r="M9" s="54">
        <v>84.65</v>
      </c>
      <c r="N9" s="54">
        <v>53.40</v>
      </c>
      <c r="O9" s="54">
        <v>0</v>
      </c>
      <c r="P9" s="54">
        <v>0.88</v>
      </c>
      <c r="Q9" s="54">
        <v>7.34</v>
      </c>
      <c r="R9" s="43"/>
      <c r="S9" s="43"/>
      <c r="T9" s="43"/>
      <c r="U9" s="43"/>
    </row>
    <row r="10" spans="1:21" s="11" customFormat="1" ht="15">
      <c r="A10" s="53" t="s">
        <v>111</v>
      </c>
      <c r="B10" s="54">
        <v>10.11</v>
      </c>
      <c r="C10" s="54">
        <v>84.22</v>
      </c>
      <c r="D10" s="54">
        <v>54.52</v>
      </c>
      <c r="E10" s="54">
        <v>0.16</v>
      </c>
      <c r="F10" s="54">
        <v>3.59</v>
      </c>
      <c r="G10" s="54">
        <v>66.36</v>
      </c>
      <c r="H10" s="54">
        <v>36.15</v>
      </c>
      <c r="I10" s="54">
        <v>1.53</v>
      </c>
      <c r="J10" s="54">
        <v>0.23</v>
      </c>
      <c r="K10" s="54">
        <v>313.82</v>
      </c>
      <c r="L10" s="54">
        <v>14.87</v>
      </c>
      <c r="M10" s="54">
        <v>93.19</v>
      </c>
      <c r="N10" s="54">
        <v>53.5</v>
      </c>
      <c r="O10" s="54">
        <v>0</v>
      </c>
      <c r="P10" s="54">
        <v>0.73</v>
      </c>
      <c r="Q10" s="54">
        <v>7.19</v>
      </c>
      <c r="R10" s="43"/>
      <c r="S10" s="43"/>
      <c r="T10" s="43"/>
      <c r="U10" s="43"/>
    </row>
    <row r="11" spans="1:21" s="11" customFormat="1" ht="15">
      <c r="A11" s="53" t="s">
        <v>112</v>
      </c>
      <c r="B11" s="54">
        <v>11.67</v>
      </c>
      <c r="C11" s="54">
        <v>82.5</v>
      </c>
      <c r="D11" s="54">
        <v>54.67</v>
      </c>
      <c r="E11" s="54">
        <v>0.20</v>
      </c>
      <c r="F11" s="54">
        <v>3.47</v>
      </c>
      <c r="G11" s="54">
        <v>68.02</v>
      </c>
      <c r="H11" s="54">
        <v>37.520000000000003</v>
      </c>
      <c r="I11" s="54">
        <v>1.5</v>
      </c>
      <c r="J11" s="54">
        <v>0.13</v>
      </c>
      <c r="K11" s="54">
        <v>355.31</v>
      </c>
      <c r="L11" s="54">
        <v>14.04</v>
      </c>
      <c r="M11" s="54">
        <v>96.72</v>
      </c>
      <c r="N11" s="54">
        <v>53.70</v>
      </c>
      <c r="O11" s="54">
        <v>0</v>
      </c>
      <c r="P11" s="54">
        <v>0.67</v>
      </c>
      <c r="Q11" s="54">
        <v>7.39</v>
      </c>
      <c r="R11" s="43"/>
      <c r="S11" s="43"/>
      <c r="T11" s="43"/>
      <c r="U11" s="43"/>
    </row>
    <row r="12" spans="1:21" s="11" customFormat="1" ht="15">
      <c r="A12" s="53" t="s">
        <v>113</v>
      </c>
      <c r="B12" s="54">
        <v>13.26</v>
      </c>
      <c r="C12" s="54">
        <v>80</v>
      </c>
      <c r="D12" s="54">
        <v>54.78</v>
      </c>
      <c r="E12" s="54">
        <v>0.13</v>
      </c>
      <c r="F12" s="54">
        <v>3.35</v>
      </c>
      <c r="G12" s="54">
        <v>60.53</v>
      </c>
      <c r="H12" s="54">
        <v>42.77</v>
      </c>
      <c r="I12" s="54">
        <v>1.55</v>
      </c>
      <c r="J12" s="54">
        <v>0.23</v>
      </c>
      <c r="K12" s="54">
        <v>330.30</v>
      </c>
      <c r="L12" s="54">
        <v>13.46</v>
      </c>
      <c r="M12" s="54">
        <v>97.83</v>
      </c>
      <c r="N12" s="54">
        <v>58.30</v>
      </c>
      <c r="O12" s="54">
        <v>0</v>
      </c>
      <c r="P12" s="54">
        <v>0.60</v>
      </c>
      <c r="Q12" s="54">
        <v>7.52</v>
      </c>
      <c r="R12" s="43"/>
      <c r="S12" s="43"/>
      <c r="T12" s="43"/>
      <c r="U12" s="43"/>
    </row>
    <row r="13" spans="1:21" s="11" customFormat="1" ht="15">
      <c r="A13" s="53" t="s">
        <v>114</v>
      </c>
      <c r="B13" s="54">
        <v>13.42</v>
      </c>
      <c r="C13" s="54">
        <v>78.23</v>
      </c>
      <c r="D13" s="54">
        <v>54.59</v>
      </c>
      <c r="E13" s="54">
        <v>0.19</v>
      </c>
      <c r="F13" s="54">
        <v>3.71</v>
      </c>
      <c r="G13" s="54">
        <v>60.66</v>
      </c>
      <c r="H13" s="54">
        <v>45.25</v>
      </c>
      <c r="I13" s="54">
        <v>1.5</v>
      </c>
      <c r="J13" s="54">
        <v>0.17</v>
      </c>
      <c r="K13" s="54">
        <v>328.84</v>
      </c>
      <c r="L13" s="54">
        <v>13.20</v>
      </c>
      <c r="M13" s="54">
        <v>97.84</v>
      </c>
      <c r="N13" s="54">
        <v>65.599999999999994</v>
      </c>
      <c r="O13" s="54">
        <v>0</v>
      </c>
      <c r="P13" s="54">
        <v>0.56000000000000005</v>
      </c>
      <c r="Q13" s="54">
        <v>7.55</v>
      </c>
      <c r="R13" s="43"/>
      <c r="S13" s="43"/>
      <c r="T13" s="43"/>
      <c r="U13" s="43"/>
    </row>
    <row r="14" spans="1:21" s="11" customFormat="1" ht="15">
      <c r="A14" s="53" t="s">
        <v>115</v>
      </c>
      <c r="B14" s="54">
        <v>15.54</v>
      </c>
      <c r="C14" s="54">
        <v>78.77</v>
      </c>
      <c r="D14" s="54">
        <v>56.57</v>
      </c>
      <c r="E14" s="54">
        <v>0.22</v>
      </c>
      <c r="F14" s="54">
        <v>3.40</v>
      </c>
      <c r="G14" s="54">
        <v>59.69</v>
      </c>
      <c r="H14" s="54">
        <v>45.25</v>
      </c>
      <c r="I14" s="54">
        <v>1.56</v>
      </c>
      <c r="J14" s="54">
        <v>0.11</v>
      </c>
      <c r="K14" s="54">
        <v>331.87</v>
      </c>
      <c r="L14" s="54">
        <v>12.75</v>
      </c>
      <c r="M14" s="54">
        <v>97.88</v>
      </c>
      <c r="N14" s="54">
        <v>65.900000000000006</v>
      </c>
      <c r="O14" s="54">
        <v>0</v>
      </c>
      <c r="P14" s="54">
        <v>0.55000000000000004</v>
      </c>
      <c r="Q14" s="54">
        <v>7.36</v>
      </c>
      <c r="R14" s="43"/>
      <c r="S14" s="43"/>
      <c r="T14" s="43"/>
      <c r="U14" s="43"/>
    </row>
    <row r="15" spans="1:21" s="11" customFormat="1" ht="15">
      <c r="A15" s="53" t="s">
        <v>116</v>
      </c>
      <c r="B15" s="54">
        <v>18.93</v>
      </c>
      <c r="C15" s="54">
        <v>79.14</v>
      </c>
      <c r="D15" s="54">
        <v>59.5</v>
      </c>
      <c r="E15" s="54">
        <v>0.17</v>
      </c>
      <c r="F15" s="54">
        <v>3.37</v>
      </c>
      <c r="G15" s="54">
        <v>62.34</v>
      </c>
      <c r="H15" s="54">
        <v>44.86</v>
      </c>
      <c r="I15" s="54">
        <v>1.55</v>
      </c>
      <c r="J15" s="54">
        <v>0.08</v>
      </c>
      <c r="K15" s="54">
        <v>250.26</v>
      </c>
      <c r="L15" s="54">
        <v>12.63</v>
      </c>
      <c r="M15" s="54">
        <v>97.88</v>
      </c>
      <c r="N15" s="54">
        <v>92</v>
      </c>
      <c r="O15" s="54">
        <v>0</v>
      </c>
      <c r="P15" s="54">
        <v>0.57999999999999996</v>
      </c>
      <c r="Q15" s="54">
        <v>7.46</v>
      </c>
      <c r="R15" s="43"/>
      <c r="S15" s="43"/>
      <c r="T15" s="43"/>
      <c r="U15" s="43"/>
    </row>
    <row r="16" spans="1:21" s="11" customFormat="1" ht="15">
      <c r="A16" s="53" t="s">
        <v>117</v>
      </c>
      <c r="B16" s="54">
        <v>28.30</v>
      </c>
      <c r="C16" s="54">
        <v>80.98</v>
      </c>
      <c r="D16" s="54">
        <v>68.03</v>
      </c>
      <c r="E16" s="54">
        <v>0.20</v>
      </c>
      <c r="F16" s="54">
        <v>3.25</v>
      </c>
      <c r="G16" s="54">
        <v>71.70</v>
      </c>
      <c r="H16" s="54">
        <v>51.30</v>
      </c>
      <c r="I16" s="54">
        <v>1.56</v>
      </c>
      <c r="J16" s="54">
        <v>0.47</v>
      </c>
      <c r="K16" s="54">
        <v>341.41</v>
      </c>
      <c r="L16" s="54">
        <v>16.04</v>
      </c>
      <c r="M16" s="54">
        <v>97.87</v>
      </c>
      <c r="N16" s="54">
        <v>189</v>
      </c>
      <c r="O16" s="54">
        <v>0</v>
      </c>
      <c r="P16" s="54">
        <v>0.70</v>
      </c>
      <c r="Q16" s="54">
        <v>8.1999999999999993</v>
      </c>
      <c r="R16" s="43"/>
      <c r="S16" s="43"/>
      <c r="T16" s="43"/>
      <c r="U16" s="43"/>
    </row>
    <row r="17" spans="1:21" s="11" customFormat="1" ht="15">
      <c r="A17" s="53" t="s">
        <v>118</v>
      </c>
      <c r="B17" s="54">
        <v>28.17</v>
      </c>
      <c r="C17" s="54">
        <v>83.46</v>
      </c>
      <c r="D17" s="54">
        <v>68.260000000000005</v>
      </c>
      <c r="E17" s="54">
        <v>0.14000000000000001</v>
      </c>
      <c r="F17" s="54">
        <v>3.45</v>
      </c>
      <c r="G17" s="54">
        <v>86.72</v>
      </c>
      <c r="H17" s="54">
        <v>51.30</v>
      </c>
      <c r="I17" s="54">
        <v>1.55</v>
      </c>
      <c r="J17" s="54">
        <v>0.67</v>
      </c>
      <c r="K17" s="54">
        <v>120.85</v>
      </c>
      <c r="L17" s="54">
        <v>19.21</v>
      </c>
      <c r="M17" s="54">
        <v>79.239999999999995</v>
      </c>
      <c r="N17" s="54">
        <v>335.70</v>
      </c>
      <c r="O17" s="54">
        <v>0</v>
      </c>
      <c r="P17" s="54">
        <v>0.78</v>
      </c>
      <c r="Q17" s="54">
        <v>8.44</v>
      </c>
      <c r="R17" s="43"/>
      <c r="S17" s="43"/>
      <c r="T17" s="43"/>
      <c r="U17" s="43"/>
    </row>
    <row r="18" spans="1:21" s="11" customFormat="1" ht="15">
      <c r="A18" s="53" t="s">
        <v>119</v>
      </c>
      <c r="B18" s="54">
        <v>25.46</v>
      </c>
      <c r="C18" s="54">
        <v>85.62</v>
      </c>
      <c r="D18" s="54">
        <v>67.260000000000005</v>
      </c>
      <c r="E18" s="54">
        <v>0.14000000000000001</v>
      </c>
      <c r="F18" s="54">
        <v>3.43</v>
      </c>
      <c r="G18" s="54">
        <v>105.84</v>
      </c>
      <c r="H18" s="54">
        <v>73.41</v>
      </c>
      <c r="I18" s="54">
        <v>1.52</v>
      </c>
      <c r="J18" s="54">
        <v>0.75</v>
      </c>
      <c r="K18" s="54">
        <v>139.47999999999999</v>
      </c>
      <c r="L18" s="54">
        <v>22.02</v>
      </c>
      <c r="M18" s="54">
        <v>65.959999999999994</v>
      </c>
      <c r="N18" s="54">
        <v>504.80</v>
      </c>
      <c r="O18" s="54">
        <v>0</v>
      </c>
      <c r="P18" s="54">
        <v>0.84</v>
      </c>
      <c r="Q18" s="54">
        <v>8.49</v>
      </c>
      <c r="R18" s="43"/>
      <c r="S18" s="43"/>
      <c r="T18" s="43"/>
      <c r="U18" s="43"/>
    </row>
    <row r="19" spans="1:21" s="11" customFormat="1" ht="15">
      <c r="A19" s="53" t="s">
        <v>120</v>
      </c>
      <c r="B19" s="54">
        <v>19.62</v>
      </c>
      <c r="C19" s="54">
        <v>87.22</v>
      </c>
      <c r="D19" s="54">
        <v>64.27</v>
      </c>
      <c r="E19" s="54">
        <v>0.14000000000000001</v>
      </c>
      <c r="F19" s="54">
        <v>6.89</v>
      </c>
      <c r="G19" s="54">
        <v>110.54</v>
      </c>
      <c r="H19" s="54">
        <v>73.41</v>
      </c>
      <c r="I19" s="54">
        <v>1.54</v>
      </c>
      <c r="J19" s="54">
        <v>0.90</v>
      </c>
      <c r="K19" s="54">
        <v>139.19</v>
      </c>
      <c r="L19" s="54">
        <v>22.78</v>
      </c>
      <c r="M19" s="54">
        <v>52.12</v>
      </c>
      <c r="N19" s="54">
        <v>544.20000000000005</v>
      </c>
      <c r="O19" s="54">
        <v>0</v>
      </c>
      <c r="P19" s="54">
        <v>0.83</v>
      </c>
      <c r="Q19" s="54">
        <v>9.94</v>
      </c>
      <c r="R19" s="43"/>
      <c r="S19" s="43"/>
      <c r="T19" s="43"/>
      <c r="U19" s="43"/>
    </row>
    <row r="20" spans="1:21" s="11" customFormat="1" ht="15">
      <c r="A20" s="53" t="s">
        <v>121</v>
      </c>
      <c r="B20" s="55" t="s">
        <v>12</v>
      </c>
      <c r="C20" s="55" t="s">
        <v>12</v>
      </c>
      <c r="D20" s="55" t="s">
        <v>12</v>
      </c>
      <c r="E20" s="18" t="s">
        <v>12</v>
      </c>
      <c r="F20" s="54">
        <v>8.9499999999999993</v>
      </c>
      <c r="G20" s="55" t="s">
        <v>12</v>
      </c>
      <c r="H20" s="55" t="s">
        <v>12</v>
      </c>
      <c r="I20" s="54">
        <v>1.57</v>
      </c>
      <c r="J20" s="54">
        <v>0.78</v>
      </c>
      <c r="K20" s="54">
        <v>117.12</v>
      </c>
      <c r="L20" s="54">
        <v>23.92</v>
      </c>
      <c r="M20" s="54">
        <v>50.78</v>
      </c>
      <c r="N20" s="54">
        <v>541.10</v>
      </c>
      <c r="O20" s="54">
        <v>0</v>
      </c>
      <c r="P20" s="54">
        <v>0.68</v>
      </c>
      <c r="Q20" s="54">
        <v>11.18</v>
      </c>
      <c r="R20" s="43"/>
      <c r="S20" s="43"/>
      <c r="T20" s="43"/>
      <c r="U20" s="43"/>
    </row>
    <row r="21" spans="1:21" s="11" customFormat="1" ht="15">
      <c r="A21" s="53" t="s">
        <v>122</v>
      </c>
      <c r="B21" s="55" t="s">
        <v>12</v>
      </c>
      <c r="C21" s="55" t="s">
        <v>12</v>
      </c>
      <c r="D21" s="55" t="s">
        <v>12</v>
      </c>
      <c r="E21" s="56">
        <v>2.17</v>
      </c>
      <c r="F21" s="54">
        <v>17.28</v>
      </c>
      <c r="G21" s="55" t="s">
        <v>12</v>
      </c>
      <c r="H21" s="55" t="s">
        <v>12</v>
      </c>
      <c r="I21" s="54">
        <v>1.54</v>
      </c>
      <c r="J21" s="54">
        <v>1.40</v>
      </c>
      <c r="K21" s="54">
        <v>114.48</v>
      </c>
      <c r="L21" s="54">
        <v>23.75</v>
      </c>
      <c r="M21" s="54">
        <v>50.60</v>
      </c>
      <c r="N21" s="54">
        <v>501.70</v>
      </c>
      <c r="O21" s="54">
        <v>0</v>
      </c>
      <c r="P21" s="54">
        <v>0.60</v>
      </c>
      <c r="Q21" s="54">
        <v>6.61</v>
      </c>
      <c r="R21" s="43"/>
      <c r="S21" s="43"/>
      <c r="T21" s="43"/>
      <c r="U21" s="43"/>
    </row>
    <row r="22" spans="1:21" s="11" customFormat="1" ht="15">
      <c r="A22" s="53" t="s">
        <v>123</v>
      </c>
      <c r="B22" s="54">
        <v>2.3199999999999998</v>
      </c>
      <c r="C22" s="54">
        <v>49.86</v>
      </c>
      <c r="D22" s="54">
        <v>29.78</v>
      </c>
      <c r="E22" s="54">
        <v>0.23</v>
      </c>
      <c r="F22" s="54">
        <v>7.93</v>
      </c>
      <c r="G22" s="54">
        <v>45.88</v>
      </c>
      <c r="H22" s="54">
        <v>26.26</v>
      </c>
      <c r="I22" s="54">
        <v>1.58</v>
      </c>
      <c r="J22" s="54">
        <v>1.54</v>
      </c>
      <c r="K22" s="54">
        <v>114.58</v>
      </c>
      <c r="L22" s="54">
        <v>24.64</v>
      </c>
      <c r="M22" s="54">
        <v>42.76</v>
      </c>
      <c r="N22" s="54">
        <v>430</v>
      </c>
      <c r="O22" s="54">
        <v>0</v>
      </c>
      <c r="P22" s="54">
        <v>0.39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124</v>
      </c>
      <c r="B23" s="54">
        <v>2.87</v>
      </c>
      <c r="C23" s="54">
        <v>50.86</v>
      </c>
      <c r="D23" s="54">
        <v>31</v>
      </c>
      <c r="E23" s="54">
        <v>0.25</v>
      </c>
      <c r="F23" s="54">
        <v>6.22</v>
      </c>
      <c r="G23" s="54">
        <v>51.23</v>
      </c>
      <c r="H23" s="54">
        <v>29.41</v>
      </c>
      <c r="I23" s="54">
        <v>1.54</v>
      </c>
      <c r="J23" s="54">
        <v>1.0900000000000001</v>
      </c>
      <c r="K23" s="54">
        <v>118.90</v>
      </c>
      <c r="L23" s="54">
        <v>24.59</v>
      </c>
      <c r="M23" s="54">
        <v>40.85</v>
      </c>
      <c r="N23" s="54">
        <v>165</v>
      </c>
      <c r="O23" s="54">
        <v>0</v>
      </c>
      <c r="P23" s="54">
        <v>0.40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125</v>
      </c>
      <c r="B24" s="54">
        <v>4.6500000000000004</v>
      </c>
      <c r="C24" s="54">
        <v>57.40</v>
      </c>
      <c r="D24" s="54">
        <v>36.049999999999997</v>
      </c>
      <c r="E24" s="54">
        <v>0.33</v>
      </c>
      <c r="F24" s="54">
        <v>4.37</v>
      </c>
      <c r="G24" s="54">
        <v>52.16</v>
      </c>
      <c r="H24" s="54">
        <v>20.80</v>
      </c>
      <c r="I24" s="54">
        <v>1.53</v>
      </c>
      <c r="J24" s="54">
        <v>0.92</v>
      </c>
      <c r="K24" s="54">
        <v>106.99</v>
      </c>
      <c r="L24" s="54">
        <v>23.53</v>
      </c>
      <c r="M24" s="54">
        <v>41.35</v>
      </c>
      <c r="N24" s="54">
        <v>109.30</v>
      </c>
      <c r="O24" s="54">
        <v>0</v>
      </c>
      <c r="P24" s="54">
        <v>0.40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126</v>
      </c>
      <c r="B25" s="54">
        <v>6.35</v>
      </c>
      <c r="C25" s="54">
        <v>59.59</v>
      </c>
      <c r="D25" s="54">
        <v>38.630000000000003</v>
      </c>
      <c r="E25" s="54">
        <v>0.18</v>
      </c>
      <c r="F25" s="54">
        <v>3.65</v>
      </c>
      <c r="G25" s="54">
        <v>51.37</v>
      </c>
      <c r="H25" s="54">
        <v>24.62</v>
      </c>
      <c r="I25" s="54">
        <v>1.54</v>
      </c>
      <c r="J25" s="54">
        <v>0.25</v>
      </c>
      <c r="K25" s="54">
        <v>111.87</v>
      </c>
      <c r="L25" s="54">
        <v>23.03</v>
      </c>
      <c r="M25" s="54">
        <v>42.68</v>
      </c>
      <c r="N25" s="54">
        <v>56.20</v>
      </c>
      <c r="O25" s="54">
        <v>0</v>
      </c>
      <c r="P25" s="54">
        <v>0.44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127</v>
      </c>
      <c r="B26" s="54">
        <v>15.56</v>
      </c>
      <c r="C26" s="54">
        <v>81.06</v>
      </c>
      <c r="D26" s="54">
        <v>56.33</v>
      </c>
      <c r="E26" s="54">
        <v>0.19</v>
      </c>
      <c r="F26" s="54">
        <v>4.32</v>
      </c>
      <c r="G26" s="54">
        <v>44.49</v>
      </c>
      <c r="H26" s="54">
        <v>44.73</v>
      </c>
      <c r="I26" s="54">
        <v>1.53</v>
      </c>
      <c r="J26" s="54">
        <v>0.06</v>
      </c>
      <c r="K26" s="54">
        <v>294.23</v>
      </c>
      <c r="L26" s="54">
        <v>21.30</v>
      </c>
      <c r="M26" s="54">
        <v>71.97</v>
      </c>
      <c r="N26" s="54">
        <v>16.80</v>
      </c>
      <c r="O26" s="54">
        <v>0</v>
      </c>
      <c r="P26" s="54">
        <v>0.62</v>
      </c>
      <c r="Q26" s="54">
        <v>9.1300000000000008</v>
      </c>
      <c r="R26" s="43"/>
      <c r="S26" s="43"/>
      <c r="T26" s="43"/>
      <c r="U26" s="43"/>
    </row>
    <row r="27" spans="1:21" s="11" customFormat="1" ht="15">
      <c r="A27" s="53" t="s">
        <v>128</v>
      </c>
      <c r="B27" s="54">
        <v>51.96</v>
      </c>
      <c r="C27" s="54">
        <v>74.42</v>
      </c>
      <c r="D27" s="54">
        <v>82.18</v>
      </c>
      <c r="E27" s="54">
        <v>0.28000000000000003</v>
      </c>
      <c r="F27" s="54">
        <v>3.32</v>
      </c>
      <c r="G27" s="54">
        <v>182.07</v>
      </c>
      <c r="H27" s="54">
        <v>59.51</v>
      </c>
      <c r="I27" s="54">
        <v>1.57</v>
      </c>
      <c r="J27" s="54">
        <v>0.09</v>
      </c>
      <c r="K27" s="54">
        <v>336.18</v>
      </c>
      <c r="L27" s="54">
        <v>18.95</v>
      </c>
      <c r="M27" s="54">
        <v>77.19</v>
      </c>
      <c r="N27" s="54">
        <v>8</v>
      </c>
      <c r="O27" s="54">
        <v>0</v>
      </c>
      <c r="P27" s="54">
        <v>1.02</v>
      </c>
      <c r="Q27" s="54">
        <v>11.58</v>
      </c>
      <c r="R27" s="43"/>
      <c r="S27" s="43"/>
      <c r="T27" s="43"/>
      <c r="U27" s="43"/>
    </row>
    <row r="28" spans="1:21" s="11" customFormat="1" ht="15">
      <c r="A28" s="53" t="s">
        <v>129</v>
      </c>
      <c r="B28" s="54">
        <v>63.84</v>
      </c>
      <c r="C28" s="54">
        <v>76.180000000000007</v>
      </c>
      <c r="D28" s="54">
        <v>92.5</v>
      </c>
      <c r="E28" s="54">
        <v>0.30</v>
      </c>
      <c r="F28" s="54">
        <v>3.39</v>
      </c>
      <c r="G28" s="54">
        <v>189.66</v>
      </c>
      <c r="H28" s="54">
        <v>43.06</v>
      </c>
      <c r="I28" s="54">
        <v>1.52</v>
      </c>
      <c r="J28" s="54">
        <v>0.26</v>
      </c>
      <c r="K28" s="54">
        <v>318.06</v>
      </c>
      <c r="L28" s="54">
        <v>18.82</v>
      </c>
      <c r="M28" s="54">
        <v>74.040000000000006</v>
      </c>
      <c r="N28" s="54">
        <v>7.5</v>
      </c>
      <c r="O28" s="54">
        <v>0</v>
      </c>
      <c r="P28" s="54">
        <v>1.30</v>
      </c>
      <c r="Q28" s="54">
        <v>13.01</v>
      </c>
      <c r="R28" s="43"/>
      <c r="S28" s="43"/>
      <c r="T28" s="43"/>
      <c r="U28" s="43"/>
    </row>
    <row r="29" spans="1:21" s="11" customFormat="1" ht="15">
      <c r="A29" s="53" t="s">
        <v>130</v>
      </c>
      <c r="B29" s="54">
        <v>55.02</v>
      </c>
      <c r="C29" s="54">
        <v>78.28</v>
      </c>
      <c r="D29" s="54">
        <v>87.41</v>
      </c>
      <c r="E29" s="54">
        <v>0.22</v>
      </c>
      <c r="F29" s="54">
        <v>3.35</v>
      </c>
      <c r="G29" s="54">
        <v>151.81</v>
      </c>
      <c r="H29" s="54">
        <v>111.17</v>
      </c>
      <c r="I29" s="54">
        <v>1.52</v>
      </c>
      <c r="J29" s="54">
        <v>0.71</v>
      </c>
      <c r="K29" s="54">
        <v>98.71</v>
      </c>
      <c r="L29" s="54">
        <v>19.670000000000002</v>
      </c>
      <c r="M29" s="54">
        <v>57.75</v>
      </c>
      <c r="N29" s="54">
        <v>7.80</v>
      </c>
      <c r="O29" s="54">
        <v>0</v>
      </c>
      <c r="P29" s="54">
        <v>1.29</v>
      </c>
      <c r="Q29" s="54">
        <v>12.78</v>
      </c>
      <c r="R29" s="43"/>
      <c r="S29" s="43"/>
      <c r="T29" s="43"/>
      <c r="U29" s="43"/>
    </row>
    <row r="30" spans="1:21" s="11" customFormat="1" ht="15">
      <c r="A30" s="53" t="s">
        <v>131</v>
      </c>
      <c r="B30" s="54">
        <v>38.82</v>
      </c>
      <c r="C30" s="54">
        <v>76.56</v>
      </c>
      <c r="D30" s="54">
        <v>74.03</v>
      </c>
      <c r="E30" s="54">
        <v>0.14000000000000001</v>
      </c>
      <c r="F30" s="54">
        <v>3.35</v>
      </c>
      <c r="G30" s="54">
        <v>99.14</v>
      </c>
      <c r="H30" s="54">
        <v>45.33</v>
      </c>
      <c r="I30" s="54">
        <v>1.63</v>
      </c>
      <c r="J30" s="54">
        <v>0.53</v>
      </c>
      <c r="K30" s="54">
        <v>140.78</v>
      </c>
      <c r="L30" s="54">
        <v>19.190000000000001</v>
      </c>
      <c r="M30" s="54">
        <v>65.11</v>
      </c>
      <c r="N30" s="54">
        <v>8.10</v>
      </c>
      <c r="O30" s="54">
        <v>0</v>
      </c>
      <c r="P30" s="54">
        <v>1.20</v>
      </c>
      <c r="Q30" s="54">
        <v>10.97</v>
      </c>
      <c r="R30" s="43"/>
      <c r="S30" s="43"/>
      <c r="T30" s="43"/>
      <c r="U30" s="43"/>
    </row>
    <row r="31" spans="1:21" s="11" customFormat="1" ht="15">
      <c r="A31" s="53" t="s">
        <v>132</v>
      </c>
      <c r="B31" s="54">
        <v>29.20</v>
      </c>
      <c r="C31" s="54">
        <v>72.52</v>
      </c>
      <c r="D31" s="54">
        <v>64.09</v>
      </c>
      <c r="E31" s="54">
        <v>0.15</v>
      </c>
      <c r="F31" s="54">
        <v>3.24</v>
      </c>
      <c r="G31" s="54">
        <v>71.569999999999993</v>
      </c>
      <c r="H31" s="54">
        <v>48.87</v>
      </c>
      <c r="I31" s="54">
        <v>1.53</v>
      </c>
      <c r="J31" s="54">
        <v>0.55000000000000004</v>
      </c>
      <c r="K31" s="54">
        <v>248.44</v>
      </c>
      <c r="L31" s="54">
        <v>18.309999999999999</v>
      </c>
      <c r="M31" s="54">
        <v>68.14</v>
      </c>
      <c r="N31" s="54">
        <v>8.3000000000000007</v>
      </c>
      <c r="O31" s="54">
        <v>0</v>
      </c>
      <c r="P31" s="54">
        <v>1.08</v>
      </c>
      <c r="Q31" s="54">
        <v>9.83</v>
      </c>
      <c r="R31" s="43"/>
      <c r="S31" s="43"/>
      <c r="T31" s="43"/>
      <c r="U31" s="43"/>
    </row>
    <row r="32" spans="1:21" s="11" customFormat="1" ht="15">
      <c r="A32" s="53" t="s">
        <v>133</v>
      </c>
      <c r="B32" s="54">
        <v>24.96</v>
      </c>
      <c r="C32" s="54">
        <v>68.22</v>
      </c>
      <c r="D32" s="54">
        <v>58.31</v>
      </c>
      <c r="E32" s="54">
        <v>0.21</v>
      </c>
      <c r="F32" s="54">
        <v>3.36</v>
      </c>
      <c r="G32" s="54">
        <v>63.44</v>
      </c>
      <c r="H32" s="54">
        <v>45.85</v>
      </c>
      <c r="I32" s="54">
        <v>1.52</v>
      </c>
      <c r="J32" s="54">
        <v>0.24</v>
      </c>
      <c r="K32" s="54">
        <v>209.68</v>
      </c>
      <c r="L32" s="54">
        <v>17.75</v>
      </c>
      <c r="M32" s="54">
        <v>73.14</v>
      </c>
      <c r="N32" s="54">
        <v>8.40</v>
      </c>
      <c r="O32" s="54">
        <v>0</v>
      </c>
      <c r="P32" s="54">
        <v>0.97</v>
      </c>
      <c r="Q32" s="54">
        <v>9.48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2.3199999999999998</v>
      </c>
      <c r="C34" s="28">
        <f t="shared" si="0"/>
        <v>49.859999999999999</v>
      </c>
      <c r="D34" s="28">
        <f t="shared" si="0"/>
        <v>29.780000000000001</v>
      </c>
      <c r="E34" s="28">
        <f t="shared" si="0"/>
        <v>0.13</v>
      </c>
      <c r="F34" s="28">
        <f t="shared" si="0"/>
        <v>3.2400000000000002</v>
      </c>
      <c r="G34" s="28">
        <f t="shared" si="0"/>
        <v>44.490000000000002</v>
      </c>
      <c r="H34" s="28">
        <f t="shared" si="0"/>
        <v>20.800000000000001</v>
      </c>
      <c r="I34" s="28">
        <f t="shared" si="0"/>
        <v>1.5</v>
      </c>
      <c r="J34" s="28">
        <f t="shared" si="0"/>
        <v>0.059999999999999998</v>
      </c>
      <c r="K34" s="28">
        <f t="shared" si="0"/>
        <v>98.709999999999994</v>
      </c>
      <c r="L34" s="28">
        <f t="shared" si="0"/>
        <v>12.630000000000001</v>
      </c>
      <c r="M34" s="28">
        <f t="shared" si="0"/>
        <v>40.850000000000001</v>
      </c>
      <c r="N34" s="28">
        <f t="shared" si="0"/>
        <v>7.5</v>
      </c>
      <c r="O34" s="28">
        <f t="shared" si="0"/>
        <v>0</v>
      </c>
      <c r="P34" s="28">
        <f t="shared" si="0"/>
        <v>0.39000000000000001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63.840000000000003</v>
      </c>
      <c r="C35" s="29">
        <f t="shared" si="1"/>
        <v>87.739999999999995</v>
      </c>
      <c r="D35" s="29">
        <f t="shared" si="1"/>
        <v>92.5</v>
      </c>
      <c r="E35" s="29">
        <f t="shared" si="1"/>
        <v>2.1699999999999999</v>
      </c>
      <c r="F35" s="29">
        <f t="shared" si="1"/>
        <v>17.280000000000001</v>
      </c>
      <c r="G35" s="29">
        <f t="shared" si="1"/>
        <v>189.66</v>
      </c>
      <c r="H35" s="29">
        <f t="shared" si="1"/>
        <v>111.17</v>
      </c>
      <c r="I35" s="29">
        <f t="shared" si="1"/>
        <v>1.6299999999999999</v>
      </c>
      <c r="J35" s="29">
        <f t="shared" si="1"/>
        <v>1.54</v>
      </c>
      <c r="K35" s="29">
        <f t="shared" si="1"/>
        <v>355.31</v>
      </c>
      <c r="L35" s="29">
        <f t="shared" si="1"/>
        <v>24.640000000000001</v>
      </c>
      <c r="M35" s="29">
        <f t="shared" si="1"/>
        <v>97.879999999999995</v>
      </c>
      <c r="N35" s="29">
        <f t="shared" si="1"/>
        <v>544.20000000000005</v>
      </c>
      <c r="O35" s="29">
        <f t="shared" si="1"/>
        <v>0</v>
      </c>
      <c r="P35" s="29">
        <f t="shared" si="1"/>
        <v>1.3</v>
      </c>
      <c r="Q35" s="29">
        <f t="shared" si="1"/>
        <v>13.01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22.180454545454545</v>
      </c>
      <c r="C36" s="28">
        <f t="shared" si="2"/>
        <v>75.128636363636375</v>
      </c>
      <c r="D36" s="28">
        <f t="shared" si="2"/>
        <v>59.463636363636354</v>
      </c>
      <c r="E36" s="28">
        <f t="shared" si="2"/>
        <v>0.2847826086956522</v>
      </c>
      <c r="F36" s="28">
        <f t="shared" si="2"/>
        <v>4.7687499999999989</v>
      </c>
      <c r="G36" s="28">
        <f t="shared" si="2"/>
        <v>83.185454545454547</v>
      </c>
      <c r="H36" s="28">
        <f t="shared" si="2"/>
        <v>47.131363636363631</v>
      </c>
      <c r="I36" s="28">
        <f t="shared" si="2"/>
        <v>1.5420833333333335</v>
      </c>
      <c r="J36" s="28">
        <f t="shared" si="2"/>
        <v>0.51375000000000004</v>
      </c>
      <c r="K36" s="28">
        <f t="shared" si="2"/>
        <v>219.38</v>
      </c>
      <c r="L36" s="28">
        <f t="shared" si="2"/>
        <v>18.957916666666666</v>
      </c>
      <c r="M36" s="28">
        <f t="shared" si="2"/>
        <v>71.564166666666665</v>
      </c>
      <c r="N36" s="28">
        <f t="shared" si="2"/>
        <v>161.84583333333333</v>
      </c>
      <c r="O36" s="28">
        <f t="shared" si="2"/>
        <v>0</v>
      </c>
      <c r="P36" s="28">
        <f t="shared" si="2"/>
        <v>0.75458333333333327</v>
      </c>
      <c r="Q36" s="28">
        <f t="shared" si="2"/>
        <v>8.4287499999999991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17.132957790197601</v>
      </c>
      <c r="C37" s="28">
        <f t="shared" si="3" ref="C37:Q37">STDEV(C9:C32)</f>
        <v>11.138057151027978</v>
      </c>
      <c r="D37" s="28">
        <f t="shared" si="3"/>
        <v>16.415753915777902</v>
      </c>
      <c r="E37" s="28">
        <f t="shared" si="3"/>
        <v>0.41440943264555724</v>
      </c>
      <c r="F37" s="28">
        <f t="shared" si="3"/>
        <v>3.1023824120238288</v>
      </c>
      <c r="G37" s="28">
        <f t="shared" si="3"/>
        <v>41.681440054557207</v>
      </c>
      <c r="H37" s="28">
        <f t="shared" si="3"/>
        <v>19.538587533745968</v>
      </c>
      <c r="I37" s="28">
        <f t="shared" si="3"/>
        <v>0.027816036454857664</v>
      </c>
      <c r="J37" s="28">
        <f t="shared" si="3"/>
        <v>0.42570465879731584</v>
      </c>
      <c r="K37" s="28">
        <f t="shared" si="3"/>
        <v>98.739617748113048</v>
      </c>
      <c r="L37" s="28">
        <f t="shared" si="3"/>
        <v>4.0555383271753778</v>
      </c>
      <c r="M37" s="28">
        <f t="shared" si="3"/>
        <v>20.719490701451512</v>
      </c>
      <c r="N37" s="28">
        <f t="shared" si="3"/>
        <v>194.73855155090612</v>
      </c>
      <c r="O37" s="28">
        <f t="shared" si="3"/>
        <v>0</v>
      </c>
      <c r="P37" s="28">
        <f t="shared" si="3"/>
        <v>0.27269953471152819</v>
      </c>
      <c r="Q37" s="28">
        <f t="shared" si="3"/>
        <v>2.3031760915517587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COUNT(B9:B32)+2</f>
        <v>24</v>
      </c>
      <c r="C38" s="32">
        <f>COUNT(C9:C32)+2</f>
        <v>24</v>
      </c>
      <c r="D38" s="32">
        <f>COUNT(D9:D32)+2</f>
        <v>24</v>
      </c>
      <c r="E38" s="32">
        <f>COUNT(E9:E32)+2</f>
        <v>25</v>
      </c>
      <c r="F38" s="32">
        <f t="shared" si="4" ref="F38:Q38">COUNT(F9:F32)</f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c083961-1c77-4a22-bef3-82422071102b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9.2857142857143" style="26" customWidth="1"/>
    <col min="2" max="2" width="15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134</v>
      </c>
      <c r="B9" s="54">
        <v>19.53</v>
      </c>
      <c r="C9" s="54">
        <v>64.489999999999995</v>
      </c>
      <c r="D9" s="54">
        <v>51.90</v>
      </c>
      <c r="E9" s="54">
        <v>0.34</v>
      </c>
      <c r="F9" s="54">
        <v>3.34</v>
      </c>
      <c r="G9" s="54">
        <v>57.55</v>
      </c>
      <c r="H9" s="54">
        <v>13.35</v>
      </c>
      <c r="I9" s="54">
        <v>1.55</v>
      </c>
      <c r="J9" s="54">
        <v>0.40</v>
      </c>
      <c r="K9" s="54">
        <v>201.35</v>
      </c>
      <c r="L9" s="54">
        <v>17.11</v>
      </c>
      <c r="M9" s="54">
        <v>77.23</v>
      </c>
      <c r="N9" s="54">
        <v>8</v>
      </c>
      <c r="O9" s="54">
        <v>0</v>
      </c>
      <c r="P9" s="54">
        <v>0.84</v>
      </c>
      <c r="Q9" s="54">
        <v>9.09</v>
      </c>
      <c r="R9" s="43"/>
      <c r="S9" s="43"/>
      <c r="T9" s="43"/>
      <c r="U9" s="43"/>
    </row>
    <row r="10" spans="1:21" s="11" customFormat="1" ht="15">
      <c r="A10" s="53" t="s">
        <v>135</v>
      </c>
      <c r="B10" s="54">
        <v>14.23</v>
      </c>
      <c r="C10" s="54">
        <v>60.83</v>
      </c>
      <c r="D10" s="54">
        <v>45.63</v>
      </c>
      <c r="E10" s="54">
        <v>0.31</v>
      </c>
      <c r="F10" s="54">
        <v>3.46</v>
      </c>
      <c r="G10" s="54">
        <v>47.36</v>
      </c>
      <c r="H10" s="54">
        <v>39.90</v>
      </c>
      <c r="I10" s="54">
        <v>1.55</v>
      </c>
      <c r="J10" s="54">
        <v>0.25</v>
      </c>
      <c r="K10" s="54">
        <v>297.61</v>
      </c>
      <c r="L10" s="54">
        <v>16.28</v>
      </c>
      <c r="M10" s="54">
        <v>85.74</v>
      </c>
      <c r="N10" s="54">
        <v>8.5</v>
      </c>
      <c r="O10" s="54">
        <v>0</v>
      </c>
      <c r="P10" s="54">
        <v>0.69</v>
      </c>
      <c r="Q10" s="54">
        <v>7.28</v>
      </c>
      <c r="R10" s="43"/>
      <c r="S10" s="43"/>
      <c r="T10" s="43"/>
      <c r="U10" s="43"/>
    </row>
    <row r="11" spans="1:21" s="11" customFormat="1" ht="15">
      <c r="A11" s="53" t="s">
        <v>136</v>
      </c>
      <c r="B11" s="54">
        <v>11</v>
      </c>
      <c r="C11" s="54">
        <v>57.23</v>
      </c>
      <c r="D11" s="54">
        <v>41.06</v>
      </c>
      <c r="E11" s="54">
        <v>0.26</v>
      </c>
      <c r="F11" s="54">
        <v>3.40</v>
      </c>
      <c r="G11" s="54">
        <v>64.540000000000006</v>
      </c>
      <c r="H11" s="54">
        <v>34.24</v>
      </c>
      <c r="I11" s="54">
        <v>1.53</v>
      </c>
      <c r="J11" s="54">
        <v>0.15</v>
      </c>
      <c r="K11" s="54">
        <v>284.27</v>
      </c>
      <c r="L11" s="54">
        <v>14.90</v>
      </c>
      <c r="M11" s="54">
        <v>94.35</v>
      </c>
      <c r="N11" s="54">
        <v>8.40</v>
      </c>
      <c r="O11" s="54">
        <v>0</v>
      </c>
      <c r="P11" s="54">
        <v>0.64</v>
      </c>
      <c r="Q11" s="54">
        <v>5.38</v>
      </c>
      <c r="R11" s="43"/>
      <c r="S11" s="43"/>
      <c r="T11" s="43"/>
      <c r="U11" s="43"/>
    </row>
    <row r="12" spans="1:21" s="11" customFormat="1" ht="15">
      <c r="A12" s="53" t="s">
        <v>137</v>
      </c>
      <c r="B12" s="54">
        <v>22.06</v>
      </c>
      <c r="C12" s="54">
        <v>55.67</v>
      </c>
      <c r="D12" s="54">
        <v>40.03</v>
      </c>
      <c r="E12" s="54">
        <v>0.28000000000000003</v>
      </c>
      <c r="F12" s="54">
        <v>3.19</v>
      </c>
      <c r="G12" s="54">
        <v>59.41</v>
      </c>
      <c r="H12" s="54">
        <v>25.12</v>
      </c>
      <c r="I12" s="54">
        <v>1.57</v>
      </c>
      <c r="J12" s="54">
        <v>0.12</v>
      </c>
      <c r="K12" s="54">
        <v>311.58999999999997</v>
      </c>
      <c r="L12" s="54">
        <v>13.82</v>
      </c>
      <c r="M12" s="54">
        <v>100.28</v>
      </c>
      <c r="N12" s="54">
        <v>8.3000000000000007</v>
      </c>
      <c r="O12" s="54">
        <v>0</v>
      </c>
      <c r="P12" s="54">
        <v>0.56000000000000005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138</v>
      </c>
      <c r="B13" s="54">
        <v>59.45</v>
      </c>
      <c r="C13" s="54">
        <v>32.93</v>
      </c>
      <c r="D13" s="54">
        <v>45.23</v>
      </c>
      <c r="E13" s="54">
        <v>0.21</v>
      </c>
      <c r="F13" s="54">
        <v>3.27</v>
      </c>
      <c r="G13" s="54">
        <v>84</v>
      </c>
      <c r="H13" s="54">
        <v>53.90</v>
      </c>
      <c r="I13" s="54">
        <v>1.55</v>
      </c>
      <c r="J13" s="54">
        <v>0.14000000000000001</v>
      </c>
      <c r="K13" s="54">
        <v>327.30</v>
      </c>
      <c r="L13" s="54">
        <v>13.66</v>
      </c>
      <c r="M13" s="54">
        <v>100.01</v>
      </c>
      <c r="N13" s="54">
        <v>8.3000000000000007</v>
      </c>
      <c r="O13" s="54">
        <v>0</v>
      </c>
      <c r="P13" s="54">
        <v>0.53</v>
      </c>
      <c r="Q13" s="54">
        <v>6.22</v>
      </c>
      <c r="R13" s="43"/>
      <c r="S13" s="43"/>
      <c r="T13" s="43"/>
      <c r="U13" s="43"/>
    </row>
    <row r="14" spans="1:21" s="11" customFormat="1" ht="15">
      <c r="A14" s="53" t="s">
        <v>139</v>
      </c>
      <c r="B14" s="54">
        <v>93.58</v>
      </c>
      <c r="C14" s="57" t="s">
        <v>14</v>
      </c>
      <c r="D14" s="54">
        <v>56.25</v>
      </c>
      <c r="E14" s="54">
        <v>0.22</v>
      </c>
      <c r="F14" s="54">
        <v>3.06</v>
      </c>
      <c r="G14" s="54">
        <v>111.5</v>
      </c>
      <c r="H14" s="54">
        <v>52.54</v>
      </c>
      <c r="I14" s="54">
        <v>1.56</v>
      </c>
      <c r="J14" s="54">
        <v>0.14000000000000001</v>
      </c>
      <c r="K14" s="54">
        <v>295.30</v>
      </c>
      <c r="L14" s="54">
        <v>13.31</v>
      </c>
      <c r="M14" s="54">
        <v>100.05</v>
      </c>
      <c r="N14" s="54">
        <v>8.3000000000000007</v>
      </c>
      <c r="O14" s="54">
        <v>0</v>
      </c>
      <c r="P14" s="54">
        <v>0.56999999999999995</v>
      </c>
      <c r="Q14" s="54">
        <v>8.89</v>
      </c>
      <c r="R14" s="43"/>
      <c r="S14" s="43"/>
      <c r="T14" s="43"/>
      <c r="U14" s="43"/>
    </row>
    <row r="15" spans="1:21" s="11" customFormat="1" ht="15">
      <c r="A15" s="53" t="s">
        <v>140</v>
      </c>
      <c r="B15" s="54">
        <v>121.59</v>
      </c>
      <c r="C15" s="57" t="s">
        <v>14</v>
      </c>
      <c r="D15" s="54">
        <v>79.12</v>
      </c>
      <c r="E15" s="54">
        <v>0.28000000000000003</v>
      </c>
      <c r="F15" s="54">
        <v>3.15</v>
      </c>
      <c r="G15" s="54">
        <v>108.75</v>
      </c>
      <c r="H15" s="54">
        <v>24.97</v>
      </c>
      <c r="I15" s="54">
        <v>1.57</v>
      </c>
      <c r="J15" s="54">
        <v>0.17</v>
      </c>
      <c r="K15" s="54">
        <v>344.88</v>
      </c>
      <c r="L15" s="54">
        <v>13.15</v>
      </c>
      <c r="M15" s="54">
        <v>100.05</v>
      </c>
      <c r="N15" s="54">
        <v>24.20</v>
      </c>
      <c r="O15" s="54">
        <v>0</v>
      </c>
      <c r="P15" s="54">
        <v>0.67</v>
      </c>
      <c r="Q15" s="54">
        <v>10.88</v>
      </c>
      <c r="R15" s="43"/>
      <c r="S15" s="43"/>
      <c r="T15" s="43"/>
      <c r="U15" s="43"/>
    </row>
    <row r="16" spans="1:21" s="11" customFormat="1" ht="15">
      <c r="A16" s="53" t="s">
        <v>141</v>
      </c>
      <c r="B16" s="54">
        <v>125.10</v>
      </c>
      <c r="C16" s="57" t="s">
        <v>14</v>
      </c>
      <c r="D16" s="54">
        <v>86.59</v>
      </c>
      <c r="E16" s="54">
        <v>0.33</v>
      </c>
      <c r="F16" s="54">
        <v>3.18</v>
      </c>
      <c r="G16" s="54">
        <v>114.71</v>
      </c>
      <c r="H16" s="54">
        <v>72.11</v>
      </c>
      <c r="I16" s="54">
        <v>1.54</v>
      </c>
      <c r="J16" s="54">
        <v>0.10</v>
      </c>
      <c r="K16" s="54">
        <v>88.87</v>
      </c>
      <c r="L16" s="54">
        <v>14.66</v>
      </c>
      <c r="M16" s="54">
        <v>99.99</v>
      </c>
      <c r="N16" s="54">
        <v>63.20</v>
      </c>
      <c r="O16" s="54">
        <v>0</v>
      </c>
      <c r="P16" s="54">
        <v>0.76</v>
      </c>
      <c r="Q16" s="54">
        <v>11.83</v>
      </c>
      <c r="R16" s="43"/>
      <c r="S16" s="43"/>
      <c r="T16" s="43"/>
      <c r="U16" s="43"/>
    </row>
    <row r="17" spans="1:21" s="11" customFormat="1" ht="15">
      <c r="A17" s="53" t="s">
        <v>142</v>
      </c>
      <c r="B17" s="54">
        <v>116.92</v>
      </c>
      <c r="C17" s="54">
        <v>26.99</v>
      </c>
      <c r="D17" s="54">
        <v>87.36</v>
      </c>
      <c r="E17" s="54">
        <v>0.26</v>
      </c>
      <c r="F17" s="54">
        <v>3.35</v>
      </c>
      <c r="G17" s="54">
        <v>217.44</v>
      </c>
      <c r="H17" s="54">
        <v>102.62</v>
      </c>
      <c r="I17" s="54">
        <v>1.59</v>
      </c>
      <c r="J17" s="54">
        <v>1.5</v>
      </c>
      <c r="K17" s="54">
        <v>112.71</v>
      </c>
      <c r="L17" s="54">
        <v>17.829999999999998</v>
      </c>
      <c r="M17" s="54">
        <v>83.28</v>
      </c>
      <c r="N17" s="54">
        <v>285.10000000000002</v>
      </c>
      <c r="O17" s="54">
        <v>0</v>
      </c>
      <c r="P17" s="54">
        <v>1.03</v>
      </c>
      <c r="Q17" s="54">
        <v>12.22</v>
      </c>
      <c r="R17" s="43"/>
      <c r="S17" s="43"/>
      <c r="T17" s="43"/>
      <c r="U17" s="43"/>
    </row>
    <row r="18" spans="1:21" s="11" customFormat="1" ht="15">
      <c r="A18" s="53" t="s">
        <v>143</v>
      </c>
      <c r="B18" s="54">
        <v>72.099999999999994</v>
      </c>
      <c r="C18" s="54">
        <v>55</v>
      </c>
      <c r="D18" s="54">
        <v>78.84</v>
      </c>
      <c r="E18" s="54">
        <v>0.21</v>
      </c>
      <c r="F18" s="54">
        <v>3.38</v>
      </c>
      <c r="G18" s="54">
        <v>201.40</v>
      </c>
      <c r="H18" s="54">
        <v>147.13</v>
      </c>
      <c r="I18" s="54">
        <v>1.49</v>
      </c>
      <c r="J18" s="54">
        <v>1.72</v>
      </c>
      <c r="K18" s="54">
        <v>339.39</v>
      </c>
      <c r="L18" s="54">
        <v>23.69</v>
      </c>
      <c r="M18" s="54">
        <v>73.62</v>
      </c>
      <c r="N18" s="54">
        <v>383.10</v>
      </c>
      <c r="O18" s="54">
        <v>0</v>
      </c>
      <c r="P18" s="54">
        <v>1.03</v>
      </c>
      <c r="Q18" s="54">
        <v>11.48</v>
      </c>
      <c r="R18" s="43"/>
      <c r="S18" s="43"/>
      <c r="T18" s="43"/>
      <c r="U18" s="43"/>
    </row>
    <row r="19" spans="1:21" s="11" customFormat="1" ht="15">
      <c r="A19" s="53" t="s">
        <v>144</v>
      </c>
      <c r="B19" s="54">
        <v>43.33</v>
      </c>
      <c r="C19" s="54">
        <v>68.69</v>
      </c>
      <c r="D19" s="54">
        <v>68.08</v>
      </c>
      <c r="E19" s="54">
        <v>0.22</v>
      </c>
      <c r="F19" s="54">
        <v>3.43</v>
      </c>
      <c r="G19" s="54">
        <v>151.08000000000001</v>
      </c>
      <c r="H19" s="54">
        <v>37.51</v>
      </c>
      <c r="I19" s="54">
        <v>1.54</v>
      </c>
      <c r="J19" s="54">
        <v>0.65</v>
      </c>
      <c r="K19" s="54">
        <v>346.11</v>
      </c>
      <c r="L19" s="54">
        <v>27.45</v>
      </c>
      <c r="M19" s="54">
        <v>45.09</v>
      </c>
      <c r="N19" s="54">
        <v>457.5</v>
      </c>
      <c r="O19" s="54">
        <v>0</v>
      </c>
      <c r="P19" s="54">
        <v>1.02</v>
      </c>
      <c r="Q19" s="54">
        <v>10.33</v>
      </c>
      <c r="R19" s="43"/>
      <c r="S19" s="43"/>
      <c r="T19" s="43"/>
      <c r="U19" s="43"/>
    </row>
    <row r="20" spans="1:21" s="11" customFormat="1" ht="15">
      <c r="A20" s="53" t="s">
        <v>145</v>
      </c>
      <c r="B20" s="54">
        <v>27.33</v>
      </c>
      <c r="C20" s="54">
        <v>77.61</v>
      </c>
      <c r="D20" s="54">
        <v>61.80</v>
      </c>
      <c r="E20" s="54">
        <v>0.12</v>
      </c>
      <c r="F20" s="54">
        <v>3.5</v>
      </c>
      <c r="G20" s="54">
        <v>107.82</v>
      </c>
      <c r="H20" s="54">
        <v>90.57</v>
      </c>
      <c r="I20" s="54">
        <v>1.58</v>
      </c>
      <c r="J20" s="54">
        <v>0.77</v>
      </c>
      <c r="K20" s="54">
        <v>344.58</v>
      </c>
      <c r="L20" s="54">
        <v>28.32</v>
      </c>
      <c r="M20" s="54">
        <v>39.96</v>
      </c>
      <c r="N20" s="54">
        <v>460.60</v>
      </c>
      <c r="O20" s="54">
        <v>0</v>
      </c>
      <c r="P20" s="54">
        <v>1.01</v>
      </c>
      <c r="Q20" s="54">
        <v>9.56</v>
      </c>
      <c r="R20" s="43"/>
      <c r="S20" s="43"/>
      <c r="T20" s="43"/>
      <c r="U20" s="43"/>
    </row>
    <row r="21" spans="1:21" s="11" customFormat="1" ht="15">
      <c r="A21" s="53" t="s">
        <v>146</v>
      </c>
      <c r="B21" s="54">
        <v>16.84</v>
      </c>
      <c r="C21" s="54">
        <v>76.760000000000005</v>
      </c>
      <c r="D21" s="54">
        <v>56.51</v>
      </c>
      <c r="E21" s="54">
        <v>0.19</v>
      </c>
      <c r="F21" s="54">
        <v>3.62</v>
      </c>
      <c r="G21" s="54">
        <v>107.77</v>
      </c>
      <c r="H21" s="54">
        <v>55.59</v>
      </c>
      <c r="I21" s="54">
        <v>1.57</v>
      </c>
      <c r="J21" s="54">
        <v>0.18</v>
      </c>
      <c r="K21" s="54">
        <v>78.540000000000006</v>
      </c>
      <c r="L21" s="54">
        <v>26.89</v>
      </c>
      <c r="M21" s="54">
        <v>38.049999999999997</v>
      </c>
      <c r="N21" s="54">
        <v>470.90</v>
      </c>
      <c r="O21" s="54">
        <v>0</v>
      </c>
      <c r="P21" s="54">
        <v>1</v>
      </c>
      <c r="Q21" s="54">
        <v>8.8699999999999992</v>
      </c>
      <c r="R21" s="43"/>
      <c r="S21" s="43"/>
      <c r="T21" s="43"/>
      <c r="U21" s="43"/>
    </row>
    <row r="22" spans="1:21" s="11" customFormat="1" ht="15">
      <c r="A22" s="53" t="s">
        <v>147</v>
      </c>
      <c r="B22" s="54">
        <v>12.57</v>
      </c>
      <c r="C22" s="54">
        <v>72.23</v>
      </c>
      <c r="D22" s="54">
        <v>50.58</v>
      </c>
      <c r="E22" s="54">
        <v>0.31</v>
      </c>
      <c r="F22" s="54">
        <v>3.71</v>
      </c>
      <c r="G22" s="54">
        <v>97.15</v>
      </c>
      <c r="H22" s="54">
        <v>9.15</v>
      </c>
      <c r="I22" s="54">
        <v>1.51</v>
      </c>
      <c r="J22" s="54">
        <v>0.68</v>
      </c>
      <c r="K22" s="54">
        <v>355.26</v>
      </c>
      <c r="L22" s="54">
        <v>27.01</v>
      </c>
      <c r="M22" s="54">
        <v>39.5</v>
      </c>
      <c r="N22" s="54">
        <v>335.20</v>
      </c>
      <c r="O22" s="54">
        <v>0</v>
      </c>
      <c r="P22" s="54">
        <v>0.96</v>
      </c>
      <c r="Q22" s="54">
        <v>8.2799999999999994</v>
      </c>
      <c r="R22" s="43"/>
      <c r="S22" s="43"/>
      <c r="T22" s="43"/>
      <c r="U22" s="43"/>
    </row>
    <row r="23" spans="1:21" s="11" customFormat="1" ht="15">
      <c r="A23" s="53" t="s">
        <v>148</v>
      </c>
      <c r="B23" s="54">
        <v>10.43</v>
      </c>
      <c r="C23" s="54">
        <v>68.290000000000006</v>
      </c>
      <c r="D23" s="54">
        <v>46.70</v>
      </c>
      <c r="E23" s="54">
        <v>0.16</v>
      </c>
      <c r="F23" s="54">
        <v>3.78</v>
      </c>
      <c r="G23" s="54">
        <v>98.92</v>
      </c>
      <c r="H23" s="54">
        <v>0.39</v>
      </c>
      <c r="I23" s="54">
        <v>1.56</v>
      </c>
      <c r="J23" s="54">
        <v>1.04</v>
      </c>
      <c r="K23" s="54">
        <v>357.17</v>
      </c>
      <c r="L23" s="54">
        <v>24.86</v>
      </c>
      <c r="M23" s="54">
        <v>43.33</v>
      </c>
      <c r="N23" s="54">
        <v>174.30</v>
      </c>
      <c r="O23" s="54">
        <v>0</v>
      </c>
      <c r="P23" s="54">
        <v>0.93</v>
      </c>
      <c r="Q23" s="54">
        <v>7.12</v>
      </c>
      <c r="R23" s="43"/>
      <c r="S23" s="43"/>
      <c r="T23" s="43"/>
      <c r="U23" s="43"/>
    </row>
    <row r="24" spans="1:21" s="11" customFormat="1" ht="15">
      <c r="A24" s="53" t="s">
        <v>149</v>
      </c>
      <c r="B24" s="54">
        <v>9.51</v>
      </c>
      <c r="C24" s="54">
        <v>66.48</v>
      </c>
      <c r="D24" s="54">
        <v>44.59</v>
      </c>
      <c r="E24" s="54">
        <v>0.15</v>
      </c>
      <c r="F24" s="54">
        <v>4.0599999999999996</v>
      </c>
      <c r="G24" s="54">
        <v>92.20</v>
      </c>
      <c r="H24" s="54">
        <v>0.03</v>
      </c>
      <c r="I24" s="54">
        <v>1.57</v>
      </c>
      <c r="J24" s="54">
        <v>1.31</v>
      </c>
      <c r="K24" s="54">
        <v>354.79</v>
      </c>
      <c r="L24" s="54">
        <v>23.65</v>
      </c>
      <c r="M24" s="54">
        <v>44.55</v>
      </c>
      <c r="N24" s="54">
        <v>109.90</v>
      </c>
      <c r="O24" s="54">
        <v>0</v>
      </c>
      <c r="P24" s="54">
        <v>0.87</v>
      </c>
      <c r="Q24" s="54">
        <v>6.66</v>
      </c>
      <c r="R24" s="43"/>
      <c r="S24" s="43"/>
      <c r="T24" s="43"/>
      <c r="U24" s="43"/>
    </row>
    <row r="25" spans="1:21" s="11" customFormat="1" ht="15">
      <c r="A25" s="53" t="s">
        <v>150</v>
      </c>
      <c r="B25" s="54">
        <v>8.43</v>
      </c>
      <c r="C25" s="54">
        <v>70.97</v>
      </c>
      <c r="D25" s="54">
        <v>46.58</v>
      </c>
      <c r="E25" s="54">
        <v>0.23</v>
      </c>
      <c r="F25" s="54">
        <v>3.96</v>
      </c>
      <c r="G25" s="58" t="s">
        <v>8</v>
      </c>
      <c r="H25" s="58" t="s">
        <v>8</v>
      </c>
      <c r="I25" s="54">
        <v>1.59</v>
      </c>
      <c r="J25" s="54">
        <v>0.28999999999999998</v>
      </c>
      <c r="K25" s="54">
        <v>348.35</v>
      </c>
      <c r="L25" s="54">
        <v>23.41</v>
      </c>
      <c r="M25" s="54">
        <v>45.38</v>
      </c>
      <c r="N25" s="54">
        <v>58.20</v>
      </c>
      <c r="O25" s="54">
        <v>0</v>
      </c>
      <c r="P25" s="54">
        <v>0.87</v>
      </c>
      <c r="Q25" s="54">
        <v>6.49</v>
      </c>
      <c r="R25" s="43"/>
      <c r="S25" s="43"/>
      <c r="T25" s="43"/>
      <c r="U25" s="43"/>
    </row>
    <row r="26" spans="1:21" s="11" customFormat="1" ht="15">
      <c r="A26" s="53" t="s">
        <v>151</v>
      </c>
      <c r="B26" s="54">
        <v>19.53</v>
      </c>
      <c r="C26" s="54">
        <v>73.66</v>
      </c>
      <c r="D26" s="54">
        <v>56.87</v>
      </c>
      <c r="E26" s="54">
        <v>0.21</v>
      </c>
      <c r="F26" s="54">
        <v>3.39</v>
      </c>
      <c r="G26" s="58" t="s">
        <v>8</v>
      </c>
      <c r="H26" s="58" t="s">
        <v>8</v>
      </c>
      <c r="I26" s="54">
        <v>1.49</v>
      </c>
      <c r="J26" s="54">
        <v>0.18</v>
      </c>
      <c r="K26" s="54">
        <v>79.19</v>
      </c>
      <c r="L26" s="54">
        <v>21.71</v>
      </c>
      <c r="M26" s="54">
        <v>51.94</v>
      </c>
      <c r="N26" s="54">
        <v>16.899999999999999</v>
      </c>
      <c r="O26" s="54">
        <v>0</v>
      </c>
      <c r="P26" s="54">
        <v>1.1000000000000001</v>
      </c>
      <c r="Q26" s="54">
        <v>8.5299999999999994</v>
      </c>
      <c r="R26" s="43"/>
      <c r="S26" s="43"/>
      <c r="T26" s="43"/>
      <c r="U26" s="43"/>
    </row>
    <row r="27" spans="1:21" s="11" customFormat="1" ht="15">
      <c r="A27" s="53" t="s">
        <v>152</v>
      </c>
      <c r="B27" s="54">
        <v>44.57</v>
      </c>
      <c r="C27" s="54">
        <v>71.72</v>
      </c>
      <c r="D27" s="54">
        <v>70.209999999999994</v>
      </c>
      <c r="E27" s="54">
        <v>0.24</v>
      </c>
      <c r="F27" s="54">
        <v>3.15</v>
      </c>
      <c r="G27" s="58" t="s">
        <v>8</v>
      </c>
      <c r="H27" s="58" t="s">
        <v>8</v>
      </c>
      <c r="I27" s="54">
        <v>1.58</v>
      </c>
      <c r="J27" s="54">
        <v>0.20</v>
      </c>
      <c r="K27" s="54">
        <v>338.26</v>
      </c>
      <c r="L27" s="54">
        <v>20.02</v>
      </c>
      <c r="M27" s="54">
        <v>68.38</v>
      </c>
      <c r="N27" s="54">
        <v>8.90</v>
      </c>
      <c r="O27" s="54">
        <v>0</v>
      </c>
      <c r="P27" s="54">
        <v>1.49</v>
      </c>
      <c r="Q27" s="54">
        <v>9.65</v>
      </c>
      <c r="R27" s="43"/>
      <c r="S27" s="43"/>
      <c r="T27" s="43"/>
      <c r="U27" s="43"/>
    </row>
    <row r="28" spans="1:21" s="11" customFormat="1" ht="15">
      <c r="A28" s="53" t="s">
        <v>153</v>
      </c>
      <c r="B28" s="54">
        <v>72.900000000000006</v>
      </c>
      <c r="C28" s="54">
        <v>55.92</v>
      </c>
      <c r="D28" s="54">
        <v>87.68</v>
      </c>
      <c r="E28" s="54">
        <v>0.32</v>
      </c>
      <c r="F28" s="54">
        <v>3.33</v>
      </c>
      <c r="G28" s="58" t="s">
        <v>8</v>
      </c>
      <c r="H28" s="58" t="s">
        <v>8</v>
      </c>
      <c r="I28" s="54">
        <v>1.57</v>
      </c>
      <c r="J28" s="54">
        <v>0.17</v>
      </c>
      <c r="K28" s="54">
        <v>345.47</v>
      </c>
      <c r="L28" s="54">
        <v>17.84</v>
      </c>
      <c r="M28" s="54">
        <v>80.95</v>
      </c>
      <c r="N28" s="54">
        <v>8.60</v>
      </c>
      <c r="O28" s="54">
        <v>0</v>
      </c>
      <c r="P28" s="54">
        <v>2.06</v>
      </c>
      <c r="Q28" s="54">
        <v>11.32</v>
      </c>
      <c r="R28" s="43"/>
      <c r="S28" s="43"/>
      <c r="T28" s="43"/>
      <c r="U28" s="43"/>
    </row>
    <row r="29" spans="1:21" s="11" customFormat="1" ht="15">
      <c r="A29" s="53" t="s">
        <v>154</v>
      </c>
      <c r="B29" s="54">
        <v>105.85</v>
      </c>
      <c r="C29" s="54">
        <v>60.99</v>
      </c>
      <c r="D29" s="54">
        <v>119.19</v>
      </c>
      <c r="E29" s="54">
        <v>0.32</v>
      </c>
      <c r="F29" s="54">
        <v>3.38</v>
      </c>
      <c r="G29" s="58" t="s">
        <v>8</v>
      </c>
      <c r="H29" s="58" t="s">
        <v>8</v>
      </c>
      <c r="I29" s="54">
        <v>1.59</v>
      </c>
      <c r="J29" s="54">
        <v>0.10</v>
      </c>
      <c r="K29" s="54">
        <v>302.32</v>
      </c>
      <c r="L29" s="54">
        <v>16.899999999999999</v>
      </c>
      <c r="M29" s="54">
        <v>83.44</v>
      </c>
      <c r="N29" s="54">
        <v>8.6999999999999993</v>
      </c>
      <c r="O29" s="54">
        <v>0</v>
      </c>
      <c r="P29" s="54">
        <v>2.74</v>
      </c>
      <c r="Q29" s="54">
        <v>14.08</v>
      </c>
      <c r="R29" s="43"/>
      <c r="S29" s="43"/>
      <c r="T29" s="43"/>
      <c r="U29" s="43"/>
    </row>
    <row r="30" spans="1:21" s="11" customFormat="1" ht="15">
      <c r="A30" s="53" t="s">
        <v>155</v>
      </c>
      <c r="B30" s="54">
        <v>144.12</v>
      </c>
      <c r="C30" s="54">
        <v>70.58</v>
      </c>
      <c r="D30" s="54">
        <v>155.16999999999999</v>
      </c>
      <c r="E30" s="54">
        <v>0.39</v>
      </c>
      <c r="F30" s="54">
        <v>3.29</v>
      </c>
      <c r="G30" s="58" t="s">
        <v>8</v>
      </c>
      <c r="H30" s="58" t="s">
        <v>8</v>
      </c>
      <c r="I30" s="54">
        <v>1.59</v>
      </c>
      <c r="J30" s="54">
        <v>0.12</v>
      </c>
      <c r="K30" s="54">
        <v>315.55</v>
      </c>
      <c r="L30" s="54">
        <v>16.25</v>
      </c>
      <c r="M30" s="54">
        <v>85.17</v>
      </c>
      <c r="N30" s="54">
        <v>8.60</v>
      </c>
      <c r="O30" s="54">
        <v>0</v>
      </c>
      <c r="P30" s="54">
        <v>3.05</v>
      </c>
      <c r="Q30" s="54">
        <v>17.690000000000001</v>
      </c>
      <c r="R30" s="43"/>
      <c r="S30" s="43"/>
      <c r="T30" s="43"/>
      <c r="U30" s="43"/>
    </row>
    <row r="31" spans="1:21" s="11" customFormat="1" ht="15">
      <c r="A31" s="53" t="s">
        <v>156</v>
      </c>
      <c r="B31" s="54">
        <v>152.65</v>
      </c>
      <c r="C31" s="54">
        <v>71.22</v>
      </c>
      <c r="D31" s="54">
        <v>161.94</v>
      </c>
      <c r="E31" s="54">
        <v>0.46</v>
      </c>
      <c r="F31" s="54">
        <v>3.45</v>
      </c>
      <c r="G31" s="54">
        <v>219.76</v>
      </c>
      <c r="H31" s="54">
        <v>101.07</v>
      </c>
      <c r="I31" s="54">
        <v>1.57</v>
      </c>
      <c r="J31" s="54">
        <v>0.69</v>
      </c>
      <c r="K31" s="54">
        <v>303.08999999999997</v>
      </c>
      <c r="L31" s="54">
        <v>17.899999999999999</v>
      </c>
      <c r="M31" s="54">
        <v>76.94</v>
      </c>
      <c r="N31" s="54">
        <v>8.1999999999999993</v>
      </c>
      <c r="O31" s="54">
        <v>0</v>
      </c>
      <c r="P31" s="54">
        <v>3.08</v>
      </c>
      <c r="Q31" s="54">
        <v>18.61</v>
      </c>
      <c r="R31" s="43"/>
      <c r="S31" s="43"/>
      <c r="T31" s="43"/>
      <c r="U31" s="43"/>
    </row>
    <row r="32" spans="1:21" s="11" customFormat="1" ht="15">
      <c r="A32" s="53" t="s">
        <v>157</v>
      </c>
      <c r="B32" s="54">
        <v>137.69</v>
      </c>
      <c r="C32" s="54">
        <v>71.11</v>
      </c>
      <c r="D32" s="54">
        <v>150.31</v>
      </c>
      <c r="E32" s="54">
        <v>0.39</v>
      </c>
      <c r="F32" s="54">
        <v>3.32</v>
      </c>
      <c r="G32" s="54">
        <v>148.59</v>
      </c>
      <c r="H32" s="54">
        <v>68.17</v>
      </c>
      <c r="I32" s="54">
        <v>1.60</v>
      </c>
      <c r="J32" s="54">
        <v>1</v>
      </c>
      <c r="K32" s="54">
        <v>102.90</v>
      </c>
      <c r="L32" s="54">
        <v>18.37</v>
      </c>
      <c r="M32" s="54">
        <v>64.87</v>
      </c>
      <c r="N32" s="54">
        <v>8.5</v>
      </c>
      <c r="O32" s="54">
        <v>0</v>
      </c>
      <c r="P32" s="54">
        <v>2.80</v>
      </c>
      <c r="Q32" s="54">
        <v>17.899999999999999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8.4299999999999997</v>
      </c>
      <c r="C34" s="28">
        <f t="shared" si="0"/>
        <v>26.989999999999998</v>
      </c>
      <c r="D34" s="28">
        <f t="shared" si="0"/>
        <v>40.030000000000001</v>
      </c>
      <c r="E34" s="28">
        <f t="shared" si="0"/>
        <v>0.12</v>
      </c>
      <c r="F34" s="28">
        <f t="shared" si="0"/>
        <v>3.0600000000000001</v>
      </c>
      <c r="G34" s="28">
        <f t="shared" si="0"/>
        <v>47.359999999999999</v>
      </c>
      <c r="H34" s="28">
        <f t="shared" si="0"/>
        <v>0.029999999999999999</v>
      </c>
      <c r="I34" s="28">
        <f t="shared" si="0"/>
        <v>1.49</v>
      </c>
      <c r="J34" s="28">
        <f t="shared" si="0"/>
        <v>0.10000000000000001</v>
      </c>
      <c r="K34" s="28">
        <f t="shared" si="0"/>
        <v>78.540000000000006</v>
      </c>
      <c r="L34" s="28">
        <f t="shared" si="0"/>
        <v>13.15</v>
      </c>
      <c r="M34" s="28">
        <f t="shared" si="0"/>
        <v>38.049999999999997</v>
      </c>
      <c r="N34" s="28">
        <f t="shared" si="0"/>
        <v>8</v>
      </c>
      <c r="O34" s="28">
        <f t="shared" si="0"/>
        <v>0</v>
      </c>
      <c r="P34" s="28">
        <f t="shared" si="0"/>
        <v>0.53000000000000003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152.65000000000001</v>
      </c>
      <c r="C35" s="29">
        <f t="shared" si="1"/>
        <v>77.609999999999999</v>
      </c>
      <c r="D35" s="29">
        <f t="shared" si="1"/>
        <v>161.94</v>
      </c>
      <c r="E35" s="29">
        <f t="shared" si="1"/>
        <v>0.46000000000000002</v>
      </c>
      <c r="F35" s="29">
        <f t="shared" si="1"/>
        <v>4.0599999999999996</v>
      </c>
      <c r="G35" s="29">
        <f t="shared" si="1"/>
        <v>219.75999999999999</v>
      </c>
      <c r="H35" s="29">
        <f t="shared" si="1"/>
        <v>147.13</v>
      </c>
      <c r="I35" s="29">
        <f t="shared" si="1"/>
        <v>1.6000000000000001</v>
      </c>
      <c r="J35" s="29">
        <f t="shared" si="1"/>
        <v>1.72</v>
      </c>
      <c r="K35" s="29">
        <f t="shared" si="1"/>
        <v>357.17000000000002</v>
      </c>
      <c r="L35" s="29">
        <f t="shared" si="1"/>
        <v>28.32</v>
      </c>
      <c r="M35" s="29">
        <f t="shared" si="1"/>
        <v>100.28</v>
      </c>
      <c r="N35" s="29">
        <f t="shared" si="1"/>
        <v>470.89999999999998</v>
      </c>
      <c r="O35" s="29">
        <f t="shared" si="1"/>
        <v>0</v>
      </c>
      <c r="P35" s="29">
        <f t="shared" si="1"/>
        <v>3.0800000000000001</v>
      </c>
      <c r="Q35" s="29">
        <f t="shared" si="1"/>
        <v>18.609999999999999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60.887916666666683</v>
      </c>
      <c r="C36" s="28">
        <f t="shared" si="2"/>
        <v>63.303333333333327</v>
      </c>
      <c r="D36" s="28">
        <f t="shared" si="2"/>
        <v>74.509166666666687</v>
      </c>
      <c r="E36" s="28">
        <f t="shared" si="2"/>
        <v>0.26708333333333339</v>
      </c>
      <c r="F36" s="28">
        <f t="shared" si="2"/>
        <v>3.4229166666666671</v>
      </c>
      <c r="G36" s="28">
        <f t="shared" si="2"/>
        <v>116.10833333333335</v>
      </c>
      <c r="H36" s="28">
        <f t="shared" si="2"/>
        <v>51.575555555555553</v>
      </c>
      <c r="I36" s="28">
        <f t="shared" si="2"/>
        <v>1.5587500000000005</v>
      </c>
      <c r="J36" s="28">
        <f t="shared" si="2"/>
        <v>0.50291666666666657</v>
      </c>
      <c r="K36" s="28">
        <f t="shared" si="2"/>
        <v>273.95208333333329</v>
      </c>
      <c r="L36" s="28">
        <f t="shared" si="2"/>
        <v>19.541249999999994</v>
      </c>
      <c r="M36" s="28">
        <f t="shared" si="2"/>
        <v>71.756250000000023</v>
      </c>
      <c r="N36" s="28">
        <f t="shared" si="2"/>
        <v>122.51666666666665</v>
      </c>
      <c r="O36" s="28">
        <f t="shared" si="2"/>
        <v>0</v>
      </c>
      <c r="P36" s="28">
        <f t="shared" si="2"/>
        <v>1.2625</v>
      </c>
      <c r="Q36" s="28">
        <f t="shared" si="2"/>
        <v>10.148750000000001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50.675334363596626</v>
      </c>
      <c r="C37" s="28">
        <f t="shared" si="3" ref="C37:Q37">STDEV(C9:C32)</f>
        <v>13.068196254010529</v>
      </c>
      <c r="D37" s="28">
        <f t="shared" si="3"/>
        <v>36.794463184214123</v>
      </c>
      <c r="E37" s="28">
        <f t="shared" si="3"/>
        <v>0.082223405462174118</v>
      </c>
      <c r="F37" s="28">
        <f t="shared" si="3"/>
        <v>0.24872683054283476</v>
      </c>
      <c r="G37" s="28">
        <f t="shared" si="3"/>
        <v>52.617877218120185</v>
      </c>
      <c r="H37" s="28">
        <f t="shared" si="3"/>
        <v>39.857392881625621</v>
      </c>
      <c r="I37" s="28">
        <f t="shared" si="3"/>
        <v>0.03011752342725587</v>
      </c>
      <c r="J37" s="28">
        <f t="shared" si="3"/>
        <v>0.48765168580316298</v>
      </c>
      <c r="K37" s="28">
        <f t="shared" si="3"/>
        <v>100.87343744726624</v>
      </c>
      <c r="L37" s="28">
        <f t="shared" si="3"/>
        <v>4.9707564925970669</v>
      </c>
      <c r="M37" s="28">
        <f t="shared" si="3"/>
        <v>22.750341576508774</v>
      </c>
      <c r="N37" s="28">
        <f t="shared" si="3"/>
        <v>171.30332788631847</v>
      </c>
      <c r="O37" s="28">
        <f t="shared" si="3"/>
        <v>0</v>
      </c>
      <c r="P37" s="28">
        <f t="shared" si="3"/>
        <v>0.82293879533630243</v>
      </c>
      <c r="Q37" s="28">
        <f t="shared" si="3"/>
        <v>3.7959066196651063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>COUNT(C9:C32)+3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COUNT(G9:G32)+6</f>
        <v>24</v>
      </c>
      <c r="H38" s="32">
        <f>COUNT(H9:H32)+6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3ec3de2-ebb1-4c49-865f-bb7882ef5031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158</v>
      </c>
      <c r="B9" s="54">
        <v>101.59</v>
      </c>
      <c r="C9" s="54">
        <v>68.23</v>
      </c>
      <c r="D9" s="54">
        <v>119.77</v>
      </c>
      <c r="E9" s="54">
        <v>0.37</v>
      </c>
      <c r="F9" s="54">
        <v>3.35</v>
      </c>
      <c r="G9" s="54">
        <v>106.27</v>
      </c>
      <c r="H9" s="54">
        <v>15.79</v>
      </c>
      <c r="I9" s="54">
        <v>1.5</v>
      </c>
      <c r="J9" s="54">
        <v>0.80</v>
      </c>
      <c r="K9" s="54">
        <v>101.36</v>
      </c>
      <c r="L9" s="54">
        <v>17.62</v>
      </c>
      <c r="M9" s="54">
        <v>74.47</v>
      </c>
      <c r="N9" s="54">
        <v>9</v>
      </c>
      <c r="O9" s="54">
        <v>0</v>
      </c>
      <c r="P9" s="54">
        <v>2.2599999999999998</v>
      </c>
      <c r="Q9" s="54">
        <v>15.06</v>
      </c>
      <c r="R9" s="43"/>
      <c r="S9" s="43"/>
      <c r="T9" s="43"/>
      <c r="U9" s="43"/>
    </row>
    <row r="10" spans="1:21" s="11" customFormat="1" ht="15">
      <c r="A10" s="53" t="s">
        <v>159</v>
      </c>
      <c r="B10" s="54">
        <v>73.430000000000007</v>
      </c>
      <c r="C10" s="54">
        <v>64.819999999999993</v>
      </c>
      <c r="D10" s="54">
        <v>95.30</v>
      </c>
      <c r="E10" s="54">
        <v>0.26</v>
      </c>
      <c r="F10" s="54">
        <v>3.11</v>
      </c>
      <c r="G10" s="58" t="s">
        <v>8</v>
      </c>
      <c r="H10" s="58" t="s">
        <v>8</v>
      </c>
      <c r="I10" s="54">
        <v>1.55</v>
      </c>
      <c r="J10" s="54">
        <v>0.93</v>
      </c>
      <c r="K10" s="54">
        <v>106.10</v>
      </c>
      <c r="L10" s="54">
        <v>17.27</v>
      </c>
      <c r="M10" s="54">
        <v>76.55</v>
      </c>
      <c r="N10" s="54">
        <v>8.90</v>
      </c>
      <c r="O10" s="54">
        <v>0</v>
      </c>
      <c r="P10" s="54">
        <v>1.66</v>
      </c>
      <c r="Q10" s="54">
        <v>12.72</v>
      </c>
      <c r="R10" s="43"/>
      <c r="S10" s="43"/>
      <c r="T10" s="43"/>
      <c r="U10" s="43"/>
    </row>
    <row r="11" spans="1:21" s="11" customFormat="1" ht="15">
      <c r="A11" s="53" t="s">
        <v>160</v>
      </c>
      <c r="B11" s="54">
        <v>52.51</v>
      </c>
      <c r="C11" s="54">
        <v>62.18</v>
      </c>
      <c r="D11" s="54">
        <v>77.069999999999993</v>
      </c>
      <c r="E11" s="54">
        <v>0.25</v>
      </c>
      <c r="F11" s="54">
        <v>3.39</v>
      </c>
      <c r="G11" s="58" t="s">
        <v>8</v>
      </c>
      <c r="H11" s="58" t="s">
        <v>8</v>
      </c>
      <c r="I11" s="54">
        <v>1.5</v>
      </c>
      <c r="J11" s="54">
        <v>0.70</v>
      </c>
      <c r="K11" s="54">
        <v>105.92</v>
      </c>
      <c r="L11" s="54">
        <v>17.100000000000001</v>
      </c>
      <c r="M11" s="54">
        <v>79.989999999999995</v>
      </c>
      <c r="N11" s="54">
        <v>8.90</v>
      </c>
      <c r="O11" s="54">
        <v>0</v>
      </c>
      <c r="P11" s="54">
        <v>1.40</v>
      </c>
      <c r="Q11" s="54">
        <v>11.09</v>
      </c>
      <c r="R11" s="43"/>
      <c r="S11" s="43"/>
      <c r="T11" s="43"/>
      <c r="U11" s="43"/>
    </row>
    <row r="12" spans="1:21" s="11" customFormat="1" ht="15">
      <c r="A12" s="53" t="s">
        <v>161</v>
      </c>
      <c r="B12" s="54">
        <v>39.409999999999997</v>
      </c>
      <c r="C12" s="54">
        <v>59.43</v>
      </c>
      <c r="D12" s="54">
        <v>65.05</v>
      </c>
      <c r="E12" s="54">
        <v>0.22</v>
      </c>
      <c r="F12" s="54">
        <v>3.19</v>
      </c>
      <c r="G12" s="58" t="s">
        <v>8</v>
      </c>
      <c r="H12" s="58" t="s">
        <v>8</v>
      </c>
      <c r="I12" s="54">
        <v>1.55</v>
      </c>
      <c r="J12" s="54">
        <v>0.48</v>
      </c>
      <c r="K12" s="54">
        <v>241.94</v>
      </c>
      <c r="L12" s="54">
        <v>16.84</v>
      </c>
      <c r="M12" s="54">
        <v>86.96</v>
      </c>
      <c r="N12" s="54">
        <v>9.10</v>
      </c>
      <c r="O12" s="54">
        <v>0</v>
      </c>
      <c r="P12" s="54">
        <v>1.1499999999999999</v>
      </c>
      <c r="Q12" s="54">
        <v>10.210000000000001</v>
      </c>
      <c r="R12" s="43"/>
      <c r="S12" s="43"/>
      <c r="T12" s="43"/>
      <c r="U12" s="43"/>
    </row>
    <row r="13" spans="1:21" s="11" customFormat="1" ht="15">
      <c r="A13" s="53" t="s">
        <v>162</v>
      </c>
      <c r="B13" s="54">
        <v>31.86</v>
      </c>
      <c r="C13" s="54">
        <v>56.80</v>
      </c>
      <c r="D13" s="54">
        <v>57.02</v>
      </c>
      <c r="E13" s="54">
        <v>0.35</v>
      </c>
      <c r="F13" s="54">
        <v>3.41</v>
      </c>
      <c r="G13" s="58" t="s">
        <v>8</v>
      </c>
      <c r="H13" s="58" t="s">
        <v>8</v>
      </c>
      <c r="I13" s="54">
        <v>1.55</v>
      </c>
      <c r="J13" s="54">
        <v>0.15</v>
      </c>
      <c r="K13" s="54">
        <v>324.12</v>
      </c>
      <c r="L13" s="54">
        <v>15.46</v>
      </c>
      <c r="M13" s="54">
        <v>95.46</v>
      </c>
      <c r="N13" s="54">
        <v>9</v>
      </c>
      <c r="O13" s="54">
        <v>0</v>
      </c>
      <c r="P13" s="54">
        <v>0.95</v>
      </c>
      <c r="Q13" s="54">
        <v>9.61</v>
      </c>
      <c r="R13" s="43"/>
      <c r="S13" s="43"/>
      <c r="T13" s="43"/>
      <c r="U13" s="43"/>
    </row>
    <row r="14" spans="1:21" s="11" customFormat="1" ht="15">
      <c r="A14" s="53" t="s">
        <v>163</v>
      </c>
      <c r="B14" s="54">
        <v>42.42</v>
      </c>
      <c r="C14" s="54">
        <v>51.75</v>
      </c>
      <c r="D14" s="54">
        <v>61.92</v>
      </c>
      <c r="E14" s="54">
        <v>0.34</v>
      </c>
      <c r="F14" s="54">
        <v>3.43</v>
      </c>
      <c r="G14" s="58" t="s">
        <v>8</v>
      </c>
      <c r="H14" s="58" t="s">
        <v>8</v>
      </c>
      <c r="I14" s="54">
        <v>1.51</v>
      </c>
      <c r="J14" s="54">
        <v>0.12</v>
      </c>
      <c r="K14" s="54">
        <v>306.93</v>
      </c>
      <c r="L14" s="54">
        <v>13.94</v>
      </c>
      <c r="M14" s="54">
        <v>99.98</v>
      </c>
      <c r="N14" s="54">
        <v>8.90</v>
      </c>
      <c r="O14" s="54">
        <v>0</v>
      </c>
      <c r="P14" s="54">
        <v>0.81</v>
      </c>
      <c r="Q14" s="54">
        <v>9.59</v>
      </c>
      <c r="R14" s="43"/>
      <c r="S14" s="43"/>
      <c r="T14" s="43"/>
      <c r="U14" s="43"/>
    </row>
    <row r="15" spans="1:21" s="11" customFormat="1" ht="15">
      <c r="A15" s="53" t="s">
        <v>164</v>
      </c>
      <c r="B15" s="54">
        <v>79.19</v>
      </c>
      <c r="C15" s="54">
        <v>54.11</v>
      </c>
      <c r="D15" s="54">
        <v>94.01</v>
      </c>
      <c r="E15" s="54">
        <v>0.39</v>
      </c>
      <c r="F15" s="54">
        <v>3.22</v>
      </c>
      <c r="G15" s="58" t="s">
        <v>8</v>
      </c>
      <c r="H15" s="58" t="s">
        <v>8</v>
      </c>
      <c r="I15" s="54">
        <v>1.52</v>
      </c>
      <c r="J15" s="54">
        <v>0.12</v>
      </c>
      <c r="K15" s="54">
        <v>308.08999999999997</v>
      </c>
      <c r="L15" s="54">
        <v>13.72</v>
      </c>
      <c r="M15" s="54">
        <v>99.95</v>
      </c>
      <c r="N15" s="54">
        <v>23</v>
      </c>
      <c r="O15" s="54">
        <v>0</v>
      </c>
      <c r="P15" s="54">
        <v>0.82</v>
      </c>
      <c r="Q15" s="54">
        <v>12.18</v>
      </c>
      <c r="R15" s="43"/>
      <c r="S15" s="43"/>
      <c r="T15" s="43"/>
      <c r="U15" s="43"/>
    </row>
    <row r="16" spans="1:21" s="11" customFormat="1" ht="15">
      <c r="A16" s="53" t="s">
        <v>165</v>
      </c>
      <c r="B16" s="54">
        <v>107.11</v>
      </c>
      <c r="C16" s="54">
        <v>60.98</v>
      </c>
      <c r="D16" s="54">
        <v>120.19</v>
      </c>
      <c r="E16" s="54">
        <v>0.39</v>
      </c>
      <c r="F16" s="54">
        <v>3.22</v>
      </c>
      <c r="G16" s="58" t="s">
        <v>8</v>
      </c>
      <c r="H16" s="58" t="s">
        <v>8</v>
      </c>
      <c r="I16" s="54">
        <v>1.56</v>
      </c>
      <c r="J16" s="54">
        <v>0.51</v>
      </c>
      <c r="K16" s="54">
        <v>324.35000000000002</v>
      </c>
      <c r="L16" s="54">
        <v>16.55</v>
      </c>
      <c r="M16" s="54">
        <v>99.92</v>
      </c>
      <c r="N16" s="54">
        <v>119.30</v>
      </c>
      <c r="O16" s="54">
        <v>0</v>
      </c>
      <c r="P16" s="54">
        <v>1.06</v>
      </c>
      <c r="Q16" s="54">
        <v>14.55</v>
      </c>
      <c r="R16" s="43"/>
      <c r="S16" s="43"/>
      <c r="T16" s="43"/>
      <c r="U16" s="43"/>
    </row>
    <row r="17" spans="1:21" s="11" customFormat="1" ht="15">
      <c r="A17" s="53" t="s">
        <v>166</v>
      </c>
      <c r="B17" s="54">
        <v>104.07</v>
      </c>
      <c r="C17" s="54">
        <v>63.41</v>
      </c>
      <c r="D17" s="54">
        <v>118.62</v>
      </c>
      <c r="E17" s="54">
        <v>0.37</v>
      </c>
      <c r="F17" s="54">
        <v>3.28</v>
      </c>
      <c r="G17" s="58" t="s">
        <v>8</v>
      </c>
      <c r="H17" s="58" t="s">
        <v>8</v>
      </c>
      <c r="I17" s="54">
        <v>1.58</v>
      </c>
      <c r="J17" s="54">
        <v>0.73</v>
      </c>
      <c r="K17" s="54">
        <v>105.16</v>
      </c>
      <c r="L17" s="54">
        <v>18.91</v>
      </c>
      <c r="M17" s="54">
        <v>84.76</v>
      </c>
      <c r="N17" s="54">
        <v>242.5</v>
      </c>
      <c r="O17" s="54">
        <v>0</v>
      </c>
      <c r="P17" s="54">
        <v>1.06</v>
      </c>
      <c r="Q17" s="54">
        <v>14.62</v>
      </c>
      <c r="R17" s="43"/>
      <c r="S17" s="43"/>
      <c r="T17" s="43"/>
      <c r="U17" s="43"/>
    </row>
    <row r="18" spans="1:21" s="11" customFormat="1" ht="15">
      <c r="A18" s="53" t="s">
        <v>167</v>
      </c>
      <c r="B18" s="54">
        <v>85.51</v>
      </c>
      <c r="C18" s="54">
        <v>63.66</v>
      </c>
      <c r="D18" s="54">
        <v>103.92</v>
      </c>
      <c r="E18" s="54">
        <v>0.28000000000000003</v>
      </c>
      <c r="F18" s="54">
        <v>3.34</v>
      </c>
      <c r="G18" s="58" t="s">
        <v>8</v>
      </c>
      <c r="H18" s="58" t="s">
        <v>8</v>
      </c>
      <c r="I18" s="54">
        <v>1.56</v>
      </c>
      <c r="J18" s="54">
        <v>0.74</v>
      </c>
      <c r="K18" s="54">
        <v>119.94</v>
      </c>
      <c r="L18" s="54">
        <v>20.95</v>
      </c>
      <c r="M18" s="54">
        <v>71.319999999999993</v>
      </c>
      <c r="N18" s="54">
        <v>368.10</v>
      </c>
      <c r="O18" s="54">
        <v>0</v>
      </c>
      <c r="P18" s="54">
        <v>1.02</v>
      </c>
      <c r="Q18" s="54">
        <v>13.71</v>
      </c>
      <c r="R18" s="43"/>
      <c r="S18" s="43"/>
      <c r="T18" s="43"/>
      <c r="U18" s="43"/>
    </row>
    <row r="19" spans="1:21" s="11" customFormat="1" ht="15">
      <c r="A19" s="53" t="s">
        <v>168</v>
      </c>
      <c r="B19" s="54">
        <v>68.44</v>
      </c>
      <c r="C19" s="54">
        <v>79.62</v>
      </c>
      <c r="D19" s="54">
        <v>90.80</v>
      </c>
      <c r="E19" s="54">
        <v>0.30</v>
      </c>
      <c r="F19" s="54">
        <v>4.42</v>
      </c>
      <c r="G19" s="58" t="s">
        <v>8</v>
      </c>
      <c r="H19" s="58" t="s">
        <v>8</v>
      </c>
      <c r="I19" s="54">
        <v>1.53</v>
      </c>
      <c r="J19" s="54">
        <v>1.18</v>
      </c>
      <c r="K19" s="54">
        <v>112.35</v>
      </c>
      <c r="L19" s="54">
        <v>21.75</v>
      </c>
      <c r="M19" s="54">
        <v>65.64</v>
      </c>
      <c r="N19" s="54">
        <v>433.70</v>
      </c>
      <c r="O19" s="54">
        <v>0</v>
      </c>
      <c r="P19" s="54">
        <v>0.97</v>
      </c>
      <c r="Q19" s="54">
        <v>12.78</v>
      </c>
      <c r="R19" s="43"/>
      <c r="S19" s="43"/>
      <c r="T19" s="43"/>
      <c r="U19" s="43"/>
    </row>
    <row r="20" spans="1:21" s="11" customFormat="1" ht="15">
      <c r="A20" s="53" t="s">
        <v>169</v>
      </c>
      <c r="B20" s="54">
        <v>6.89</v>
      </c>
      <c r="C20" s="54">
        <v>74.73</v>
      </c>
      <c r="D20" s="54">
        <v>47.41</v>
      </c>
      <c r="E20" s="54">
        <v>0.23</v>
      </c>
      <c r="F20" s="54">
        <v>7.19</v>
      </c>
      <c r="G20" s="54">
        <v>82.90</v>
      </c>
      <c r="H20" s="54">
        <v>63.36</v>
      </c>
      <c r="I20" s="54">
        <v>1.56</v>
      </c>
      <c r="J20" s="54">
        <v>0.70</v>
      </c>
      <c r="K20" s="54">
        <v>340.91</v>
      </c>
      <c r="L20" s="54">
        <v>26.56</v>
      </c>
      <c r="M20" s="54">
        <v>57.91</v>
      </c>
      <c r="N20" s="54">
        <v>454</v>
      </c>
      <c r="O20" s="54">
        <v>0</v>
      </c>
      <c r="P20" s="54">
        <v>0.67</v>
      </c>
      <c r="Q20" s="54">
        <v>9.84</v>
      </c>
      <c r="R20" s="43"/>
      <c r="S20" s="43"/>
      <c r="T20" s="43"/>
      <c r="U20" s="43"/>
    </row>
    <row r="21" spans="1:21" s="11" customFormat="1" ht="15">
      <c r="A21" s="53" t="s">
        <v>170</v>
      </c>
      <c r="B21" s="54">
        <v>5.83</v>
      </c>
      <c r="C21" s="54">
        <v>65.260000000000005</v>
      </c>
      <c r="D21" s="54">
        <v>41.28</v>
      </c>
      <c r="E21" s="54">
        <v>0.15</v>
      </c>
      <c r="F21" s="54">
        <v>4.2699999999999996</v>
      </c>
      <c r="G21" s="54">
        <v>71.83</v>
      </c>
      <c r="H21" s="54">
        <v>17.149999999999999</v>
      </c>
      <c r="I21" s="54">
        <v>1.53</v>
      </c>
      <c r="J21" s="54">
        <v>0.59</v>
      </c>
      <c r="K21" s="54">
        <v>357.67</v>
      </c>
      <c r="L21" s="54">
        <v>27.15</v>
      </c>
      <c r="M21" s="54">
        <v>48.39</v>
      </c>
      <c r="N21" s="54">
        <v>450.30</v>
      </c>
      <c r="O21" s="54">
        <v>0</v>
      </c>
      <c r="P21" s="54">
        <v>0.66</v>
      </c>
      <c r="Q21" s="54">
        <v>6.86</v>
      </c>
      <c r="R21" s="43"/>
      <c r="S21" s="43"/>
      <c r="T21" s="43"/>
      <c r="U21" s="43"/>
    </row>
    <row r="22" spans="1:21" s="11" customFormat="1" ht="15">
      <c r="A22" s="53" t="s">
        <v>171</v>
      </c>
      <c r="B22" s="54">
        <v>7.75</v>
      </c>
      <c r="C22" s="54">
        <v>78.97</v>
      </c>
      <c r="D22" s="54">
        <v>49.67</v>
      </c>
      <c r="E22" s="54">
        <v>0.24</v>
      </c>
      <c r="F22" s="54">
        <v>5.59</v>
      </c>
      <c r="G22" s="58" t="s">
        <v>8</v>
      </c>
      <c r="H22" s="58" t="s">
        <v>8</v>
      </c>
      <c r="I22" s="54">
        <v>1.55</v>
      </c>
      <c r="J22" s="54">
        <v>0.62</v>
      </c>
      <c r="K22" s="54">
        <v>310.30</v>
      </c>
      <c r="L22" s="54">
        <v>27.03</v>
      </c>
      <c r="M22" s="54">
        <v>43.67</v>
      </c>
      <c r="N22" s="54">
        <v>403.70</v>
      </c>
      <c r="O22" s="54">
        <v>0</v>
      </c>
      <c r="P22" s="54">
        <v>0.66</v>
      </c>
      <c r="Q22" s="54">
        <v>8.24</v>
      </c>
      <c r="R22" s="43"/>
      <c r="S22" s="43"/>
      <c r="T22" s="43"/>
      <c r="U22" s="43"/>
    </row>
    <row r="23" spans="1:21" s="11" customFormat="1" ht="15">
      <c r="A23" s="53" t="s">
        <v>172</v>
      </c>
      <c r="B23" s="54">
        <v>4.4000000000000004</v>
      </c>
      <c r="C23" s="54">
        <v>69.98</v>
      </c>
      <c r="D23" s="54">
        <v>42.69</v>
      </c>
      <c r="E23" s="54">
        <v>0.14000000000000001</v>
      </c>
      <c r="F23" s="54">
        <v>5.03</v>
      </c>
      <c r="G23" s="58" t="s">
        <v>8</v>
      </c>
      <c r="H23" s="58" t="s">
        <v>8</v>
      </c>
      <c r="I23" s="54">
        <v>1.54</v>
      </c>
      <c r="J23" s="54">
        <v>0.79</v>
      </c>
      <c r="K23" s="54">
        <v>352.39</v>
      </c>
      <c r="L23" s="54">
        <v>27.31</v>
      </c>
      <c r="M23" s="54">
        <v>40.11</v>
      </c>
      <c r="N23" s="54">
        <v>183.90</v>
      </c>
      <c r="O23" s="54">
        <v>0</v>
      </c>
      <c r="P23" s="54">
        <v>0.65</v>
      </c>
      <c r="Q23" s="54">
        <v>6.03</v>
      </c>
      <c r="R23" s="43"/>
      <c r="S23" s="43"/>
      <c r="T23" s="43"/>
      <c r="U23" s="43"/>
    </row>
    <row r="24" spans="1:21" s="11" customFormat="1" ht="15">
      <c r="A24" s="53" t="s">
        <v>173</v>
      </c>
      <c r="B24" s="54">
        <v>3.63</v>
      </c>
      <c r="C24" s="54">
        <v>69.510000000000005</v>
      </c>
      <c r="D24" s="54">
        <v>41.92</v>
      </c>
      <c r="E24" s="54">
        <v>0.18</v>
      </c>
      <c r="F24" s="54">
        <v>13.06</v>
      </c>
      <c r="G24" s="58" t="s">
        <v>8</v>
      </c>
      <c r="H24" s="58" t="s">
        <v>8</v>
      </c>
      <c r="I24" s="54">
        <v>1.53</v>
      </c>
      <c r="J24" s="54">
        <v>0.87</v>
      </c>
      <c r="K24" s="54">
        <v>108.37</v>
      </c>
      <c r="L24" s="54">
        <v>24.08</v>
      </c>
      <c r="M24" s="54">
        <v>44.83</v>
      </c>
      <c r="N24" s="54">
        <v>113.80</v>
      </c>
      <c r="O24" s="54">
        <v>0</v>
      </c>
      <c r="P24" s="54">
        <v>0.62</v>
      </c>
      <c r="Q24" s="54">
        <v>5.69</v>
      </c>
      <c r="R24" s="43"/>
      <c r="S24" s="43"/>
      <c r="T24" s="43"/>
      <c r="U24" s="43"/>
    </row>
    <row r="25" spans="1:21" s="11" customFormat="1" ht="15">
      <c r="A25" s="53" t="s">
        <v>174</v>
      </c>
      <c r="B25" s="54">
        <v>4.4000000000000004</v>
      </c>
      <c r="C25" s="54">
        <v>66.16</v>
      </c>
      <c r="D25" s="54">
        <v>40.69</v>
      </c>
      <c r="E25" s="54">
        <v>0.15</v>
      </c>
      <c r="F25" s="54">
        <v>9.6300000000000008</v>
      </c>
      <c r="G25" s="58" t="s">
        <v>8</v>
      </c>
      <c r="H25" s="58" t="s">
        <v>8</v>
      </c>
      <c r="I25" s="54">
        <v>1.52</v>
      </c>
      <c r="J25" s="54">
        <v>1.01</v>
      </c>
      <c r="K25" s="54">
        <v>345.59</v>
      </c>
      <c r="L25" s="54">
        <v>23.49</v>
      </c>
      <c r="M25" s="54">
        <v>51.34</v>
      </c>
      <c r="N25" s="54">
        <v>58.80</v>
      </c>
      <c r="O25" s="54">
        <v>0</v>
      </c>
      <c r="P25" s="54">
        <v>0.67</v>
      </c>
      <c r="Q25" s="54">
        <v>5.25</v>
      </c>
      <c r="R25" s="43"/>
      <c r="S25" s="43"/>
      <c r="T25" s="43"/>
      <c r="U25" s="43"/>
    </row>
    <row r="26" spans="1:21" s="11" customFormat="1" ht="15">
      <c r="A26" s="53" t="s">
        <v>175</v>
      </c>
      <c r="B26" s="54">
        <v>9.85</v>
      </c>
      <c r="C26" s="54">
        <v>75.23</v>
      </c>
      <c r="D26" s="54">
        <v>50.07</v>
      </c>
      <c r="E26" s="54">
        <v>0.17</v>
      </c>
      <c r="F26" s="54">
        <v>3.74</v>
      </c>
      <c r="G26" s="58" t="s">
        <v>8</v>
      </c>
      <c r="H26" s="58" t="s">
        <v>8</v>
      </c>
      <c r="I26" s="54">
        <v>1.53</v>
      </c>
      <c r="J26" s="54">
        <v>0.56000000000000005</v>
      </c>
      <c r="K26" s="54">
        <v>344.56</v>
      </c>
      <c r="L26" s="54">
        <v>22.16</v>
      </c>
      <c r="M26" s="54">
        <v>59.24</v>
      </c>
      <c r="N26" s="54">
        <v>18.20</v>
      </c>
      <c r="O26" s="54">
        <v>0</v>
      </c>
      <c r="P26" s="54">
        <v>0.95</v>
      </c>
      <c r="Q26" s="54">
        <v>8.15</v>
      </c>
      <c r="R26" s="43"/>
      <c r="S26" s="43"/>
      <c r="T26" s="43"/>
      <c r="U26" s="43"/>
    </row>
    <row r="27" spans="1:21" s="11" customFormat="1" ht="15">
      <c r="A27" s="53" t="s">
        <v>176</v>
      </c>
      <c r="B27" s="54">
        <v>23.81</v>
      </c>
      <c r="C27" s="54">
        <v>74.31</v>
      </c>
      <c r="D27" s="54">
        <v>57.95</v>
      </c>
      <c r="E27" s="54">
        <v>0.15</v>
      </c>
      <c r="F27" s="54">
        <v>3.26</v>
      </c>
      <c r="G27" s="58" t="s">
        <v>8</v>
      </c>
      <c r="H27" s="58" t="s">
        <v>8</v>
      </c>
      <c r="I27" s="54">
        <v>1.57</v>
      </c>
      <c r="J27" s="54">
        <v>0.51</v>
      </c>
      <c r="K27" s="54">
        <v>346.90</v>
      </c>
      <c r="L27" s="54">
        <v>20.37</v>
      </c>
      <c r="M27" s="54">
        <v>65.069999999999993</v>
      </c>
      <c r="N27" s="54">
        <v>9.3000000000000007</v>
      </c>
      <c r="O27" s="54">
        <v>0</v>
      </c>
      <c r="P27" s="54">
        <v>1.26</v>
      </c>
      <c r="Q27" s="54">
        <v>9.16</v>
      </c>
      <c r="R27" s="43"/>
      <c r="S27" s="43"/>
      <c r="T27" s="43"/>
      <c r="U27" s="43"/>
    </row>
    <row r="28" spans="1:21" s="11" customFormat="1" ht="15">
      <c r="A28" s="53" t="s">
        <v>177</v>
      </c>
      <c r="B28" s="54">
        <v>32.94</v>
      </c>
      <c r="C28" s="54">
        <v>70.05</v>
      </c>
      <c r="D28" s="54">
        <v>65.34</v>
      </c>
      <c r="E28" s="54">
        <v>0.17</v>
      </c>
      <c r="F28" s="54">
        <v>3.41</v>
      </c>
      <c r="G28" s="58" t="s">
        <v>8</v>
      </c>
      <c r="H28" s="58" t="s">
        <v>8</v>
      </c>
      <c r="I28" s="54">
        <v>1.54</v>
      </c>
      <c r="J28" s="54">
        <v>0.33</v>
      </c>
      <c r="K28" s="54">
        <v>346.15</v>
      </c>
      <c r="L28" s="54">
        <v>19.649999999999999</v>
      </c>
      <c r="M28" s="54">
        <v>68.48</v>
      </c>
      <c r="N28" s="54">
        <v>9.1999999999999993</v>
      </c>
      <c r="O28" s="54">
        <v>0</v>
      </c>
      <c r="P28" s="54">
        <v>1.51</v>
      </c>
      <c r="Q28" s="54">
        <v>9.68</v>
      </c>
      <c r="R28" s="43"/>
      <c r="S28" s="43"/>
      <c r="T28" s="43"/>
      <c r="U28" s="43"/>
    </row>
    <row r="29" spans="1:21" s="11" customFormat="1" ht="15">
      <c r="A29" s="53" t="s">
        <v>178</v>
      </c>
      <c r="B29" s="54">
        <v>41.71</v>
      </c>
      <c r="C29" s="54">
        <v>67.88</v>
      </c>
      <c r="D29" s="54">
        <v>70.33</v>
      </c>
      <c r="E29" s="54">
        <v>0.18</v>
      </c>
      <c r="F29" s="54">
        <v>3.14</v>
      </c>
      <c r="G29" s="58" t="s">
        <v>8</v>
      </c>
      <c r="H29" s="58" t="s">
        <v>8</v>
      </c>
      <c r="I29" s="54">
        <v>1.53</v>
      </c>
      <c r="J29" s="54">
        <v>0.22</v>
      </c>
      <c r="K29" s="54">
        <v>100.25</v>
      </c>
      <c r="L29" s="54">
        <v>18.920000000000002</v>
      </c>
      <c r="M29" s="54">
        <v>70.040000000000006</v>
      </c>
      <c r="N29" s="54">
        <v>9</v>
      </c>
      <c r="O29" s="54">
        <v>0</v>
      </c>
      <c r="P29" s="54">
        <v>1.76</v>
      </c>
      <c r="Q29" s="54">
        <v>10.19</v>
      </c>
      <c r="R29" s="43"/>
      <c r="S29" s="43"/>
      <c r="T29" s="43"/>
      <c r="U29" s="43"/>
    </row>
    <row r="30" spans="1:21" s="11" customFormat="1" ht="15">
      <c r="A30" s="53" t="s">
        <v>179</v>
      </c>
      <c r="B30" s="54">
        <v>38.68</v>
      </c>
      <c r="C30" s="54">
        <v>69.03</v>
      </c>
      <c r="D30" s="54">
        <v>68.62</v>
      </c>
      <c r="E30" s="54">
        <v>0.19</v>
      </c>
      <c r="F30" s="54">
        <v>3.26</v>
      </c>
      <c r="G30" s="58" t="s">
        <v>8</v>
      </c>
      <c r="H30" s="58" t="s">
        <v>8</v>
      </c>
      <c r="I30" s="54">
        <v>1.62</v>
      </c>
      <c r="J30" s="54">
        <v>1.22</v>
      </c>
      <c r="K30" s="54">
        <v>113.01</v>
      </c>
      <c r="L30" s="54">
        <v>19.29</v>
      </c>
      <c r="M30" s="54">
        <v>70.23</v>
      </c>
      <c r="N30" s="54">
        <v>8.6999999999999993</v>
      </c>
      <c r="O30" s="54">
        <v>0</v>
      </c>
      <c r="P30" s="54">
        <v>1.76</v>
      </c>
      <c r="Q30" s="54">
        <v>10.039999999999999</v>
      </c>
      <c r="R30" s="43"/>
      <c r="S30" s="43"/>
      <c r="T30" s="43"/>
      <c r="U30" s="43"/>
    </row>
    <row r="31" spans="1:21" s="11" customFormat="1" ht="15">
      <c r="A31" s="53" t="s">
        <v>180</v>
      </c>
      <c r="B31" s="54">
        <v>26.48</v>
      </c>
      <c r="C31" s="54">
        <v>68.88</v>
      </c>
      <c r="D31" s="54">
        <v>59.89</v>
      </c>
      <c r="E31" s="54">
        <v>0.17</v>
      </c>
      <c r="F31" s="54">
        <v>3.28</v>
      </c>
      <c r="G31" s="58" t="s">
        <v>8</v>
      </c>
      <c r="H31" s="58" t="s">
        <v>8</v>
      </c>
      <c r="I31" s="54">
        <v>1.52</v>
      </c>
      <c r="J31" s="54">
        <v>1.01</v>
      </c>
      <c r="K31" s="54">
        <v>113.24</v>
      </c>
      <c r="L31" s="54">
        <v>18.93</v>
      </c>
      <c r="M31" s="54">
        <v>73.040000000000006</v>
      </c>
      <c r="N31" s="54">
        <v>9.10</v>
      </c>
      <c r="O31" s="54">
        <v>0</v>
      </c>
      <c r="P31" s="54">
        <v>1.55</v>
      </c>
      <c r="Q31" s="54">
        <v>9.40</v>
      </c>
      <c r="R31" s="43"/>
      <c r="S31" s="43"/>
      <c r="T31" s="43"/>
      <c r="U31" s="43"/>
    </row>
    <row r="32" spans="1:21" s="11" customFormat="1" ht="15">
      <c r="A32" s="53" t="s">
        <v>181</v>
      </c>
      <c r="B32" s="54">
        <v>16.87</v>
      </c>
      <c r="C32" s="54">
        <v>64.53</v>
      </c>
      <c r="D32" s="54">
        <v>49.79</v>
      </c>
      <c r="E32" s="54">
        <v>0.19</v>
      </c>
      <c r="F32" s="54">
        <v>3.25</v>
      </c>
      <c r="G32" s="58" t="s">
        <v>8</v>
      </c>
      <c r="H32" s="58" t="s">
        <v>8</v>
      </c>
      <c r="I32" s="54">
        <v>1.55</v>
      </c>
      <c r="J32" s="54">
        <v>0.71</v>
      </c>
      <c r="K32" s="54">
        <v>141.79</v>
      </c>
      <c r="L32" s="54">
        <v>18.29</v>
      </c>
      <c r="M32" s="54">
        <v>74.83</v>
      </c>
      <c r="N32" s="54">
        <v>9.10</v>
      </c>
      <c r="O32" s="54">
        <v>0</v>
      </c>
      <c r="P32" s="54">
        <v>1.26</v>
      </c>
      <c r="Q32" s="54">
        <v>8.41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3.6299999999999999</v>
      </c>
      <c r="C34" s="28">
        <f t="shared" si="0"/>
        <v>51.75</v>
      </c>
      <c r="D34" s="28">
        <f t="shared" si="0"/>
        <v>40.689999999999998</v>
      </c>
      <c r="E34" s="28">
        <f t="shared" si="0"/>
        <v>0.14000000000000001</v>
      </c>
      <c r="F34" s="28">
        <f t="shared" si="0"/>
        <v>3.1099999999999999</v>
      </c>
      <c r="G34" s="28">
        <f t="shared" si="0"/>
        <v>71.829999999999998</v>
      </c>
      <c r="H34" s="28">
        <f t="shared" si="0"/>
        <v>15.789999999999999</v>
      </c>
      <c r="I34" s="28">
        <f t="shared" si="0"/>
        <v>1.5</v>
      </c>
      <c r="J34" s="28">
        <f t="shared" si="0"/>
        <v>0.12</v>
      </c>
      <c r="K34" s="28">
        <f t="shared" si="0"/>
        <v>100.25</v>
      </c>
      <c r="L34" s="28">
        <f t="shared" si="0"/>
        <v>13.720000000000001</v>
      </c>
      <c r="M34" s="28">
        <f t="shared" si="0"/>
        <v>40.109999999999999</v>
      </c>
      <c r="N34" s="28">
        <f t="shared" si="0"/>
        <v>8.6999999999999993</v>
      </c>
      <c r="O34" s="28">
        <f t="shared" si="0"/>
        <v>0</v>
      </c>
      <c r="P34" s="28">
        <f t="shared" si="0"/>
        <v>0.62</v>
      </c>
      <c r="Q34" s="28">
        <f t="shared" si="0"/>
        <v>5.25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107.11</v>
      </c>
      <c r="C35" s="29">
        <f t="shared" si="1"/>
        <v>79.620000000000005</v>
      </c>
      <c r="D35" s="29">
        <f t="shared" si="1"/>
        <v>120.19</v>
      </c>
      <c r="E35" s="29">
        <f t="shared" si="1"/>
        <v>0.39000000000000001</v>
      </c>
      <c r="F35" s="29">
        <f t="shared" si="1"/>
        <v>13.06</v>
      </c>
      <c r="G35" s="29">
        <f t="shared" si="1"/>
        <v>106.27</v>
      </c>
      <c r="H35" s="29">
        <f t="shared" si="1"/>
        <v>63.359999999999999</v>
      </c>
      <c r="I35" s="29">
        <f t="shared" si="1"/>
        <v>1.6200000000000001</v>
      </c>
      <c r="J35" s="29">
        <f t="shared" si="1"/>
        <v>1.22</v>
      </c>
      <c r="K35" s="29">
        <f t="shared" si="1"/>
        <v>357.67000000000002</v>
      </c>
      <c r="L35" s="29">
        <f t="shared" si="1"/>
        <v>27.309999999999999</v>
      </c>
      <c r="M35" s="29">
        <f t="shared" si="1"/>
        <v>99.980000000000004</v>
      </c>
      <c r="N35" s="29">
        <f t="shared" si="1"/>
        <v>454</v>
      </c>
      <c r="O35" s="29">
        <f t="shared" si="1"/>
        <v>0</v>
      </c>
      <c r="P35" s="29">
        <f t="shared" si="1"/>
        <v>2.2599999999999998</v>
      </c>
      <c r="Q35" s="29">
        <f t="shared" si="1"/>
        <v>15.06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42.032499999999999</v>
      </c>
      <c r="C36" s="28">
        <f t="shared" si="2"/>
        <v>66.646249999999995</v>
      </c>
      <c r="D36" s="28">
        <f t="shared" si="2"/>
        <v>70.388333333333335</v>
      </c>
      <c r="E36" s="28">
        <f t="shared" si="2"/>
        <v>0.2429166666666667</v>
      </c>
      <c r="F36" s="28">
        <f t="shared" si="2"/>
        <v>4.3945833333333333</v>
      </c>
      <c r="G36" s="28">
        <f t="shared" si="2"/>
        <v>87</v>
      </c>
      <c r="H36" s="28">
        <f t="shared" si="2"/>
        <v>32.100000000000001</v>
      </c>
      <c r="I36" s="28">
        <f t="shared" si="2"/>
        <v>1.5416666666666667</v>
      </c>
      <c r="J36" s="28">
        <f t="shared" si="2"/>
        <v>0.65000000000000002</v>
      </c>
      <c r="K36" s="28">
        <f t="shared" si="2"/>
        <v>228.2245833333333</v>
      </c>
      <c r="L36" s="28">
        <f t="shared" si="2"/>
        <v>20.139166666666672</v>
      </c>
      <c r="M36" s="28">
        <f t="shared" si="2"/>
        <v>70.92416666666665</v>
      </c>
      <c r="N36" s="28">
        <f t="shared" si="2"/>
        <v>124.0625</v>
      </c>
      <c r="O36" s="28">
        <f t="shared" si="2"/>
        <v>0</v>
      </c>
      <c r="P36" s="28">
        <f t="shared" si="2"/>
        <v>1.1308333333333338</v>
      </c>
      <c r="Q36" s="28">
        <f t="shared" si="2"/>
        <v>10.127500000000001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34.370193766768587</v>
      </c>
      <c r="C37" s="28">
        <f t="shared" si="3" ref="C37:Q37">STDEV(C9:C32)</f>
        <v>7.1415866051690413</v>
      </c>
      <c r="D37" s="28">
        <f t="shared" si="3"/>
        <v>26.112675027684379</v>
      </c>
      <c r="E37" s="28">
        <f t="shared" si="3"/>
        <v>0.085489850232373224</v>
      </c>
      <c r="F37" s="28">
        <f t="shared" si="3"/>
        <v>2.3999655417212318</v>
      </c>
      <c r="G37" s="28">
        <f t="shared" si="3"/>
        <v>17.582260946761117</v>
      </c>
      <c r="H37" s="28">
        <f t="shared" si="3"/>
        <v>27.080492979264605</v>
      </c>
      <c r="I37" s="28">
        <f t="shared" si="3"/>
        <v>0.026648544566940859</v>
      </c>
      <c r="J37" s="28">
        <f t="shared" si="3"/>
        <v>0.31185280808907806</v>
      </c>
      <c r="K37" s="28">
        <f t="shared" si="3"/>
        <v>112.10975895073881</v>
      </c>
      <c r="L37" s="28">
        <f t="shared" si="3"/>
        <v>4.0720755488279048</v>
      </c>
      <c r="M37" s="28">
        <f t="shared" si="3"/>
        <v>17.893697194134162</v>
      </c>
      <c r="N37" s="28">
        <f t="shared" si="3"/>
        <v>168.25949630801253</v>
      </c>
      <c r="O37" s="28">
        <f t="shared" si="3"/>
        <v>0</v>
      </c>
      <c r="P37" s="28">
        <f t="shared" si="3"/>
        <v>0.43965319006716064</v>
      </c>
      <c r="Q37" s="28">
        <f t="shared" si="3"/>
        <v>2.7935846537005586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COUNT(G9:G32)+21</f>
        <v>24</v>
      </c>
      <c r="H38" s="32">
        <f>COUNT(H9:H32)+21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674eb13-4a97-46c6-a02c-07948ec8c5e2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182</v>
      </c>
      <c r="B9" s="54">
        <v>13.04</v>
      </c>
      <c r="C9" s="54">
        <v>59.18</v>
      </c>
      <c r="D9" s="54">
        <v>43.77</v>
      </c>
      <c r="E9" s="54">
        <v>0.18</v>
      </c>
      <c r="F9" s="54">
        <v>3.32</v>
      </c>
      <c r="G9" s="54">
        <v>51.40</v>
      </c>
      <c r="H9" s="54">
        <v>13.03</v>
      </c>
      <c r="I9" s="54">
        <v>1.56</v>
      </c>
      <c r="J9" s="54">
        <v>0.42</v>
      </c>
      <c r="K9" s="54">
        <v>188.27</v>
      </c>
      <c r="L9" s="54">
        <v>18.20</v>
      </c>
      <c r="M9" s="54">
        <v>72.67</v>
      </c>
      <c r="N9" s="54">
        <v>9.3000000000000007</v>
      </c>
      <c r="O9" s="54">
        <v>0</v>
      </c>
      <c r="P9" s="54">
        <v>1.04</v>
      </c>
      <c r="Q9" s="54">
        <v>6.52</v>
      </c>
      <c r="R9" s="43"/>
      <c r="S9" s="43"/>
      <c r="T9" s="43"/>
      <c r="U9" s="43"/>
    </row>
    <row r="10" spans="1:21" s="11" customFormat="1" ht="15">
      <c r="A10" s="53" t="s">
        <v>183</v>
      </c>
      <c r="B10" s="54">
        <v>10.91</v>
      </c>
      <c r="C10" s="54">
        <v>56.39</v>
      </c>
      <c r="D10" s="54">
        <v>40.51</v>
      </c>
      <c r="E10" s="54">
        <v>0.15</v>
      </c>
      <c r="F10" s="54">
        <v>3.52</v>
      </c>
      <c r="G10" s="54">
        <v>50.22</v>
      </c>
      <c r="H10" s="54">
        <v>43.87</v>
      </c>
      <c r="I10" s="54">
        <v>1.65</v>
      </c>
      <c r="J10" s="54">
        <v>0.15</v>
      </c>
      <c r="K10" s="54">
        <v>306.92</v>
      </c>
      <c r="L10" s="54">
        <v>17.27</v>
      </c>
      <c r="M10" s="54">
        <v>86.17</v>
      </c>
      <c r="N10" s="54">
        <v>9.6999999999999993</v>
      </c>
      <c r="O10" s="54">
        <v>0</v>
      </c>
      <c r="P10" s="54">
        <v>0.84</v>
      </c>
      <c r="Q10" s="54">
        <v>5.34</v>
      </c>
      <c r="R10" s="43"/>
      <c r="S10" s="43"/>
      <c r="T10" s="43"/>
      <c r="U10" s="43"/>
    </row>
    <row r="11" spans="1:21" s="11" customFormat="1" ht="15">
      <c r="A11" s="53" t="s">
        <v>184</v>
      </c>
      <c r="B11" s="54">
        <v>11.57</v>
      </c>
      <c r="C11" s="54">
        <v>51.46</v>
      </c>
      <c r="D11" s="54">
        <v>38.33</v>
      </c>
      <c r="E11" s="54">
        <v>0.12</v>
      </c>
      <c r="F11" s="54">
        <v>3.30</v>
      </c>
      <c r="G11" s="54">
        <v>59.21</v>
      </c>
      <c r="H11" s="54">
        <v>41.57</v>
      </c>
      <c r="I11" s="54">
        <v>1.56</v>
      </c>
      <c r="J11" s="54">
        <v>0.13</v>
      </c>
      <c r="K11" s="54">
        <v>308.33</v>
      </c>
      <c r="L11" s="54">
        <v>15.44</v>
      </c>
      <c r="M11" s="54">
        <v>91.84</v>
      </c>
      <c r="N11" s="54">
        <v>9.5</v>
      </c>
      <c r="O11" s="54">
        <v>0</v>
      </c>
      <c r="P11" s="54">
        <v>0.74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185</v>
      </c>
      <c r="B12" s="54">
        <v>14.91</v>
      </c>
      <c r="C12" s="54">
        <v>51.93</v>
      </c>
      <c r="D12" s="54">
        <v>41.11</v>
      </c>
      <c r="E12" s="54">
        <v>0.12</v>
      </c>
      <c r="F12" s="54">
        <v>3.26</v>
      </c>
      <c r="G12" s="54">
        <v>82.02</v>
      </c>
      <c r="H12" s="54">
        <v>28.20</v>
      </c>
      <c r="I12" s="54">
        <v>1.54</v>
      </c>
      <c r="J12" s="54">
        <v>0.23</v>
      </c>
      <c r="K12" s="54">
        <v>314.77</v>
      </c>
      <c r="L12" s="54">
        <v>15.12</v>
      </c>
      <c r="M12" s="54">
        <v>96</v>
      </c>
      <c r="N12" s="54">
        <v>9.3000000000000007</v>
      </c>
      <c r="O12" s="54">
        <v>0</v>
      </c>
      <c r="P12" s="54">
        <v>0.65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186</v>
      </c>
      <c r="B13" s="54">
        <v>20.90</v>
      </c>
      <c r="C13" s="54">
        <v>52.53</v>
      </c>
      <c r="D13" s="54">
        <v>46.04</v>
      </c>
      <c r="E13" s="54">
        <v>0.08</v>
      </c>
      <c r="F13" s="54">
        <v>3.19</v>
      </c>
      <c r="G13" s="54">
        <v>81.28</v>
      </c>
      <c r="H13" s="54">
        <v>28.44</v>
      </c>
      <c r="I13" s="54">
        <v>1.56</v>
      </c>
      <c r="J13" s="54">
        <v>0.37</v>
      </c>
      <c r="K13" s="54">
        <v>349.90</v>
      </c>
      <c r="L13" s="54">
        <v>14.72</v>
      </c>
      <c r="M13" s="54">
        <v>94.65</v>
      </c>
      <c r="N13" s="54">
        <v>9.1999999999999993</v>
      </c>
      <c r="O13" s="54">
        <v>0</v>
      </c>
      <c r="P13" s="54">
        <v>0.61</v>
      </c>
      <c r="Q13" s="54">
        <v>6.68</v>
      </c>
      <c r="R13" s="43"/>
      <c r="S13" s="43"/>
      <c r="T13" s="43"/>
      <c r="U13" s="43"/>
    </row>
    <row r="14" spans="1:21" s="11" customFormat="1" ht="15">
      <c r="A14" s="53" t="s">
        <v>187</v>
      </c>
      <c r="B14" s="54">
        <v>19.54</v>
      </c>
      <c r="C14" s="54">
        <v>53.54</v>
      </c>
      <c r="D14" s="54">
        <v>45.52</v>
      </c>
      <c r="E14" s="54">
        <v>0.09</v>
      </c>
      <c r="F14" s="54">
        <v>3.25</v>
      </c>
      <c r="G14" s="54">
        <v>77.459999999999994</v>
      </c>
      <c r="H14" s="54">
        <v>34.090000000000003</v>
      </c>
      <c r="I14" s="54">
        <v>1.57</v>
      </c>
      <c r="J14" s="54">
        <v>0.27</v>
      </c>
      <c r="K14" s="54">
        <v>337.98</v>
      </c>
      <c r="L14" s="54">
        <v>14.86</v>
      </c>
      <c r="M14" s="54">
        <v>88.60</v>
      </c>
      <c r="N14" s="54">
        <v>9.1999999999999993</v>
      </c>
      <c r="O14" s="54">
        <v>0</v>
      </c>
      <c r="P14" s="54">
        <v>0.57999999999999996</v>
      </c>
      <c r="Q14" s="54">
        <v>6.60</v>
      </c>
      <c r="R14" s="43"/>
      <c r="S14" s="43"/>
      <c r="T14" s="43"/>
      <c r="U14" s="43"/>
    </row>
    <row r="15" spans="1:21" s="11" customFormat="1" ht="15">
      <c r="A15" s="53" t="s">
        <v>188</v>
      </c>
      <c r="B15" s="54">
        <v>20.63</v>
      </c>
      <c r="C15" s="54">
        <v>53.71</v>
      </c>
      <c r="D15" s="54">
        <v>46.59</v>
      </c>
      <c r="E15" s="54">
        <v>0.14000000000000001</v>
      </c>
      <c r="F15" s="54">
        <v>3.34</v>
      </c>
      <c r="G15" s="54">
        <v>78.36</v>
      </c>
      <c r="H15" s="54">
        <v>40.200000000000003</v>
      </c>
      <c r="I15" s="54">
        <v>1.52</v>
      </c>
      <c r="J15" s="54">
        <v>0.30</v>
      </c>
      <c r="K15" s="54">
        <v>346.74</v>
      </c>
      <c r="L15" s="54">
        <v>14.63</v>
      </c>
      <c r="M15" s="54">
        <v>91.23</v>
      </c>
      <c r="N15" s="54">
        <v>26.20</v>
      </c>
      <c r="O15" s="54">
        <v>0</v>
      </c>
      <c r="P15" s="54">
        <v>0.62</v>
      </c>
      <c r="Q15" s="54">
        <v>6.86</v>
      </c>
      <c r="R15" s="43"/>
      <c r="S15" s="43"/>
      <c r="T15" s="43"/>
      <c r="U15" s="43"/>
    </row>
    <row r="16" spans="1:21" s="11" customFormat="1" ht="15">
      <c r="A16" s="53" t="s">
        <v>189</v>
      </c>
      <c r="B16" s="54">
        <v>22.98</v>
      </c>
      <c r="C16" s="54">
        <v>53.19</v>
      </c>
      <c r="D16" s="54">
        <v>48.28</v>
      </c>
      <c r="E16" s="54">
        <v>0.15</v>
      </c>
      <c r="F16" s="54">
        <v>3.31</v>
      </c>
      <c r="G16" s="54">
        <v>104.98</v>
      </c>
      <c r="H16" s="54">
        <v>40.700000000000003</v>
      </c>
      <c r="I16" s="54">
        <v>1.51</v>
      </c>
      <c r="J16" s="54">
        <v>0.35</v>
      </c>
      <c r="K16" s="54">
        <v>357.02</v>
      </c>
      <c r="L16" s="54">
        <v>16.25</v>
      </c>
      <c r="M16" s="54">
        <v>89.95</v>
      </c>
      <c r="N16" s="54">
        <v>120.20</v>
      </c>
      <c r="O16" s="54">
        <v>0</v>
      </c>
      <c r="P16" s="54">
        <v>0.71</v>
      </c>
      <c r="Q16" s="54">
        <v>7.62</v>
      </c>
      <c r="R16" s="43"/>
      <c r="S16" s="43"/>
      <c r="T16" s="43"/>
      <c r="U16" s="43"/>
    </row>
    <row r="17" spans="1:21" s="11" customFormat="1" ht="15">
      <c r="A17" s="53" t="s">
        <v>190</v>
      </c>
      <c r="B17" s="54">
        <v>25.47</v>
      </c>
      <c r="C17" s="54">
        <v>56.05</v>
      </c>
      <c r="D17" s="54">
        <v>51.75</v>
      </c>
      <c r="E17" s="54">
        <v>0.24</v>
      </c>
      <c r="F17" s="54">
        <v>3.41</v>
      </c>
      <c r="G17" s="54">
        <v>126.22</v>
      </c>
      <c r="H17" s="54">
        <v>54.39</v>
      </c>
      <c r="I17" s="54">
        <v>1.5</v>
      </c>
      <c r="J17" s="54">
        <v>0.63</v>
      </c>
      <c r="K17" s="54">
        <v>342.66</v>
      </c>
      <c r="L17" s="54">
        <v>18.22</v>
      </c>
      <c r="M17" s="54">
        <v>75.44</v>
      </c>
      <c r="N17" s="54">
        <v>231.40</v>
      </c>
      <c r="O17" s="54">
        <v>0</v>
      </c>
      <c r="P17" s="54">
        <v>0.77</v>
      </c>
      <c r="Q17" s="54">
        <v>8.5399999999999991</v>
      </c>
      <c r="R17" s="43"/>
      <c r="S17" s="43"/>
      <c r="T17" s="43"/>
      <c r="U17" s="43"/>
    </row>
    <row r="18" spans="1:21" s="11" customFormat="1" ht="15">
      <c r="A18" s="53" t="s">
        <v>191</v>
      </c>
      <c r="B18" s="54">
        <v>23.34</v>
      </c>
      <c r="C18" s="54">
        <v>58.53</v>
      </c>
      <c r="D18" s="54">
        <v>50.08</v>
      </c>
      <c r="E18" s="54">
        <v>0.23</v>
      </c>
      <c r="F18" s="54">
        <v>3.25</v>
      </c>
      <c r="G18" s="54">
        <v>123.39</v>
      </c>
      <c r="H18" s="54">
        <v>52.53</v>
      </c>
      <c r="I18" s="54">
        <v>1.55</v>
      </c>
      <c r="J18" s="54">
        <v>1.38</v>
      </c>
      <c r="K18" s="54">
        <v>111.44</v>
      </c>
      <c r="L18" s="54">
        <v>19.79</v>
      </c>
      <c r="M18" s="54">
        <v>76.34</v>
      </c>
      <c r="N18" s="54">
        <v>345.60</v>
      </c>
      <c r="O18" s="54">
        <v>0</v>
      </c>
      <c r="P18" s="54">
        <v>0.77</v>
      </c>
      <c r="Q18" s="54">
        <v>8.44</v>
      </c>
      <c r="R18" s="43"/>
      <c r="S18" s="43"/>
      <c r="T18" s="43"/>
      <c r="U18" s="43"/>
    </row>
    <row r="19" spans="1:21" s="11" customFormat="1" ht="15">
      <c r="A19" s="53" t="s">
        <v>192</v>
      </c>
      <c r="B19" s="54">
        <v>15.49</v>
      </c>
      <c r="C19" s="54">
        <v>60.33</v>
      </c>
      <c r="D19" s="54">
        <v>45.52</v>
      </c>
      <c r="E19" s="54">
        <v>0.18</v>
      </c>
      <c r="F19" s="54">
        <v>3.47</v>
      </c>
      <c r="G19" s="54">
        <v>106.74</v>
      </c>
      <c r="H19" s="54">
        <v>43.27</v>
      </c>
      <c r="I19" s="54">
        <v>1.53</v>
      </c>
      <c r="J19" s="54">
        <v>0.90</v>
      </c>
      <c r="K19" s="54">
        <v>332.90</v>
      </c>
      <c r="L19" s="54">
        <v>24.89</v>
      </c>
      <c r="M19" s="54">
        <v>64.47</v>
      </c>
      <c r="N19" s="54">
        <v>404</v>
      </c>
      <c r="O19" s="54">
        <v>0</v>
      </c>
      <c r="P19" s="54">
        <v>0.75</v>
      </c>
      <c r="Q19" s="54">
        <v>6.79</v>
      </c>
      <c r="R19" s="43"/>
      <c r="S19" s="43"/>
      <c r="T19" s="43"/>
      <c r="U19" s="43"/>
    </row>
    <row r="20" spans="1:21" s="11" customFormat="1" ht="15">
      <c r="A20" s="53" t="s">
        <v>193</v>
      </c>
      <c r="B20" s="54">
        <v>9.85</v>
      </c>
      <c r="C20" s="54">
        <v>65.540000000000006</v>
      </c>
      <c r="D20" s="54">
        <v>43.01</v>
      </c>
      <c r="E20" s="54">
        <v>0.18</v>
      </c>
      <c r="F20" s="54">
        <v>3.93</v>
      </c>
      <c r="G20" s="54">
        <v>96.85</v>
      </c>
      <c r="H20" s="54">
        <v>44.20</v>
      </c>
      <c r="I20" s="54">
        <v>1.52</v>
      </c>
      <c r="J20" s="54">
        <v>0.81</v>
      </c>
      <c r="K20" s="54">
        <v>344.83</v>
      </c>
      <c r="L20" s="54">
        <v>27.02</v>
      </c>
      <c r="M20" s="54">
        <v>43.69</v>
      </c>
      <c r="N20" s="54">
        <v>426.90</v>
      </c>
      <c r="O20" s="54">
        <v>0</v>
      </c>
      <c r="P20" s="54">
        <v>0.78</v>
      </c>
      <c r="Q20" s="54">
        <v>5.35</v>
      </c>
      <c r="R20" s="43"/>
      <c r="S20" s="43"/>
      <c r="T20" s="43"/>
      <c r="U20" s="43"/>
    </row>
    <row r="21" spans="1:21" s="11" customFormat="1" ht="15">
      <c r="A21" s="53" t="s">
        <v>194</v>
      </c>
      <c r="B21" s="54">
        <v>8.59</v>
      </c>
      <c r="C21" s="54">
        <v>69.400000000000006</v>
      </c>
      <c r="D21" s="54">
        <v>45.84</v>
      </c>
      <c r="E21" s="54">
        <v>0.11</v>
      </c>
      <c r="F21" s="54">
        <v>3.66</v>
      </c>
      <c r="G21" s="54">
        <v>96.28</v>
      </c>
      <c r="H21" s="54">
        <v>43</v>
      </c>
      <c r="I21" s="54">
        <v>1.53</v>
      </c>
      <c r="J21" s="54">
        <v>1.87</v>
      </c>
      <c r="K21" s="54">
        <v>351.48</v>
      </c>
      <c r="L21" s="54">
        <v>25.85</v>
      </c>
      <c r="M21" s="54">
        <v>45.52</v>
      </c>
      <c r="N21" s="54">
        <v>400.90</v>
      </c>
      <c r="O21" s="54">
        <v>0</v>
      </c>
      <c r="P21" s="54">
        <v>0.80</v>
      </c>
      <c r="Q21" s="54">
        <v>5.95</v>
      </c>
      <c r="R21" s="43"/>
      <c r="S21" s="43"/>
      <c r="T21" s="43"/>
      <c r="U21" s="43"/>
    </row>
    <row r="22" spans="1:21" s="11" customFormat="1" ht="15">
      <c r="A22" s="53" t="s">
        <v>195</v>
      </c>
      <c r="B22" s="54">
        <v>8.39</v>
      </c>
      <c r="C22" s="54">
        <v>72.36</v>
      </c>
      <c r="D22" s="54">
        <v>47.31</v>
      </c>
      <c r="E22" s="54">
        <v>0.41</v>
      </c>
      <c r="F22" s="54">
        <v>3.81</v>
      </c>
      <c r="G22" s="54">
        <v>100.21</v>
      </c>
      <c r="H22" s="54">
        <v>38.24</v>
      </c>
      <c r="I22" s="54">
        <v>1.53</v>
      </c>
      <c r="J22" s="54">
        <v>1.74</v>
      </c>
      <c r="K22" s="54">
        <v>343.40</v>
      </c>
      <c r="L22" s="54">
        <v>26.11</v>
      </c>
      <c r="M22" s="54">
        <v>47.46</v>
      </c>
      <c r="N22" s="54">
        <v>377.70</v>
      </c>
      <c r="O22" s="54">
        <v>0</v>
      </c>
      <c r="P22" s="54">
        <v>0.80</v>
      </c>
      <c r="Q22" s="54">
        <v>6.71</v>
      </c>
      <c r="R22" s="43"/>
      <c r="S22" s="43"/>
      <c r="T22" s="43"/>
      <c r="U22" s="43"/>
    </row>
    <row r="23" spans="1:21" s="11" customFormat="1" ht="15">
      <c r="A23" s="53" t="s">
        <v>196</v>
      </c>
      <c r="B23" s="54">
        <v>8.15</v>
      </c>
      <c r="C23" s="54">
        <v>75.14</v>
      </c>
      <c r="D23" s="54">
        <v>47.96</v>
      </c>
      <c r="E23" s="54">
        <v>0.11</v>
      </c>
      <c r="F23" s="54">
        <v>4.05</v>
      </c>
      <c r="G23" s="54">
        <v>117.20</v>
      </c>
      <c r="H23" s="54">
        <v>38.82</v>
      </c>
      <c r="I23" s="54">
        <v>1.53</v>
      </c>
      <c r="J23" s="54">
        <v>2.0299999999999998</v>
      </c>
      <c r="K23" s="54">
        <v>344.57</v>
      </c>
      <c r="L23" s="54">
        <v>24.21</v>
      </c>
      <c r="M23" s="54">
        <v>52.22</v>
      </c>
      <c r="N23" s="54">
        <v>207.10</v>
      </c>
      <c r="O23" s="54">
        <v>0</v>
      </c>
      <c r="P23" s="54">
        <v>0.82</v>
      </c>
      <c r="Q23" s="54">
        <v>7.23</v>
      </c>
      <c r="R23" s="43"/>
      <c r="S23" s="43"/>
      <c r="T23" s="43"/>
      <c r="U23" s="43"/>
    </row>
    <row r="24" spans="1:21" s="11" customFormat="1" ht="15">
      <c r="A24" s="53" t="s">
        <v>197</v>
      </c>
      <c r="B24" s="54">
        <v>7.92</v>
      </c>
      <c r="C24" s="54">
        <v>75.150000000000006</v>
      </c>
      <c r="D24" s="54">
        <v>48.13</v>
      </c>
      <c r="E24" s="54">
        <v>0.15</v>
      </c>
      <c r="F24" s="54">
        <v>3.73</v>
      </c>
      <c r="G24" s="54">
        <v>115.71</v>
      </c>
      <c r="H24" s="54">
        <v>40.64</v>
      </c>
      <c r="I24" s="54">
        <v>1.55</v>
      </c>
      <c r="J24" s="54">
        <v>1.55</v>
      </c>
      <c r="K24" s="54">
        <v>343.77</v>
      </c>
      <c r="L24" s="54">
        <v>23.23</v>
      </c>
      <c r="M24" s="54">
        <v>54.43</v>
      </c>
      <c r="N24" s="54">
        <v>128.30000000000001</v>
      </c>
      <c r="O24" s="54">
        <v>0</v>
      </c>
      <c r="P24" s="54">
        <v>0.85</v>
      </c>
      <c r="Q24" s="54">
        <v>7.49</v>
      </c>
      <c r="R24" s="43"/>
      <c r="S24" s="43"/>
      <c r="T24" s="43"/>
      <c r="U24" s="43"/>
    </row>
    <row r="25" spans="1:21" s="11" customFormat="1" ht="15">
      <c r="A25" s="53" t="s">
        <v>198</v>
      </c>
      <c r="B25" s="54">
        <v>9.6199999999999992</v>
      </c>
      <c r="C25" s="54">
        <v>74.59</v>
      </c>
      <c r="D25" s="54">
        <v>49.52</v>
      </c>
      <c r="E25" s="54">
        <v>0.21</v>
      </c>
      <c r="F25" s="54">
        <v>3.56</v>
      </c>
      <c r="G25" s="54">
        <v>107.08</v>
      </c>
      <c r="H25" s="54">
        <v>40.42</v>
      </c>
      <c r="I25" s="54">
        <v>1.56</v>
      </c>
      <c r="J25" s="54">
        <v>0.97</v>
      </c>
      <c r="K25" s="54">
        <v>344.70</v>
      </c>
      <c r="L25" s="54">
        <v>21.91</v>
      </c>
      <c r="M25" s="54">
        <v>59.13</v>
      </c>
      <c r="N25" s="54">
        <v>51</v>
      </c>
      <c r="O25" s="54">
        <v>0</v>
      </c>
      <c r="P25" s="54">
        <v>0.92</v>
      </c>
      <c r="Q25" s="54">
        <v>7.69</v>
      </c>
      <c r="R25" s="43"/>
      <c r="S25" s="43"/>
      <c r="T25" s="43"/>
      <c r="U25" s="43"/>
    </row>
    <row r="26" spans="1:21" s="11" customFormat="1" ht="15">
      <c r="A26" s="53" t="s">
        <v>199</v>
      </c>
      <c r="B26" s="54">
        <v>15.44</v>
      </c>
      <c r="C26" s="54">
        <v>75.5</v>
      </c>
      <c r="D26" s="54">
        <v>54.68</v>
      </c>
      <c r="E26" s="54">
        <v>0.26</v>
      </c>
      <c r="F26" s="54">
        <v>3.36</v>
      </c>
      <c r="G26" s="54">
        <v>121.62</v>
      </c>
      <c r="H26" s="54">
        <v>40.43</v>
      </c>
      <c r="I26" s="54">
        <v>1.55</v>
      </c>
      <c r="J26" s="54">
        <v>0.71</v>
      </c>
      <c r="K26" s="54">
        <v>347.90</v>
      </c>
      <c r="L26" s="54">
        <v>20.84</v>
      </c>
      <c r="M26" s="54">
        <v>64.61</v>
      </c>
      <c r="N26" s="54">
        <v>15.40</v>
      </c>
      <c r="O26" s="54">
        <v>0</v>
      </c>
      <c r="P26" s="54">
        <v>1.1000000000000001</v>
      </c>
      <c r="Q26" s="54">
        <v>8.5299999999999994</v>
      </c>
      <c r="R26" s="43"/>
      <c r="S26" s="43"/>
      <c r="T26" s="43"/>
      <c r="U26" s="43"/>
    </row>
    <row r="27" spans="1:21" s="11" customFormat="1" ht="15">
      <c r="A27" s="53" t="s">
        <v>200</v>
      </c>
      <c r="B27" s="54">
        <v>15.71</v>
      </c>
      <c r="C27" s="54">
        <v>74.86</v>
      </c>
      <c r="D27" s="54">
        <v>54.56</v>
      </c>
      <c r="E27" s="54">
        <v>0.23</v>
      </c>
      <c r="F27" s="54">
        <v>3.57</v>
      </c>
      <c r="G27" s="54">
        <v>128.16999999999999</v>
      </c>
      <c r="H27" s="54">
        <v>42.69</v>
      </c>
      <c r="I27" s="54">
        <v>1.53</v>
      </c>
      <c r="J27" s="54">
        <v>0.67</v>
      </c>
      <c r="K27" s="54">
        <v>109.80</v>
      </c>
      <c r="L27" s="54">
        <v>19.53</v>
      </c>
      <c r="M27" s="54">
        <v>66.94</v>
      </c>
      <c r="N27" s="54">
        <v>9.6999999999999993</v>
      </c>
      <c r="O27" s="54">
        <v>0</v>
      </c>
      <c r="P27" s="54">
        <v>1.1399999999999999</v>
      </c>
      <c r="Q27" s="54">
        <v>8.51</v>
      </c>
      <c r="R27" s="43"/>
      <c r="S27" s="43"/>
      <c r="T27" s="43"/>
      <c r="U27" s="43"/>
    </row>
    <row r="28" spans="1:21" s="11" customFormat="1" ht="15">
      <c r="A28" s="53" t="s">
        <v>201</v>
      </c>
      <c r="B28" s="54">
        <v>16.649999999999999</v>
      </c>
      <c r="C28" s="54">
        <v>72.30</v>
      </c>
      <c r="D28" s="54">
        <v>51.35</v>
      </c>
      <c r="E28" s="54">
        <v>0.28000000000000003</v>
      </c>
      <c r="F28" s="54">
        <v>3.38</v>
      </c>
      <c r="G28" s="54">
        <v>125.49</v>
      </c>
      <c r="H28" s="54">
        <v>47.20</v>
      </c>
      <c r="I28" s="54">
        <v>1.56</v>
      </c>
      <c r="J28" s="54">
        <v>0.40</v>
      </c>
      <c r="K28" s="54">
        <v>349.28</v>
      </c>
      <c r="L28" s="54">
        <v>19.59</v>
      </c>
      <c r="M28" s="54">
        <v>70.680000000000007</v>
      </c>
      <c r="N28" s="54">
        <v>9.90</v>
      </c>
      <c r="O28" s="54">
        <v>0</v>
      </c>
      <c r="P28" s="54">
        <v>1.26</v>
      </c>
      <c r="Q28" s="54">
        <v>8.24</v>
      </c>
      <c r="R28" s="43"/>
      <c r="S28" s="43"/>
      <c r="T28" s="43"/>
      <c r="U28" s="43"/>
    </row>
    <row r="29" spans="1:21" s="11" customFormat="1" ht="15">
      <c r="A29" s="53" t="s">
        <v>202</v>
      </c>
      <c r="B29" s="54">
        <v>18.04</v>
      </c>
      <c r="C29" s="54">
        <v>70.56</v>
      </c>
      <c r="D29" s="54">
        <v>53.25</v>
      </c>
      <c r="E29" s="54">
        <v>0.28000000000000003</v>
      </c>
      <c r="F29" s="54">
        <v>3.33</v>
      </c>
      <c r="G29" s="54">
        <v>120.88</v>
      </c>
      <c r="H29" s="54">
        <v>44.48</v>
      </c>
      <c r="I29" s="54">
        <v>1.53</v>
      </c>
      <c r="J29" s="54">
        <v>1.53</v>
      </c>
      <c r="K29" s="54">
        <v>349.62</v>
      </c>
      <c r="L29" s="54">
        <v>19.03</v>
      </c>
      <c r="M29" s="54">
        <v>79.680000000000007</v>
      </c>
      <c r="N29" s="54">
        <v>10.40</v>
      </c>
      <c r="O29" s="54">
        <v>0</v>
      </c>
      <c r="P29" s="54">
        <v>1.34</v>
      </c>
      <c r="Q29" s="54">
        <v>8.7100000000000009</v>
      </c>
      <c r="R29" s="43"/>
      <c r="S29" s="43"/>
      <c r="T29" s="43"/>
      <c r="U29" s="43"/>
    </row>
    <row r="30" spans="1:21" s="11" customFormat="1" ht="15">
      <c r="A30" s="53" t="s">
        <v>203</v>
      </c>
      <c r="B30" s="54">
        <v>22.65</v>
      </c>
      <c r="C30" s="54">
        <v>69.89</v>
      </c>
      <c r="D30" s="54">
        <v>54.05</v>
      </c>
      <c r="E30" s="54">
        <v>0.25</v>
      </c>
      <c r="F30" s="54">
        <v>3.36</v>
      </c>
      <c r="G30" s="54">
        <v>140.19999999999999</v>
      </c>
      <c r="H30" s="54">
        <v>51.5</v>
      </c>
      <c r="I30" s="54">
        <v>1.57</v>
      </c>
      <c r="J30" s="54">
        <v>1.25</v>
      </c>
      <c r="K30" s="54">
        <v>347.04</v>
      </c>
      <c r="L30" s="54">
        <v>17.79</v>
      </c>
      <c r="M30" s="54">
        <v>85.87</v>
      </c>
      <c r="N30" s="54">
        <v>9.8000000000000007</v>
      </c>
      <c r="O30" s="54">
        <v>0</v>
      </c>
      <c r="P30" s="54">
        <v>1.34</v>
      </c>
      <c r="Q30" s="54">
        <v>8.9700000000000006</v>
      </c>
      <c r="R30" s="43"/>
      <c r="S30" s="43"/>
      <c r="T30" s="43"/>
      <c r="U30" s="43"/>
    </row>
    <row r="31" spans="1:21" s="11" customFormat="1" ht="15">
      <c r="A31" s="53" t="s">
        <v>204</v>
      </c>
      <c r="B31" s="54">
        <v>27.34</v>
      </c>
      <c r="C31" s="54">
        <v>62.69</v>
      </c>
      <c r="D31" s="54">
        <v>53.85</v>
      </c>
      <c r="E31" s="54">
        <v>0.26</v>
      </c>
      <c r="F31" s="54">
        <v>3.18</v>
      </c>
      <c r="G31" s="54">
        <v>148.43</v>
      </c>
      <c r="H31" s="54">
        <v>66.06</v>
      </c>
      <c r="I31" s="54">
        <v>1.56</v>
      </c>
      <c r="J31" s="54">
        <v>1.39</v>
      </c>
      <c r="K31" s="54">
        <v>346.70</v>
      </c>
      <c r="L31" s="54">
        <v>17.190000000000001</v>
      </c>
      <c r="M31" s="54">
        <v>90.22</v>
      </c>
      <c r="N31" s="54">
        <v>9.8000000000000007</v>
      </c>
      <c r="O31" s="54">
        <v>0</v>
      </c>
      <c r="P31" s="54">
        <v>1.32</v>
      </c>
      <c r="Q31" s="54">
        <v>9.06</v>
      </c>
      <c r="R31" s="43"/>
      <c r="S31" s="43"/>
      <c r="T31" s="43"/>
      <c r="U31" s="43"/>
    </row>
    <row r="32" spans="1:21" s="11" customFormat="1" ht="15">
      <c r="A32" s="53" t="s">
        <v>205</v>
      </c>
      <c r="B32" s="54">
        <v>29.16</v>
      </c>
      <c r="C32" s="54">
        <v>55.64</v>
      </c>
      <c r="D32" s="54">
        <v>54.27</v>
      </c>
      <c r="E32" s="54">
        <v>0.30</v>
      </c>
      <c r="F32" s="54">
        <v>3.11</v>
      </c>
      <c r="G32" s="54">
        <v>147.80000000000001</v>
      </c>
      <c r="H32" s="54">
        <v>64.52</v>
      </c>
      <c r="I32" s="54">
        <v>1.55</v>
      </c>
      <c r="J32" s="54">
        <v>0.88</v>
      </c>
      <c r="K32" s="54">
        <v>345.30</v>
      </c>
      <c r="L32" s="54">
        <v>16.61</v>
      </c>
      <c r="M32" s="54">
        <v>91.54</v>
      </c>
      <c r="N32" s="54">
        <v>9.40</v>
      </c>
      <c r="O32" s="54">
        <v>0</v>
      </c>
      <c r="P32" s="54">
        <v>1.28</v>
      </c>
      <c r="Q32" s="54">
        <v>9.09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7.9199999999999999</v>
      </c>
      <c r="C34" s="28">
        <f t="shared" si="0"/>
        <v>51.460000000000001</v>
      </c>
      <c r="D34" s="28">
        <f t="shared" si="0"/>
        <v>38.329999999999998</v>
      </c>
      <c r="E34" s="28">
        <f t="shared" si="0"/>
        <v>0.080000000000000002</v>
      </c>
      <c r="F34" s="28">
        <f t="shared" si="0"/>
        <v>3.1099999999999999</v>
      </c>
      <c r="G34" s="28">
        <f t="shared" si="0"/>
        <v>50.219999999999999</v>
      </c>
      <c r="H34" s="28">
        <f t="shared" si="0"/>
        <v>13.029999999999999</v>
      </c>
      <c r="I34" s="28">
        <f t="shared" si="0"/>
        <v>1.5</v>
      </c>
      <c r="J34" s="28">
        <f t="shared" si="0"/>
        <v>0.13</v>
      </c>
      <c r="K34" s="28">
        <f t="shared" si="0"/>
        <v>109.8</v>
      </c>
      <c r="L34" s="28">
        <f t="shared" si="0"/>
        <v>14.630000000000001</v>
      </c>
      <c r="M34" s="28">
        <f t="shared" si="0"/>
        <v>43.689999999999998</v>
      </c>
      <c r="N34" s="28">
        <f t="shared" si="0"/>
        <v>9.1999999999999993</v>
      </c>
      <c r="O34" s="28">
        <f t="shared" si="0"/>
        <v>0</v>
      </c>
      <c r="P34" s="28">
        <f t="shared" si="0"/>
        <v>0.57999999999999996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29.16</v>
      </c>
      <c r="C35" s="29">
        <f t="shared" si="1"/>
        <v>75.5</v>
      </c>
      <c r="D35" s="29">
        <f t="shared" si="1"/>
        <v>54.68</v>
      </c>
      <c r="E35" s="29">
        <f t="shared" si="1"/>
        <v>0.40999999999999998</v>
      </c>
      <c r="F35" s="29">
        <f t="shared" si="1"/>
        <v>4.0499999999999998</v>
      </c>
      <c r="G35" s="29">
        <f t="shared" si="1"/>
        <v>148.43000000000001</v>
      </c>
      <c r="H35" s="29">
        <f t="shared" si="1"/>
        <v>66.060000000000002</v>
      </c>
      <c r="I35" s="29">
        <f t="shared" si="1"/>
        <v>1.6499999999999999</v>
      </c>
      <c r="J35" s="29">
        <f t="shared" si="1"/>
        <v>2.0299999999999998</v>
      </c>
      <c r="K35" s="29">
        <f t="shared" si="1"/>
        <v>357.01999999999998</v>
      </c>
      <c r="L35" s="29">
        <f t="shared" si="1"/>
        <v>27.02</v>
      </c>
      <c r="M35" s="29">
        <f t="shared" si="1"/>
        <v>96</v>
      </c>
      <c r="N35" s="29">
        <f t="shared" si="1"/>
        <v>426.89999999999998</v>
      </c>
      <c r="O35" s="29">
        <f t="shared" si="1"/>
        <v>0</v>
      </c>
      <c r="P35" s="29">
        <f t="shared" si="1"/>
        <v>1.3400000000000001</v>
      </c>
      <c r="Q35" s="29">
        <f t="shared" si="1"/>
        <v>9.0899999999999999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16.512083333333329</v>
      </c>
      <c r="C36" s="28">
        <f t="shared" si="2"/>
        <v>63.352499999999999</v>
      </c>
      <c r="D36" s="28">
        <f t="shared" si="2"/>
        <v>48.136666666666663</v>
      </c>
      <c r="E36" s="28">
        <f t="shared" si="2"/>
        <v>0.19624999999999995</v>
      </c>
      <c r="F36" s="28">
        <f t="shared" si="2"/>
        <v>3.4437499999999996</v>
      </c>
      <c r="G36" s="28">
        <f t="shared" si="2"/>
        <v>104.46666666666665</v>
      </c>
      <c r="H36" s="28">
        <f t="shared" si="2"/>
        <v>42.603749999999991</v>
      </c>
      <c r="I36" s="28">
        <f t="shared" si="2"/>
        <v>1.5466666666666669</v>
      </c>
      <c r="J36" s="28">
        <f t="shared" si="2"/>
        <v>0.87208333333333332</v>
      </c>
      <c r="K36" s="28">
        <f t="shared" si="2"/>
        <v>315.22166666666664</v>
      </c>
      <c r="L36" s="28">
        <f t="shared" si="2"/>
        <v>19.512500000000003</v>
      </c>
      <c r="M36" s="28">
        <f t="shared" si="2"/>
        <v>74.139583333333363</v>
      </c>
      <c r="N36" s="28">
        <f t="shared" si="2"/>
        <v>118.74583333333335</v>
      </c>
      <c r="O36" s="28">
        <f t="shared" si="2"/>
        <v>0</v>
      </c>
      <c r="P36" s="28">
        <f t="shared" si="2"/>
        <v>0.90958333333333341</v>
      </c>
      <c r="Q36" s="28">
        <f t="shared" si="2"/>
        <v>7.3058333333333332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6.4906159546698339</v>
      </c>
      <c r="C37" s="28">
        <f t="shared" si="3" ref="C37:Q37">STDEV(C9:C32)</f>
        <v>9.0282798448276633</v>
      </c>
      <c r="D37" s="28">
        <f t="shared" si="3"/>
        <v>4.7551945661895738</v>
      </c>
      <c r="E37" s="28">
        <f t="shared" si="3"/>
        <v>0.080098444863587956</v>
      </c>
      <c r="F37" s="28">
        <f t="shared" si="3"/>
        <v>0.24260923133804038</v>
      </c>
      <c r="G37" s="28">
        <f t="shared" si="3"/>
        <v>28.122003247753689</v>
      </c>
      <c r="H37" s="28">
        <f t="shared" si="3"/>
        <v>11.011581575974851</v>
      </c>
      <c r="I37" s="28">
        <f t="shared" si="3"/>
        <v>0.029142329390747748</v>
      </c>
      <c r="J37" s="28">
        <f t="shared" si="3"/>
        <v>0.58671509393339738</v>
      </c>
      <c r="K37" s="28">
        <f t="shared" si="3"/>
        <v>71.424791985311003</v>
      </c>
      <c r="L37" s="28">
        <f t="shared" si="3"/>
        <v>3.9168923462579088</v>
      </c>
      <c r="M37" s="28">
        <f t="shared" si="3"/>
        <v>16.999347168837495</v>
      </c>
      <c r="N37" s="28">
        <f t="shared" si="3"/>
        <v>156.2941095420305</v>
      </c>
      <c r="O37" s="28">
        <f t="shared" si="3"/>
        <v>0</v>
      </c>
      <c r="P37" s="28">
        <f t="shared" si="3"/>
        <v>0.2506769819416263</v>
      </c>
      <c r="Q37" s="28">
        <f t="shared" si="3"/>
        <v>1.2947818908710189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c63fa23-6742-42e1-88e1-bd84b9e06bae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206</v>
      </c>
      <c r="B9" s="54">
        <v>27.42</v>
      </c>
      <c r="C9" s="54">
        <v>56.53</v>
      </c>
      <c r="D9" s="54">
        <v>53.22</v>
      </c>
      <c r="E9" s="54">
        <v>0.17</v>
      </c>
      <c r="F9" s="54">
        <v>3.10</v>
      </c>
      <c r="G9" s="54">
        <v>142.61000000000001</v>
      </c>
      <c r="H9" s="54">
        <v>68.099999999999994</v>
      </c>
      <c r="I9" s="54">
        <v>1.52</v>
      </c>
      <c r="J9" s="54">
        <v>0.84</v>
      </c>
      <c r="K9" s="54">
        <v>346.91</v>
      </c>
      <c r="L9" s="54">
        <v>16.37</v>
      </c>
      <c r="M9" s="54">
        <v>92.51</v>
      </c>
      <c r="N9" s="54">
        <v>9.60</v>
      </c>
      <c r="O9" s="54">
        <v>0</v>
      </c>
      <c r="P9" s="54">
        <v>1.19</v>
      </c>
      <c r="Q9" s="54">
        <v>8.93</v>
      </c>
      <c r="R9" s="43"/>
      <c r="S9" s="43"/>
      <c r="T9" s="43"/>
      <c r="U9" s="43"/>
    </row>
    <row r="10" spans="1:21" s="11" customFormat="1" ht="15">
      <c r="A10" s="53" t="s">
        <v>207</v>
      </c>
      <c r="B10" s="54">
        <v>24.52</v>
      </c>
      <c r="C10" s="54">
        <v>54.90</v>
      </c>
      <c r="D10" s="54">
        <v>49.01</v>
      </c>
      <c r="E10" s="54">
        <v>0.18</v>
      </c>
      <c r="F10" s="54">
        <v>3.53</v>
      </c>
      <c r="G10" s="54">
        <v>132.05000000000001</v>
      </c>
      <c r="H10" s="54">
        <v>67.05</v>
      </c>
      <c r="I10" s="54">
        <v>1.51</v>
      </c>
      <c r="J10" s="54">
        <v>0.98</v>
      </c>
      <c r="K10" s="54">
        <v>349.09</v>
      </c>
      <c r="L10" s="54">
        <v>15.97</v>
      </c>
      <c r="M10" s="54">
        <v>96.62</v>
      </c>
      <c r="N10" s="54">
        <v>9.5</v>
      </c>
      <c r="O10" s="54">
        <v>0</v>
      </c>
      <c r="P10" s="54">
        <v>1.1000000000000001</v>
      </c>
      <c r="Q10" s="54">
        <v>8.49</v>
      </c>
      <c r="R10" s="43"/>
      <c r="S10" s="43"/>
      <c r="T10" s="43"/>
      <c r="U10" s="43"/>
    </row>
    <row r="11" spans="1:21" s="11" customFormat="1" ht="15">
      <c r="A11" s="53" t="s">
        <v>208</v>
      </c>
      <c r="B11" s="54">
        <v>26.85</v>
      </c>
      <c r="C11" s="54">
        <v>50.01</v>
      </c>
      <c r="D11" s="54">
        <v>49.73</v>
      </c>
      <c r="E11" s="54">
        <v>0.18</v>
      </c>
      <c r="F11" s="54">
        <v>3.27</v>
      </c>
      <c r="G11" s="54">
        <v>138.16</v>
      </c>
      <c r="H11" s="54">
        <v>64.20</v>
      </c>
      <c r="I11" s="54">
        <v>1.5</v>
      </c>
      <c r="J11" s="54">
        <v>0.52</v>
      </c>
      <c r="K11" s="54">
        <v>352.55</v>
      </c>
      <c r="L11" s="54">
        <v>15.43</v>
      </c>
      <c r="M11" s="54">
        <v>99.13</v>
      </c>
      <c r="N11" s="54">
        <v>9.3000000000000007</v>
      </c>
      <c r="O11" s="54">
        <v>0</v>
      </c>
      <c r="P11" s="54">
        <v>1.07</v>
      </c>
      <c r="Q11" s="54">
        <v>8.49</v>
      </c>
      <c r="R11" s="43"/>
      <c r="S11" s="43"/>
      <c r="T11" s="43"/>
      <c r="U11" s="43"/>
    </row>
    <row r="12" spans="1:21" s="11" customFormat="1" ht="15">
      <c r="A12" s="53" t="s">
        <v>209</v>
      </c>
      <c r="B12" s="54">
        <v>26.47</v>
      </c>
      <c r="C12" s="54">
        <v>50.68</v>
      </c>
      <c r="D12" s="54">
        <v>49.41</v>
      </c>
      <c r="E12" s="54">
        <v>0.13</v>
      </c>
      <c r="F12" s="54">
        <v>3.11</v>
      </c>
      <c r="G12" s="54">
        <v>137.28</v>
      </c>
      <c r="H12" s="54">
        <v>63.58</v>
      </c>
      <c r="I12" s="54">
        <v>1.59</v>
      </c>
      <c r="J12" s="54">
        <v>0.55000000000000004</v>
      </c>
      <c r="K12" s="54">
        <v>349.65</v>
      </c>
      <c r="L12" s="54">
        <v>14.88</v>
      </c>
      <c r="M12" s="54">
        <v>99.98</v>
      </c>
      <c r="N12" s="54">
        <v>9.1999999999999993</v>
      </c>
      <c r="O12" s="54">
        <v>0</v>
      </c>
      <c r="P12" s="54">
        <v>1.02</v>
      </c>
      <c r="Q12" s="54">
        <v>8.56</v>
      </c>
      <c r="R12" s="43"/>
      <c r="S12" s="43"/>
      <c r="T12" s="43"/>
      <c r="U12" s="43"/>
    </row>
    <row r="13" spans="1:21" s="11" customFormat="1" ht="15">
      <c r="A13" s="53" t="s">
        <v>210</v>
      </c>
      <c r="B13" s="54">
        <v>24.40</v>
      </c>
      <c r="C13" s="54">
        <v>50.94</v>
      </c>
      <c r="D13" s="54">
        <v>48.33</v>
      </c>
      <c r="E13" s="54">
        <v>0.25</v>
      </c>
      <c r="F13" s="54">
        <v>3.09</v>
      </c>
      <c r="G13" s="54">
        <v>130.80000000000001</v>
      </c>
      <c r="H13" s="54">
        <v>58.57</v>
      </c>
      <c r="I13" s="54">
        <v>1.49</v>
      </c>
      <c r="J13" s="54">
        <v>0.61</v>
      </c>
      <c r="K13" s="54">
        <v>343.36</v>
      </c>
      <c r="L13" s="54">
        <v>14.63</v>
      </c>
      <c r="M13" s="54">
        <v>98.80</v>
      </c>
      <c r="N13" s="54">
        <v>9.1999999999999993</v>
      </c>
      <c r="O13" s="54">
        <v>0</v>
      </c>
      <c r="P13" s="54">
        <v>0.96</v>
      </c>
      <c r="Q13" s="54">
        <v>8.4600000000000009</v>
      </c>
      <c r="R13" s="43"/>
      <c r="S13" s="43"/>
      <c r="T13" s="43"/>
      <c r="U13" s="43"/>
    </row>
    <row r="14" spans="1:21" s="11" customFormat="1" ht="15">
      <c r="A14" s="53" t="s">
        <v>211</v>
      </c>
      <c r="B14" s="54">
        <v>25.80</v>
      </c>
      <c r="C14" s="54">
        <v>50.01</v>
      </c>
      <c r="D14" s="54">
        <v>47.56</v>
      </c>
      <c r="E14" s="54">
        <v>0.24</v>
      </c>
      <c r="F14" s="54">
        <v>3.25</v>
      </c>
      <c r="G14" s="54">
        <v>119.78</v>
      </c>
      <c r="H14" s="54">
        <v>50.28</v>
      </c>
      <c r="I14" s="54">
        <v>1.54</v>
      </c>
      <c r="J14" s="54">
        <v>0.65</v>
      </c>
      <c r="K14" s="54">
        <v>349.80</v>
      </c>
      <c r="L14" s="54">
        <v>14.45</v>
      </c>
      <c r="M14" s="54">
        <v>98.85</v>
      </c>
      <c r="N14" s="54">
        <v>9.3000000000000007</v>
      </c>
      <c r="O14" s="54">
        <v>0</v>
      </c>
      <c r="P14" s="54">
        <v>0.91</v>
      </c>
      <c r="Q14" s="54">
        <v>8.43</v>
      </c>
      <c r="R14" s="43"/>
      <c r="S14" s="43"/>
      <c r="T14" s="43"/>
      <c r="U14" s="43"/>
    </row>
    <row r="15" spans="1:21" s="11" customFormat="1" ht="15">
      <c r="A15" s="53" t="s">
        <v>212</v>
      </c>
      <c r="B15" s="54">
        <v>29.82</v>
      </c>
      <c r="C15" s="54">
        <v>48.02</v>
      </c>
      <c r="D15" s="54">
        <v>50.75</v>
      </c>
      <c r="E15" s="54">
        <v>0.27</v>
      </c>
      <c r="F15" s="54">
        <v>3.29</v>
      </c>
      <c r="G15" s="54">
        <v>114.72</v>
      </c>
      <c r="H15" s="54">
        <v>52.52</v>
      </c>
      <c r="I15" s="54">
        <v>1.52</v>
      </c>
      <c r="J15" s="54">
        <v>0.22</v>
      </c>
      <c r="K15" s="54">
        <v>352.58</v>
      </c>
      <c r="L15" s="54">
        <v>14.17</v>
      </c>
      <c r="M15" s="54">
        <v>98.89</v>
      </c>
      <c r="N15" s="54">
        <v>25</v>
      </c>
      <c r="O15" s="54">
        <v>0</v>
      </c>
      <c r="P15" s="54">
        <v>0.93</v>
      </c>
      <c r="Q15" s="54">
        <v>8.57</v>
      </c>
      <c r="R15" s="43"/>
      <c r="S15" s="43"/>
      <c r="T15" s="43"/>
      <c r="U15" s="43"/>
    </row>
    <row r="16" spans="1:21" s="11" customFormat="1" ht="15">
      <c r="A16" s="53" t="s">
        <v>213</v>
      </c>
      <c r="B16" s="54">
        <v>31.65</v>
      </c>
      <c r="C16" s="54">
        <v>48.72</v>
      </c>
      <c r="D16" s="54">
        <v>52.59</v>
      </c>
      <c r="E16" s="54">
        <v>0.28999999999999998</v>
      </c>
      <c r="F16" s="54">
        <v>3.21</v>
      </c>
      <c r="G16" s="54">
        <v>113.79</v>
      </c>
      <c r="H16" s="54">
        <v>52.03</v>
      </c>
      <c r="I16" s="54">
        <v>1.53</v>
      </c>
      <c r="J16" s="54">
        <v>0.53</v>
      </c>
      <c r="K16" s="54">
        <v>343.99</v>
      </c>
      <c r="L16" s="54">
        <v>15.66</v>
      </c>
      <c r="M16" s="54">
        <v>98.87</v>
      </c>
      <c r="N16" s="54">
        <v>123.90</v>
      </c>
      <c r="O16" s="54">
        <v>0</v>
      </c>
      <c r="P16" s="54">
        <v>0.95</v>
      </c>
      <c r="Q16" s="54">
        <v>8.69</v>
      </c>
      <c r="R16" s="43"/>
      <c r="S16" s="43"/>
      <c r="T16" s="43"/>
      <c r="U16" s="43"/>
    </row>
    <row r="17" spans="1:21" s="11" customFormat="1" ht="15">
      <c r="A17" s="53" t="s">
        <v>214</v>
      </c>
      <c r="B17" s="54">
        <v>29.81</v>
      </c>
      <c r="C17" s="54">
        <v>52.33</v>
      </c>
      <c r="D17" s="54">
        <v>52.06</v>
      </c>
      <c r="E17" s="54">
        <v>0.23</v>
      </c>
      <c r="F17" s="54">
        <v>3.35</v>
      </c>
      <c r="G17" s="54">
        <v>108.08</v>
      </c>
      <c r="H17" s="54">
        <v>56.75</v>
      </c>
      <c r="I17" s="54">
        <v>1.53</v>
      </c>
      <c r="J17" s="54">
        <v>0.97</v>
      </c>
      <c r="K17" s="54">
        <v>115.47</v>
      </c>
      <c r="L17" s="54">
        <v>17.850000000000001</v>
      </c>
      <c r="M17" s="54">
        <v>90.53</v>
      </c>
      <c r="N17" s="54">
        <v>263.80</v>
      </c>
      <c r="O17" s="54">
        <v>0</v>
      </c>
      <c r="P17" s="54">
        <v>0.94</v>
      </c>
      <c r="Q17" s="54">
        <v>8.64</v>
      </c>
      <c r="R17" s="43"/>
      <c r="S17" s="43"/>
      <c r="T17" s="43"/>
      <c r="U17" s="43"/>
    </row>
    <row r="18" spans="1:21" s="11" customFormat="1" ht="15">
      <c r="A18" s="53" t="s">
        <v>215</v>
      </c>
      <c r="B18" s="54">
        <v>22.60</v>
      </c>
      <c r="C18" s="54">
        <v>56.16</v>
      </c>
      <c r="D18" s="54">
        <v>48</v>
      </c>
      <c r="E18" s="54">
        <v>0.22</v>
      </c>
      <c r="F18" s="54">
        <v>3.36</v>
      </c>
      <c r="G18" s="54">
        <v>104.19</v>
      </c>
      <c r="H18" s="54">
        <v>54.43</v>
      </c>
      <c r="I18" s="54">
        <v>1.55</v>
      </c>
      <c r="J18" s="54">
        <v>1.57</v>
      </c>
      <c r="K18" s="54">
        <v>113.77</v>
      </c>
      <c r="L18" s="54">
        <v>20.260000000000002</v>
      </c>
      <c r="M18" s="54">
        <v>78.53</v>
      </c>
      <c r="N18" s="54">
        <v>388.70</v>
      </c>
      <c r="O18" s="54">
        <v>0</v>
      </c>
      <c r="P18" s="54">
        <v>0.93</v>
      </c>
      <c r="Q18" s="54">
        <v>7.73</v>
      </c>
      <c r="R18" s="43"/>
      <c r="S18" s="43"/>
      <c r="T18" s="43"/>
      <c r="U18" s="43"/>
    </row>
    <row r="19" spans="1:21" s="11" customFormat="1" ht="15">
      <c r="A19" s="53" t="s">
        <v>216</v>
      </c>
      <c r="B19" s="54">
        <v>16.649999999999999</v>
      </c>
      <c r="C19" s="54">
        <v>57.38</v>
      </c>
      <c r="D19" s="54">
        <v>45.31</v>
      </c>
      <c r="E19" s="54">
        <v>0.24</v>
      </c>
      <c r="F19" s="54">
        <v>3.35</v>
      </c>
      <c r="G19" s="54">
        <v>102.85</v>
      </c>
      <c r="H19" s="54">
        <v>50.61</v>
      </c>
      <c r="I19" s="54">
        <v>1.54</v>
      </c>
      <c r="J19" s="54">
        <v>1.5</v>
      </c>
      <c r="K19" s="54">
        <v>113.55</v>
      </c>
      <c r="L19" s="54">
        <v>22.01</v>
      </c>
      <c r="M19" s="54">
        <v>64.92</v>
      </c>
      <c r="N19" s="54">
        <v>446.10</v>
      </c>
      <c r="O19" s="54">
        <v>0</v>
      </c>
      <c r="P19" s="54">
        <v>0.90</v>
      </c>
      <c r="Q19" s="54">
        <v>6.88</v>
      </c>
      <c r="R19" s="43"/>
      <c r="S19" s="43"/>
      <c r="T19" s="43"/>
      <c r="U19" s="43"/>
    </row>
    <row r="20" spans="1:21" s="11" customFormat="1" ht="15">
      <c r="A20" s="53" t="s">
        <v>217</v>
      </c>
      <c r="B20" s="54">
        <v>10.78</v>
      </c>
      <c r="C20" s="54">
        <v>58.77</v>
      </c>
      <c r="D20" s="54">
        <v>41.19</v>
      </c>
      <c r="E20" s="54">
        <v>0.25</v>
      </c>
      <c r="F20" s="54">
        <v>3.58</v>
      </c>
      <c r="G20" s="54">
        <v>97</v>
      </c>
      <c r="H20" s="54">
        <v>49.78</v>
      </c>
      <c r="I20" s="54">
        <v>1.51</v>
      </c>
      <c r="J20" s="54">
        <v>0.78</v>
      </c>
      <c r="K20" s="54">
        <v>123.20</v>
      </c>
      <c r="L20" s="54">
        <v>24.16</v>
      </c>
      <c r="M20" s="54">
        <v>50.57</v>
      </c>
      <c r="N20" s="54">
        <v>470.5</v>
      </c>
      <c r="O20" s="54">
        <v>0</v>
      </c>
      <c r="P20" s="54">
        <v>0.84</v>
      </c>
      <c r="Q20" s="54">
        <v>5.46</v>
      </c>
      <c r="R20" s="43"/>
      <c r="S20" s="43"/>
      <c r="T20" s="43"/>
      <c r="U20" s="43"/>
    </row>
    <row r="21" spans="1:21" s="11" customFormat="1" ht="15">
      <c r="A21" s="53" t="s">
        <v>218</v>
      </c>
      <c r="B21" s="54">
        <v>7.51</v>
      </c>
      <c r="C21" s="54">
        <v>58.38</v>
      </c>
      <c r="D21" s="54">
        <v>38.89</v>
      </c>
      <c r="E21" s="54">
        <v>0.27</v>
      </c>
      <c r="F21" s="54">
        <v>3.85</v>
      </c>
      <c r="G21" s="54">
        <v>88.03</v>
      </c>
      <c r="H21" s="54">
        <v>44.90</v>
      </c>
      <c r="I21" s="54">
        <v>1.55</v>
      </c>
      <c r="J21" s="54">
        <v>0.91</v>
      </c>
      <c r="K21" s="54">
        <v>121.77</v>
      </c>
      <c r="L21" s="54">
        <v>25.47</v>
      </c>
      <c r="M21" s="54">
        <v>46.03</v>
      </c>
      <c r="N21" s="54">
        <v>472</v>
      </c>
      <c r="O21" s="54">
        <v>0</v>
      </c>
      <c r="P21" s="54">
        <v>0.79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219</v>
      </c>
      <c r="B22" s="54">
        <v>4.84</v>
      </c>
      <c r="C22" s="54">
        <v>57.62</v>
      </c>
      <c r="D22" s="54">
        <v>35.630000000000003</v>
      </c>
      <c r="E22" s="54">
        <v>0.36</v>
      </c>
      <c r="F22" s="54">
        <v>4.25</v>
      </c>
      <c r="G22" s="54">
        <v>78.930000000000007</v>
      </c>
      <c r="H22" s="54">
        <v>41.22</v>
      </c>
      <c r="I22" s="54">
        <v>1.60</v>
      </c>
      <c r="J22" s="54">
        <v>0.88</v>
      </c>
      <c r="K22" s="54">
        <v>342.14</v>
      </c>
      <c r="L22" s="54">
        <v>26.91</v>
      </c>
      <c r="M22" s="54">
        <v>41.41</v>
      </c>
      <c r="N22" s="54">
        <v>425.30</v>
      </c>
      <c r="O22" s="54">
        <v>0</v>
      </c>
      <c r="P22" s="54">
        <v>0.72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220</v>
      </c>
      <c r="B23" s="54">
        <v>4.0199999999999996</v>
      </c>
      <c r="C23" s="54">
        <v>59.38</v>
      </c>
      <c r="D23" s="54">
        <v>36.64</v>
      </c>
      <c r="E23" s="54">
        <v>0.26</v>
      </c>
      <c r="F23" s="54">
        <v>4.3600000000000003</v>
      </c>
      <c r="G23" s="54">
        <v>73.95</v>
      </c>
      <c r="H23" s="54">
        <v>39.24</v>
      </c>
      <c r="I23" s="54">
        <v>1.54</v>
      </c>
      <c r="J23" s="54">
        <v>0.77</v>
      </c>
      <c r="K23" s="54">
        <v>345.68</v>
      </c>
      <c r="L23" s="54">
        <v>26.45</v>
      </c>
      <c r="M23" s="54">
        <v>39.18</v>
      </c>
      <c r="N23" s="54">
        <v>203.20</v>
      </c>
      <c r="O23" s="54">
        <v>0</v>
      </c>
      <c r="P23" s="54">
        <v>0.71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221</v>
      </c>
      <c r="B24" s="54">
        <v>4.63</v>
      </c>
      <c r="C24" s="54">
        <v>60.11</v>
      </c>
      <c r="D24" s="54">
        <v>37.49</v>
      </c>
      <c r="E24" s="54">
        <v>0.28999999999999998</v>
      </c>
      <c r="F24" s="54">
        <v>4.20</v>
      </c>
      <c r="G24" s="54">
        <v>71.48</v>
      </c>
      <c r="H24" s="54">
        <v>35.78</v>
      </c>
      <c r="I24" s="54">
        <v>1.57</v>
      </c>
      <c r="J24" s="54">
        <v>0.65</v>
      </c>
      <c r="K24" s="54">
        <v>347.09</v>
      </c>
      <c r="L24" s="54">
        <v>24.76</v>
      </c>
      <c r="M24" s="54">
        <v>41.5</v>
      </c>
      <c r="N24" s="54">
        <v>108.20</v>
      </c>
      <c r="O24" s="54">
        <v>0</v>
      </c>
      <c r="P24" s="54">
        <v>0.71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222</v>
      </c>
      <c r="B25" s="54">
        <v>5.52</v>
      </c>
      <c r="C25" s="54">
        <v>64.19</v>
      </c>
      <c r="D25" s="54">
        <v>40.5</v>
      </c>
      <c r="E25" s="54">
        <v>0.12</v>
      </c>
      <c r="F25" s="54">
        <v>3.98</v>
      </c>
      <c r="G25" s="54">
        <v>68.61</v>
      </c>
      <c r="H25" s="54">
        <v>30.04</v>
      </c>
      <c r="I25" s="54">
        <v>1.49</v>
      </c>
      <c r="J25" s="54">
        <v>1</v>
      </c>
      <c r="K25" s="54">
        <v>346.09</v>
      </c>
      <c r="L25" s="54">
        <v>24.03</v>
      </c>
      <c r="M25" s="54">
        <v>46.58</v>
      </c>
      <c r="N25" s="54">
        <v>59.80</v>
      </c>
      <c r="O25" s="54">
        <v>0</v>
      </c>
      <c r="P25" s="54">
        <v>0.82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223</v>
      </c>
      <c r="B26" s="54">
        <v>7.79</v>
      </c>
      <c r="C26" s="54">
        <v>64.55</v>
      </c>
      <c r="D26" s="54">
        <v>42.29</v>
      </c>
      <c r="E26" s="54">
        <v>0.15</v>
      </c>
      <c r="F26" s="54">
        <v>3.38</v>
      </c>
      <c r="G26" s="54">
        <v>72.23</v>
      </c>
      <c r="H26" s="54">
        <v>31.97</v>
      </c>
      <c r="I26" s="54">
        <v>1.54</v>
      </c>
      <c r="J26" s="54">
        <v>0.13</v>
      </c>
      <c r="K26" s="54">
        <v>71.489999999999995</v>
      </c>
      <c r="L26" s="54">
        <v>22.32</v>
      </c>
      <c r="M26" s="54">
        <v>60.40</v>
      </c>
      <c r="N26" s="54">
        <v>19.20</v>
      </c>
      <c r="O26" s="54">
        <v>0</v>
      </c>
      <c r="P26" s="54">
        <v>0.92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224</v>
      </c>
      <c r="B27" s="54">
        <v>8.85</v>
      </c>
      <c r="C27" s="54">
        <v>63.92</v>
      </c>
      <c r="D27" s="54">
        <v>42.73</v>
      </c>
      <c r="E27" s="54">
        <v>0.16</v>
      </c>
      <c r="F27" s="54">
        <v>3.60</v>
      </c>
      <c r="G27" s="54">
        <v>75.709999999999994</v>
      </c>
      <c r="H27" s="54">
        <v>33.44</v>
      </c>
      <c r="I27" s="54">
        <v>1.51</v>
      </c>
      <c r="J27" s="54">
        <v>0.19</v>
      </c>
      <c r="K27" s="54">
        <v>86.61</v>
      </c>
      <c r="L27" s="54">
        <v>20.47</v>
      </c>
      <c r="M27" s="54">
        <v>56.92</v>
      </c>
      <c r="N27" s="54">
        <v>9.8000000000000007</v>
      </c>
      <c r="O27" s="54">
        <v>0</v>
      </c>
      <c r="P27" s="54">
        <v>0.99</v>
      </c>
      <c r="Q27" s="54">
        <v>5.47</v>
      </c>
      <c r="R27" s="43"/>
      <c r="S27" s="43"/>
      <c r="T27" s="43"/>
      <c r="U27" s="43"/>
    </row>
    <row r="28" spans="1:21" s="11" customFormat="1" ht="15">
      <c r="A28" s="53" t="s">
        <v>225</v>
      </c>
      <c r="B28" s="54">
        <v>10.98</v>
      </c>
      <c r="C28" s="54">
        <v>63.99</v>
      </c>
      <c r="D28" s="54">
        <v>44.76</v>
      </c>
      <c r="E28" s="54">
        <v>0.21</v>
      </c>
      <c r="F28" s="54">
        <v>3.61</v>
      </c>
      <c r="G28" s="54">
        <v>85.39</v>
      </c>
      <c r="H28" s="54">
        <v>35.64</v>
      </c>
      <c r="I28" s="54">
        <v>1.52</v>
      </c>
      <c r="J28" s="54">
        <v>0.21</v>
      </c>
      <c r="K28" s="54">
        <v>86.39</v>
      </c>
      <c r="L28" s="54">
        <v>19.739999999999998</v>
      </c>
      <c r="M28" s="54">
        <v>60.91</v>
      </c>
      <c r="N28" s="54">
        <v>9.6999999999999993</v>
      </c>
      <c r="O28" s="54">
        <v>0</v>
      </c>
      <c r="P28" s="54">
        <v>1.05</v>
      </c>
      <c r="Q28" s="54">
        <v>6.41</v>
      </c>
      <c r="R28" s="43"/>
      <c r="S28" s="43"/>
      <c r="T28" s="43"/>
      <c r="U28" s="43"/>
    </row>
    <row r="29" spans="1:21" s="11" customFormat="1" ht="15">
      <c r="A29" s="53" t="s">
        <v>226</v>
      </c>
      <c r="B29" s="54">
        <v>10.63</v>
      </c>
      <c r="C29" s="54">
        <v>69.56</v>
      </c>
      <c r="D29" s="54">
        <v>46.79</v>
      </c>
      <c r="E29" s="54">
        <v>0.21</v>
      </c>
      <c r="F29" s="54">
        <v>3.60</v>
      </c>
      <c r="G29" s="54">
        <v>96.84</v>
      </c>
      <c r="H29" s="54">
        <v>39.020000000000003</v>
      </c>
      <c r="I29" s="54">
        <v>1.61</v>
      </c>
      <c r="J29" s="54">
        <v>0.13</v>
      </c>
      <c r="K29" s="54">
        <v>321.01</v>
      </c>
      <c r="L29" s="54">
        <v>18.87</v>
      </c>
      <c r="M29" s="54">
        <v>68.06</v>
      </c>
      <c r="N29" s="54">
        <v>9.8000000000000007</v>
      </c>
      <c r="O29" s="54">
        <v>0</v>
      </c>
      <c r="P29" s="54">
        <v>1.22</v>
      </c>
      <c r="Q29" s="54">
        <v>6.88</v>
      </c>
      <c r="R29" s="43"/>
      <c r="S29" s="43"/>
      <c r="T29" s="43"/>
      <c r="U29" s="43"/>
    </row>
    <row r="30" spans="1:21" s="11" customFormat="1" ht="15">
      <c r="A30" s="53" t="s">
        <v>227</v>
      </c>
      <c r="B30" s="54">
        <v>9.32</v>
      </c>
      <c r="C30" s="54">
        <v>70.44</v>
      </c>
      <c r="D30" s="54">
        <v>46.91</v>
      </c>
      <c r="E30" s="54">
        <v>0.23</v>
      </c>
      <c r="F30" s="54">
        <v>3.49</v>
      </c>
      <c r="G30" s="54">
        <v>117.94</v>
      </c>
      <c r="H30" s="54">
        <v>48.26</v>
      </c>
      <c r="I30" s="54">
        <v>1.53</v>
      </c>
      <c r="J30" s="54">
        <v>0.70</v>
      </c>
      <c r="K30" s="54">
        <v>335.12</v>
      </c>
      <c r="L30" s="54">
        <v>18.350000000000001</v>
      </c>
      <c r="M30" s="54">
        <v>73.05</v>
      </c>
      <c r="N30" s="54">
        <v>9.60</v>
      </c>
      <c r="O30" s="54">
        <v>0</v>
      </c>
      <c r="P30" s="54">
        <v>1.24</v>
      </c>
      <c r="Q30" s="54">
        <v>6.81</v>
      </c>
      <c r="R30" s="43"/>
      <c r="S30" s="43"/>
      <c r="T30" s="43"/>
      <c r="U30" s="43"/>
    </row>
    <row r="31" spans="1:21" s="11" customFormat="1" ht="15">
      <c r="A31" s="53" t="s">
        <v>228</v>
      </c>
      <c r="B31" s="54">
        <v>9.41</v>
      </c>
      <c r="C31" s="54">
        <v>69.48</v>
      </c>
      <c r="D31" s="54">
        <v>45.88</v>
      </c>
      <c r="E31" s="54">
        <v>0.15</v>
      </c>
      <c r="F31" s="54">
        <v>3.53</v>
      </c>
      <c r="G31" s="54">
        <v>116.97</v>
      </c>
      <c r="H31" s="54">
        <v>48.96</v>
      </c>
      <c r="I31" s="54">
        <v>1.57</v>
      </c>
      <c r="J31" s="54">
        <v>0.49</v>
      </c>
      <c r="K31" s="54">
        <v>331.65</v>
      </c>
      <c r="L31" s="54">
        <v>17.940000000000001</v>
      </c>
      <c r="M31" s="54">
        <v>79.13</v>
      </c>
      <c r="N31" s="54">
        <v>9.90</v>
      </c>
      <c r="O31" s="54">
        <v>0</v>
      </c>
      <c r="P31" s="54">
        <v>1.19</v>
      </c>
      <c r="Q31" s="54">
        <v>6.48</v>
      </c>
      <c r="R31" s="43"/>
      <c r="S31" s="43"/>
      <c r="T31" s="43"/>
      <c r="U31" s="43"/>
    </row>
    <row r="32" spans="1:21" s="11" customFormat="1" ht="15">
      <c r="A32" s="53" t="s">
        <v>229</v>
      </c>
      <c r="B32" s="54">
        <v>8.77</v>
      </c>
      <c r="C32" s="54">
        <v>65.66</v>
      </c>
      <c r="D32" s="54">
        <v>43.91</v>
      </c>
      <c r="E32" s="54">
        <v>0.16</v>
      </c>
      <c r="F32" s="54">
        <v>3.34</v>
      </c>
      <c r="G32" s="54">
        <v>110.47</v>
      </c>
      <c r="H32" s="54">
        <v>48.63</v>
      </c>
      <c r="I32" s="54">
        <v>1.51</v>
      </c>
      <c r="J32" s="54">
        <v>0.20</v>
      </c>
      <c r="K32" s="54">
        <v>338.89</v>
      </c>
      <c r="L32" s="54">
        <v>17.12</v>
      </c>
      <c r="M32" s="54">
        <v>84.92</v>
      </c>
      <c r="N32" s="54">
        <v>9.8000000000000007</v>
      </c>
      <c r="O32" s="54">
        <v>0</v>
      </c>
      <c r="P32" s="54">
        <v>1.1200000000000001</v>
      </c>
      <c r="Q32" s="54">
        <v>5.94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4.0199999999999996</v>
      </c>
      <c r="C34" s="28">
        <f t="shared" si="0"/>
        <v>48.020000000000003</v>
      </c>
      <c r="D34" s="28">
        <f t="shared" si="0"/>
        <v>35.630000000000003</v>
      </c>
      <c r="E34" s="28">
        <f t="shared" si="0"/>
        <v>0.12</v>
      </c>
      <c r="F34" s="28">
        <f t="shared" si="0"/>
        <v>3.0899999999999999</v>
      </c>
      <c r="G34" s="28">
        <f t="shared" si="0"/>
        <v>68.609999999999999</v>
      </c>
      <c r="H34" s="28">
        <f t="shared" si="0"/>
        <v>30.039999999999999</v>
      </c>
      <c r="I34" s="28">
        <f t="shared" si="0"/>
        <v>1.49</v>
      </c>
      <c r="J34" s="28">
        <f t="shared" si="0"/>
        <v>0.13</v>
      </c>
      <c r="K34" s="28">
        <f t="shared" si="0"/>
        <v>71.489999999999995</v>
      </c>
      <c r="L34" s="28">
        <f t="shared" si="0"/>
        <v>14.17</v>
      </c>
      <c r="M34" s="28">
        <f t="shared" si="0"/>
        <v>39.18</v>
      </c>
      <c r="N34" s="28">
        <f t="shared" si="0"/>
        <v>9.1999999999999993</v>
      </c>
      <c r="O34" s="28">
        <f t="shared" si="0"/>
        <v>0</v>
      </c>
      <c r="P34" s="28">
        <f t="shared" si="0"/>
        <v>0.70999999999999996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31.649999999999999</v>
      </c>
      <c r="C35" s="29">
        <f t="shared" si="1"/>
        <v>70.439999999999998</v>
      </c>
      <c r="D35" s="29">
        <f t="shared" si="1"/>
        <v>53.219999999999999</v>
      </c>
      <c r="E35" s="29">
        <f t="shared" si="1"/>
        <v>0.35999999999999999</v>
      </c>
      <c r="F35" s="29">
        <f t="shared" si="1"/>
        <v>4.3600000000000003</v>
      </c>
      <c r="G35" s="29">
        <f t="shared" si="1"/>
        <v>142.61000000000001</v>
      </c>
      <c r="H35" s="29">
        <f t="shared" si="1"/>
        <v>68.099999999999994</v>
      </c>
      <c r="I35" s="29">
        <f t="shared" si="1"/>
        <v>1.6100000000000001</v>
      </c>
      <c r="J35" s="29">
        <f t="shared" si="1"/>
        <v>1.5700000000000001</v>
      </c>
      <c r="K35" s="29">
        <f t="shared" si="1"/>
        <v>352.57999999999998</v>
      </c>
      <c r="L35" s="29">
        <f t="shared" si="1"/>
        <v>26.91</v>
      </c>
      <c r="M35" s="29">
        <f t="shared" si="1"/>
        <v>99.980000000000004</v>
      </c>
      <c r="N35" s="29">
        <f t="shared" si="1"/>
        <v>472</v>
      </c>
      <c r="O35" s="29">
        <f t="shared" si="1"/>
        <v>0</v>
      </c>
      <c r="P35" s="29">
        <f t="shared" si="1"/>
        <v>1.24</v>
      </c>
      <c r="Q35" s="29">
        <f t="shared" si="1"/>
        <v>8.9299999999999997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16.209999999999997</v>
      </c>
      <c r="C36" s="28">
        <f t="shared" si="2"/>
        <v>58.405416666666667</v>
      </c>
      <c r="D36" s="28">
        <f t="shared" si="2"/>
        <v>45.399166666666673</v>
      </c>
      <c r="E36" s="28">
        <f t="shared" si="2"/>
        <v>0.21750000000000005</v>
      </c>
      <c r="F36" s="28">
        <f t="shared" si="2"/>
        <v>3.5283333333333329</v>
      </c>
      <c r="G36" s="28">
        <f t="shared" si="2"/>
        <v>104.07749999999999</v>
      </c>
      <c r="H36" s="28">
        <f t="shared" si="2"/>
        <v>48.541666666666664</v>
      </c>
      <c r="I36" s="28">
        <f t="shared" si="2"/>
        <v>1.5362500000000001</v>
      </c>
      <c r="J36" s="28">
        <f t="shared" si="2"/>
        <v>0.66583333333333339</v>
      </c>
      <c r="K36" s="28">
        <f t="shared" si="2"/>
        <v>263.66041666666666</v>
      </c>
      <c r="L36" s="28">
        <f t="shared" si="2"/>
        <v>19.511249999999997</v>
      </c>
      <c r="M36" s="28">
        <f t="shared" si="2"/>
        <v>73.595416666666665</v>
      </c>
      <c r="N36" s="28">
        <f t="shared" si="2"/>
        <v>130.01666666666668</v>
      </c>
      <c r="O36" s="28">
        <f t="shared" si="2"/>
        <v>0</v>
      </c>
      <c r="P36" s="28">
        <f t="shared" si="2"/>
        <v>0.96750000000000014</v>
      </c>
      <c r="Q36" s="28">
        <f t="shared" si="2"/>
        <v>6.9408333333333312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9.7487889994871537</v>
      </c>
      <c r="C37" s="28">
        <f t="shared" si="3" ref="C37:Q37">STDEV(C9:C32)</f>
        <v>6.911888296177862</v>
      </c>
      <c r="D37" s="28">
        <f t="shared" si="3"/>
        <v>5.0924171391235999</v>
      </c>
      <c r="E37" s="28">
        <f t="shared" si="3"/>
        <v>0.058847629334246337</v>
      </c>
      <c r="F37" s="28">
        <f t="shared" si="3"/>
        <v>0.36082835455279205</v>
      </c>
      <c r="G37" s="28">
        <f t="shared" si="3"/>
        <v>23.317358014633903</v>
      </c>
      <c r="H37" s="28">
        <f t="shared" si="3"/>
        <v>11.140381566592579</v>
      </c>
      <c r="I37" s="28">
        <f t="shared" si="3"/>
        <v>0.032545954133114376</v>
      </c>
      <c r="J37" s="28">
        <f t="shared" si="3"/>
        <v>0.38948033010183153</v>
      </c>
      <c r="K37" s="28">
        <f t="shared" si="3"/>
        <v>116.00198283459629</v>
      </c>
      <c r="L37" s="28">
        <f t="shared" si="3"/>
        <v>4.1160452869651429</v>
      </c>
      <c r="M37" s="28">
        <f t="shared" si="3"/>
        <v>22.113688064609246</v>
      </c>
      <c r="N37" s="28">
        <f t="shared" si="3"/>
        <v>176.07176073276554</v>
      </c>
      <c r="O37" s="28">
        <f t="shared" si="3"/>
        <v>0</v>
      </c>
      <c r="P37" s="28">
        <f t="shared" si="3"/>
        <v>0.15823070663350694</v>
      </c>
      <c r="Q37" s="28">
        <f t="shared" si="3"/>
        <v>1.459284865555929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59e2bc-4740-4f49-b123-0b0e91675a5e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2" sqref="G62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230</v>
      </c>
      <c r="B9" s="54">
        <v>10.37</v>
      </c>
      <c r="C9" s="54">
        <v>61.36</v>
      </c>
      <c r="D9" s="54">
        <v>41.62</v>
      </c>
      <c r="E9" s="54">
        <v>0.20</v>
      </c>
      <c r="F9" s="54">
        <v>3.38</v>
      </c>
      <c r="G9" s="54">
        <v>101.96</v>
      </c>
      <c r="H9" s="54">
        <v>46.42</v>
      </c>
      <c r="I9" s="54">
        <v>1.52</v>
      </c>
      <c r="J9" s="54">
        <v>0.18</v>
      </c>
      <c r="K9" s="54">
        <v>310.11</v>
      </c>
      <c r="L9" s="54">
        <v>16.41</v>
      </c>
      <c r="M9" s="54">
        <v>88.13</v>
      </c>
      <c r="N9" s="54">
        <v>9.90</v>
      </c>
      <c r="O9" s="54">
        <v>0</v>
      </c>
      <c r="P9" s="54">
        <v>1.03</v>
      </c>
      <c r="Q9" s="54">
        <v>5.47</v>
      </c>
      <c r="R9" s="43"/>
      <c r="S9" s="43"/>
      <c r="T9" s="43"/>
      <c r="U9" s="43"/>
    </row>
    <row r="10" spans="1:21" s="11" customFormat="1" ht="15">
      <c r="A10" s="53" t="s">
        <v>231</v>
      </c>
      <c r="B10" s="54">
        <v>11.25</v>
      </c>
      <c r="C10" s="54">
        <v>58.82</v>
      </c>
      <c r="D10" s="54">
        <v>42.11</v>
      </c>
      <c r="E10" s="54">
        <v>0.22</v>
      </c>
      <c r="F10" s="54">
        <v>3.32</v>
      </c>
      <c r="G10" s="54">
        <v>101.70</v>
      </c>
      <c r="H10" s="54">
        <v>43.76</v>
      </c>
      <c r="I10" s="54">
        <v>1.57</v>
      </c>
      <c r="J10" s="54">
        <v>0.28000000000000003</v>
      </c>
      <c r="K10" s="54">
        <v>102.70</v>
      </c>
      <c r="L10" s="54">
        <v>16.23</v>
      </c>
      <c r="M10" s="54">
        <v>91.07</v>
      </c>
      <c r="N10" s="54">
        <v>9.8000000000000007</v>
      </c>
      <c r="O10" s="54">
        <v>0</v>
      </c>
      <c r="P10" s="54">
        <v>0.93</v>
      </c>
      <c r="Q10" s="54">
        <v>5.70</v>
      </c>
      <c r="R10" s="43"/>
      <c r="S10" s="43"/>
      <c r="T10" s="43"/>
      <c r="U10" s="43"/>
    </row>
    <row r="11" spans="1:21" s="11" customFormat="1" ht="15">
      <c r="A11" s="53" t="s">
        <v>232</v>
      </c>
      <c r="B11" s="54">
        <v>10.72</v>
      </c>
      <c r="C11" s="54">
        <v>56.45</v>
      </c>
      <c r="D11" s="54">
        <v>40.39</v>
      </c>
      <c r="E11" s="54">
        <v>0.18</v>
      </c>
      <c r="F11" s="54">
        <v>3.53</v>
      </c>
      <c r="G11" s="54">
        <v>100.27</v>
      </c>
      <c r="H11" s="54">
        <v>44.19</v>
      </c>
      <c r="I11" s="54">
        <v>1.5</v>
      </c>
      <c r="J11" s="54">
        <v>1.40</v>
      </c>
      <c r="K11" s="54">
        <v>109.89</v>
      </c>
      <c r="L11" s="54">
        <v>15.68</v>
      </c>
      <c r="M11" s="54">
        <v>92.92</v>
      </c>
      <c r="N11" s="54">
        <v>9.8000000000000007</v>
      </c>
      <c r="O11" s="54">
        <v>0</v>
      </c>
      <c r="P11" s="54">
        <v>0.86</v>
      </c>
      <c r="Q11" s="54">
        <v>5.40</v>
      </c>
      <c r="R11" s="43"/>
      <c r="S11" s="43"/>
      <c r="T11" s="43"/>
      <c r="U11" s="43"/>
    </row>
    <row r="12" spans="1:21" s="11" customFormat="1" ht="15">
      <c r="A12" s="53" t="s">
        <v>233</v>
      </c>
      <c r="B12" s="54">
        <v>8.81</v>
      </c>
      <c r="C12" s="54">
        <v>52.54</v>
      </c>
      <c r="D12" s="54">
        <v>36.57</v>
      </c>
      <c r="E12" s="54">
        <v>0.22</v>
      </c>
      <c r="F12" s="54">
        <v>3.44</v>
      </c>
      <c r="G12" s="54">
        <v>91.40</v>
      </c>
      <c r="H12" s="54">
        <v>43.81</v>
      </c>
      <c r="I12" s="54">
        <v>1.57</v>
      </c>
      <c r="J12" s="54">
        <v>0.53</v>
      </c>
      <c r="K12" s="54">
        <v>339.75</v>
      </c>
      <c r="L12" s="54">
        <v>15.42</v>
      </c>
      <c r="M12" s="54">
        <v>95.5</v>
      </c>
      <c r="N12" s="54">
        <v>9.90</v>
      </c>
      <c r="O12" s="54">
        <v>0</v>
      </c>
      <c r="P12" s="54">
        <v>0.78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234</v>
      </c>
      <c r="B13" s="54">
        <v>8.8800000000000008</v>
      </c>
      <c r="C13" s="54">
        <v>51.34</v>
      </c>
      <c r="D13" s="54">
        <v>35.78</v>
      </c>
      <c r="E13" s="54">
        <v>0.20</v>
      </c>
      <c r="F13" s="54">
        <v>3.42</v>
      </c>
      <c r="G13" s="54">
        <v>84.33</v>
      </c>
      <c r="H13" s="54">
        <v>41.74</v>
      </c>
      <c r="I13" s="54">
        <v>1.55</v>
      </c>
      <c r="J13" s="54">
        <v>0.26</v>
      </c>
      <c r="K13" s="54">
        <v>345.09</v>
      </c>
      <c r="L13" s="54">
        <v>14.65</v>
      </c>
      <c r="M13" s="54">
        <v>98.72</v>
      </c>
      <c r="N13" s="54">
        <v>9.90</v>
      </c>
      <c r="O13" s="54">
        <v>0</v>
      </c>
      <c r="P13" s="54">
        <v>0.73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235</v>
      </c>
      <c r="B14" s="54">
        <v>13.80</v>
      </c>
      <c r="C14" s="54">
        <v>50.72</v>
      </c>
      <c r="D14" s="54">
        <v>39.659999999999997</v>
      </c>
      <c r="E14" s="54">
        <v>0.26</v>
      </c>
      <c r="F14" s="54">
        <v>3.25</v>
      </c>
      <c r="G14" s="54">
        <v>83.60</v>
      </c>
      <c r="H14" s="54">
        <v>41.26</v>
      </c>
      <c r="I14" s="54">
        <v>1.56</v>
      </c>
      <c r="J14" s="54">
        <v>0.63</v>
      </c>
      <c r="K14" s="54">
        <v>345.82</v>
      </c>
      <c r="L14" s="54">
        <v>14.29</v>
      </c>
      <c r="M14" s="54">
        <v>98.73</v>
      </c>
      <c r="N14" s="54">
        <v>10</v>
      </c>
      <c r="O14" s="54">
        <v>0</v>
      </c>
      <c r="P14" s="54">
        <v>0.74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236</v>
      </c>
      <c r="B15" s="54">
        <v>27.25</v>
      </c>
      <c r="C15" s="54">
        <v>49.58</v>
      </c>
      <c r="D15" s="54">
        <v>49.12</v>
      </c>
      <c r="E15" s="54">
        <v>0.24</v>
      </c>
      <c r="F15" s="54">
        <v>3.24</v>
      </c>
      <c r="G15" s="54">
        <v>99.70</v>
      </c>
      <c r="H15" s="54">
        <v>45.05</v>
      </c>
      <c r="I15" s="54">
        <v>1.55</v>
      </c>
      <c r="J15" s="54">
        <v>0.18</v>
      </c>
      <c r="K15" s="54">
        <v>150.63</v>
      </c>
      <c r="L15" s="54">
        <v>13.93</v>
      </c>
      <c r="M15" s="54">
        <v>98.78</v>
      </c>
      <c r="N15" s="54">
        <v>24</v>
      </c>
      <c r="O15" s="54">
        <v>0</v>
      </c>
      <c r="P15" s="54">
        <v>0.89</v>
      </c>
      <c r="Q15" s="54">
        <v>8.0299999999999994</v>
      </c>
      <c r="R15" s="43"/>
      <c r="S15" s="43"/>
      <c r="T15" s="43"/>
      <c r="U15" s="43"/>
    </row>
    <row r="16" spans="1:21" s="11" customFormat="1" ht="15">
      <c r="A16" s="53" t="s">
        <v>237</v>
      </c>
      <c r="B16" s="54">
        <v>30.30</v>
      </c>
      <c r="C16" s="54">
        <v>51.19</v>
      </c>
      <c r="D16" s="54">
        <v>53.20</v>
      </c>
      <c r="E16" s="54">
        <v>0.31</v>
      </c>
      <c r="F16" s="54">
        <v>3.29</v>
      </c>
      <c r="G16" s="54">
        <v>117.72</v>
      </c>
      <c r="H16" s="54">
        <v>48.77</v>
      </c>
      <c r="I16" s="54">
        <v>1.55</v>
      </c>
      <c r="J16" s="54">
        <v>0.89</v>
      </c>
      <c r="K16" s="54">
        <v>347.20</v>
      </c>
      <c r="L16" s="54">
        <v>16.46</v>
      </c>
      <c r="M16" s="54">
        <v>98.75</v>
      </c>
      <c r="N16" s="54">
        <v>130</v>
      </c>
      <c r="O16" s="54">
        <v>0</v>
      </c>
      <c r="P16" s="54">
        <v>0.97</v>
      </c>
      <c r="Q16" s="54">
        <v>8.84</v>
      </c>
      <c r="R16" s="43"/>
      <c r="S16" s="43"/>
      <c r="T16" s="43"/>
      <c r="U16" s="43"/>
    </row>
    <row r="17" spans="1:21" s="11" customFormat="1" ht="15">
      <c r="A17" s="53" t="s">
        <v>238</v>
      </c>
      <c r="B17" s="54">
        <v>31.01</v>
      </c>
      <c r="C17" s="54">
        <v>54.56</v>
      </c>
      <c r="D17" s="54">
        <v>55.47</v>
      </c>
      <c r="E17" s="54">
        <v>0.28000000000000003</v>
      </c>
      <c r="F17" s="54">
        <v>3.40</v>
      </c>
      <c r="G17" s="54">
        <v>118.09</v>
      </c>
      <c r="H17" s="54">
        <v>49.39</v>
      </c>
      <c r="I17" s="54">
        <v>1.55</v>
      </c>
      <c r="J17" s="54">
        <v>0.77</v>
      </c>
      <c r="K17" s="54">
        <v>342.80</v>
      </c>
      <c r="L17" s="54">
        <v>19.25</v>
      </c>
      <c r="M17" s="54">
        <v>85.52</v>
      </c>
      <c r="N17" s="54">
        <v>268.39999999999998</v>
      </c>
      <c r="O17" s="54">
        <v>0</v>
      </c>
      <c r="P17" s="54">
        <v>0.98</v>
      </c>
      <c r="Q17" s="54">
        <v>9.19</v>
      </c>
      <c r="R17" s="43"/>
      <c r="S17" s="43"/>
      <c r="T17" s="43"/>
      <c r="U17" s="43"/>
    </row>
    <row r="18" spans="1:21" s="11" customFormat="1" ht="15">
      <c r="A18" s="53" t="s">
        <v>239</v>
      </c>
      <c r="B18" s="54">
        <v>30.66</v>
      </c>
      <c r="C18" s="54">
        <v>57.51</v>
      </c>
      <c r="D18" s="54">
        <v>56.03</v>
      </c>
      <c r="E18" s="54">
        <v>0.28999999999999998</v>
      </c>
      <c r="F18" s="54">
        <v>3.58</v>
      </c>
      <c r="G18" s="54">
        <v>122.44</v>
      </c>
      <c r="H18" s="54">
        <v>49.30</v>
      </c>
      <c r="I18" s="54">
        <v>1.56</v>
      </c>
      <c r="J18" s="54">
        <v>1.1299999999999999</v>
      </c>
      <c r="K18" s="54">
        <v>111.19</v>
      </c>
      <c r="L18" s="54">
        <v>19.989999999999998</v>
      </c>
      <c r="M18" s="54">
        <v>72.540000000000006</v>
      </c>
      <c r="N18" s="54">
        <v>402.60</v>
      </c>
      <c r="O18" s="54">
        <v>0</v>
      </c>
      <c r="P18" s="54">
        <v>0.98</v>
      </c>
      <c r="Q18" s="54">
        <v>9.1999999999999993</v>
      </c>
      <c r="R18" s="43"/>
      <c r="S18" s="43"/>
      <c r="T18" s="43"/>
      <c r="U18" s="43"/>
    </row>
    <row r="19" spans="1:21" s="11" customFormat="1" ht="15">
      <c r="A19" s="53" t="s">
        <v>240</v>
      </c>
      <c r="B19" s="54">
        <v>22.87</v>
      </c>
      <c r="C19" s="54">
        <v>63.5</v>
      </c>
      <c r="D19" s="54">
        <v>51.44</v>
      </c>
      <c r="E19" s="54">
        <v>0.28000000000000003</v>
      </c>
      <c r="F19" s="54">
        <v>4.18</v>
      </c>
      <c r="G19" s="54">
        <v>120.52</v>
      </c>
      <c r="H19" s="54">
        <v>48.51</v>
      </c>
      <c r="I19" s="54">
        <v>1.56</v>
      </c>
      <c r="J19" s="54">
        <v>1.27</v>
      </c>
      <c r="K19" s="54">
        <v>347.24</v>
      </c>
      <c r="L19" s="54">
        <v>23.73</v>
      </c>
      <c r="M19" s="54">
        <v>64.72</v>
      </c>
      <c r="N19" s="54">
        <v>464</v>
      </c>
      <c r="O19" s="54">
        <v>0</v>
      </c>
      <c r="P19" s="54">
        <v>0.95</v>
      </c>
      <c r="Q19" s="54">
        <v>8.7899999999999991</v>
      </c>
      <c r="R19" s="43"/>
      <c r="S19" s="43"/>
      <c r="T19" s="43"/>
      <c r="U19" s="43"/>
    </row>
    <row r="20" spans="1:21" s="11" customFormat="1" ht="15">
      <c r="A20" s="53" t="s">
        <v>241</v>
      </c>
      <c r="B20" s="54">
        <v>6.08</v>
      </c>
      <c r="C20" s="54">
        <v>68.680000000000007</v>
      </c>
      <c r="D20" s="54">
        <v>42.39</v>
      </c>
      <c r="E20" s="54">
        <v>0.28000000000000003</v>
      </c>
      <c r="F20" s="54">
        <v>4.72</v>
      </c>
      <c r="G20" s="54">
        <v>109.57</v>
      </c>
      <c r="H20" s="54">
        <v>46.59</v>
      </c>
      <c r="I20" s="54">
        <v>1.54</v>
      </c>
      <c r="J20" s="54">
        <v>0.48</v>
      </c>
      <c r="K20" s="54">
        <v>355.41</v>
      </c>
      <c r="L20" s="54">
        <v>26.42</v>
      </c>
      <c r="M20" s="54">
        <v>48.43</v>
      </c>
      <c r="N20" s="54">
        <v>491.80</v>
      </c>
      <c r="O20" s="54">
        <v>0</v>
      </c>
      <c r="P20" s="54">
        <v>0.88</v>
      </c>
      <c r="Q20" s="54">
        <v>6.41</v>
      </c>
      <c r="R20" s="43"/>
      <c r="S20" s="43"/>
      <c r="T20" s="43"/>
      <c r="U20" s="43"/>
    </row>
    <row r="21" spans="1:21" s="11" customFormat="1" ht="15">
      <c r="A21" s="53" t="s">
        <v>242</v>
      </c>
      <c r="B21" s="54">
        <v>3.52</v>
      </c>
      <c r="C21" s="54">
        <v>66.17</v>
      </c>
      <c r="D21" s="54">
        <v>39.99</v>
      </c>
      <c r="E21" s="54">
        <v>0.08</v>
      </c>
      <c r="F21" s="54">
        <v>6.23</v>
      </c>
      <c r="G21" s="54">
        <v>111.91</v>
      </c>
      <c r="H21" s="54">
        <v>46.37</v>
      </c>
      <c r="I21" s="54">
        <v>1.55</v>
      </c>
      <c r="J21" s="54">
        <v>1</v>
      </c>
      <c r="K21" s="54">
        <v>331.75</v>
      </c>
      <c r="L21" s="54">
        <v>28.70</v>
      </c>
      <c r="M21" s="54">
        <v>49.46</v>
      </c>
      <c r="N21" s="54">
        <v>499.10</v>
      </c>
      <c r="O21" s="54">
        <v>0</v>
      </c>
      <c r="P21" s="54">
        <v>0.85</v>
      </c>
      <c r="Q21" s="54">
        <v>5.77</v>
      </c>
      <c r="R21" s="43"/>
      <c r="S21" s="43"/>
      <c r="T21" s="43"/>
      <c r="U21" s="43"/>
    </row>
    <row r="22" spans="1:21" s="11" customFormat="1" ht="15">
      <c r="A22" s="53" t="s">
        <v>243</v>
      </c>
      <c r="B22" s="54">
        <v>3.07</v>
      </c>
      <c r="C22" s="54">
        <v>63.45</v>
      </c>
      <c r="D22" s="54">
        <v>37.770000000000003</v>
      </c>
      <c r="E22" s="54">
        <v>0.24</v>
      </c>
      <c r="F22" s="54">
        <v>9.36</v>
      </c>
      <c r="G22" s="54">
        <v>110.35</v>
      </c>
      <c r="H22" s="54">
        <v>45.56</v>
      </c>
      <c r="I22" s="54">
        <v>1.56</v>
      </c>
      <c r="J22" s="54">
        <v>0.65</v>
      </c>
      <c r="K22" s="54">
        <v>327.97</v>
      </c>
      <c r="L22" s="54">
        <v>29.76</v>
      </c>
      <c r="M22" s="54">
        <v>36.35</v>
      </c>
      <c r="N22" s="54">
        <v>437.90</v>
      </c>
      <c r="O22" s="54">
        <v>0</v>
      </c>
      <c r="P22" s="54">
        <v>0.77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244</v>
      </c>
      <c r="B23" s="54">
        <v>3.80</v>
      </c>
      <c r="C23" s="54">
        <v>61.21</v>
      </c>
      <c r="D23" s="54">
        <v>36.86</v>
      </c>
      <c r="E23" s="54">
        <v>0.13</v>
      </c>
      <c r="F23" s="54">
        <v>4.76</v>
      </c>
      <c r="G23" s="54">
        <v>89.25</v>
      </c>
      <c r="H23" s="54">
        <v>41.25</v>
      </c>
      <c r="I23" s="54">
        <v>1.49</v>
      </c>
      <c r="J23" s="54">
        <v>0.98</v>
      </c>
      <c r="K23" s="54">
        <v>129.27000000000001</v>
      </c>
      <c r="L23" s="54">
        <v>26.63</v>
      </c>
      <c r="M23" s="54">
        <v>38.659999999999997</v>
      </c>
      <c r="N23" s="54">
        <v>219.80</v>
      </c>
      <c r="O23" s="54">
        <v>0</v>
      </c>
      <c r="P23" s="54">
        <v>0.73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245</v>
      </c>
      <c r="B24" s="54">
        <v>4.0999999999999996</v>
      </c>
      <c r="C24" s="54">
        <v>58.21</v>
      </c>
      <c r="D24" s="54">
        <v>36.06</v>
      </c>
      <c r="E24" s="54">
        <v>0.15</v>
      </c>
      <c r="F24" s="54">
        <v>8.24</v>
      </c>
      <c r="G24" s="54">
        <v>93.19</v>
      </c>
      <c r="H24" s="54">
        <v>36.090000000000003</v>
      </c>
      <c r="I24" s="54">
        <v>1.55</v>
      </c>
      <c r="J24" s="54">
        <v>1.1200000000000001</v>
      </c>
      <c r="K24" s="54">
        <v>334.72</v>
      </c>
      <c r="L24" s="54">
        <v>25.51</v>
      </c>
      <c r="M24" s="54">
        <v>39.5</v>
      </c>
      <c r="N24" s="54">
        <v>98.80</v>
      </c>
      <c r="O24" s="54">
        <v>0</v>
      </c>
      <c r="P24" s="54">
        <v>0.69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246</v>
      </c>
      <c r="B25" s="54">
        <v>4.1500000000000004</v>
      </c>
      <c r="C25" s="54">
        <v>63.76</v>
      </c>
      <c r="D25" s="54">
        <v>39.159999999999997</v>
      </c>
      <c r="E25" s="54">
        <v>0.17</v>
      </c>
      <c r="F25" s="54">
        <v>5.1100000000000003</v>
      </c>
      <c r="G25" s="54">
        <v>87.14</v>
      </c>
      <c r="H25" s="54">
        <v>33.11</v>
      </c>
      <c r="I25" s="54">
        <v>1.55</v>
      </c>
      <c r="J25" s="54">
        <v>0.45</v>
      </c>
      <c r="K25" s="54">
        <v>108.11</v>
      </c>
      <c r="L25" s="54">
        <v>24.45</v>
      </c>
      <c r="M25" s="54">
        <v>44.45</v>
      </c>
      <c r="N25" s="54">
        <v>57.20</v>
      </c>
      <c r="O25" s="54">
        <v>0</v>
      </c>
      <c r="P25" s="54">
        <v>0.71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247</v>
      </c>
      <c r="B26" s="54">
        <v>27.63</v>
      </c>
      <c r="C26" s="54">
        <v>73.70</v>
      </c>
      <c r="D26" s="54">
        <v>63.44</v>
      </c>
      <c r="E26" s="54">
        <v>0.20</v>
      </c>
      <c r="F26" s="54">
        <v>3.70</v>
      </c>
      <c r="G26" s="54">
        <v>109.24</v>
      </c>
      <c r="H26" s="54">
        <v>32.53</v>
      </c>
      <c r="I26" s="54">
        <v>1.51</v>
      </c>
      <c r="J26" s="54">
        <v>0.14000000000000001</v>
      </c>
      <c r="K26" s="54">
        <v>355.76</v>
      </c>
      <c r="L26" s="54">
        <v>22.83</v>
      </c>
      <c r="M26" s="54">
        <v>70.88</v>
      </c>
      <c r="N26" s="54">
        <v>19.899999999999999</v>
      </c>
      <c r="O26" s="54">
        <v>0</v>
      </c>
      <c r="P26" s="54">
        <v>1.1399999999999999</v>
      </c>
      <c r="Q26" s="54">
        <v>9.27</v>
      </c>
      <c r="R26" s="43"/>
      <c r="S26" s="43"/>
      <c r="T26" s="43"/>
      <c r="U26" s="43"/>
    </row>
    <row r="27" spans="1:21" s="11" customFormat="1" ht="15">
      <c r="A27" s="53" t="s">
        <v>248</v>
      </c>
      <c r="B27" s="54">
        <v>43.25</v>
      </c>
      <c r="C27" s="54">
        <v>79.900000000000006</v>
      </c>
      <c r="D27" s="54">
        <v>79.42</v>
      </c>
      <c r="E27" s="54">
        <v>0.21</v>
      </c>
      <c r="F27" s="54">
        <v>3.26</v>
      </c>
      <c r="G27" s="54">
        <v>159.51</v>
      </c>
      <c r="H27" s="54">
        <v>38.450000000000003</v>
      </c>
      <c r="I27" s="54">
        <v>1.53</v>
      </c>
      <c r="J27" s="54">
        <v>0.39</v>
      </c>
      <c r="K27" s="54">
        <v>353.06</v>
      </c>
      <c r="L27" s="54">
        <v>20.67</v>
      </c>
      <c r="M27" s="54">
        <v>62.68</v>
      </c>
      <c r="N27" s="54">
        <v>10.199999999999999</v>
      </c>
      <c r="O27" s="54">
        <v>0</v>
      </c>
      <c r="P27" s="54">
        <v>1.59</v>
      </c>
      <c r="Q27" s="54">
        <v>10.94</v>
      </c>
      <c r="R27" s="43"/>
      <c r="S27" s="43"/>
      <c r="T27" s="43"/>
      <c r="U27" s="43"/>
    </row>
    <row r="28" spans="1:21" s="11" customFormat="1" ht="15">
      <c r="A28" s="53" t="s">
        <v>249</v>
      </c>
      <c r="B28" s="54">
        <v>52.62</v>
      </c>
      <c r="C28" s="54">
        <v>80.37</v>
      </c>
      <c r="D28" s="54">
        <v>86.79</v>
      </c>
      <c r="E28" s="54">
        <v>0.21</v>
      </c>
      <c r="F28" s="54">
        <v>3.32</v>
      </c>
      <c r="G28" s="54">
        <v>185.68</v>
      </c>
      <c r="H28" s="54">
        <v>48.17</v>
      </c>
      <c r="I28" s="54">
        <v>1.57</v>
      </c>
      <c r="J28" s="54">
        <v>0.14000000000000001</v>
      </c>
      <c r="K28" s="54">
        <v>331.26</v>
      </c>
      <c r="L28" s="54">
        <v>20.25</v>
      </c>
      <c r="M28" s="54">
        <v>62.89</v>
      </c>
      <c r="N28" s="54">
        <v>10.199999999999999</v>
      </c>
      <c r="O28" s="54">
        <v>0</v>
      </c>
      <c r="P28" s="54">
        <v>1.84</v>
      </c>
      <c r="Q28" s="54">
        <v>11.67</v>
      </c>
      <c r="R28" s="43"/>
      <c r="S28" s="43"/>
      <c r="T28" s="43"/>
      <c r="U28" s="43"/>
    </row>
    <row r="29" spans="1:21" s="11" customFormat="1" ht="15">
      <c r="A29" s="53" t="s">
        <v>250</v>
      </c>
      <c r="B29" s="54">
        <v>52.45</v>
      </c>
      <c r="C29" s="54">
        <v>80.02</v>
      </c>
      <c r="D29" s="54">
        <v>86.81</v>
      </c>
      <c r="E29" s="54">
        <v>0.33</v>
      </c>
      <c r="F29" s="54">
        <v>3.17</v>
      </c>
      <c r="G29" s="54">
        <v>183.13</v>
      </c>
      <c r="H29" s="54">
        <v>52.52</v>
      </c>
      <c r="I29" s="54">
        <v>1.56</v>
      </c>
      <c r="J29" s="54">
        <v>0.17</v>
      </c>
      <c r="K29" s="54">
        <v>78.19</v>
      </c>
      <c r="L29" s="54">
        <v>19.5</v>
      </c>
      <c r="M29" s="54">
        <v>64.08</v>
      </c>
      <c r="N29" s="54">
        <v>10.199999999999999</v>
      </c>
      <c r="O29" s="54">
        <v>0</v>
      </c>
      <c r="P29" s="54">
        <v>1.89</v>
      </c>
      <c r="Q29" s="54">
        <v>11.76</v>
      </c>
      <c r="R29" s="43"/>
      <c r="S29" s="43"/>
      <c r="T29" s="43"/>
      <c r="U29" s="43"/>
    </row>
    <row r="30" spans="1:21" s="11" customFormat="1" ht="15">
      <c r="A30" s="53" t="s">
        <v>251</v>
      </c>
      <c r="B30" s="54">
        <v>43.08</v>
      </c>
      <c r="C30" s="54">
        <v>74.94</v>
      </c>
      <c r="D30" s="54">
        <v>76.55</v>
      </c>
      <c r="E30" s="54">
        <v>0.28000000000000003</v>
      </c>
      <c r="F30" s="54">
        <v>3.22</v>
      </c>
      <c r="G30" s="54">
        <v>160.88999999999999</v>
      </c>
      <c r="H30" s="54">
        <v>51.79</v>
      </c>
      <c r="I30" s="54">
        <v>1.57</v>
      </c>
      <c r="J30" s="54">
        <v>0.13</v>
      </c>
      <c r="K30" s="54">
        <v>344.17</v>
      </c>
      <c r="L30" s="54">
        <v>18.89</v>
      </c>
      <c r="M30" s="54">
        <v>65.209999999999994</v>
      </c>
      <c r="N30" s="54">
        <v>10.199999999999999</v>
      </c>
      <c r="O30" s="54">
        <v>0</v>
      </c>
      <c r="P30" s="54">
        <v>1.83</v>
      </c>
      <c r="Q30" s="54">
        <v>11</v>
      </c>
      <c r="R30" s="43"/>
      <c r="S30" s="43"/>
      <c r="T30" s="43"/>
      <c r="U30" s="43"/>
    </row>
    <row r="31" spans="1:21" s="11" customFormat="1" ht="15">
      <c r="A31" s="53" t="s">
        <v>252</v>
      </c>
      <c r="B31" s="54">
        <v>38.299999999999997</v>
      </c>
      <c r="C31" s="54">
        <v>69.73</v>
      </c>
      <c r="D31" s="54">
        <v>69.84</v>
      </c>
      <c r="E31" s="54">
        <v>0.28999999999999998</v>
      </c>
      <c r="F31" s="54">
        <v>3.37</v>
      </c>
      <c r="G31" s="54">
        <v>112.68</v>
      </c>
      <c r="H31" s="54">
        <v>48.97</v>
      </c>
      <c r="I31" s="54">
        <v>1.56</v>
      </c>
      <c r="J31" s="54">
        <v>0.18</v>
      </c>
      <c r="K31" s="54">
        <v>342.80</v>
      </c>
      <c r="L31" s="54">
        <v>19.079999999999998</v>
      </c>
      <c r="M31" s="54">
        <v>65.77</v>
      </c>
      <c r="N31" s="54">
        <v>10.30</v>
      </c>
      <c r="O31" s="54">
        <v>0</v>
      </c>
      <c r="P31" s="54">
        <v>1.69</v>
      </c>
      <c r="Q31" s="54">
        <v>10.46</v>
      </c>
      <c r="R31" s="43"/>
      <c r="S31" s="43"/>
      <c r="T31" s="43"/>
      <c r="U31" s="43"/>
    </row>
    <row r="32" spans="1:21" s="11" customFormat="1" ht="15">
      <c r="A32" s="53" t="s">
        <v>253</v>
      </c>
      <c r="B32" s="54">
        <v>37.020000000000003</v>
      </c>
      <c r="C32" s="54">
        <v>66.56</v>
      </c>
      <c r="D32" s="54">
        <v>64.97</v>
      </c>
      <c r="E32" s="54">
        <v>0.34</v>
      </c>
      <c r="F32" s="54">
        <v>3.33</v>
      </c>
      <c r="G32" s="54">
        <v>99.33</v>
      </c>
      <c r="H32" s="54">
        <v>48.04</v>
      </c>
      <c r="I32" s="54">
        <v>1.54</v>
      </c>
      <c r="J32" s="54">
        <v>0.18</v>
      </c>
      <c r="K32" s="54">
        <v>333.66</v>
      </c>
      <c r="L32" s="54">
        <v>17.77</v>
      </c>
      <c r="M32" s="54">
        <v>80.41</v>
      </c>
      <c r="N32" s="54">
        <v>10.5</v>
      </c>
      <c r="O32" s="54">
        <v>0</v>
      </c>
      <c r="P32" s="54">
        <v>1.55</v>
      </c>
      <c r="Q32" s="54">
        <v>9.89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3.0699999999999998</v>
      </c>
      <c r="C34" s="28">
        <f t="shared" si="0"/>
        <v>49.579999999999998</v>
      </c>
      <c r="D34" s="28">
        <f t="shared" si="0"/>
        <v>35.780000000000001</v>
      </c>
      <c r="E34" s="28">
        <f t="shared" si="0"/>
        <v>0.080000000000000002</v>
      </c>
      <c r="F34" s="28">
        <f t="shared" si="0"/>
        <v>3.1699999999999999</v>
      </c>
      <c r="G34" s="28">
        <f t="shared" si="0"/>
        <v>83.599999999999994</v>
      </c>
      <c r="H34" s="28">
        <f t="shared" si="0"/>
        <v>32.530000000000001</v>
      </c>
      <c r="I34" s="28">
        <f t="shared" si="0"/>
        <v>1.49</v>
      </c>
      <c r="J34" s="28">
        <f t="shared" si="0"/>
        <v>0.13</v>
      </c>
      <c r="K34" s="28">
        <f t="shared" si="0"/>
        <v>78.189999999999998</v>
      </c>
      <c r="L34" s="28">
        <f t="shared" si="0"/>
        <v>13.93</v>
      </c>
      <c r="M34" s="28">
        <f t="shared" si="0"/>
        <v>36.350000000000001</v>
      </c>
      <c r="N34" s="28">
        <f t="shared" si="0"/>
        <v>9.8000000000000007</v>
      </c>
      <c r="O34" s="28">
        <f t="shared" si="0"/>
        <v>0</v>
      </c>
      <c r="P34" s="28">
        <f t="shared" si="0"/>
        <v>0.68999999999999995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52.619999999999997</v>
      </c>
      <c r="C35" s="29">
        <f t="shared" si="1"/>
        <v>80.370000000000005</v>
      </c>
      <c r="D35" s="29">
        <f t="shared" si="1"/>
        <v>86.810000000000002</v>
      </c>
      <c r="E35" s="29">
        <f t="shared" si="1"/>
        <v>0.34000000000000002</v>
      </c>
      <c r="F35" s="29">
        <f t="shared" si="1"/>
        <v>9.3599999999999994</v>
      </c>
      <c r="G35" s="29">
        <f t="shared" si="1"/>
        <v>185.68000000000001</v>
      </c>
      <c r="H35" s="29">
        <f t="shared" si="1"/>
        <v>52.520000000000003</v>
      </c>
      <c r="I35" s="29">
        <f t="shared" si="1"/>
        <v>1.5700000000000001</v>
      </c>
      <c r="J35" s="29">
        <f t="shared" si="1"/>
        <v>1.3999999999999999</v>
      </c>
      <c r="K35" s="29">
        <f t="shared" si="1"/>
        <v>355.75999999999999</v>
      </c>
      <c r="L35" s="29">
        <f t="shared" si="1"/>
        <v>29.760000000000002</v>
      </c>
      <c r="M35" s="29">
        <f t="shared" si="1"/>
        <v>98.780000000000001</v>
      </c>
      <c r="N35" s="29">
        <f t="shared" si="1"/>
        <v>499.10000000000002</v>
      </c>
      <c r="O35" s="29">
        <f t="shared" si="1"/>
        <v>0</v>
      </c>
      <c r="P35" s="29">
        <f t="shared" si="1"/>
        <v>1.8899999999999999</v>
      </c>
      <c r="Q35" s="29">
        <f t="shared" si="1"/>
        <v>11.76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21.874583333333334</v>
      </c>
      <c r="C36" s="28">
        <f t="shared" si="2"/>
        <v>63.094583333333333</v>
      </c>
      <c r="D36" s="28">
        <f t="shared" si="2"/>
        <v>52.559999999999995</v>
      </c>
      <c r="E36" s="28">
        <f t="shared" si="2"/>
        <v>0.23291666666666674</v>
      </c>
      <c r="F36" s="28">
        <f t="shared" si="2"/>
        <v>4.1591666666666667</v>
      </c>
      <c r="G36" s="28">
        <f t="shared" si="2"/>
        <v>114.73333333333333</v>
      </c>
      <c r="H36" s="28">
        <f t="shared" si="2"/>
        <v>44.651666666666671</v>
      </c>
      <c r="I36" s="28">
        <f t="shared" si="2"/>
        <v>1.5466666666666669</v>
      </c>
      <c r="J36" s="28">
        <f t="shared" si="2"/>
        <v>0.56375000000000008</v>
      </c>
      <c r="K36" s="28">
        <f t="shared" si="2"/>
        <v>274.10624999999999</v>
      </c>
      <c r="L36" s="28">
        <f t="shared" si="2"/>
        <v>20.270833333333332</v>
      </c>
      <c r="M36" s="28">
        <f t="shared" si="2"/>
        <v>71.42291666666668</v>
      </c>
      <c r="N36" s="28">
        <f t="shared" si="2"/>
        <v>134.76666666666665</v>
      </c>
      <c r="O36" s="28">
        <f t="shared" si="2"/>
        <v>0</v>
      </c>
      <c r="P36" s="28">
        <f t="shared" si="2"/>
        <v>1.0833333333333333</v>
      </c>
      <c r="Q36" s="28">
        <f t="shared" si="2"/>
        <v>7.6774999999999975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16.486744604224555</v>
      </c>
      <c r="C37" s="28">
        <f t="shared" si="3" ref="C37:Q37">STDEV(C9:C32)</f>
        <v>9.6492365001709892</v>
      </c>
      <c r="D37" s="28">
        <f t="shared" si="3"/>
        <v>16.818537908846455</v>
      </c>
      <c r="E37" s="28">
        <f t="shared" si="3"/>
        <v>0.064368448027346731</v>
      </c>
      <c r="F37" s="28">
        <f t="shared" si="3"/>
        <v>1.622852873576458</v>
      </c>
      <c r="G37" s="28">
        <f t="shared" si="3"/>
        <v>29.017761677180161</v>
      </c>
      <c r="H37" s="28">
        <f t="shared" si="3"/>
        <v>5.3862850524889652</v>
      </c>
      <c r="I37" s="28">
        <f t="shared" si="3"/>
        <v>0.022001317483607511</v>
      </c>
      <c r="J37" s="28">
        <f t="shared" si="3"/>
        <v>0.41008814004881405</v>
      </c>
      <c r="K37" s="28">
        <f t="shared" si="3"/>
        <v>106.75002518327778</v>
      </c>
      <c r="L37" s="28">
        <f t="shared" si="3"/>
        <v>4.7188944142408671</v>
      </c>
      <c r="M37" s="28">
        <f t="shared" si="3"/>
        <v>21.217113371494225</v>
      </c>
      <c r="N37" s="28">
        <f t="shared" si="3"/>
        <v>183.76407527674951</v>
      </c>
      <c r="O37" s="28">
        <f t="shared" si="3"/>
        <v>0</v>
      </c>
      <c r="P37" s="28">
        <f t="shared" si="3"/>
        <v>0.40323330895311138</v>
      </c>
      <c r="Q37" s="28">
        <f t="shared" si="3"/>
        <v>2.4549670147434375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ce6500-29e3-43d3-a0c2-29d6de814d8e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254</v>
      </c>
      <c r="B9" s="54">
        <v>36.44</v>
      </c>
      <c r="C9" s="54">
        <v>61.23</v>
      </c>
      <c r="D9" s="54">
        <v>63.66</v>
      </c>
      <c r="E9" s="54">
        <v>0.23</v>
      </c>
      <c r="F9" s="54">
        <v>3.12</v>
      </c>
      <c r="G9" s="54">
        <v>103.40</v>
      </c>
      <c r="H9" s="54">
        <v>45.14</v>
      </c>
      <c r="I9" s="54">
        <v>1.59</v>
      </c>
      <c r="J9" s="54">
        <v>0.10</v>
      </c>
      <c r="K9" s="54">
        <v>340.23</v>
      </c>
      <c r="L9" s="54">
        <v>16.38</v>
      </c>
      <c r="M9" s="54">
        <v>80.80</v>
      </c>
      <c r="N9" s="54">
        <v>10.30</v>
      </c>
      <c r="O9" s="54">
        <v>0</v>
      </c>
      <c r="P9" s="54">
        <v>1.42</v>
      </c>
      <c r="Q9" s="54">
        <v>9.67</v>
      </c>
      <c r="R9" s="43"/>
      <c r="S9" s="43"/>
      <c r="T9" s="43"/>
      <c r="U9" s="43"/>
    </row>
    <row r="10" spans="1:21" s="11" customFormat="1" ht="15">
      <c r="A10" s="53" t="s">
        <v>255</v>
      </c>
      <c r="B10" s="54">
        <v>28.68</v>
      </c>
      <c r="C10" s="54">
        <v>59.5</v>
      </c>
      <c r="D10" s="54">
        <v>56.48</v>
      </c>
      <c r="E10" s="54">
        <v>0.20</v>
      </c>
      <c r="F10" s="54">
        <v>3.20</v>
      </c>
      <c r="G10" s="54">
        <v>101.07</v>
      </c>
      <c r="H10" s="54">
        <v>44.42</v>
      </c>
      <c r="I10" s="54">
        <v>1.57</v>
      </c>
      <c r="J10" s="54">
        <v>0.08</v>
      </c>
      <c r="K10" s="54">
        <v>350.88</v>
      </c>
      <c r="L10" s="54">
        <v>15.90</v>
      </c>
      <c r="M10" s="54">
        <v>82.79</v>
      </c>
      <c r="N10" s="54">
        <v>10.40</v>
      </c>
      <c r="O10" s="54">
        <v>0</v>
      </c>
      <c r="P10" s="54">
        <v>1.27</v>
      </c>
      <c r="Q10" s="54">
        <v>8.92</v>
      </c>
      <c r="R10" s="43"/>
      <c r="S10" s="43"/>
      <c r="T10" s="43"/>
      <c r="U10" s="43"/>
    </row>
    <row r="11" spans="1:21" s="11" customFormat="1" ht="15">
      <c r="A11" s="53" t="s">
        <v>256</v>
      </c>
      <c r="B11" s="54">
        <v>21.21</v>
      </c>
      <c r="C11" s="54">
        <v>56.80</v>
      </c>
      <c r="D11" s="54">
        <v>49</v>
      </c>
      <c r="E11" s="54">
        <v>0.20</v>
      </c>
      <c r="F11" s="54">
        <v>3.29</v>
      </c>
      <c r="G11" s="54">
        <v>87.54</v>
      </c>
      <c r="H11" s="54">
        <v>41.51</v>
      </c>
      <c r="I11" s="54">
        <v>1.57</v>
      </c>
      <c r="J11" s="54">
        <v>0.14000000000000001</v>
      </c>
      <c r="K11" s="54">
        <v>100.93</v>
      </c>
      <c r="L11" s="54">
        <v>15.54</v>
      </c>
      <c r="M11" s="54">
        <v>80.81</v>
      </c>
      <c r="N11" s="54">
        <v>10.30</v>
      </c>
      <c r="O11" s="54">
        <v>0</v>
      </c>
      <c r="P11" s="54">
        <v>1.1599999999999999</v>
      </c>
      <c r="Q11" s="54">
        <v>8.18</v>
      </c>
      <c r="R11" s="43"/>
      <c r="S11" s="43"/>
      <c r="T11" s="43"/>
      <c r="U11" s="43"/>
    </row>
    <row r="12" spans="1:21" s="11" customFormat="1" ht="15">
      <c r="A12" s="53" t="s">
        <v>257</v>
      </c>
      <c r="B12" s="54">
        <v>15</v>
      </c>
      <c r="C12" s="54">
        <v>55.20</v>
      </c>
      <c r="D12" s="54">
        <v>42.92</v>
      </c>
      <c r="E12" s="54">
        <v>0.20</v>
      </c>
      <c r="F12" s="54">
        <v>3.29</v>
      </c>
      <c r="G12" s="54">
        <v>89.53</v>
      </c>
      <c r="H12" s="54">
        <v>42.06</v>
      </c>
      <c r="I12" s="54">
        <v>1.52</v>
      </c>
      <c r="J12" s="54">
        <v>0.22</v>
      </c>
      <c r="K12" s="54">
        <v>105.56</v>
      </c>
      <c r="L12" s="54">
        <v>15.32</v>
      </c>
      <c r="M12" s="54">
        <v>83.60</v>
      </c>
      <c r="N12" s="54">
        <v>10.30</v>
      </c>
      <c r="O12" s="54">
        <v>0</v>
      </c>
      <c r="P12" s="54">
        <v>1.03</v>
      </c>
      <c r="Q12" s="54">
        <v>5.92</v>
      </c>
      <c r="R12" s="43"/>
      <c r="S12" s="43"/>
      <c r="T12" s="43"/>
      <c r="U12" s="43"/>
    </row>
    <row r="13" spans="1:21" s="11" customFormat="1" ht="15">
      <c r="A13" s="53" t="s">
        <v>258</v>
      </c>
      <c r="B13" s="54">
        <v>12.81</v>
      </c>
      <c r="C13" s="54">
        <v>54.05</v>
      </c>
      <c r="D13" s="54">
        <v>40.590000000000003</v>
      </c>
      <c r="E13" s="54">
        <v>0.19</v>
      </c>
      <c r="F13" s="54">
        <v>3.30</v>
      </c>
      <c r="G13" s="54">
        <v>88.76</v>
      </c>
      <c r="H13" s="54">
        <v>41.90</v>
      </c>
      <c r="I13" s="54">
        <v>1.57</v>
      </c>
      <c r="J13" s="54">
        <v>0.39</v>
      </c>
      <c r="K13" s="54">
        <v>357.28</v>
      </c>
      <c r="L13" s="54">
        <v>14.91</v>
      </c>
      <c r="M13" s="54">
        <v>90.37</v>
      </c>
      <c r="N13" s="54">
        <v>10.30</v>
      </c>
      <c r="O13" s="54">
        <v>0</v>
      </c>
      <c r="P13" s="54">
        <v>0.93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259</v>
      </c>
      <c r="B14" s="54">
        <v>15.45</v>
      </c>
      <c r="C14" s="54">
        <v>53.81</v>
      </c>
      <c r="D14" s="54">
        <v>42.06</v>
      </c>
      <c r="E14" s="54">
        <v>0.22</v>
      </c>
      <c r="F14" s="54">
        <v>3.26</v>
      </c>
      <c r="G14" s="54">
        <v>103.30</v>
      </c>
      <c r="H14" s="54">
        <v>41.78</v>
      </c>
      <c r="I14" s="54">
        <v>1.56</v>
      </c>
      <c r="J14" s="54">
        <v>0.43</v>
      </c>
      <c r="K14" s="54">
        <v>345.67</v>
      </c>
      <c r="L14" s="54">
        <v>14.72</v>
      </c>
      <c r="M14" s="54">
        <v>96.23</v>
      </c>
      <c r="N14" s="54">
        <v>10.199999999999999</v>
      </c>
      <c r="O14" s="54">
        <v>0</v>
      </c>
      <c r="P14" s="54">
        <v>0.86</v>
      </c>
      <c r="Q14" s="54">
        <v>5.87</v>
      </c>
      <c r="R14" s="43"/>
      <c r="S14" s="43"/>
      <c r="T14" s="43"/>
      <c r="U14" s="43"/>
    </row>
    <row r="15" spans="1:21" s="11" customFormat="1" ht="15">
      <c r="A15" s="53" t="s">
        <v>260</v>
      </c>
      <c r="B15" s="54">
        <v>17.579999999999998</v>
      </c>
      <c r="C15" s="54">
        <v>52.67</v>
      </c>
      <c r="D15" s="54">
        <v>43.20</v>
      </c>
      <c r="E15" s="54">
        <v>0.19</v>
      </c>
      <c r="F15" s="54">
        <v>3.26</v>
      </c>
      <c r="G15" s="54">
        <v>113.90</v>
      </c>
      <c r="H15" s="54">
        <v>44.89</v>
      </c>
      <c r="I15" s="54">
        <v>1.52</v>
      </c>
      <c r="J15" s="54">
        <v>0.10</v>
      </c>
      <c r="K15" s="54">
        <v>93.58</v>
      </c>
      <c r="L15" s="54">
        <v>14.34</v>
      </c>
      <c r="M15" s="54">
        <v>98.49</v>
      </c>
      <c r="N15" s="54">
        <v>23.5</v>
      </c>
      <c r="O15" s="54">
        <v>0</v>
      </c>
      <c r="P15" s="54">
        <v>0.85</v>
      </c>
      <c r="Q15" s="54">
        <v>6.57</v>
      </c>
      <c r="R15" s="43"/>
      <c r="S15" s="43"/>
      <c r="T15" s="43"/>
      <c r="U15" s="43"/>
    </row>
    <row r="16" spans="1:21" s="11" customFormat="1" ht="15">
      <c r="A16" s="53" t="s">
        <v>261</v>
      </c>
      <c r="B16" s="54">
        <v>20.350000000000001</v>
      </c>
      <c r="C16" s="54">
        <v>51.47</v>
      </c>
      <c r="D16" s="54">
        <v>45.37</v>
      </c>
      <c r="E16" s="54">
        <v>0.15</v>
      </c>
      <c r="F16" s="54">
        <v>3.22</v>
      </c>
      <c r="G16" s="54">
        <v>111.04</v>
      </c>
      <c r="H16" s="54">
        <v>46.59</v>
      </c>
      <c r="I16" s="54">
        <v>1.55</v>
      </c>
      <c r="J16" s="54">
        <v>0.56000000000000005</v>
      </c>
      <c r="K16" s="54">
        <v>107.72</v>
      </c>
      <c r="L16" s="54">
        <v>16.27</v>
      </c>
      <c r="M16" s="54">
        <v>96.37</v>
      </c>
      <c r="N16" s="54">
        <v>130.40</v>
      </c>
      <c r="O16" s="54">
        <v>0</v>
      </c>
      <c r="P16" s="54">
        <v>0.92</v>
      </c>
      <c r="Q16" s="54">
        <v>6.96</v>
      </c>
      <c r="R16" s="43"/>
      <c r="S16" s="43"/>
      <c r="T16" s="43"/>
      <c r="U16" s="43"/>
    </row>
    <row r="17" spans="1:21" s="11" customFormat="1" ht="15">
      <c r="A17" s="53" t="s">
        <v>262</v>
      </c>
      <c r="B17" s="54">
        <v>20.260000000000002</v>
      </c>
      <c r="C17" s="54">
        <v>55.06</v>
      </c>
      <c r="D17" s="54">
        <v>46.07</v>
      </c>
      <c r="E17" s="54">
        <v>0.13</v>
      </c>
      <c r="F17" s="54">
        <v>3.32</v>
      </c>
      <c r="G17" s="54">
        <v>145.75</v>
      </c>
      <c r="H17" s="54">
        <v>48.52</v>
      </c>
      <c r="I17" s="54">
        <v>1.58</v>
      </c>
      <c r="J17" s="54">
        <v>1.06</v>
      </c>
      <c r="K17" s="54">
        <v>115.17</v>
      </c>
      <c r="L17" s="54">
        <v>18.84</v>
      </c>
      <c r="M17" s="54">
        <v>80.61</v>
      </c>
      <c r="N17" s="54">
        <v>270.5</v>
      </c>
      <c r="O17" s="54">
        <v>0</v>
      </c>
      <c r="P17" s="54">
        <v>0.93</v>
      </c>
      <c r="Q17" s="54">
        <v>7.18</v>
      </c>
      <c r="R17" s="43"/>
      <c r="S17" s="43"/>
      <c r="T17" s="43"/>
      <c r="U17" s="43"/>
    </row>
    <row r="18" spans="1:21" s="11" customFormat="1" ht="15">
      <c r="A18" s="53" t="s">
        <v>263</v>
      </c>
      <c r="B18" s="54">
        <v>15.43</v>
      </c>
      <c r="C18" s="54">
        <v>60.20</v>
      </c>
      <c r="D18" s="54">
        <v>44.27</v>
      </c>
      <c r="E18" s="54">
        <v>0.11</v>
      </c>
      <c r="F18" s="54">
        <v>3.40</v>
      </c>
      <c r="G18" s="54">
        <v>141.69</v>
      </c>
      <c r="H18" s="54">
        <v>49.78</v>
      </c>
      <c r="I18" s="54">
        <v>1.52</v>
      </c>
      <c r="J18" s="54">
        <v>0.93</v>
      </c>
      <c r="K18" s="54">
        <v>114.36</v>
      </c>
      <c r="L18" s="54">
        <v>21.98</v>
      </c>
      <c r="M18" s="54">
        <v>69.819999999999993</v>
      </c>
      <c r="N18" s="54">
        <v>392.20</v>
      </c>
      <c r="O18" s="54">
        <v>0</v>
      </c>
      <c r="P18" s="54">
        <v>0.95</v>
      </c>
      <c r="Q18" s="54">
        <v>6.31</v>
      </c>
      <c r="R18" s="43"/>
      <c r="S18" s="43"/>
      <c r="T18" s="43"/>
      <c r="U18" s="43"/>
    </row>
    <row r="19" spans="1:21" s="11" customFormat="1" ht="15">
      <c r="A19" s="53" t="s">
        <v>264</v>
      </c>
      <c r="B19" s="54">
        <v>11.46</v>
      </c>
      <c r="C19" s="54">
        <v>62.27</v>
      </c>
      <c r="D19" s="54">
        <v>43.69</v>
      </c>
      <c r="E19" s="54">
        <v>0.09</v>
      </c>
      <c r="F19" s="54">
        <v>3.47</v>
      </c>
      <c r="G19" s="54">
        <v>119.53</v>
      </c>
      <c r="H19" s="54">
        <v>50.88</v>
      </c>
      <c r="I19" s="54">
        <v>1.54</v>
      </c>
      <c r="J19" s="54">
        <v>1.1100000000000001</v>
      </c>
      <c r="K19" s="54">
        <v>116.85</v>
      </c>
      <c r="L19" s="54">
        <v>22.97</v>
      </c>
      <c r="M19" s="54">
        <v>57.04</v>
      </c>
      <c r="N19" s="54">
        <v>461.90</v>
      </c>
      <c r="O19" s="54">
        <v>0</v>
      </c>
      <c r="P19" s="54">
        <v>0.94</v>
      </c>
      <c r="Q19" s="54">
        <v>6.11</v>
      </c>
      <c r="R19" s="43"/>
      <c r="S19" s="43"/>
      <c r="T19" s="43"/>
      <c r="U19" s="43"/>
    </row>
    <row r="20" spans="1:21" s="11" customFormat="1" ht="15">
      <c r="A20" s="53" t="s">
        <v>265</v>
      </c>
      <c r="B20" s="54">
        <v>7.37</v>
      </c>
      <c r="C20" s="54">
        <v>61.51</v>
      </c>
      <c r="D20" s="54">
        <v>40.5</v>
      </c>
      <c r="E20" s="54">
        <v>0.18</v>
      </c>
      <c r="F20" s="54">
        <v>3.98</v>
      </c>
      <c r="G20" s="54">
        <v>116.23</v>
      </c>
      <c r="H20" s="54">
        <v>50.68</v>
      </c>
      <c r="I20" s="54">
        <v>1.53</v>
      </c>
      <c r="J20" s="54">
        <v>0.83</v>
      </c>
      <c r="K20" s="54">
        <v>111.53</v>
      </c>
      <c r="L20" s="54">
        <v>24.72</v>
      </c>
      <c r="M20" s="54">
        <v>51.30</v>
      </c>
      <c r="N20" s="54">
        <v>488.5</v>
      </c>
      <c r="O20" s="54">
        <v>0</v>
      </c>
      <c r="P20" s="54">
        <v>0.91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266</v>
      </c>
      <c r="B21" s="54">
        <v>5.01</v>
      </c>
      <c r="C21" s="54">
        <v>58.86</v>
      </c>
      <c r="D21" s="54">
        <v>37.15</v>
      </c>
      <c r="E21" s="54">
        <v>0.27</v>
      </c>
      <c r="F21" s="54">
        <v>4.21</v>
      </c>
      <c r="G21" s="54">
        <v>98.74</v>
      </c>
      <c r="H21" s="54">
        <v>48.43</v>
      </c>
      <c r="I21" s="54">
        <v>1.57</v>
      </c>
      <c r="J21" s="54">
        <v>1.18</v>
      </c>
      <c r="K21" s="54">
        <v>113.13</v>
      </c>
      <c r="L21" s="54">
        <v>25.45</v>
      </c>
      <c r="M21" s="54">
        <v>43.78</v>
      </c>
      <c r="N21" s="54">
        <v>493</v>
      </c>
      <c r="O21" s="54">
        <v>0</v>
      </c>
      <c r="P21" s="54">
        <v>0.85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267</v>
      </c>
      <c r="B22" s="54">
        <v>3.62</v>
      </c>
      <c r="C22" s="54">
        <v>55.91</v>
      </c>
      <c r="D22" s="54">
        <v>34.40</v>
      </c>
      <c r="E22" s="54">
        <v>0.41</v>
      </c>
      <c r="F22" s="54">
        <v>5.23</v>
      </c>
      <c r="G22" s="54">
        <v>85.58</v>
      </c>
      <c r="H22" s="54">
        <v>43.92</v>
      </c>
      <c r="I22" s="54">
        <v>1.54</v>
      </c>
      <c r="J22" s="54">
        <v>0.97</v>
      </c>
      <c r="K22" s="54">
        <v>115.52</v>
      </c>
      <c r="L22" s="54">
        <v>27.01</v>
      </c>
      <c r="M22" s="54">
        <v>40.72</v>
      </c>
      <c r="N22" s="54">
        <v>432.60</v>
      </c>
      <c r="O22" s="54">
        <v>0</v>
      </c>
      <c r="P22" s="54">
        <v>0.76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268</v>
      </c>
      <c r="B23" s="54">
        <v>3.27</v>
      </c>
      <c r="C23" s="54">
        <v>56.87</v>
      </c>
      <c r="D23" s="54">
        <v>34.659999999999997</v>
      </c>
      <c r="E23" s="54">
        <v>0.27</v>
      </c>
      <c r="F23" s="54">
        <v>5.01</v>
      </c>
      <c r="G23" s="54">
        <v>81.89</v>
      </c>
      <c r="H23" s="54">
        <v>42.72</v>
      </c>
      <c r="I23" s="54">
        <v>1.55</v>
      </c>
      <c r="J23" s="54">
        <v>0.60</v>
      </c>
      <c r="K23" s="54">
        <v>355.81</v>
      </c>
      <c r="L23" s="54">
        <v>27.48</v>
      </c>
      <c r="M23" s="54">
        <v>36.26</v>
      </c>
      <c r="N23" s="54">
        <v>227.5</v>
      </c>
      <c r="O23" s="54">
        <v>0</v>
      </c>
      <c r="P23" s="54">
        <v>0.73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269</v>
      </c>
      <c r="B24" s="54">
        <v>3.69</v>
      </c>
      <c r="C24" s="54">
        <v>62.14</v>
      </c>
      <c r="D24" s="54">
        <v>37.799999999999997</v>
      </c>
      <c r="E24" s="54">
        <v>0.26</v>
      </c>
      <c r="F24" s="54">
        <v>4.92</v>
      </c>
      <c r="G24" s="54">
        <v>72.86</v>
      </c>
      <c r="H24" s="54">
        <v>40.590000000000003</v>
      </c>
      <c r="I24" s="54">
        <v>1.53</v>
      </c>
      <c r="J24" s="54">
        <v>0.5</v>
      </c>
      <c r="K24" s="54">
        <v>340.57</v>
      </c>
      <c r="L24" s="54">
        <v>27.39</v>
      </c>
      <c r="M24" s="54">
        <v>35.770000000000003</v>
      </c>
      <c r="N24" s="54">
        <v>100.70</v>
      </c>
      <c r="O24" s="54">
        <v>0</v>
      </c>
      <c r="P24" s="54">
        <v>0.74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270</v>
      </c>
      <c r="B25" s="54">
        <v>3.65</v>
      </c>
      <c r="C25" s="54">
        <v>60.69</v>
      </c>
      <c r="D25" s="54">
        <v>37.07</v>
      </c>
      <c r="E25" s="54">
        <v>0.19</v>
      </c>
      <c r="F25" s="54">
        <v>5.14</v>
      </c>
      <c r="G25" s="54">
        <v>69.680000000000007</v>
      </c>
      <c r="H25" s="54">
        <v>38.049999999999997</v>
      </c>
      <c r="I25" s="54">
        <v>1.55</v>
      </c>
      <c r="J25" s="54">
        <v>0.25</v>
      </c>
      <c r="K25" s="54">
        <v>286.64</v>
      </c>
      <c r="L25" s="54">
        <v>25.17</v>
      </c>
      <c r="M25" s="54">
        <v>49.42</v>
      </c>
      <c r="N25" s="54">
        <v>54.20</v>
      </c>
      <c r="O25" s="54">
        <v>0</v>
      </c>
      <c r="P25" s="54">
        <v>0.77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271</v>
      </c>
      <c r="B26" s="54">
        <v>19.5</v>
      </c>
      <c r="C26" s="54">
        <v>66.62</v>
      </c>
      <c r="D26" s="54">
        <v>52.46</v>
      </c>
      <c r="E26" s="54">
        <v>0.23</v>
      </c>
      <c r="F26" s="54">
        <v>3.46</v>
      </c>
      <c r="G26" s="54">
        <v>93.74</v>
      </c>
      <c r="H26" s="54">
        <v>37.24</v>
      </c>
      <c r="I26" s="54">
        <v>1.52</v>
      </c>
      <c r="J26" s="54">
        <v>0.070000000000000007</v>
      </c>
      <c r="K26" s="54">
        <v>323.39</v>
      </c>
      <c r="L26" s="54">
        <v>22.87</v>
      </c>
      <c r="M26" s="54">
        <v>71.73</v>
      </c>
      <c r="N26" s="54">
        <v>20.5</v>
      </c>
      <c r="O26" s="54">
        <v>0</v>
      </c>
      <c r="P26" s="54">
        <v>1.20</v>
      </c>
      <c r="Q26" s="54">
        <v>7.88</v>
      </c>
      <c r="R26" s="43"/>
      <c r="S26" s="43"/>
      <c r="T26" s="43"/>
      <c r="U26" s="43"/>
    </row>
    <row r="27" spans="1:21" s="11" customFormat="1" ht="15">
      <c r="A27" s="53" t="s">
        <v>272</v>
      </c>
      <c r="B27" s="54">
        <v>48.61</v>
      </c>
      <c r="C27" s="54">
        <v>68.05</v>
      </c>
      <c r="D27" s="54">
        <v>77.180000000000007</v>
      </c>
      <c r="E27" s="54">
        <v>0.25</v>
      </c>
      <c r="F27" s="54">
        <v>3.39</v>
      </c>
      <c r="G27" s="54">
        <v>182.77</v>
      </c>
      <c r="H27" s="54">
        <v>44.78</v>
      </c>
      <c r="I27" s="54">
        <v>1.57</v>
      </c>
      <c r="J27" s="54">
        <v>0.08</v>
      </c>
      <c r="K27" s="54">
        <v>359.35</v>
      </c>
      <c r="L27" s="54">
        <v>21.69</v>
      </c>
      <c r="M27" s="54">
        <v>71.62</v>
      </c>
      <c r="N27" s="54">
        <v>11.20</v>
      </c>
      <c r="O27" s="54">
        <v>0</v>
      </c>
      <c r="P27" s="54">
        <v>1.49</v>
      </c>
      <c r="Q27" s="54">
        <v>10.24</v>
      </c>
      <c r="R27" s="43"/>
      <c r="S27" s="43"/>
      <c r="T27" s="43"/>
      <c r="U27" s="43"/>
    </row>
    <row r="28" spans="1:21" s="11" customFormat="1" ht="15">
      <c r="A28" s="53" t="s">
        <v>273</v>
      </c>
      <c r="B28" s="54">
        <v>73.92</v>
      </c>
      <c r="C28" s="54">
        <v>69.38</v>
      </c>
      <c r="D28" s="54">
        <v>98.22</v>
      </c>
      <c r="E28" s="54">
        <v>0.39</v>
      </c>
      <c r="F28" s="54">
        <v>3.09</v>
      </c>
      <c r="G28" s="54">
        <v>217.21</v>
      </c>
      <c r="H28" s="54">
        <v>54.21</v>
      </c>
      <c r="I28" s="54">
        <v>1.52</v>
      </c>
      <c r="J28" s="54">
        <v>0.17</v>
      </c>
      <c r="K28" s="54">
        <v>283.64999999999998</v>
      </c>
      <c r="L28" s="54">
        <v>20.82</v>
      </c>
      <c r="M28" s="54">
        <v>74.52</v>
      </c>
      <c r="N28" s="54">
        <v>11.20</v>
      </c>
      <c r="O28" s="54">
        <v>0</v>
      </c>
      <c r="P28" s="54">
        <v>1.68</v>
      </c>
      <c r="Q28" s="54">
        <v>12.43</v>
      </c>
      <c r="R28" s="43"/>
      <c r="S28" s="43"/>
      <c r="T28" s="43"/>
      <c r="U28" s="43"/>
    </row>
    <row r="29" spans="1:21" s="11" customFormat="1" ht="15">
      <c r="A29" s="53" t="s">
        <v>274</v>
      </c>
      <c r="B29" s="54">
        <v>94.02</v>
      </c>
      <c r="C29" s="54">
        <v>69.97</v>
      </c>
      <c r="D29" s="54">
        <v>114.26</v>
      </c>
      <c r="E29" s="54">
        <v>0.38</v>
      </c>
      <c r="F29" s="54">
        <v>3.45</v>
      </c>
      <c r="G29" s="54">
        <v>216.26</v>
      </c>
      <c r="H29" s="54">
        <v>63.09</v>
      </c>
      <c r="I29" s="54">
        <v>1.56</v>
      </c>
      <c r="J29" s="54">
        <v>0.070000000000000007</v>
      </c>
      <c r="K29" s="54">
        <v>315.44</v>
      </c>
      <c r="L29" s="54">
        <v>19.63</v>
      </c>
      <c r="M29" s="54">
        <v>79.19</v>
      </c>
      <c r="N29" s="54">
        <v>11</v>
      </c>
      <c r="O29" s="54">
        <v>0</v>
      </c>
      <c r="P29" s="54">
        <v>2.16</v>
      </c>
      <c r="Q29" s="54">
        <v>14.02</v>
      </c>
      <c r="R29" s="43"/>
      <c r="S29" s="43"/>
      <c r="T29" s="43"/>
      <c r="U29" s="43"/>
    </row>
    <row r="30" spans="1:21" s="11" customFormat="1" ht="15">
      <c r="A30" s="53" t="s">
        <v>275</v>
      </c>
      <c r="B30" s="54">
        <v>132.02000000000001</v>
      </c>
      <c r="C30" s="54">
        <v>77.09</v>
      </c>
      <c r="D30" s="54">
        <v>149.06</v>
      </c>
      <c r="E30" s="54">
        <v>0.52</v>
      </c>
      <c r="F30" s="54">
        <v>3.27</v>
      </c>
      <c r="G30" s="54">
        <v>233.02</v>
      </c>
      <c r="H30" s="54">
        <v>69.239999999999995</v>
      </c>
      <c r="I30" s="54">
        <v>1.52</v>
      </c>
      <c r="J30" s="54">
        <v>0.11</v>
      </c>
      <c r="K30" s="54">
        <v>315.06</v>
      </c>
      <c r="L30" s="54">
        <v>18.77</v>
      </c>
      <c r="M30" s="54">
        <v>88.20</v>
      </c>
      <c r="N30" s="54">
        <v>10.90</v>
      </c>
      <c r="O30" s="54">
        <v>0</v>
      </c>
      <c r="P30" s="54">
        <v>3.19</v>
      </c>
      <c r="Q30" s="54">
        <v>17.02</v>
      </c>
      <c r="R30" s="43"/>
      <c r="S30" s="43"/>
      <c r="T30" s="43"/>
      <c r="U30" s="43"/>
    </row>
    <row r="31" spans="1:21" s="11" customFormat="1" ht="15">
      <c r="A31" s="53" t="s">
        <v>276</v>
      </c>
      <c r="B31" s="54">
        <v>157.43</v>
      </c>
      <c r="C31" s="54">
        <v>80.81</v>
      </c>
      <c r="D31" s="54">
        <v>171.49</v>
      </c>
      <c r="E31" s="54">
        <v>0.60</v>
      </c>
      <c r="F31" s="54">
        <v>3.31</v>
      </c>
      <c r="G31" s="54">
        <v>231.19</v>
      </c>
      <c r="H31" s="54">
        <v>81.05</v>
      </c>
      <c r="I31" s="54">
        <v>1.52</v>
      </c>
      <c r="J31" s="54">
        <v>0.15</v>
      </c>
      <c r="K31" s="54">
        <v>343.88</v>
      </c>
      <c r="L31" s="54">
        <v>18.12</v>
      </c>
      <c r="M31" s="54">
        <v>93.09</v>
      </c>
      <c r="N31" s="54">
        <v>10.80</v>
      </c>
      <c r="O31" s="54">
        <v>0</v>
      </c>
      <c r="P31" s="54">
        <v>3.88</v>
      </c>
      <c r="Q31" s="54">
        <v>19.350000000000001</v>
      </c>
      <c r="R31" s="43"/>
      <c r="S31" s="43"/>
      <c r="T31" s="43"/>
      <c r="U31" s="43"/>
    </row>
    <row r="32" spans="1:21" s="11" customFormat="1" ht="15">
      <c r="A32" s="53" t="s">
        <v>277</v>
      </c>
      <c r="B32" s="54">
        <v>167.96</v>
      </c>
      <c r="C32" s="54">
        <v>80.03</v>
      </c>
      <c r="D32" s="54">
        <v>178.83</v>
      </c>
      <c r="E32" s="54">
        <v>0.69</v>
      </c>
      <c r="F32" s="54">
        <v>3.19</v>
      </c>
      <c r="G32" s="54">
        <v>227.47</v>
      </c>
      <c r="H32" s="54">
        <v>82.97</v>
      </c>
      <c r="I32" s="54">
        <v>1.53</v>
      </c>
      <c r="J32" s="54">
        <v>0.12</v>
      </c>
      <c r="K32" s="54">
        <v>304.38</v>
      </c>
      <c r="L32" s="54">
        <v>17.64</v>
      </c>
      <c r="M32" s="54">
        <v>93.16</v>
      </c>
      <c r="N32" s="54">
        <v>10.80</v>
      </c>
      <c r="O32" s="54">
        <v>0</v>
      </c>
      <c r="P32" s="54">
        <v>4.1500000000000004</v>
      </c>
      <c r="Q32" s="54">
        <v>20.190000000000001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3.27</v>
      </c>
      <c r="C34" s="28">
        <f t="shared" si="0"/>
        <v>51.469999999999999</v>
      </c>
      <c r="D34" s="28">
        <f t="shared" si="0"/>
        <v>34.399999999999999</v>
      </c>
      <c r="E34" s="28">
        <f t="shared" si="0"/>
        <v>0.089999999999999997</v>
      </c>
      <c r="F34" s="28">
        <f t="shared" si="0"/>
        <v>3.0899999999999999</v>
      </c>
      <c r="G34" s="28">
        <f t="shared" si="0"/>
        <v>69.680000000000007</v>
      </c>
      <c r="H34" s="28">
        <f t="shared" si="0"/>
        <v>37.240000000000002</v>
      </c>
      <c r="I34" s="28">
        <f t="shared" si="0"/>
        <v>1.52</v>
      </c>
      <c r="J34" s="28">
        <f t="shared" si="0"/>
        <v>0.070000000000000007</v>
      </c>
      <c r="K34" s="28">
        <f t="shared" si="0"/>
        <v>93.579999999999998</v>
      </c>
      <c r="L34" s="28">
        <f t="shared" si="0"/>
        <v>14.34</v>
      </c>
      <c r="M34" s="28">
        <f t="shared" si="0"/>
        <v>35.770000000000003</v>
      </c>
      <c r="N34" s="28">
        <f t="shared" si="0"/>
        <v>10.199999999999999</v>
      </c>
      <c r="O34" s="28">
        <f t="shared" si="0"/>
        <v>0</v>
      </c>
      <c r="P34" s="28">
        <f t="shared" si="0"/>
        <v>0.72999999999999998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167.96000000000001</v>
      </c>
      <c r="C35" s="29">
        <f t="shared" si="1"/>
        <v>80.810000000000002</v>
      </c>
      <c r="D35" s="29">
        <f t="shared" si="1"/>
        <v>178.83000000000001</v>
      </c>
      <c r="E35" s="29">
        <f t="shared" si="1"/>
        <v>0.68999999999999995</v>
      </c>
      <c r="F35" s="29">
        <f t="shared" si="1"/>
        <v>5.2300000000000004</v>
      </c>
      <c r="G35" s="29">
        <f t="shared" si="1"/>
        <v>233.02000000000001</v>
      </c>
      <c r="H35" s="29">
        <f t="shared" si="1"/>
        <v>82.969999999999999</v>
      </c>
      <c r="I35" s="29">
        <f t="shared" si="1"/>
        <v>1.5900000000000001</v>
      </c>
      <c r="J35" s="29">
        <f t="shared" si="1"/>
        <v>1.1799999999999999</v>
      </c>
      <c r="K35" s="29">
        <f t="shared" si="1"/>
        <v>359.35000000000002</v>
      </c>
      <c r="L35" s="29">
        <f t="shared" si="1"/>
        <v>27.48</v>
      </c>
      <c r="M35" s="29">
        <f t="shared" si="1"/>
        <v>98.489999999999995</v>
      </c>
      <c r="N35" s="29">
        <f t="shared" si="1"/>
        <v>493</v>
      </c>
      <c r="O35" s="29">
        <f t="shared" si="1"/>
        <v>0</v>
      </c>
      <c r="P35" s="29">
        <f t="shared" si="1"/>
        <v>4.1500000000000004</v>
      </c>
      <c r="Q35" s="29">
        <f t="shared" si="1"/>
        <v>20.190000000000001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38.947499999999998</v>
      </c>
      <c r="C36" s="28">
        <f t="shared" si="2"/>
        <v>62.091249999999995</v>
      </c>
      <c r="D36" s="28">
        <f t="shared" si="2"/>
        <v>65.849583333333328</v>
      </c>
      <c r="E36" s="28">
        <f t="shared" si="2"/>
        <v>0.27291666666666664</v>
      </c>
      <c r="F36" s="28">
        <f t="shared" si="2"/>
        <v>3.6574999999999993</v>
      </c>
      <c r="G36" s="28">
        <f t="shared" si="2"/>
        <v>130.50624999999997</v>
      </c>
      <c r="H36" s="28">
        <f t="shared" si="2"/>
        <v>49.768333333333324</v>
      </c>
      <c r="I36" s="28">
        <f t="shared" si="2"/>
        <v>1.5458333333333336</v>
      </c>
      <c r="J36" s="28">
        <f t="shared" si="2"/>
        <v>0.42583333333333334</v>
      </c>
      <c r="K36" s="28">
        <f t="shared" si="2"/>
        <v>238.19083333333333</v>
      </c>
      <c r="L36" s="28">
        <f t="shared" si="2"/>
        <v>20.163749999999997</v>
      </c>
      <c r="M36" s="28">
        <f t="shared" si="2"/>
        <v>72.737083333333345</v>
      </c>
      <c r="N36" s="28">
        <f t="shared" si="2"/>
        <v>134.29999999999998</v>
      </c>
      <c r="O36" s="28">
        <f t="shared" si="2"/>
        <v>0</v>
      </c>
      <c r="P36" s="28">
        <f t="shared" si="2"/>
        <v>1.4070833333333332</v>
      </c>
      <c r="Q36" s="28">
        <f t="shared" si="2"/>
        <v>8.7204166666666652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49.311196475304541</v>
      </c>
      <c r="C37" s="28">
        <f t="shared" si="3" ref="C37:Q37">STDEV(C9:C32)</f>
        <v>8.3857686446068644</v>
      </c>
      <c r="D37" s="28">
        <f t="shared" si="3"/>
        <v>43.727077222557838</v>
      </c>
      <c r="E37" s="28">
        <f t="shared" si="3"/>
        <v>0.15235767889686622</v>
      </c>
      <c r="F37" s="28">
        <f t="shared" si="3"/>
        <v>0.69429507572351001</v>
      </c>
      <c r="G37" s="28">
        <f t="shared" si="3"/>
        <v>55.31036767444801</v>
      </c>
      <c r="H37" s="28">
        <f t="shared" si="3"/>
        <v>12.313310813441147</v>
      </c>
      <c r="I37" s="28">
        <f t="shared" si="3"/>
        <v>0.022825741888351059</v>
      </c>
      <c r="J37" s="28">
        <f t="shared" si="3"/>
        <v>0.38461631549497177</v>
      </c>
      <c r="K37" s="28">
        <f t="shared" si="3"/>
        <v>112.91203324468687</v>
      </c>
      <c r="L37" s="28">
        <f t="shared" si="3"/>
        <v>4.4026590902791325</v>
      </c>
      <c r="M37" s="28">
        <f t="shared" si="3"/>
        <v>20.250824240695351</v>
      </c>
      <c r="N37" s="28">
        <f t="shared" si="3"/>
        <v>181.83395674649699</v>
      </c>
      <c r="O37" s="28">
        <f t="shared" si="3"/>
        <v>0</v>
      </c>
      <c r="P37" s="28">
        <f t="shared" si="3"/>
        <v>0.97235026417021375</v>
      </c>
      <c r="Q37" s="28">
        <f t="shared" si="3"/>
        <v>4.5895301257713017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53a4265-6165-4336-9d3f-5edd29c97495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278</v>
      </c>
      <c r="B9" s="54">
        <v>165.49</v>
      </c>
      <c r="C9" s="54">
        <v>78.400000000000006</v>
      </c>
      <c r="D9" s="54">
        <v>176.34</v>
      </c>
      <c r="E9" s="54">
        <v>0.5</v>
      </c>
      <c r="F9" s="54">
        <v>3.13</v>
      </c>
      <c r="G9" s="54">
        <v>243.13</v>
      </c>
      <c r="H9" s="54">
        <v>86.49</v>
      </c>
      <c r="I9" s="54">
        <v>1.51</v>
      </c>
      <c r="J9" s="54">
        <v>0.26</v>
      </c>
      <c r="K9" s="54">
        <v>324.83999999999997</v>
      </c>
      <c r="L9" s="54">
        <v>17.38</v>
      </c>
      <c r="M9" s="54">
        <v>95.98</v>
      </c>
      <c r="N9" s="54">
        <v>11</v>
      </c>
      <c r="O9" s="54">
        <v>0</v>
      </c>
      <c r="P9" s="54">
        <v>4.1500000000000004</v>
      </c>
      <c r="Q9" s="54">
        <v>20.12</v>
      </c>
      <c r="R9" s="43"/>
      <c r="S9" s="43"/>
      <c r="T9" s="43"/>
      <c r="U9" s="43"/>
    </row>
    <row r="10" spans="1:21" s="11" customFormat="1" ht="15">
      <c r="A10" s="53" t="s">
        <v>279</v>
      </c>
      <c r="B10" s="54">
        <v>153.97</v>
      </c>
      <c r="C10" s="54">
        <v>74.69</v>
      </c>
      <c r="D10" s="54">
        <v>165.34</v>
      </c>
      <c r="E10" s="54">
        <v>0.49</v>
      </c>
      <c r="F10" s="54">
        <v>3.30</v>
      </c>
      <c r="G10" s="54">
        <v>234.49</v>
      </c>
      <c r="H10" s="54">
        <v>85.72</v>
      </c>
      <c r="I10" s="54">
        <v>1.5</v>
      </c>
      <c r="J10" s="54">
        <v>0.08</v>
      </c>
      <c r="K10" s="54">
        <v>269</v>
      </c>
      <c r="L10" s="54">
        <v>17.38</v>
      </c>
      <c r="M10" s="54">
        <v>89.06</v>
      </c>
      <c r="N10" s="54">
        <v>10.90</v>
      </c>
      <c r="O10" s="54">
        <v>0</v>
      </c>
      <c r="P10" s="54">
        <v>3.56</v>
      </c>
      <c r="Q10" s="54">
        <v>19.559999999999999</v>
      </c>
      <c r="R10" s="43"/>
      <c r="S10" s="43"/>
      <c r="T10" s="43"/>
      <c r="U10" s="43"/>
    </row>
    <row r="11" spans="1:21" s="11" customFormat="1" ht="15">
      <c r="A11" s="53" t="s">
        <v>280</v>
      </c>
      <c r="B11" s="54">
        <v>125.72</v>
      </c>
      <c r="C11" s="54">
        <v>69.63</v>
      </c>
      <c r="D11" s="54">
        <v>139.88999999999999</v>
      </c>
      <c r="E11" s="54">
        <v>0.42</v>
      </c>
      <c r="F11" s="54">
        <v>3.31</v>
      </c>
      <c r="G11" s="54">
        <v>180.98</v>
      </c>
      <c r="H11" s="54">
        <v>81.260000000000005</v>
      </c>
      <c r="I11" s="54">
        <v>1.54</v>
      </c>
      <c r="J11" s="54">
        <v>0.11</v>
      </c>
      <c r="K11" s="54">
        <v>322.74</v>
      </c>
      <c r="L11" s="54">
        <v>17.18</v>
      </c>
      <c r="M11" s="54">
        <v>91.96</v>
      </c>
      <c r="N11" s="54">
        <v>11.20</v>
      </c>
      <c r="O11" s="54">
        <v>0</v>
      </c>
      <c r="P11" s="54">
        <v>3.22</v>
      </c>
      <c r="Q11" s="54">
        <v>17.690000000000001</v>
      </c>
      <c r="R11" s="43"/>
      <c r="S11" s="43"/>
      <c r="T11" s="43"/>
      <c r="U11" s="43"/>
    </row>
    <row r="12" spans="1:21" s="11" customFormat="1" ht="15">
      <c r="A12" s="53" t="s">
        <v>281</v>
      </c>
      <c r="B12" s="54">
        <v>100.45</v>
      </c>
      <c r="C12" s="54">
        <v>65.319999999999993</v>
      </c>
      <c r="D12" s="54">
        <v>117.25</v>
      </c>
      <c r="E12" s="54">
        <v>0.37</v>
      </c>
      <c r="F12" s="54">
        <v>3.59</v>
      </c>
      <c r="G12" s="54">
        <v>152.41</v>
      </c>
      <c r="H12" s="54">
        <v>75.20</v>
      </c>
      <c r="I12" s="54">
        <v>1.52</v>
      </c>
      <c r="J12" s="54">
        <v>0.14000000000000001</v>
      </c>
      <c r="K12" s="54">
        <v>332.37</v>
      </c>
      <c r="L12" s="54">
        <v>16.940000000000001</v>
      </c>
      <c r="M12" s="54">
        <v>93.21</v>
      </c>
      <c r="N12" s="54">
        <v>11.20</v>
      </c>
      <c r="O12" s="54">
        <v>0</v>
      </c>
      <c r="P12" s="54">
        <v>2.81</v>
      </c>
      <c r="Q12" s="54">
        <v>15.58</v>
      </c>
      <c r="R12" s="43"/>
      <c r="S12" s="43"/>
      <c r="T12" s="43"/>
      <c r="U12" s="43"/>
    </row>
    <row r="13" spans="1:21" s="11" customFormat="1" ht="15">
      <c r="A13" s="53" t="s">
        <v>282</v>
      </c>
      <c r="B13" s="54">
        <v>80.790000000000006</v>
      </c>
      <c r="C13" s="54">
        <v>60.18</v>
      </c>
      <c r="D13" s="54">
        <v>98.65</v>
      </c>
      <c r="E13" s="54">
        <v>0.40</v>
      </c>
      <c r="F13" s="54">
        <v>3.21</v>
      </c>
      <c r="G13" s="54">
        <v>148.22999999999999</v>
      </c>
      <c r="H13" s="54">
        <v>73.040000000000006</v>
      </c>
      <c r="I13" s="54">
        <v>1.55</v>
      </c>
      <c r="J13" s="54">
        <v>0.28000000000000003</v>
      </c>
      <c r="K13" s="54">
        <v>329.54</v>
      </c>
      <c r="L13" s="54">
        <v>16.649999999999999</v>
      </c>
      <c r="M13" s="54">
        <v>94.62</v>
      </c>
      <c r="N13" s="54">
        <v>11.30</v>
      </c>
      <c r="O13" s="54">
        <v>0</v>
      </c>
      <c r="P13" s="54">
        <v>2.35</v>
      </c>
      <c r="Q13" s="54">
        <v>13.5</v>
      </c>
      <c r="R13" s="43"/>
      <c r="S13" s="43"/>
      <c r="T13" s="43"/>
      <c r="U13" s="43"/>
    </row>
    <row r="14" spans="1:21" s="11" customFormat="1" ht="15">
      <c r="A14" s="53" t="s">
        <v>283</v>
      </c>
      <c r="B14" s="54">
        <v>74.680000000000007</v>
      </c>
      <c r="C14" s="54">
        <v>57.94</v>
      </c>
      <c r="D14" s="54">
        <v>92.04</v>
      </c>
      <c r="E14" s="54">
        <v>0.33</v>
      </c>
      <c r="F14" s="54">
        <v>3.32</v>
      </c>
      <c r="G14" s="54">
        <v>143.27000000000001</v>
      </c>
      <c r="H14" s="54">
        <v>68.150000000000006</v>
      </c>
      <c r="I14" s="54">
        <v>1.56</v>
      </c>
      <c r="J14" s="54">
        <v>0.10</v>
      </c>
      <c r="K14" s="54">
        <v>312.01</v>
      </c>
      <c r="L14" s="54">
        <v>16.579999999999998</v>
      </c>
      <c r="M14" s="54">
        <v>97.45</v>
      </c>
      <c r="N14" s="54">
        <v>11.10</v>
      </c>
      <c r="O14" s="54">
        <v>0</v>
      </c>
      <c r="P14" s="54">
        <v>2.0299999999999998</v>
      </c>
      <c r="Q14" s="54">
        <v>12.54</v>
      </c>
      <c r="R14" s="43"/>
      <c r="S14" s="43"/>
      <c r="T14" s="43"/>
      <c r="U14" s="43"/>
    </row>
    <row r="15" spans="1:21" s="11" customFormat="1" ht="15">
      <c r="A15" s="53" t="s">
        <v>284</v>
      </c>
      <c r="B15" s="54">
        <v>76.819999999999993</v>
      </c>
      <c r="C15" s="54">
        <v>57.01</v>
      </c>
      <c r="D15" s="54">
        <v>93.72</v>
      </c>
      <c r="E15" s="54">
        <v>0.37</v>
      </c>
      <c r="F15" s="54">
        <v>3.26</v>
      </c>
      <c r="G15" s="54">
        <v>147.74</v>
      </c>
      <c r="H15" s="54">
        <v>67.05</v>
      </c>
      <c r="I15" s="54">
        <v>1.53</v>
      </c>
      <c r="J15" s="54">
        <v>0.22</v>
      </c>
      <c r="K15" s="54">
        <v>288.70999999999998</v>
      </c>
      <c r="L15" s="54">
        <v>16.489999999999998</v>
      </c>
      <c r="M15" s="54">
        <v>94.91</v>
      </c>
      <c r="N15" s="54">
        <v>22.5</v>
      </c>
      <c r="O15" s="54">
        <v>0</v>
      </c>
      <c r="P15" s="54">
        <v>1.80</v>
      </c>
      <c r="Q15" s="54">
        <v>12.63</v>
      </c>
      <c r="R15" s="43"/>
      <c r="S15" s="43"/>
      <c r="T15" s="43"/>
      <c r="U15" s="43"/>
    </row>
    <row r="16" spans="1:21" s="11" customFormat="1" ht="15">
      <c r="A16" s="53" t="s">
        <v>285</v>
      </c>
      <c r="B16" s="54">
        <v>66.23</v>
      </c>
      <c r="C16" s="54">
        <v>58.59</v>
      </c>
      <c r="D16" s="54">
        <v>84.48</v>
      </c>
      <c r="E16" s="54">
        <v>0.28999999999999998</v>
      </c>
      <c r="F16" s="54">
        <v>3.35</v>
      </c>
      <c r="G16" s="54">
        <v>144.38999999999999</v>
      </c>
      <c r="H16" s="54">
        <v>66.11</v>
      </c>
      <c r="I16" s="54">
        <v>1.54</v>
      </c>
      <c r="J16" s="54">
        <v>0.25</v>
      </c>
      <c r="K16" s="54">
        <v>336.33</v>
      </c>
      <c r="L16" s="54">
        <v>17.12</v>
      </c>
      <c r="M16" s="54">
        <v>92.35</v>
      </c>
      <c r="N16" s="54">
        <v>81.400000000000006</v>
      </c>
      <c r="O16" s="54">
        <v>0</v>
      </c>
      <c r="P16" s="54">
        <v>1.72</v>
      </c>
      <c r="Q16" s="54">
        <v>11.98</v>
      </c>
      <c r="R16" s="43"/>
      <c r="S16" s="43"/>
      <c r="T16" s="43"/>
      <c r="U16" s="43"/>
    </row>
    <row r="17" spans="1:21" s="11" customFormat="1" ht="15">
      <c r="A17" s="53" t="s">
        <v>286</v>
      </c>
      <c r="B17" s="54">
        <v>50.60</v>
      </c>
      <c r="C17" s="54">
        <v>61.41</v>
      </c>
      <c r="D17" s="54">
        <v>73.88</v>
      </c>
      <c r="E17" s="54">
        <v>0.25</v>
      </c>
      <c r="F17" s="54">
        <v>3.53</v>
      </c>
      <c r="G17" s="54">
        <v>123.59</v>
      </c>
      <c r="H17" s="54">
        <v>60.25</v>
      </c>
      <c r="I17" s="54">
        <v>1.55</v>
      </c>
      <c r="J17" s="54">
        <v>0.28999999999999998</v>
      </c>
      <c r="K17" s="54">
        <v>349.31</v>
      </c>
      <c r="L17" s="54">
        <v>19.989999999999998</v>
      </c>
      <c r="M17" s="54">
        <v>82.41</v>
      </c>
      <c r="N17" s="54">
        <v>110</v>
      </c>
      <c r="O17" s="54">
        <v>0</v>
      </c>
      <c r="P17" s="54">
        <v>1.54</v>
      </c>
      <c r="Q17" s="54">
        <v>11.16</v>
      </c>
      <c r="R17" s="43"/>
      <c r="S17" s="43"/>
      <c r="T17" s="43"/>
      <c r="U17" s="43"/>
    </row>
    <row r="18" spans="1:21" s="11" customFormat="1" ht="15">
      <c r="A18" s="53" t="s">
        <v>287</v>
      </c>
      <c r="B18" s="54">
        <v>43.41</v>
      </c>
      <c r="C18" s="54">
        <v>65.540000000000006</v>
      </c>
      <c r="D18" s="54">
        <v>69.84</v>
      </c>
      <c r="E18" s="54">
        <v>0.32</v>
      </c>
      <c r="F18" s="54">
        <v>3.43</v>
      </c>
      <c r="G18" s="54">
        <v>123.03</v>
      </c>
      <c r="H18" s="54">
        <v>57.47</v>
      </c>
      <c r="I18" s="54">
        <v>1.55</v>
      </c>
      <c r="J18" s="54">
        <v>0.46</v>
      </c>
      <c r="K18" s="54">
        <v>343.72</v>
      </c>
      <c r="L18" s="54">
        <v>22.82</v>
      </c>
      <c r="M18" s="54">
        <v>70.790000000000006</v>
      </c>
      <c r="N18" s="54">
        <v>237.90</v>
      </c>
      <c r="O18" s="54">
        <v>0</v>
      </c>
      <c r="P18" s="54">
        <v>1.45</v>
      </c>
      <c r="Q18" s="54">
        <v>10.81</v>
      </c>
      <c r="R18" s="43"/>
      <c r="S18" s="43"/>
      <c r="T18" s="43"/>
      <c r="U18" s="43"/>
    </row>
    <row r="19" spans="1:21" s="11" customFormat="1" ht="15">
      <c r="A19" s="53" t="s">
        <v>288</v>
      </c>
      <c r="B19" s="54">
        <v>36.58</v>
      </c>
      <c r="C19" s="54">
        <v>93.26</v>
      </c>
      <c r="D19" s="54">
        <v>68.44</v>
      </c>
      <c r="E19" s="54">
        <v>0.27</v>
      </c>
      <c r="F19" s="54">
        <v>4.7699999999999996</v>
      </c>
      <c r="G19" s="54">
        <v>131.25</v>
      </c>
      <c r="H19" s="54">
        <v>57.25</v>
      </c>
      <c r="I19" s="54">
        <v>1.59</v>
      </c>
      <c r="J19" s="54">
        <v>0.48</v>
      </c>
      <c r="K19" s="54">
        <v>347.53</v>
      </c>
      <c r="L19" s="54">
        <v>29.13</v>
      </c>
      <c r="M19" s="54">
        <v>54.38</v>
      </c>
      <c r="N19" s="54">
        <v>453.5</v>
      </c>
      <c r="O19" s="54">
        <v>0</v>
      </c>
      <c r="P19" s="54">
        <v>1.53</v>
      </c>
      <c r="Q19" s="54">
        <v>10.87</v>
      </c>
      <c r="R19" s="43"/>
      <c r="S19" s="43"/>
      <c r="T19" s="43"/>
      <c r="U19" s="43"/>
    </row>
    <row r="20" spans="1:21" s="11" customFormat="1" ht="15">
      <c r="A20" s="53" t="s">
        <v>289</v>
      </c>
      <c r="B20" s="54">
        <v>11.09</v>
      </c>
      <c r="C20" s="54">
        <v>98.74</v>
      </c>
      <c r="D20" s="54">
        <v>64.03</v>
      </c>
      <c r="E20" s="54">
        <v>0.19</v>
      </c>
      <c r="F20" s="54">
        <v>6.95</v>
      </c>
      <c r="G20" s="54">
        <v>129.90</v>
      </c>
      <c r="H20" s="54">
        <v>59.68</v>
      </c>
      <c r="I20" s="54">
        <v>1.56</v>
      </c>
      <c r="J20" s="54">
        <v>0.38</v>
      </c>
      <c r="K20" s="54">
        <v>339.20</v>
      </c>
      <c r="L20" s="54">
        <v>29.26</v>
      </c>
      <c r="M20" s="54">
        <v>42.23</v>
      </c>
      <c r="N20" s="54">
        <v>465.80</v>
      </c>
      <c r="O20" s="54">
        <v>0</v>
      </c>
      <c r="P20" s="54">
        <v>1.43</v>
      </c>
      <c r="Q20" s="54">
        <v>10.61</v>
      </c>
      <c r="R20" s="43"/>
      <c r="S20" s="43"/>
      <c r="T20" s="43"/>
      <c r="U20" s="43"/>
    </row>
    <row r="21" spans="1:21" s="11" customFormat="1" ht="15">
      <c r="A21" s="53" t="s">
        <v>290</v>
      </c>
      <c r="B21" s="54">
        <v>5.93</v>
      </c>
      <c r="C21" s="54">
        <v>73.28</v>
      </c>
      <c r="D21" s="54">
        <v>45.85</v>
      </c>
      <c r="E21" s="54">
        <v>0.19</v>
      </c>
      <c r="F21" s="54">
        <v>10.53</v>
      </c>
      <c r="G21" s="54">
        <v>119.73</v>
      </c>
      <c r="H21" s="54">
        <v>58.80</v>
      </c>
      <c r="I21" s="54">
        <v>1.53</v>
      </c>
      <c r="J21" s="54">
        <v>0.57999999999999996</v>
      </c>
      <c r="K21" s="54">
        <v>345.94</v>
      </c>
      <c r="L21" s="54">
        <v>30.68</v>
      </c>
      <c r="M21" s="54">
        <v>37.39</v>
      </c>
      <c r="N21" s="54">
        <v>448.10</v>
      </c>
      <c r="O21" s="54">
        <v>0</v>
      </c>
      <c r="P21" s="54">
        <v>1.18</v>
      </c>
      <c r="Q21" s="54">
        <v>8.3699999999999992</v>
      </c>
      <c r="R21" s="43"/>
      <c r="S21" s="43"/>
      <c r="T21" s="43"/>
      <c r="U21" s="43"/>
    </row>
    <row r="22" spans="1:21" s="11" customFormat="1" ht="15">
      <c r="A22" s="53" t="s">
        <v>291</v>
      </c>
      <c r="B22" s="54">
        <v>3.72</v>
      </c>
      <c r="C22" s="54">
        <v>64.930000000000007</v>
      </c>
      <c r="D22" s="54">
        <v>39.47</v>
      </c>
      <c r="E22" s="54">
        <v>0.45</v>
      </c>
      <c r="F22" s="54">
        <v>14.51</v>
      </c>
      <c r="G22" s="54">
        <v>100.14</v>
      </c>
      <c r="H22" s="54">
        <v>54.28</v>
      </c>
      <c r="I22" s="54">
        <v>1.51</v>
      </c>
      <c r="J22" s="54">
        <v>0.60</v>
      </c>
      <c r="K22" s="54">
        <v>331.59</v>
      </c>
      <c r="L22" s="54">
        <v>30.49</v>
      </c>
      <c r="M22" s="54">
        <v>36.11</v>
      </c>
      <c r="N22" s="54">
        <v>312</v>
      </c>
      <c r="O22" s="54">
        <v>0</v>
      </c>
      <c r="P22" s="54">
        <v>0.94</v>
      </c>
      <c r="Q22" s="54">
        <v>6.02</v>
      </c>
      <c r="R22" s="43"/>
      <c r="S22" s="43"/>
      <c r="T22" s="43"/>
      <c r="U22" s="43"/>
    </row>
    <row r="23" spans="1:21" s="11" customFormat="1" ht="15">
      <c r="A23" s="53" t="s">
        <v>292</v>
      </c>
      <c r="B23" s="54">
        <v>4.75</v>
      </c>
      <c r="C23" s="54">
        <v>67.13</v>
      </c>
      <c r="D23" s="54">
        <v>41.5</v>
      </c>
      <c r="E23" s="54">
        <v>0.16</v>
      </c>
      <c r="F23" s="54">
        <v>6.07</v>
      </c>
      <c r="G23" s="54">
        <v>77.53</v>
      </c>
      <c r="H23" s="54">
        <v>47.91</v>
      </c>
      <c r="I23" s="54">
        <v>1.58</v>
      </c>
      <c r="J23" s="54">
        <v>1.06</v>
      </c>
      <c r="K23" s="54">
        <v>342.53</v>
      </c>
      <c r="L23" s="54">
        <v>29.31</v>
      </c>
      <c r="M23" s="54">
        <v>39.549999999999997</v>
      </c>
      <c r="N23" s="54">
        <v>191.5</v>
      </c>
      <c r="O23" s="54">
        <v>0</v>
      </c>
      <c r="P23" s="54">
        <v>0.87</v>
      </c>
      <c r="Q23" s="54">
        <v>5.41</v>
      </c>
      <c r="R23" s="43"/>
      <c r="S23" s="43"/>
      <c r="T23" s="43"/>
      <c r="U23" s="43"/>
    </row>
    <row r="24" spans="1:21" s="11" customFormat="1" ht="15">
      <c r="A24" s="53" t="s">
        <v>293</v>
      </c>
      <c r="B24" s="54">
        <v>5.45</v>
      </c>
      <c r="C24" s="54">
        <v>68.84</v>
      </c>
      <c r="D24" s="54">
        <v>43.01</v>
      </c>
      <c r="E24" s="54">
        <v>0.21</v>
      </c>
      <c r="F24" s="54">
        <v>4.51</v>
      </c>
      <c r="G24" s="54">
        <v>95.45</v>
      </c>
      <c r="H24" s="54">
        <v>43.06</v>
      </c>
      <c r="I24" s="54">
        <v>1.57</v>
      </c>
      <c r="J24" s="54">
        <v>1.39</v>
      </c>
      <c r="K24" s="54">
        <v>337.93</v>
      </c>
      <c r="L24" s="54">
        <v>27.75</v>
      </c>
      <c r="M24" s="54">
        <v>41.87</v>
      </c>
      <c r="N24" s="54">
        <v>122.20</v>
      </c>
      <c r="O24" s="54">
        <v>0</v>
      </c>
      <c r="P24" s="54">
        <v>0.89</v>
      </c>
      <c r="Q24" s="54">
        <v>6.04</v>
      </c>
      <c r="R24" s="43"/>
      <c r="S24" s="43"/>
      <c r="T24" s="43"/>
      <c r="U24" s="43"/>
    </row>
    <row r="25" spans="1:21" s="11" customFormat="1" ht="15">
      <c r="A25" s="53" t="s">
        <v>294</v>
      </c>
      <c r="B25" s="54">
        <v>5.59</v>
      </c>
      <c r="C25" s="54">
        <v>69.760000000000005</v>
      </c>
      <c r="D25" s="54">
        <v>43.31</v>
      </c>
      <c r="E25" s="54">
        <v>0.24</v>
      </c>
      <c r="F25" s="54">
        <v>4.37</v>
      </c>
      <c r="G25" s="54">
        <v>90.34</v>
      </c>
      <c r="H25" s="54">
        <v>41.54</v>
      </c>
      <c r="I25" s="54">
        <v>1.51</v>
      </c>
      <c r="J25" s="54">
        <v>1.1599999999999999</v>
      </c>
      <c r="K25" s="54">
        <v>340.78</v>
      </c>
      <c r="L25" s="54">
        <v>25.88</v>
      </c>
      <c r="M25" s="54">
        <v>50.18</v>
      </c>
      <c r="N25" s="54">
        <v>59.80</v>
      </c>
      <c r="O25" s="54">
        <v>0</v>
      </c>
      <c r="P25" s="54">
        <v>0.88</v>
      </c>
      <c r="Q25" s="54">
        <v>6.16</v>
      </c>
      <c r="R25" s="43"/>
      <c r="S25" s="43"/>
      <c r="T25" s="43"/>
      <c r="U25" s="43"/>
    </row>
    <row r="26" spans="1:21" s="11" customFormat="1" ht="15">
      <c r="A26" s="53" t="s">
        <v>295</v>
      </c>
      <c r="B26" s="54">
        <v>21.76</v>
      </c>
      <c r="C26" s="54">
        <v>89.90</v>
      </c>
      <c r="D26" s="54">
        <v>67.709999999999994</v>
      </c>
      <c r="E26" s="54">
        <v>0.24</v>
      </c>
      <c r="F26" s="54">
        <v>4.32</v>
      </c>
      <c r="G26" s="54">
        <v>92.06</v>
      </c>
      <c r="H26" s="54">
        <v>36.54</v>
      </c>
      <c r="I26" s="54">
        <v>1.53</v>
      </c>
      <c r="J26" s="54">
        <v>0.64</v>
      </c>
      <c r="K26" s="54">
        <v>344.31</v>
      </c>
      <c r="L26" s="54">
        <v>24.23</v>
      </c>
      <c r="M26" s="54">
        <v>60.17</v>
      </c>
      <c r="N26" s="54">
        <v>21.10</v>
      </c>
      <c r="O26" s="54">
        <v>0</v>
      </c>
      <c r="P26" s="54">
        <v>1.34</v>
      </c>
      <c r="Q26" s="54">
        <v>9.83</v>
      </c>
      <c r="R26" s="43"/>
      <c r="S26" s="43"/>
      <c r="T26" s="43"/>
      <c r="U26" s="43"/>
    </row>
    <row r="27" spans="1:21" s="11" customFormat="1" ht="15">
      <c r="A27" s="53" t="s">
        <v>296</v>
      </c>
      <c r="B27" s="54">
        <v>32.26</v>
      </c>
      <c r="C27" s="54">
        <v>88.08</v>
      </c>
      <c r="D27" s="54">
        <v>71.14</v>
      </c>
      <c r="E27" s="54">
        <v>0.24</v>
      </c>
      <c r="F27" s="54">
        <v>3.39</v>
      </c>
      <c r="G27" s="54">
        <v>114.37</v>
      </c>
      <c r="H27" s="54">
        <v>39.14</v>
      </c>
      <c r="I27" s="54">
        <v>1.52</v>
      </c>
      <c r="J27" s="54">
        <v>0.14000000000000001</v>
      </c>
      <c r="K27" s="54">
        <v>353.84</v>
      </c>
      <c r="L27" s="54">
        <v>21.81</v>
      </c>
      <c r="M27" s="54">
        <v>73.95</v>
      </c>
      <c r="N27" s="54">
        <v>11.60</v>
      </c>
      <c r="O27" s="54">
        <v>0</v>
      </c>
      <c r="P27" s="54">
        <v>1.59</v>
      </c>
      <c r="Q27" s="54">
        <v>10.41</v>
      </c>
      <c r="R27" s="43"/>
      <c r="S27" s="43"/>
      <c r="T27" s="43"/>
      <c r="U27" s="43"/>
    </row>
    <row r="28" spans="1:21" s="11" customFormat="1" ht="15">
      <c r="A28" s="53" t="s">
        <v>297</v>
      </c>
      <c r="B28" s="54">
        <v>48.21</v>
      </c>
      <c r="C28" s="54">
        <v>78.900000000000006</v>
      </c>
      <c r="D28" s="54">
        <v>81.03</v>
      </c>
      <c r="E28" s="54">
        <v>0.31</v>
      </c>
      <c r="F28" s="54">
        <v>3.21</v>
      </c>
      <c r="G28" s="54">
        <v>131.74</v>
      </c>
      <c r="H28" s="54">
        <v>43.33</v>
      </c>
      <c r="I28" s="54">
        <v>1.5</v>
      </c>
      <c r="J28" s="54">
        <v>0.10</v>
      </c>
      <c r="K28" s="54">
        <v>356.30</v>
      </c>
      <c r="L28" s="54">
        <v>20.57</v>
      </c>
      <c r="M28" s="54">
        <v>81.52</v>
      </c>
      <c r="N28" s="54">
        <v>11.70</v>
      </c>
      <c r="O28" s="54">
        <v>0</v>
      </c>
      <c r="P28" s="54">
        <v>1.89</v>
      </c>
      <c r="Q28" s="54">
        <v>11.16</v>
      </c>
      <c r="R28" s="43"/>
      <c r="S28" s="43"/>
      <c r="T28" s="43"/>
      <c r="U28" s="43"/>
    </row>
    <row r="29" spans="1:21" s="11" customFormat="1" ht="15">
      <c r="A29" s="53" t="s">
        <v>298</v>
      </c>
      <c r="B29" s="54">
        <v>75.86</v>
      </c>
      <c r="C29" s="54">
        <v>75.14</v>
      </c>
      <c r="D29" s="54">
        <v>102.76</v>
      </c>
      <c r="E29" s="54">
        <v>0.42</v>
      </c>
      <c r="F29" s="54">
        <v>3.46</v>
      </c>
      <c r="G29" s="54">
        <v>169.34</v>
      </c>
      <c r="H29" s="54">
        <v>51.01</v>
      </c>
      <c r="I29" s="54">
        <v>1.53</v>
      </c>
      <c r="J29" s="54">
        <v>0.10</v>
      </c>
      <c r="K29" s="54">
        <v>306.77</v>
      </c>
      <c r="L29" s="54">
        <v>20.45</v>
      </c>
      <c r="M29" s="54">
        <v>78.14</v>
      </c>
      <c r="N29" s="54">
        <v>11.40</v>
      </c>
      <c r="O29" s="54">
        <v>0</v>
      </c>
      <c r="P29" s="54">
        <v>2.33</v>
      </c>
      <c r="Q29" s="54">
        <v>13.07</v>
      </c>
      <c r="R29" s="43"/>
      <c r="S29" s="43"/>
      <c r="T29" s="43"/>
      <c r="U29" s="43"/>
    </row>
    <row r="30" spans="1:21" s="11" customFormat="1" ht="15">
      <c r="A30" s="53" t="s">
        <v>299</v>
      </c>
      <c r="B30" s="54">
        <v>82.92</v>
      </c>
      <c r="C30" s="54">
        <v>74.45</v>
      </c>
      <c r="D30" s="54">
        <v>106.79</v>
      </c>
      <c r="E30" s="54">
        <v>0.47</v>
      </c>
      <c r="F30" s="54">
        <v>3.38</v>
      </c>
      <c r="G30" s="54">
        <v>175.39</v>
      </c>
      <c r="H30" s="54">
        <v>55.55</v>
      </c>
      <c r="I30" s="54">
        <v>1.56</v>
      </c>
      <c r="J30" s="54">
        <v>0.73</v>
      </c>
      <c r="K30" s="54">
        <v>309.77999999999997</v>
      </c>
      <c r="L30" s="54">
        <v>20.58</v>
      </c>
      <c r="M30" s="54">
        <v>70.19</v>
      </c>
      <c r="N30" s="54">
        <v>11.70</v>
      </c>
      <c r="O30" s="54">
        <v>0</v>
      </c>
      <c r="P30" s="54">
        <v>2.38</v>
      </c>
      <c r="Q30" s="54">
        <v>13.77</v>
      </c>
      <c r="R30" s="43"/>
      <c r="S30" s="43"/>
      <c r="T30" s="43"/>
      <c r="U30" s="43"/>
    </row>
    <row r="31" spans="1:21" s="11" customFormat="1" ht="15">
      <c r="A31" s="53" t="s">
        <v>300</v>
      </c>
      <c r="B31" s="54">
        <v>77.95</v>
      </c>
      <c r="C31" s="54">
        <v>69.22</v>
      </c>
      <c r="D31" s="54">
        <v>101.36</v>
      </c>
      <c r="E31" s="54">
        <v>0.46</v>
      </c>
      <c r="F31" s="54">
        <v>3.18</v>
      </c>
      <c r="G31" s="54">
        <v>170.19</v>
      </c>
      <c r="H31" s="54">
        <v>55.69</v>
      </c>
      <c r="I31" s="54">
        <v>1.55</v>
      </c>
      <c r="J31" s="54">
        <v>0.08</v>
      </c>
      <c r="K31" s="54">
        <v>355.83</v>
      </c>
      <c r="L31" s="54">
        <v>20.13</v>
      </c>
      <c r="M31" s="54">
        <v>82.23</v>
      </c>
      <c r="N31" s="54">
        <v>11.80</v>
      </c>
      <c r="O31" s="54">
        <v>0</v>
      </c>
      <c r="P31" s="54">
        <v>2.2000000000000002</v>
      </c>
      <c r="Q31" s="54">
        <v>13.52</v>
      </c>
      <c r="R31" s="43"/>
      <c r="S31" s="43"/>
      <c r="T31" s="43"/>
      <c r="U31" s="43"/>
    </row>
    <row r="32" spans="1:21" s="11" customFormat="1" ht="15">
      <c r="A32" s="53" t="s">
        <v>301</v>
      </c>
      <c r="B32" s="54">
        <v>71.19</v>
      </c>
      <c r="C32" s="54">
        <v>64.66</v>
      </c>
      <c r="D32" s="54">
        <v>93.42</v>
      </c>
      <c r="E32" s="54">
        <v>0.44</v>
      </c>
      <c r="F32" s="54">
        <v>3.17</v>
      </c>
      <c r="G32" s="54">
        <v>138.28</v>
      </c>
      <c r="H32" s="54">
        <v>54.68</v>
      </c>
      <c r="I32" s="54">
        <v>1.56</v>
      </c>
      <c r="J32" s="54">
        <v>0.09</v>
      </c>
      <c r="K32" s="54">
        <v>332.97</v>
      </c>
      <c r="L32" s="54">
        <v>18.649999999999999</v>
      </c>
      <c r="M32" s="54">
        <v>84.71</v>
      </c>
      <c r="N32" s="54">
        <v>11.5</v>
      </c>
      <c r="O32" s="54">
        <v>0</v>
      </c>
      <c r="P32" s="54">
        <v>1.96</v>
      </c>
      <c r="Q32" s="54">
        <v>12.94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3.7200000000000002</v>
      </c>
      <c r="C34" s="28">
        <f t="shared" si="0"/>
        <v>57.009999999999998</v>
      </c>
      <c r="D34" s="28">
        <f t="shared" si="0"/>
        <v>39.469999999999999</v>
      </c>
      <c r="E34" s="28">
        <f t="shared" si="0"/>
        <v>0.16</v>
      </c>
      <c r="F34" s="28">
        <f t="shared" si="0"/>
        <v>3.1299999999999999</v>
      </c>
      <c r="G34" s="28">
        <f t="shared" si="0"/>
        <v>77.530000000000001</v>
      </c>
      <c r="H34" s="28">
        <f t="shared" si="0"/>
        <v>36.539999999999999</v>
      </c>
      <c r="I34" s="28">
        <f t="shared" si="0"/>
        <v>1.5</v>
      </c>
      <c r="J34" s="28">
        <f t="shared" si="0"/>
        <v>0.080000000000000002</v>
      </c>
      <c r="K34" s="28">
        <f t="shared" si="0"/>
        <v>269</v>
      </c>
      <c r="L34" s="28">
        <f t="shared" si="0"/>
        <v>16.489999999999998</v>
      </c>
      <c r="M34" s="28">
        <f t="shared" si="0"/>
        <v>36.109999999999999</v>
      </c>
      <c r="N34" s="28">
        <f t="shared" si="0"/>
        <v>10.9</v>
      </c>
      <c r="O34" s="28">
        <f t="shared" si="0"/>
        <v>0</v>
      </c>
      <c r="P34" s="28">
        <f t="shared" si="0"/>
        <v>0.87</v>
      </c>
      <c r="Q34" s="28">
        <f t="shared" si="0"/>
        <v>5.4100000000000001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165.49000000000001</v>
      </c>
      <c r="C35" s="29">
        <f t="shared" si="1"/>
        <v>98.739999999999995</v>
      </c>
      <c r="D35" s="29">
        <f t="shared" si="1"/>
        <v>176.34</v>
      </c>
      <c r="E35" s="29">
        <f t="shared" si="1"/>
        <v>0.5</v>
      </c>
      <c r="F35" s="29">
        <f t="shared" si="1"/>
        <v>14.51</v>
      </c>
      <c r="G35" s="29">
        <f t="shared" si="1"/>
        <v>243.13</v>
      </c>
      <c r="H35" s="29">
        <f t="shared" si="1"/>
        <v>86.489999999999995</v>
      </c>
      <c r="I35" s="29">
        <f t="shared" si="1"/>
        <v>1.5900000000000001</v>
      </c>
      <c r="J35" s="29">
        <f t="shared" si="1"/>
        <v>1.3899999999999999</v>
      </c>
      <c r="K35" s="29">
        <f t="shared" si="1"/>
        <v>356.30000000000001</v>
      </c>
      <c r="L35" s="29">
        <f t="shared" si="1"/>
        <v>30.68</v>
      </c>
      <c r="M35" s="29">
        <f t="shared" si="1"/>
        <v>97.450000000000003</v>
      </c>
      <c r="N35" s="29">
        <f t="shared" si="1"/>
        <v>465.80000000000001</v>
      </c>
      <c r="O35" s="29">
        <f t="shared" si="1"/>
        <v>0</v>
      </c>
      <c r="P35" s="29">
        <f t="shared" si="1"/>
        <v>4.1500000000000004</v>
      </c>
      <c r="Q35" s="29">
        <f t="shared" si="1"/>
        <v>20.120000000000001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59.225833333333348</v>
      </c>
      <c r="C36" s="28">
        <f t="shared" si="2"/>
        <v>71.875</v>
      </c>
      <c r="D36" s="28">
        <f t="shared" si="2"/>
        <v>86.718749999999986</v>
      </c>
      <c r="E36" s="28">
        <f t="shared" si="2"/>
        <v>0.3345833333333334</v>
      </c>
      <c r="F36" s="28">
        <f t="shared" si="2"/>
        <v>4.5520833333333348</v>
      </c>
      <c r="G36" s="28">
        <f t="shared" si="2"/>
        <v>140.70708333333332</v>
      </c>
      <c r="H36" s="28">
        <f t="shared" si="2"/>
        <v>59.133333333333326</v>
      </c>
      <c r="I36" s="28">
        <f t="shared" si="2"/>
        <v>1.5395833333333337</v>
      </c>
      <c r="J36" s="28">
        <f t="shared" si="2"/>
        <v>0.40500000000000003</v>
      </c>
      <c r="K36" s="28">
        <f t="shared" si="2"/>
        <v>331.41124999999994</v>
      </c>
      <c r="L36" s="28">
        <f t="shared" si="2"/>
        <v>21.977083333333329</v>
      </c>
      <c r="M36" s="28">
        <f t="shared" si="2"/>
        <v>72.306666666666672</v>
      </c>
      <c r="N36" s="28">
        <f t="shared" si="2"/>
        <v>110.925</v>
      </c>
      <c r="O36" s="28">
        <f t="shared" si="2"/>
        <v>0</v>
      </c>
      <c r="P36" s="28">
        <f t="shared" si="2"/>
        <v>1.9183333333333341</v>
      </c>
      <c r="Q36" s="28">
        <f t="shared" si="2"/>
        <v>11.822916666666666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46.084974719831784</v>
      </c>
      <c r="C37" s="28">
        <f t="shared" si="3" ref="C37:Q37">STDEV(C9:C32)</f>
        <v>11.335353315296732</v>
      </c>
      <c r="D37" s="28">
        <f t="shared" si="3"/>
        <v>36.59055274990363</v>
      </c>
      <c r="E37" s="28">
        <f t="shared" si="3"/>
        <v>0.10636194017993732</v>
      </c>
      <c r="F37" s="28">
        <f t="shared" si="3"/>
        <v>2.6977655474995141</v>
      </c>
      <c r="G37" s="28">
        <f t="shared" si="3"/>
        <v>41.010621686621498</v>
      </c>
      <c r="H37" s="28">
        <f t="shared" si="3"/>
        <v>14.118796187958159</v>
      </c>
      <c r="I37" s="28">
        <f t="shared" si="3"/>
        <v>0.024756056205312283</v>
      </c>
      <c r="J37" s="28">
        <f t="shared" si="3"/>
        <v>0.36908818317107051</v>
      </c>
      <c r="K37" s="28">
        <f t="shared" si="3"/>
        <v>21.327671209935943</v>
      </c>
      <c r="L37" s="28">
        <f t="shared" si="3"/>
        <v>5.0523791031007743</v>
      </c>
      <c r="M37" s="28">
        <f t="shared" si="3"/>
        <v>21.449060112511798</v>
      </c>
      <c r="N37" s="28">
        <f t="shared" si="3"/>
        <v>155.8247768711912</v>
      </c>
      <c r="O37" s="28">
        <f t="shared" si="3"/>
        <v>0</v>
      </c>
      <c r="P37" s="28">
        <f t="shared" si="3"/>
        <v>0.85496842894504088</v>
      </c>
      <c r="Q37" s="28">
        <f t="shared" si="3"/>
        <v>3.9187647556525969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78fe0fb-ac44-43e2-a12f-d2df61834f7d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2" sqref="G62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302</v>
      </c>
      <c r="B9" s="54">
        <v>64.64</v>
      </c>
      <c r="C9" s="54">
        <v>61.66</v>
      </c>
      <c r="D9" s="54">
        <v>86.51</v>
      </c>
      <c r="E9" s="54">
        <v>0.34</v>
      </c>
      <c r="F9" s="54">
        <v>3.31</v>
      </c>
      <c r="G9" s="54">
        <v>117.09</v>
      </c>
      <c r="H9" s="54">
        <v>45.66</v>
      </c>
      <c r="I9" s="54">
        <v>1.56</v>
      </c>
      <c r="J9" s="54">
        <v>0.43</v>
      </c>
      <c r="K9" s="54">
        <v>348.89</v>
      </c>
      <c r="L9" s="54">
        <v>18.739999999999998</v>
      </c>
      <c r="M9" s="54">
        <v>83.77</v>
      </c>
      <c r="N9" s="54">
        <v>11.40</v>
      </c>
      <c r="O9" s="54">
        <v>0</v>
      </c>
      <c r="P9" s="54">
        <v>1.78</v>
      </c>
      <c r="Q9" s="54">
        <v>12.40</v>
      </c>
      <c r="R9" s="43"/>
      <c r="S9" s="43"/>
      <c r="T9" s="43"/>
      <c r="U9" s="43"/>
    </row>
    <row r="10" spans="1:21" s="11" customFormat="1" ht="15">
      <c r="A10" s="53" t="s">
        <v>303</v>
      </c>
      <c r="B10" s="54">
        <v>51.25</v>
      </c>
      <c r="C10" s="54">
        <v>59.48</v>
      </c>
      <c r="D10" s="54">
        <v>74.260000000000005</v>
      </c>
      <c r="E10" s="54">
        <v>0.26</v>
      </c>
      <c r="F10" s="54">
        <v>3.27</v>
      </c>
      <c r="G10" s="54">
        <v>108.47</v>
      </c>
      <c r="H10" s="54">
        <v>27.09</v>
      </c>
      <c r="I10" s="54">
        <v>1.59</v>
      </c>
      <c r="J10" s="54">
        <v>0.41</v>
      </c>
      <c r="K10" s="54">
        <v>353.57</v>
      </c>
      <c r="L10" s="54">
        <v>18.739999999999998</v>
      </c>
      <c r="M10" s="54">
        <v>88.01</v>
      </c>
      <c r="N10" s="54">
        <v>11.60</v>
      </c>
      <c r="O10" s="54">
        <v>0</v>
      </c>
      <c r="P10" s="54">
        <v>1.51</v>
      </c>
      <c r="Q10" s="54">
        <v>11.14</v>
      </c>
      <c r="R10" s="43"/>
      <c r="S10" s="43"/>
      <c r="T10" s="43"/>
      <c r="U10" s="43"/>
    </row>
    <row r="11" spans="1:21" s="11" customFormat="1" ht="15">
      <c r="A11" s="53" t="s">
        <v>304</v>
      </c>
      <c r="B11" s="54">
        <v>39.81</v>
      </c>
      <c r="C11" s="54">
        <v>58.14</v>
      </c>
      <c r="D11" s="54">
        <v>64.540000000000006</v>
      </c>
      <c r="E11" s="54">
        <v>0.27</v>
      </c>
      <c r="F11" s="54">
        <v>3.34</v>
      </c>
      <c r="G11" s="54">
        <v>92.74</v>
      </c>
      <c r="H11" s="54">
        <v>14.73</v>
      </c>
      <c r="I11" s="54">
        <v>1.56</v>
      </c>
      <c r="J11" s="54">
        <v>0.76</v>
      </c>
      <c r="K11" s="54">
        <v>348.77</v>
      </c>
      <c r="L11" s="54">
        <v>18.82</v>
      </c>
      <c r="M11" s="54">
        <v>80.67</v>
      </c>
      <c r="N11" s="54">
        <v>11.20</v>
      </c>
      <c r="O11" s="54">
        <v>0</v>
      </c>
      <c r="P11" s="54">
        <v>1.34</v>
      </c>
      <c r="Q11" s="54">
        <v>10.10</v>
      </c>
      <c r="R11" s="43"/>
      <c r="S11" s="43"/>
      <c r="T11" s="43"/>
      <c r="U11" s="43"/>
    </row>
    <row r="12" spans="1:21" s="11" customFormat="1" ht="15">
      <c r="A12" s="53" t="s">
        <v>305</v>
      </c>
      <c r="B12" s="54">
        <v>28.24</v>
      </c>
      <c r="C12" s="54">
        <v>58.59</v>
      </c>
      <c r="D12" s="54">
        <v>55.60</v>
      </c>
      <c r="E12" s="54">
        <v>0.22</v>
      </c>
      <c r="F12" s="54">
        <v>3.43</v>
      </c>
      <c r="G12" s="54">
        <v>88.54</v>
      </c>
      <c r="H12" s="54">
        <v>7.60</v>
      </c>
      <c r="I12" s="54">
        <v>1.58</v>
      </c>
      <c r="J12" s="54">
        <v>1.18</v>
      </c>
      <c r="K12" s="54">
        <v>346.26</v>
      </c>
      <c r="L12" s="54">
        <v>18.73</v>
      </c>
      <c r="M12" s="54">
        <v>83.89</v>
      </c>
      <c r="N12" s="54">
        <v>11.60</v>
      </c>
      <c r="O12" s="54">
        <v>0</v>
      </c>
      <c r="P12" s="54">
        <v>1.1299999999999999</v>
      </c>
      <c r="Q12" s="54">
        <v>9.16</v>
      </c>
      <c r="R12" s="43"/>
      <c r="S12" s="43"/>
      <c r="T12" s="43"/>
      <c r="U12" s="43"/>
    </row>
    <row r="13" spans="1:21" s="11" customFormat="1" ht="15">
      <c r="A13" s="53" t="s">
        <v>306</v>
      </c>
      <c r="B13" s="54">
        <v>22.70</v>
      </c>
      <c r="C13" s="54">
        <v>57.79</v>
      </c>
      <c r="D13" s="54">
        <v>50.75</v>
      </c>
      <c r="E13" s="54">
        <v>0.34</v>
      </c>
      <c r="F13" s="54">
        <v>3.22</v>
      </c>
      <c r="G13" s="54">
        <v>100.94</v>
      </c>
      <c r="H13" s="54">
        <v>6.81</v>
      </c>
      <c r="I13" s="54">
        <v>1.63</v>
      </c>
      <c r="J13" s="54">
        <v>0.93</v>
      </c>
      <c r="K13" s="54">
        <v>344.56</v>
      </c>
      <c r="L13" s="54">
        <v>17.89</v>
      </c>
      <c r="M13" s="54">
        <v>89.29</v>
      </c>
      <c r="N13" s="54">
        <v>11.70</v>
      </c>
      <c r="O13" s="54">
        <v>0</v>
      </c>
      <c r="P13" s="54">
        <v>1.06</v>
      </c>
      <c r="Q13" s="54">
        <v>8.69</v>
      </c>
      <c r="R13" s="43"/>
      <c r="S13" s="43"/>
      <c r="T13" s="43"/>
      <c r="U13" s="43"/>
    </row>
    <row r="14" spans="1:21" s="11" customFormat="1" ht="15">
      <c r="A14" s="53" t="s">
        <v>307</v>
      </c>
      <c r="B14" s="54">
        <v>22.60</v>
      </c>
      <c r="C14" s="54">
        <v>58.15</v>
      </c>
      <c r="D14" s="54">
        <v>50.85</v>
      </c>
      <c r="E14" s="54">
        <v>0.35</v>
      </c>
      <c r="F14" s="54">
        <v>2.97</v>
      </c>
      <c r="G14" s="54">
        <v>100.67</v>
      </c>
      <c r="H14" s="54">
        <v>107.02</v>
      </c>
      <c r="I14" s="54">
        <v>1.53</v>
      </c>
      <c r="J14" s="54">
        <v>0.36</v>
      </c>
      <c r="K14" s="54">
        <v>339.61</v>
      </c>
      <c r="L14" s="54">
        <v>17.600000000000001</v>
      </c>
      <c r="M14" s="54">
        <v>89.01</v>
      </c>
      <c r="N14" s="54">
        <v>11.70</v>
      </c>
      <c r="O14" s="54">
        <v>0</v>
      </c>
      <c r="P14" s="54">
        <v>1.07</v>
      </c>
      <c r="Q14" s="54">
        <v>8.86</v>
      </c>
      <c r="R14" s="43"/>
      <c r="S14" s="43"/>
      <c r="T14" s="43"/>
      <c r="U14" s="43"/>
    </row>
    <row r="15" spans="1:21" s="11" customFormat="1" ht="15">
      <c r="A15" s="53" t="s">
        <v>308</v>
      </c>
      <c r="B15" s="54">
        <v>22.14</v>
      </c>
      <c r="C15" s="54">
        <v>56.65</v>
      </c>
      <c r="D15" s="54">
        <v>49.67</v>
      </c>
      <c r="E15" s="54">
        <v>0.34</v>
      </c>
      <c r="F15" s="54">
        <v>3.28</v>
      </c>
      <c r="G15" s="54">
        <v>98.22</v>
      </c>
      <c r="H15" s="54">
        <v>84.66</v>
      </c>
      <c r="I15" s="54">
        <v>1.54</v>
      </c>
      <c r="J15" s="54">
        <v>0.54</v>
      </c>
      <c r="K15" s="54">
        <v>110.40</v>
      </c>
      <c r="L15" s="54">
        <v>17.64</v>
      </c>
      <c r="M15" s="54">
        <v>88.46</v>
      </c>
      <c r="N15" s="54">
        <v>27.70</v>
      </c>
      <c r="O15" s="54">
        <v>0</v>
      </c>
      <c r="P15" s="54">
        <v>0.99</v>
      </c>
      <c r="Q15" s="54">
        <v>8.85</v>
      </c>
      <c r="R15" s="43"/>
      <c r="S15" s="43"/>
      <c r="T15" s="43"/>
      <c r="U15" s="43"/>
    </row>
    <row r="16" spans="1:21" s="11" customFormat="1" ht="15">
      <c r="A16" s="53" t="s">
        <v>309</v>
      </c>
      <c r="B16" s="54">
        <v>22</v>
      </c>
      <c r="C16" s="54">
        <v>54.99</v>
      </c>
      <c r="D16" s="54">
        <v>48.11</v>
      </c>
      <c r="E16" s="54">
        <v>0.35</v>
      </c>
      <c r="F16" s="54">
        <v>3.39</v>
      </c>
      <c r="G16" s="54">
        <v>91.69</v>
      </c>
      <c r="H16" s="54">
        <v>132.40</v>
      </c>
      <c r="I16" s="54">
        <v>1.56</v>
      </c>
      <c r="J16" s="54">
        <v>1.1200000000000001</v>
      </c>
      <c r="K16" s="54">
        <v>108.69</v>
      </c>
      <c r="L16" s="54">
        <v>17.87</v>
      </c>
      <c r="M16" s="54">
        <v>87.59</v>
      </c>
      <c r="N16" s="54">
        <v>56.80</v>
      </c>
      <c r="O16" s="54">
        <v>0</v>
      </c>
      <c r="P16" s="54">
        <v>0.98</v>
      </c>
      <c r="Q16" s="54">
        <v>8.52</v>
      </c>
      <c r="R16" s="43"/>
      <c r="S16" s="43"/>
      <c r="T16" s="43"/>
      <c r="U16" s="43"/>
    </row>
    <row r="17" spans="1:21" s="11" customFormat="1" ht="15">
      <c r="A17" s="53" t="s">
        <v>310</v>
      </c>
      <c r="B17" s="54">
        <v>21.62</v>
      </c>
      <c r="C17" s="54">
        <v>54.37</v>
      </c>
      <c r="D17" s="54">
        <v>47.92</v>
      </c>
      <c r="E17" s="54">
        <v>0.35</v>
      </c>
      <c r="F17" s="54">
        <v>3.44</v>
      </c>
      <c r="G17" s="54">
        <v>93.20</v>
      </c>
      <c r="H17" s="54">
        <v>132.40</v>
      </c>
      <c r="I17" s="54">
        <v>1.56</v>
      </c>
      <c r="J17" s="54">
        <v>0.71</v>
      </c>
      <c r="K17" s="54">
        <v>340.63</v>
      </c>
      <c r="L17" s="54">
        <v>22.71</v>
      </c>
      <c r="M17" s="54">
        <v>87.59</v>
      </c>
      <c r="N17" s="54">
        <v>259.30</v>
      </c>
      <c r="O17" s="54">
        <v>0</v>
      </c>
      <c r="P17" s="54">
        <v>0.97</v>
      </c>
      <c r="Q17" s="54">
        <v>8.3000000000000007</v>
      </c>
      <c r="R17" s="43"/>
      <c r="S17" s="43"/>
      <c r="T17" s="43"/>
      <c r="U17" s="43"/>
    </row>
    <row r="18" spans="1:21" s="11" customFormat="1" ht="15">
      <c r="A18" s="53" t="s">
        <v>311</v>
      </c>
      <c r="B18" s="54">
        <v>21.64</v>
      </c>
      <c r="C18" s="54">
        <v>59.5</v>
      </c>
      <c r="D18" s="54">
        <v>49.61</v>
      </c>
      <c r="E18" s="54">
        <v>0.15</v>
      </c>
      <c r="F18" s="54">
        <v>3.34</v>
      </c>
      <c r="G18" s="54">
        <v>101.88</v>
      </c>
      <c r="H18" s="54">
        <v>76.92</v>
      </c>
      <c r="I18" s="54">
        <v>1.55</v>
      </c>
      <c r="J18" s="54">
        <v>0.51</v>
      </c>
      <c r="K18" s="54">
        <v>345.44</v>
      </c>
      <c r="L18" s="54">
        <v>24.28</v>
      </c>
      <c r="M18" s="54">
        <v>69</v>
      </c>
      <c r="N18" s="54">
        <v>362.60</v>
      </c>
      <c r="O18" s="54">
        <v>0</v>
      </c>
      <c r="P18" s="54">
        <v>1.01</v>
      </c>
      <c r="Q18" s="54">
        <v>8.57</v>
      </c>
      <c r="R18" s="43"/>
      <c r="S18" s="43"/>
      <c r="T18" s="43"/>
      <c r="U18" s="43"/>
    </row>
    <row r="19" spans="1:21" s="11" customFormat="1" ht="15">
      <c r="A19" s="53" t="s">
        <v>312</v>
      </c>
      <c r="B19" s="54">
        <v>18.25</v>
      </c>
      <c r="C19" s="54">
        <v>64.53</v>
      </c>
      <c r="D19" s="54">
        <v>49.26</v>
      </c>
      <c r="E19" s="54">
        <v>0.17</v>
      </c>
      <c r="F19" s="54">
        <v>3.38</v>
      </c>
      <c r="G19" s="54">
        <v>103.69</v>
      </c>
      <c r="H19" s="54">
        <v>55.13</v>
      </c>
      <c r="I19" s="54">
        <v>1.56</v>
      </c>
      <c r="J19" s="54">
        <v>0.84</v>
      </c>
      <c r="K19" s="54">
        <v>343.68</v>
      </c>
      <c r="L19" s="54">
        <v>28.24</v>
      </c>
      <c r="M19" s="54">
        <v>61.57</v>
      </c>
      <c r="N19" s="54">
        <v>431.60</v>
      </c>
      <c r="O19" s="54">
        <v>0</v>
      </c>
      <c r="P19" s="54">
        <v>1.02</v>
      </c>
      <c r="Q19" s="54">
        <v>8.39</v>
      </c>
      <c r="R19" s="43"/>
      <c r="S19" s="43"/>
      <c r="T19" s="43"/>
      <c r="U19" s="43"/>
    </row>
    <row r="20" spans="1:21" s="11" customFormat="1" ht="15">
      <c r="A20" s="53" t="s">
        <v>313</v>
      </c>
      <c r="B20" s="54">
        <v>14.76</v>
      </c>
      <c r="C20" s="54">
        <v>66.569999999999993</v>
      </c>
      <c r="D20" s="54">
        <v>48.79</v>
      </c>
      <c r="E20" s="54">
        <v>0.11</v>
      </c>
      <c r="F20" s="54">
        <v>3.37</v>
      </c>
      <c r="G20" s="54">
        <v>102.52</v>
      </c>
      <c r="H20" s="54">
        <v>52.38</v>
      </c>
      <c r="I20" s="54">
        <v>1.53</v>
      </c>
      <c r="J20" s="54">
        <v>0.88</v>
      </c>
      <c r="K20" s="54">
        <v>352.73</v>
      </c>
      <c r="L20" s="54">
        <v>28.46</v>
      </c>
      <c r="M20" s="54">
        <v>50.51</v>
      </c>
      <c r="N20" s="54">
        <v>444.80</v>
      </c>
      <c r="O20" s="54">
        <v>0</v>
      </c>
      <c r="P20" s="54">
        <v>1.01</v>
      </c>
      <c r="Q20" s="54">
        <v>7.91</v>
      </c>
      <c r="R20" s="43"/>
      <c r="S20" s="43"/>
      <c r="T20" s="43"/>
      <c r="U20" s="43"/>
    </row>
    <row r="21" spans="1:21" s="11" customFormat="1" ht="15">
      <c r="A21" s="53" t="s">
        <v>314</v>
      </c>
      <c r="B21" s="54">
        <v>13.24</v>
      </c>
      <c r="C21" s="54">
        <v>65.97</v>
      </c>
      <c r="D21" s="54">
        <v>47.58</v>
      </c>
      <c r="E21" s="54">
        <v>0.17</v>
      </c>
      <c r="F21" s="54">
        <v>3.86</v>
      </c>
      <c r="G21" s="54">
        <v>94.98</v>
      </c>
      <c r="H21" s="54">
        <v>30.37</v>
      </c>
      <c r="I21" s="54">
        <v>1.56</v>
      </c>
      <c r="J21" s="54">
        <v>0.55000000000000004</v>
      </c>
      <c r="K21" s="54">
        <v>343.12</v>
      </c>
      <c r="L21" s="54">
        <v>27.48</v>
      </c>
      <c r="M21" s="54">
        <v>46.83</v>
      </c>
      <c r="N21" s="54">
        <v>417</v>
      </c>
      <c r="O21" s="54">
        <v>0</v>
      </c>
      <c r="P21" s="54">
        <v>0.98</v>
      </c>
      <c r="Q21" s="54">
        <v>7.44</v>
      </c>
      <c r="R21" s="43"/>
      <c r="S21" s="43"/>
      <c r="T21" s="43"/>
      <c r="U21" s="43"/>
    </row>
    <row r="22" spans="1:21" s="11" customFormat="1" ht="15">
      <c r="A22" s="53" t="s">
        <v>315</v>
      </c>
      <c r="B22" s="54">
        <v>12.98</v>
      </c>
      <c r="C22" s="54">
        <v>68.430000000000007</v>
      </c>
      <c r="D22" s="54">
        <v>47.54</v>
      </c>
      <c r="E22" s="54">
        <v>0.38</v>
      </c>
      <c r="F22" s="54">
        <v>3.69</v>
      </c>
      <c r="G22" s="54">
        <v>91.86</v>
      </c>
      <c r="H22" s="54">
        <v>62.60</v>
      </c>
      <c r="I22" s="54">
        <v>1.59</v>
      </c>
      <c r="J22" s="54">
        <v>1.1599999999999999</v>
      </c>
      <c r="K22" s="54">
        <v>345.94</v>
      </c>
      <c r="L22" s="54">
        <v>29.93</v>
      </c>
      <c r="M22" s="54">
        <v>36.840000000000003</v>
      </c>
      <c r="N22" s="54">
        <v>400.20</v>
      </c>
      <c r="O22" s="54">
        <v>0</v>
      </c>
      <c r="P22" s="54">
        <v>0.93</v>
      </c>
      <c r="Q22" s="54">
        <v>7.46</v>
      </c>
      <c r="R22" s="43"/>
      <c r="S22" s="43"/>
      <c r="T22" s="43"/>
      <c r="U22" s="43"/>
    </row>
    <row r="23" spans="1:21" s="11" customFormat="1" ht="15">
      <c r="A23" s="53" t="s">
        <v>316</v>
      </c>
      <c r="B23" s="54">
        <v>9.92</v>
      </c>
      <c r="C23" s="54">
        <v>68.78</v>
      </c>
      <c r="D23" s="54">
        <v>46.56</v>
      </c>
      <c r="E23" s="54">
        <v>0.18</v>
      </c>
      <c r="F23" s="54">
        <v>3.99</v>
      </c>
      <c r="G23" s="54">
        <v>127.95</v>
      </c>
      <c r="H23" s="54">
        <v>56.91</v>
      </c>
      <c r="I23" s="54">
        <v>1.53</v>
      </c>
      <c r="J23" s="54">
        <v>1.19</v>
      </c>
      <c r="K23" s="54">
        <v>336.59</v>
      </c>
      <c r="L23" s="54">
        <v>29.30</v>
      </c>
      <c r="M23" s="54">
        <v>38.79</v>
      </c>
      <c r="N23" s="54">
        <v>225.90</v>
      </c>
      <c r="O23" s="54">
        <v>0</v>
      </c>
      <c r="P23" s="54">
        <v>0.88</v>
      </c>
      <c r="Q23" s="54">
        <v>7.15</v>
      </c>
      <c r="R23" s="43"/>
      <c r="S23" s="43"/>
      <c r="T23" s="43"/>
      <c r="U23" s="43"/>
    </row>
    <row r="24" spans="1:21" s="11" customFormat="1" ht="15">
      <c r="A24" s="53" t="s">
        <v>317</v>
      </c>
      <c r="B24" s="59" t="s">
        <v>4</v>
      </c>
      <c r="C24" s="59" t="s">
        <v>4</v>
      </c>
      <c r="D24" s="59" t="s">
        <v>4</v>
      </c>
      <c r="E24" s="59" t="s">
        <v>4</v>
      </c>
      <c r="F24" s="59" t="s">
        <v>4</v>
      </c>
      <c r="G24" s="59" t="s">
        <v>4</v>
      </c>
      <c r="H24" s="59" t="s">
        <v>4</v>
      </c>
      <c r="I24" s="59" t="s">
        <v>4</v>
      </c>
      <c r="J24" s="59" t="s">
        <v>4</v>
      </c>
      <c r="K24" s="59" t="s">
        <v>4</v>
      </c>
      <c r="L24" s="59" t="s">
        <v>4</v>
      </c>
      <c r="M24" s="59" t="s">
        <v>4</v>
      </c>
      <c r="N24" s="59" t="s">
        <v>4</v>
      </c>
      <c r="O24" s="59" t="s">
        <v>4</v>
      </c>
      <c r="P24" s="59" t="s">
        <v>4</v>
      </c>
      <c r="Q24" s="59" t="s">
        <v>4</v>
      </c>
      <c r="R24" s="43"/>
      <c r="S24" s="43"/>
      <c r="T24" s="43"/>
      <c r="U24" s="43"/>
    </row>
    <row r="25" spans="1:21" s="11" customFormat="1" ht="15">
      <c r="A25" s="53" t="s">
        <v>318</v>
      </c>
      <c r="B25" s="60" t="s">
        <v>20</v>
      </c>
      <c r="C25" s="60" t="s">
        <v>20</v>
      </c>
      <c r="D25" s="60" t="s">
        <v>20</v>
      </c>
      <c r="E25" s="60" t="s">
        <v>20</v>
      </c>
      <c r="F25" s="54">
        <v>4.9400000000000004</v>
      </c>
      <c r="G25" s="54">
        <v>69.03</v>
      </c>
      <c r="H25" s="54">
        <v>32.81</v>
      </c>
      <c r="I25" s="54">
        <v>1.36</v>
      </c>
      <c r="J25" s="54">
        <v>0.25</v>
      </c>
      <c r="K25" s="54">
        <v>310.05</v>
      </c>
      <c r="L25" s="54">
        <v>24.18</v>
      </c>
      <c r="M25" s="54">
        <v>48</v>
      </c>
      <c r="N25" s="54">
        <v>27.20</v>
      </c>
      <c r="O25" s="54">
        <v>0</v>
      </c>
      <c r="P25" s="60" t="s">
        <v>20</v>
      </c>
      <c r="Q25" s="60" t="s">
        <v>20</v>
      </c>
      <c r="R25" s="43"/>
      <c r="S25" s="43"/>
      <c r="T25" s="43"/>
      <c r="U25" s="43"/>
    </row>
    <row r="26" spans="1:21" s="11" customFormat="1" ht="15">
      <c r="A26" s="53" t="s">
        <v>319</v>
      </c>
      <c r="B26" s="54">
        <v>16.47</v>
      </c>
      <c r="C26" s="54">
        <v>67.02</v>
      </c>
      <c r="D26" s="54">
        <v>50.57</v>
      </c>
      <c r="E26" s="54">
        <v>0.32</v>
      </c>
      <c r="F26" s="54">
        <v>4.49</v>
      </c>
      <c r="G26" s="54">
        <v>14.67</v>
      </c>
      <c r="H26" s="54">
        <v>23.25</v>
      </c>
      <c r="I26" s="54">
        <v>1.5</v>
      </c>
      <c r="J26" s="54">
        <v>0.42</v>
      </c>
      <c r="K26" s="54">
        <v>347.48</v>
      </c>
      <c r="L26" s="54">
        <v>23.91</v>
      </c>
      <c r="M26" s="54">
        <v>66.349999999999994</v>
      </c>
      <c r="N26" s="54">
        <v>22.70</v>
      </c>
      <c r="O26" s="54">
        <v>0</v>
      </c>
      <c r="P26" s="54">
        <v>0.70</v>
      </c>
      <c r="Q26" s="54">
        <v>8.98</v>
      </c>
      <c r="R26" s="43"/>
      <c r="S26" s="43"/>
      <c r="T26" s="43"/>
      <c r="U26" s="43"/>
    </row>
    <row r="27" spans="1:21" s="11" customFormat="1" ht="15">
      <c r="A27" s="53" t="s">
        <v>320</v>
      </c>
      <c r="B27" s="54">
        <v>26.53</v>
      </c>
      <c r="C27" s="54">
        <v>67.150000000000006</v>
      </c>
      <c r="D27" s="54">
        <v>57.98</v>
      </c>
      <c r="E27" s="54">
        <v>0</v>
      </c>
      <c r="F27" s="54">
        <v>3.74</v>
      </c>
      <c r="G27" s="54">
        <v>156.71</v>
      </c>
      <c r="H27" s="54">
        <v>44.27</v>
      </c>
      <c r="I27" s="54">
        <v>1.51</v>
      </c>
      <c r="J27" s="54">
        <v>0.11</v>
      </c>
      <c r="K27" s="54">
        <v>259.12</v>
      </c>
      <c r="L27" s="54">
        <v>21.98</v>
      </c>
      <c r="M27" s="54">
        <v>67.06</v>
      </c>
      <c r="N27" s="54">
        <v>11.60</v>
      </c>
      <c r="O27" s="54">
        <v>0</v>
      </c>
      <c r="P27" s="54">
        <v>0.91</v>
      </c>
      <c r="Q27" s="54">
        <v>9.93</v>
      </c>
      <c r="R27" s="43"/>
      <c r="S27" s="43"/>
      <c r="T27" s="43"/>
      <c r="U27" s="43"/>
    </row>
    <row r="28" spans="1:21" s="11" customFormat="1" ht="15">
      <c r="A28" s="53" t="s">
        <v>321</v>
      </c>
      <c r="B28" s="54">
        <v>40.92</v>
      </c>
      <c r="C28" s="54">
        <v>65.52</v>
      </c>
      <c r="D28" s="54">
        <v>69.25</v>
      </c>
      <c r="E28" s="54">
        <v>0</v>
      </c>
      <c r="F28" s="54">
        <v>3.21</v>
      </c>
      <c r="G28" s="54">
        <v>153.57</v>
      </c>
      <c r="H28" s="54">
        <v>43.95</v>
      </c>
      <c r="I28" s="54">
        <v>1.53</v>
      </c>
      <c r="J28" s="54">
        <v>0.10</v>
      </c>
      <c r="K28" s="54">
        <v>354.85</v>
      </c>
      <c r="L28" s="54">
        <v>20.64</v>
      </c>
      <c r="M28" s="54">
        <v>72.56</v>
      </c>
      <c r="N28" s="54">
        <v>11.5</v>
      </c>
      <c r="O28" s="54">
        <v>0</v>
      </c>
      <c r="P28" s="54">
        <v>1.40</v>
      </c>
      <c r="Q28" s="54">
        <v>11.09</v>
      </c>
      <c r="R28" s="43"/>
      <c r="S28" s="43"/>
      <c r="T28" s="43"/>
      <c r="U28" s="43"/>
    </row>
    <row r="29" spans="1:21" s="11" customFormat="1" ht="15">
      <c r="A29" s="53" t="s">
        <v>322</v>
      </c>
      <c r="B29" s="54">
        <v>53.11</v>
      </c>
      <c r="C29" s="54">
        <v>64.569999999999993</v>
      </c>
      <c r="D29" s="54">
        <v>77.959999999999994</v>
      </c>
      <c r="E29" s="54">
        <v>0.11</v>
      </c>
      <c r="F29" s="54">
        <v>3.5</v>
      </c>
      <c r="G29" s="54">
        <v>133.94</v>
      </c>
      <c r="H29" s="54">
        <v>46.53</v>
      </c>
      <c r="I29" s="54">
        <v>1.48</v>
      </c>
      <c r="J29" s="54">
        <v>0.11</v>
      </c>
      <c r="K29" s="54">
        <v>323.41000000000003</v>
      </c>
      <c r="L29" s="54">
        <v>20.239999999999998</v>
      </c>
      <c r="M29" s="54">
        <v>81.540000000000006</v>
      </c>
      <c r="N29" s="54">
        <v>11.60</v>
      </c>
      <c r="O29" s="54">
        <v>0</v>
      </c>
      <c r="P29" s="54">
        <v>1.88</v>
      </c>
      <c r="Q29" s="54">
        <v>11.71</v>
      </c>
      <c r="R29" s="43"/>
      <c r="S29" s="43"/>
      <c r="T29" s="43"/>
      <c r="U29" s="43"/>
    </row>
    <row r="30" spans="1:21" s="11" customFormat="1" ht="15">
      <c r="A30" s="53" t="s">
        <v>323</v>
      </c>
      <c r="B30" s="54">
        <v>72.680000000000007</v>
      </c>
      <c r="C30" s="54">
        <v>64.709999999999994</v>
      </c>
      <c r="D30" s="54">
        <v>94.64</v>
      </c>
      <c r="E30" s="54">
        <v>0.13</v>
      </c>
      <c r="F30" s="54">
        <v>3.59</v>
      </c>
      <c r="G30" s="54">
        <v>152.35</v>
      </c>
      <c r="H30" s="54">
        <v>48.07</v>
      </c>
      <c r="I30" s="54">
        <v>1.53</v>
      </c>
      <c r="J30" s="54">
        <v>0.14000000000000001</v>
      </c>
      <c r="K30" s="54">
        <v>330.92</v>
      </c>
      <c r="L30" s="54">
        <v>19.440000000000001</v>
      </c>
      <c r="M30" s="54">
        <v>80.47</v>
      </c>
      <c r="N30" s="54">
        <v>11.40</v>
      </c>
      <c r="O30" s="54">
        <v>0</v>
      </c>
      <c r="P30" s="54">
        <v>2.0699999999999998</v>
      </c>
      <c r="Q30" s="54">
        <v>13.51</v>
      </c>
      <c r="R30" s="43"/>
      <c r="S30" s="43"/>
      <c r="T30" s="43"/>
      <c r="U30" s="43"/>
    </row>
    <row r="31" spans="1:21" s="11" customFormat="1" ht="15">
      <c r="A31" s="53" t="s">
        <v>324</v>
      </c>
      <c r="B31" s="54">
        <v>78.70</v>
      </c>
      <c r="C31" s="54">
        <v>65.72</v>
      </c>
      <c r="D31" s="54">
        <v>99.75</v>
      </c>
      <c r="E31" s="54">
        <v>0.18</v>
      </c>
      <c r="F31" s="54">
        <v>3.61</v>
      </c>
      <c r="G31" s="54">
        <v>149.32</v>
      </c>
      <c r="H31" s="54">
        <v>47.86</v>
      </c>
      <c r="I31" s="54">
        <v>1.57</v>
      </c>
      <c r="J31" s="54">
        <v>0.16</v>
      </c>
      <c r="K31" s="54">
        <v>332.32</v>
      </c>
      <c r="L31" s="54">
        <v>19.04</v>
      </c>
      <c r="M31" s="54">
        <v>82.98</v>
      </c>
      <c r="N31" s="54">
        <v>11.60</v>
      </c>
      <c r="O31" s="54">
        <v>0</v>
      </c>
      <c r="P31" s="54">
        <v>2.08</v>
      </c>
      <c r="Q31" s="54">
        <v>14.28</v>
      </c>
      <c r="R31" s="43"/>
      <c r="S31" s="43"/>
      <c r="T31" s="43"/>
      <c r="U31" s="43"/>
    </row>
    <row r="32" spans="1:21" s="11" customFormat="1" ht="15">
      <c r="A32" s="53" t="s">
        <v>325</v>
      </c>
      <c r="B32" s="54">
        <v>77.47</v>
      </c>
      <c r="C32" s="54">
        <v>64.30</v>
      </c>
      <c r="D32" s="54">
        <v>98.25</v>
      </c>
      <c r="E32" s="54">
        <v>0.15</v>
      </c>
      <c r="F32" s="54">
        <v>3.86</v>
      </c>
      <c r="G32" s="54">
        <v>128.52000000000001</v>
      </c>
      <c r="H32" s="54">
        <v>44.74</v>
      </c>
      <c r="I32" s="54">
        <v>1.57</v>
      </c>
      <c r="J32" s="54">
        <v>0.15</v>
      </c>
      <c r="K32" s="54">
        <v>319.11</v>
      </c>
      <c r="L32" s="54">
        <v>18.48</v>
      </c>
      <c r="M32" s="54">
        <v>87.48</v>
      </c>
      <c r="N32" s="54">
        <v>11.60</v>
      </c>
      <c r="O32" s="54">
        <v>0</v>
      </c>
      <c r="P32" s="54">
        <v>1.98</v>
      </c>
      <c r="Q32" s="54">
        <v>14.25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9.9199999999999999</v>
      </c>
      <c r="C34" s="28">
        <f t="shared" si="0"/>
        <v>54.369999999999997</v>
      </c>
      <c r="D34" s="28">
        <f t="shared" si="0"/>
        <v>46.560000000000002</v>
      </c>
      <c r="E34" s="28">
        <f t="shared" si="0"/>
        <v>0</v>
      </c>
      <c r="F34" s="28">
        <f t="shared" si="0"/>
        <v>2.9700000000000002</v>
      </c>
      <c r="G34" s="28">
        <f t="shared" si="0"/>
        <v>14.67</v>
      </c>
      <c r="H34" s="28">
        <f t="shared" si="0"/>
        <v>6.8099999999999996</v>
      </c>
      <c r="I34" s="28">
        <f t="shared" si="0"/>
        <v>1.3600000000000001</v>
      </c>
      <c r="J34" s="28">
        <f t="shared" si="0"/>
        <v>0.10000000000000001</v>
      </c>
      <c r="K34" s="28">
        <f t="shared" si="0"/>
        <v>108.69</v>
      </c>
      <c r="L34" s="28">
        <f t="shared" si="0"/>
        <v>17.600000000000001</v>
      </c>
      <c r="M34" s="28">
        <f t="shared" si="0"/>
        <v>36.840000000000003</v>
      </c>
      <c r="N34" s="28">
        <f t="shared" si="0"/>
        <v>11.199999999999999</v>
      </c>
      <c r="O34" s="28">
        <f t="shared" si="0"/>
        <v>0</v>
      </c>
      <c r="P34" s="28">
        <f t="shared" si="0"/>
        <v>0.69999999999999996</v>
      </c>
      <c r="Q34" s="28">
        <f t="shared" si="0"/>
        <v>7.1500000000000004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78.700000000000003</v>
      </c>
      <c r="C35" s="29">
        <f t="shared" si="1"/>
        <v>68.780000000000001</v>
      </c>
      <c r="D35" s="29">
        <f t="shared" si="1"/>
        <v>99.75</v>
      </c>
      <c r="E35" s="29">
        <f t="shared" si="1"/>
        <v>0.38</v>
      </c>
      <c r="F35" s="29">
        <f t="shared" si="1"/>
        <v>4.9400000000000004</v>
      </c>
      <c r="G35" s="29">
        <f t="shared" si="1"/>
        <v>156.71000000000001</v>
      </c>
      <c r="H35" s="29">
        <f t="shared" si="1"/>
        <v>132.40000000000001</v>
      </c>
      <c r="I35" s="29">
        <f t="shared" si="1"/>
        <v>1.6299999999999999</v>
      </c>
      <c r="J35" s="29">
        <f t="shared" si="1"/>
        <v>1.1899999999999999</v>
      </c>
      <c r="K35" s="29">
        <f t="shared" si="1"/>
        <v>354.85000000000002</v>
      </c>
      <c r="L35" s="29">
        <f t="shared" si="1"/>
        <v>29.93</v>
      </c>
      <c r="M35" s="29">
        <f t="shared" si="1"/>
        <v>89.290000000000006</v>
      </c>
      <c r="N35" s="29">
        <f t="shared" si="1"/>
        <v>444.80000000000001</v>
      </c>
      <c r="O35" s="29">
        <f t="shared" si="1"/>
        <v>0</v>
      </c>
      <c r="P35" s="29">
        <f t="shared" si="1"/>
        <v>2.0800000000000001</v>
      </c>
      <c r="Q35" s="29">
        <f t="shared" si="1"/>
        <v>14.279999999999999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34.166818181818186</v>
      </c>
      <c r="C36" s="28">
        <f t="shared" si="2"/>
        <v>62.390454545454539</v>
      </c>
      <c r="D36" s="28">
        <f t="shared" si="2"/>
        <v>62.088636363636368</v>
      </c>
      <c r="E36" s="28">
        <f t="shared" si="2"/>
        <v>0.22136363636363637</v>
      </c>
      <c r="F36" s="28">
        <f t="shared" si="2"/>
        <v>3.574782608695652</v>
      </c>
      <c r="G36" s="28">
        <f t="shared" si="2"/>
        <v>107.50217391304349</v>
      </c>
      <c r="H36" s="28">
        <f t="shared" si="2"/>
        <v>53.224347826086948</v>
      </c>
      <c r="I36" s="28">
        <f t="shared" si="2"/>
        <v>1.5426086956521741</v>
      </c>
      <c r="J36" s="28">
        <f t="shared" si="2"/>
        <v>0.56565217391304345</v>
      </c>
      <c r="K36" s="28">
        <f t="shared" si="2"/>
        <v>316.78869565217389</v>
      </c>
      <c r="L36" s="28">
        <f t="shared" si="2"/>
        <v>21.927826086956529</v>
      </c>
      <c r="M36" s="28">
        <f t="shared" si="2"/>
        <v>72.533043478260865</v>
      </c>
      <c r="N36" s="28">
        <f t="shared" si="2"/>
        <v>122.36086956521736</v>
      </c>
      <c r="O36" s="28">
        <f t="shared" si="2"/>
        <v>0</v>
      </c>
      <c r="P36" s="28">
        <f t="shared" si="2"/>
        <v>1.2581818181818181</v>
      </c>
      <c r="Q36" s="28">
        <f t="shared" si="2"/>
        <v>9.8495454545454528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22.234673991070281</v>
      </c>
      <c r="C37" s="28">
        <f t="shared" si="3" ref="C37:Q37">STDEV(C9:C32)</f>
        <v>4.5353977903689016</v>
      </c>
      <c r="D37" s="28">
        <f t="shared" si="3"/>
        <v>18.253125315031209</v>
      </c>
      <c r="E37" s="28">
        <f t="shared" si="3"/>
        <v>0.11560587621188906</v>
      </c>
      <c r="F37" s="28">
        <f t="shared" si="3"/>
        <v>0.43808332089618979</v>
      </c>
      <c r="G37" s="28">
        <f t="shared" si="3"/>
        <v>31.430823168655401</v>
      </c>
      <c r="H37" s="28">
        <f t="shared" si="3"/>
        <v>34.192523614764745</v>
      </c>
      <c r="I37" s="28">
        <f t="shared" si="3"/>
        <v>0.051276203173184605</v>
      </c>
      <c r="J37" s="28">
        <f t="shared" si="3"/>
        <v>0.37860780963655077</v>
      </c>
      <c r="K37" s="28">
        <f t="shared" si="3"/>
        <v>68.443554401641407</v>
      </c>
      <c r="L37" s="28">
        <f t="shared" si="3"/>
        <v>4.1989716885335522</v>
      </c>
      <c r="M37" s="28">
        <f t="shared" si="3"/>
        <v>17.396469713652358</v>
      </c>
      <c r="N37" s="28">
        <f t="shared" si="3"/>
        <v>169.27759809671014</v>
      </c>
      <c r="O37" s="28">
        <f t="shared" si="3"/>
        <v>0</v>
      </c>
      <c r="P37" s="28">
        <f t="shared" si="3"/>
        <v>0.42922561903343159</v>
      </c>
      <c r="Q37" s="28">
        <f t="shared" si="3"/>
        <v>2.1896628948478862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COUNT(B9:B32)+2</f>
        <v>24</v>
      </c>
      <c r="C38" s="32">
        <f>COUNT(C9:C32)+2</f>
        <v>24</v>
      </c>
      <c r="D38" s="32">
        <f>COUNT(D9:D32)+2</f>
        <v>24</v>
      </c>
      <c r="E38" s="32">
        <f>COUNT(E9:E32)+2</f>
        <v>24</v>
      </c>
      <c r="F38" s="32">
        <f>COUNT(F9:F32)+1</f>
        <v>24</v>
      </c>
      <c r="G38" s="32">
        <f t="shared" si="4" ref="G38:O38">COUNT(G9:G32)+1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COUNT(P9:P32)+2</f>
        <v>24</v>
      </c>
      <c r="Q38" s="32">
        <f>COUNT(Q9:Q32)+2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cf2fd59-385e-4488-ad44-f4c71d349049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3" sqref="G6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326</v>
      </c>
      <c r="B9" s="54">
        <v>72.819999999999993</v>
      </c>
      <c r="C9" s="54">
        <v>60.93</v>
      </c>
      <c r="D9" s="54">
        <v>92.53</v>
      </c>
      <c r="E9" s="54">
        <v>0.34</v>
      </c>
      <c r="F9" s="54">
        <v>3.35</v>
      </c>
      <c r="G9" s="54">
        <v>107.80</v>
      </c>
      <c r="H9" s="54">
        <v>52.61</v>
      </c>
      <c r="I9" s="54">
        <v>1.54</v>
      </c>
      <c r="J9" s="54">
        <v>0.16</v>
      </c>
      <c r="K9" s="54">
        <v>251.22</v>
      </c>
      <c r="L9" s="54">
        <v>18.079999999999998</v>
      </c>
      <c r="M9" s="54">
        <v>84.02</v>
      </c>
      <c r="N9" s="54">
        <v>11.30</v>
      </c>
      <c r="O9" s="54">
        <v>0</v>
      </c>
      <c r="P9" s="54">
        <v>1.83</v>
      </c>
      <c r="Q9" s="54">
        <v>13.92</v>
      </c>
      <c r="R9" s="43"/>
      <c r="S9" s="43"/>
      <c r="T9" s="43"/>
      <c r="U9" s="43"/>
    </row>
    <row r="10" spans="1:21" s="11" customFormat="1" ht="15">
      <c r="A10" s="53" t="s">
        <v>327</v>
      </c>
      <c r="B10" s="54">
        <v>54.84</v>
      </c>
      <c r="C10" s="54">
        <v>59.56</v>
      </c>
      <c r="D10" s="54">
        <v>77.489999999999995</v>
      </c>
      <c r="E10" s="54">
        <v>0.31</v>
      </c>
      <c r="F10" s="54">
        <v>3.31</v>
      </c>
      <c r="G10" s="54">
        <v>101.45</v>
      </c>
      <c r="H10" s="54">
        <v>44.92</v>
      </c>
      <c r="I10" s="54">
        <v>1.49</v>
      </c>
      <c r="J10" s="54">
        <v>0.14000000000000001</v>
      </c>
      <c r="K10" s="54">
        <v>299.06</v>
      </c>
      <c r="L10" s="54">
        <v>17.899999999999999</v>
      </c>
      <c r="M10" s="54">
        <v>78.52</v>
      </c>
      <c r="N10" s="54">
        <v>11.5</v>
      </c>
      <c r="O10" s="54">
        <v>0</v>
      </c>
      <c r="P10" s="54">
        <v>1.47</v>
      </c>
      <c r="Q10" s="54">
        <v>12.27</v>
      </c>
      <c r="R10" s="43"/>
      <c r="S10" s="43"/>
      <c r="T10" s="43"/>
      <c r="U10" s="43"/>
    </row>
    <row r="11" spans="1:21" s="11" customFormat="1" ht="15">
      <c r="A11" s="53" t="s">
        <v>328</v>
      </c>
      <c r="B11" s="54">
        <v>41.69</v>
      </c>
      <c r="C11" s="54">
        <v>56.99</v>
      </c>
      <c r="D11" s="54">
        <v>65.52</v>
      </c>
      <c r="E11" s="54">
        <v>0.31</v>
      </c>
      <c r="F11" s="54">
        <v>3.28</v>
      </c>
      <c r="G11" s="54">
        <v>66.64</v>
      </c>
      <c r="H11" s="54">
        <v>13.94</v>
      </c>
      <c r="I11" s="54">
        <v>1.53</v>
      </c>
      <c r="J11" s="54">
        <v>0.36</v>
      </c>
      <c r="K11" s="54">
        <v>338.11</v>
      </c>
      <c r="L11" s="54">
        <v>17.70</v>
      </c>
      <c r="M11" s="54">
        <v>75.069999999999993</v>
      </c>
      <c r="N11" s="54">
        <v>11.30</v>
      </c>
      <c r="O11" s="54">
        <v>0</v>
      </c>
      <c r="P11" s="54">
        <v>1.25</v>
      </c>
      <c r="Q11" s="54">
        <v>11.10</v>
      </c>
      <c r="R11" s="43"/>
      <c r="S11" s="43"/>
      <c r="T11" s="43"/>
      <c r="U11" s="43"/>
    </row>
    <row r="12" spans="1:21" s="11" customFormat="1" ht="15">
      <c r="A12" s="53" t="s">
        <v>329</v>
      </c>
      <c r="B12" s="54">
        <v>31.91</v>
      </c>
      <c r="C12" s="54">
        <v>55.05</v>
      </c>
      <c r="D12" s="54">
        <v>56.61</v>
      </c>
      <c r="E12" s="54">
        <v>0.22</v>
      </c>
      <c r="F12" s="54">
        <v>3.30</v>
      </c>
      <c r="G12" s="54">
        <v>63.58</v>
      </c>
      <c r="H12" s="54">
        <v>44.98</v>
      </c>
      <c r="I12" s="54">
        <v>1.52</v>
      </c>
      <c r="J12" s="54">
        <v>0.14000000000000001</v>
      </c>
      <c r="K12" s="54">
        <v>356.75</v>
      </c>
      <c r="L12" s="54">
        <v>17.739999999999998</v>
      </c>
      <c r="M12" s="54">
        <v>68.95</v>
      </c>
      <c r="N12" s="54">
        <v>11.70</v>
      </c>
      <c r="O12" s="54">
        <v>0</v>
      </c>
      <c r="P12" s="54">
        <v>1.04</v>
      </c>
      <c r="Q12" s="54">
        <v>10.18</v>
      </c>
      <c r="R12" s="43"/>
      <c r="S12" s="43"/>
      <c r="T12" s="43"/>
      <c r="U12" s="43"/>
    </row>
    <row r="13" spans="1:21" s="11" customFormat="1" ht="15">
      <c r="A13" s="53" t="s">
        <v>330</v>
      </c>
      <c r="B13" s="54">
        <v>25.88</v>
      </c>
      <c r="C13" s="54">
        <v>53.18</v>
      </c>
      <c r="D13" s="54">
        <v>50.75</v>
      </c>
      <c r="E13" s="54">
        <v>0.36</v>
      </c>
      <c r="F13" s="54">
        <v>3.73</v>
      </c>
      <c r="G13" s="54">
        <v>54.80</v>
      </c>
      <c r="H13" s="54">
        <v>41.68</v>
      </c>
      <c r="I13" s="54">
        <v>1.48</v>
      </c>
      <c r="J13" s="54">
        <v>0.41</v>
      </c>
      <c r="K13" s="54">
        <v>98.04</v>
      </c>
      <c r="L13" s="54">
        <v>17.399999999999999</v>
      </c>
      <c r="M13" s="54">
        <v>70.040000000000006</v>
      </c>
      <c r="N13" s="54">
        <v>11.80</v>
      </c>
      <c r="O13" s="54">
        <v>0</v>
      </c>
      <c r="P13" s="54">
        <v>0.88</v>
      </c>
      <c r="Q13" s="54">
        <v>9.58</v>
      </c>
      <c r="R13" s="43"/>
      <c r="S13" s="43"/>
      <c r="T13" s="43"/>
      <c r="U13" s="43"/>
    </row>
    <row r="14" spans="1:21" s="11" customFormat="1" ht="15">
      <c r="A14" s="53" t="s">
        <v>331</v>
      </c>
      <c r="B14" s="54">
        <v>24.77</v>
      </c>
      <c r="C14" s="54">
        <v>51.68</v>
      </c>
      <c r="D14" s="54">
        <v>48.19</v>
      </c>
      <c r="E14" s="54">
        <v>0.33</v>
      </c>
      <c r="F14" s="54">
        <v>3.55</v>
      </c>
      <c r="G14" s="54">
        <v>57.57</v>
      </c>
      <c r="H14" s="54">
        <v>27.57</v>
      </c>
      <c r="I14" s="54">
        <v>1.55</v>
      </c>
      <c r="J14" s="54">
        <v>0.13</v>
      </c>
      <c r="K14" s="54">
        <v>320.87</v>
      </c>
      <c r="L14" s="54">
        <v>16.64</v>
      </c>
      <c r="M14" s="54">
        <v>75.66</v>
      </c>
      <c r="N14" s="54">
        <v>11.70</v>
      </c>
      <c r="O14" s="54">
        <v>0</v>
      </c>
      <c r="P14" s="54">
        <v>0.77</v>
      </c>
      <c r="Q14" s="54">
        <v>9.3699999999999992</v>
      </c>
      <c r="R14" s="43"/>
      <c r="S14" s="43"/>
      <c r="T14" s="43"/>
      <c r="U14" s="43"/>
    </row>
    <row r="15" spans="1:21" s="11" customFormat="1" ht="15">
      <c r="A15" s="53" t="s">
        <v>332</v>
      </c>
      <c r="B15" s="54">
        <v>26.72</v>
      </c>
      <c r="C15" s="54">
        <v>50.27</v>
      </c>
      <c r="D15" s="54">
        <v>49.5</v>
      </c>
      <c r="E15" s="54">
        <v>0.31</v>
      </c>
      <c r="F15" s="54">
        <v>3.51</v>
      </c>
      <c r="G15" s="54">
        <v>59.18</v>
      </c>
      <c r="H15" s="54">
        <v>23.77</v>
      </c>
      <c r="I15" s="54">
        <v>1.55</v>
      </c>
      <c r="J15" s="54">
        <v>0.32</v>
      </c>
      <c r="K15" s="54">
        <v>91.41</v>
      </c>
      <c r="L15" s="54">
        <v>16.02</v>
      </c>
      <c r="M15" s="54">
        <v>75.77</v>
      </c>
      <c r="N15" s="54">
        <v>25.90</v>
      </c>
      <c r="O15" s="54">
        <v>0</v>
      </c>
      <c r="P15" s="54">
        <v>0.69</v>
      </c>
      <c r="Q15" s="54">
        <v>9.4600000000000009</v>
      </c>
      <c r="R15" s="43"/>
      <c r="S15" s="43"/>
      <c r="T15" s="43"/>
      <c r="U15" s="43"/>
    </row>
    <row r="16" spans="1:21" s="11" customFormat="1" ht="15">
      <c r="A16" s="53" t="s">
        <v>333</v>
      </c>
      <c r="B16" s="54">
        <v>31.31</v>
      </c>
      <c r="C16" s="54">
        <v>50.25</v>
      </c>
      <c r="D16" s="54">
        <v>53.48</v>
      </c>
      <c r="E16" s="54">
        <v>0.31</v>
      </c>
      <c r="F16" s="54">
        <v>3.39</v>
      </c>
      <c r="G16" s="54">
        <v>69.709999999999994</v>
      </c>
      <c r="H16" s="54">
        <v>27.77</v>
      </c>
      <c r="I16" s="54">
        <v>1.56</v>
      </c>
      <c r="J16" s="54">
        <v>0.40</v>
      </c>
      <c r="K16" s="54">
        <v>333.83</v>
      </c>
      <c r="L16" s="54">
        <v>18.07</v>
      </c>
      <c r="M16" s="54">
        <v>71.959999999999994</v>
      </c>
      <c r="N16" s="54">
        <v>104.20</v>
      </c>
      <c r="O16" s="54">
        <v>0</v>
      </c>
      <c r="P16" s="54">
        <v>0.74</v>
      </c>
      <c r="Q16" s="54">
        <v>9.5500000000000007</v>
      </c>
      <c r="R16" s="43"/>
      <c r="S16" s="43"/>
      <c r="T16" s="43"/>
      <c r="U16" s="43"/>
    </row>
    <row r="17" spans="1:21" s="11" customFormat="1" ht="15">
      <c r="A17" s="53" t="s">
        <v>334</v>
      </c>
      <c r="B17" s="54">
        <v>33.96</v>
      </c>
      <c r="C17" s="54">
        <v>54.12</v>
      </c>
      <c r="D17" s="54">
        <v>57.13</v>
      </c>
      <c r="E17" s="54">
        <v>0.24</v>
      </c>
      <c r="F17" s="54">
        <v>3.40</v>
      </c>
      <c r="G17" s="54">
        <v>170.16</v>
      </c>
      <c r="H17" s="54">
        <v>27.72</v>
      </c>
      <c r="I17" s="54">
        <v>1.61</v>
      </c>
      <c r="J17" s="54">
        <v>1.25</v>
      </c>
      <c r="K17" s="54">
        <v>337.13</v>
      </c>
      <c r="L17" s="54">
        <v>20.56</v>
      </c>
      <c r="M17" s="54">
        <v>57.24</v>
      </c>
      <c r="N17" s="54">
        <v>290.89999999999998</v>
      </c>
      <c r="O17" s="54">
        <v>0</v>
      </c>
      <c r="P17" s="54">
        <v>0.75</v>
      </c>
      <c r="Q17" s="54">
        <v>9.81</v>
      </c>
      <c r="R17" s="43"/>
      <c r="S17" s="43"/>
      <c r="T17" s="43"/>
      <c r="U17" s="43"/>
    </row>
    <row r="18" spans="1:21" s="11" customFormat="1" ht="15">
      <c r="A18" s="53" t="s">
        <v>335</v>
      </c>
      <c r="B18" s="54">
        <v>30.37</v>
      </c>
      <c r="C18" s="54">
        <v>55.30</v>
      </c>
      <c r="D18" s="54">
        <v>54.94</v>
      </c>
      <c r="E18" s="54">
        <v>0.21</v>
      </c>
      <c r="F18" s="54">
        <v>3.61</v>
      </c>
      <c r="G18" s="54">
        <v>152.54</v>
      </c>
      <c r="H18" s="54">
        <v>27.65</v>
      </c>
      <c r="I18" s="54">
        <v>1.56</v>
      </c>
      <c r="J18" s="54">
        <v>1.35</v>
      </c>
      <c r="K18" s="54">
        <v>115.60</v>
      </c>
      <c r="L18" s="54">
        <v>21.99</v>
      </c>
      <c r="M18" s="54">
        <v>50.63</v>
      </c>
      <c r="N18" s="54">
        <v>418.90</v>
      </c>
      <c r="O18" s="54">
        <v>0</v>
      </c>
      <c r="P18" s="54">
        <v>0.71</v>
      </c>
      <c r="Q18" s="54">
        <v>9.5500000000000007</v>
      </c>
      <c r="R18" s="43"/>
      <c r="S18" s="43"/>
      <c r="T18" s="43"/>
      <c r="U18" s="43"/>
    </row>
    <row r="19" spans="1:21" s="11" customFormat="1" ht="15">
      <c r="A19" s="53" t="s">
        <v>336</v>
      </c>
      <c r="B19" s="54">
        <v>21.75</v>
      </c>
      <c r="C19" s="54">
        <v>73.41</v>
      </c>
      <c r="D19" s="54">
        <v>51.99</v>
      </c>
      <c r="E19" s="54">
        <v>0.28000000000000003</v>
      </c>
      <c r="F19" s="54">
        <v>4.17</v>
      </c>
      <c r="G19" s="54">
        <v>60.25</v>
      </c>
      <c r="H19" s="54">
        <v>25.72</v>
      </c>
      <c r="I19" s="54">
        <v>1.61</v>
      </c>
      <c r="J19" s="54">
        <v>0.92</v>
      </c>
      <c r="K19" s="54">
        <v>107.34</v>
      </c>
      <c r="L19" s="54">
        <v>24.72</v>
      </c>
      <c r="M19" s="54">
        <v>44.59</v>
      </c>
      <c r="N19" s="54">
        <v>488.10</v>
      </c>
      <c r="O19" s="54">
        <v>0</v>
      </c>
      <c r="P19" s="54">
        <v>0.64</v>
      </c>
      <c r="Q19" s="54">
        <v>8.98</v>
      </c>
      <c r="R19" s="43"/>
      <c r="S19" s="43"/>
      <c r="T19" s="43"/>
      <c r="U19" s="43"/>
    </row>
    <row r="20" spans="1:21" s="11" customFormat="1" ht="15">
      <c r="A20" s="53" t="s">
        <v>337</v>
      </c>
      <c r="B20" s="54">
        <v>11.10</v>
      </c>
      <c r="C20" s="54">
        <v>73.81</v>
      </c>
      <c r="D20" s="54">
        <v>50.28</v>
      </c>
      <c r="E20" s="54">
        <v>0.22</v>
      </c>
      <c r="F20" s="54">
        <v>4.5599999999999996</v>
      </c>
      <c r="G20" s="54">
        <v>58.05</v>
      </c>
      <c r="H20" s="54">
        <v>18.190000000000001</v>
      </c>
      <c r="I20" s="54">
        <v>1.54</v>
      </c>
      <c r="J20" s="54">
        <v>0.72</v>
      </c>
      <c r="K20" s="54">
        <v>116.62</v>
      </c>
      <c r="L20" s="54">
        <v>25.99</v>
      </c>
      <c r="M20" s="54">
        <v>41.63</v>
      </c>
      <c r="N20" s="54">
        <v>503.90</v>
      </c>
      <c r="O20" s="54">
        <v>0</v>
      </c>
      <c r="P20" s="54">
        <v>0.57999999999999996</v>
      </c>
      <c r="Q20" s="54">
        <v>8.92</v>
      </c>
      <c r="R20" s="43"/>
      <c r="S20" s="43"/>
      <c r="T20" s="43"/>
      <c r="U20" s="43"/>
    </row>
    <row r="21" spans="1:21" s="11" customFormat="1" ht="15">
      <c r="A21" s="53" t="s">
        <v>338</v>
      </c>
      <c r="B21" s="54">
        <v>5.32</v>
      </c>
      <c r="C21" s="54">
        <v>68.739999999999995</v>
      </c>
      <c r="D21" s="54">
        <v>42.85</v>
      </c>
      <c r="E21" s="54">
        <v>0.14000000000000001</v>
      </c>
      <c r="F21" s="54">
        <v>5.37</v>
      </c>
      <c r="G21" s="54">
        <v>41.72</v>
      </c>
      <c r="H21" s="54">
        <v>15.52</v>
      </c>
      <c r="I21" s="54">
        <v>1.57</v>
      </c>
      <c r="J21" s="54">
        <v>0.87</v>
      </c>
      <c r="K21" s="54">
        <v>140.63</v>
      </c>
      <c r="L21" s="54">
        <v>26.80</v>
      </c>
      <c r="M21" s="54">
        <v>41.28</v>
      </c>
      <c r="N21" s="54">
        <v>499.60</v>
      </c>
      <c r="O21" s="54">
        <v>0</v>
      </c>
      <c r="P21" s="54">
        <v>0.5</v>
      </c>
      <c r="Q21" s="54">
        <v>8.77</v>
      </c>
      <c r="R21" s="43"/>
      <c r="S21" s="43"/>
      <c r="T21" s="43"/>
      <c r="U21" s="43"/>
    </row>
    <row r="22" spans="1:21" s="11" customFormat="1" ht="15">
      <c r="A22" s="53" t="s">
        <v>339</v>
      </c>
      <c r="B22" s="54">
        <v>5.40</v>
      </c>
      <c r="C22" s="54">
        <v>61.80</v>
      </c>
      <c r="D22" s="54">
        <v>38.64</v>
      </c>
      <c r="E22" s="54">
        <v>0.24</v>
      </c>
      <c r="F22" s="54">
        <v>4.9400000000000004</v>
      </c>
      <c r="G22" s="54">
        <v>67.959999999999994</v>
      </c>
      <c r="H22" s="54">
        <v>16.14</v>
      </c>
      <c r="I22" s="54">
        <v>1.58</v>
      </c>
      <c r="J22" s="54">
        <v>0.70</v>
      </c>
      <c r="K22" s="54">
        <v>335.05</v>
      </c>
      <c r="L22" s="54">
        <v>30.81</v>
      </c>
      <c r="M22" s="54">
        <v>33.96</v>
      </c>
      <c r="N22" s="54">
        <v>454</v>
      </c>
      <c r="O22" s="54">
        <v>0</v>
      </c>
      <c r="P22" s="54">
        <v>0.49</v>
      </c>
      <c r="Q22" s="54">
        <v>8.8000000000000007</v>
      </c>
      <c r="R22" s="43"/>
      <c r="S22" s="43"/>
      <c r="T22" s="43"/>
      <c r="U22" s="43"/>
    </row>
    <row r="23" spans="1:21" s="11" customFormat="1" ht="15">
      <c r="A23" s="53" t="s">
        <v>340</v>
      </c>
      <c r="B23" s="54">
        <v>9.44</v>
      </c>
      <c r="C23" s="54">
        <v>81.42</v>
      </c>
      <c r="D23" s="54">
        <v>52.19</v>
      </c>
      <c r="E23" s="54">
        <v>0.23</v>
      </c>
      <c r="F23" s="54">
        <v>6.47</v>
      </c>
      <c r="G23" s="54">
        <v>66.48</v>
      </c>
      <c r="H23" s="54">
        <v>18.940000000000001</v>
      </c>
      <c r="I23" s="54">
        <v>1.55</v>
      </c>
      <c r="J23" s="54">
        <v>0.68</v>
      </c>
      <c r="K23" s="54">
        <v>358.25</v>
      </c>
      <c r="L23" s="54">
        <v>28.68</v>
      </c>
      <c r="M23" s="54">
        <v>36.96</v>
      </c>
      <c r="N23" s="54">
        <v>243.20</v>
      </c>
      <c r="O23" s="54">
        <v>0</v>
      </c>
      <c r="P23" s="54">
        <v>0.65</v>
      </c>
      <c r="Q23" s="54">
        <v>9.35</v>
      </c>
      <c r="R23" s="43"/>
      <c r="S23" s="43"/>
      <c r="T23" s="43"/>
      <c r="U23" s="43"/>
    </row>
    <row r="24" spans="1:21" s="11" customFormat="1" ht="15">
      <c r="A24" s="53" t="s">
        <v>341</v>
      </c>
      <c r="B24" s="54">
        <v>4.72</v>
      </c>
      <c r="C24" s="54">
        <v>74.02</v>
      </c>
      <c r="D24" s="54">
        <v>45.06</v>
      </c>
      <c r="E24" s="54">
        <v>0.14000000000000001</v>
      </c>
      <c r="F24" s="54">
        <v>4.18</v>
      </c>
      <c r="G24" s="54">
        <v>84.65</v>
      </c>
      <c r="H24" s="54">
        <v>19.98</v>
      </c>
      <c r="I24" s="54">
        <v>1.64</v>
      </c>
      <c r="J24" s="54">
        <v>0.79</v>
      </c>
      <c r="K24" s="54">
        <v>346.54</v>
      </c>
      <c r="L24" s="54">
        <v>27.13</v>
      </c>
      <c r="M24" s="54">
        <v>40.24</v>
      </c>
      <c r="N24" s="54">
        <v>103.5</v>
      </c>
      <c r="O24" s="54">
        <v>0</v>
      </c>
      <c r="P24" s="54">
        <v>0.62</v>
      </c>
      <c r="Q24" s="54">
        <v>8.90</v>
      </c>
      <c r="R24" s="43"/>
      <c r="S24" s="43"/>
      <c r="T24" s="43"/>
      <c r="U24" s="43"/>
    </row>
    <row r="25" spans="1:21" s="11" customFormat="1" ht="15">
      <c r="A25" s="53" t="s">
        <v>342</v>
      </c>
      <c r="B25" s="54">
        <v>6.96</v>
      </c>
      <c r="C25" s="54">
        <v>65.78</v>
      </c>
      <c r="D25" s="54">
        <v>42.52</v>
      </c>
      <c r="E25" s="54">
        <v>0.25</v>
      </c>
      <c r="F25" s="54">
        <v>4.22</v>
      </c>
      <c r="G25" s="54">
        <v>81.09</v>
      </c>
      <c r="H25" s="54">
        <v>25.81</v>
      </c>
      <c r="I25" s="54">
        <v>1.55</v>
      </c>
      <c r="J25" s="54">
        <v>0.90</v>
      </c>
      <c r="K25" s="54">
        <v>345.04</v>
      </c>
      <c r="L25" s="54">
        <v>25.85</v>
      </c>
      <c r="M25" s="54">
        <v>43.96</v>
      </c>
      <c r="N25" s="54">
        <v>57</v>
      </c>
      <c r="O25" s="54">
        <v>0</v>
      </c>
      <c r="P25" s="54">
        <v>0.67</v>
      </c>
      <c r="Q25" s="54">
        <v>8.7100000000000009</v>
      </c>
      <c r="R25" s="43"/>
      <c r="S25" s="43"/>
      <c r="T25" s="43"/>
      <c r="U25" s="43"/>
    </row>
    <row r="26" spans="1:21" s="11" customFormat="1" ht="15">
      <c r="A26" s="53" t="s">
        <v>343</v>
      </c>
      <c r="B26" s="54">
        <v>12.76</v>
      </c>
      <c r="C26" s="54">
        <v>91.64</v>
      </c>
      <c r="D26" s="54">
        <v>59.05</v>
      </c>
      <c r="E26" s="54">
        <v>0.27</v>
      </c>
      <c r="F26" s="54">
        <v>4.63</v>
      </c>
      <c r="G26" s="54">
        <v>59.88</v>
      </c>
      <c r="H26" s="54">
        <v>25.58</v>
      </c>
      <c r="I26" s="54">
        <v>1.52</v>
      </c>
      <c r="J26" s="54">
        <v>0.25</v>
      </c>
      <c r="K26" s="54">
        <v>340.59</v>
      </c>
      <c r="L26" s="54">
        <v>23.85</v>
      </c>
      <c r="M26" s="54">
        <v>65.75</v>
      </c>
      <c r="N26" s="54">
        <v>22.90</v>
      </c>
      <c r="O26" s="54">
        <v>0</v>
      </c>
      <c r="P26" s="54">
        <v>0.97</v>
      </c>
      <c r="Q26" s="54">
        <v>9.69</v>
      </c>
      <c r="R26" s="43"/>
      <c r="S26" s="43"/>
      <c r="T26" s="43"/>
      <c r="U26" s="43"/>
    </row>
    <row r="27" spans="1:21" s="11" customFormat="1" ht="15">
      <c r="A27" s="53" t="s">
        <v>344</v>
      </c>
      <c r="B27" s="54">
        <v>26.57</v>
      </c>
      <c r="C27" s="54">
        <v>82.24</v>
      </c>
      <c r="D27" s="54">
        <v>62.10</v>
      </c>
      <c r="E27" s="54">
        <v>0.28999999999999998</v>
      </c>
      <c r="F27" s="54">
        <v>3.28</v>
      </c>
      <c r="G27" s="54">
        <v>116.33</v>
      </c>
      <c r="H27" s="54">
        <v>28.55</v>
      </c>
      <c r="I27" s="54">
        <v>1.51</v>
      </c>
      <c r="J27" s="54">
        <v>0.09</v>
      </c>
      <c r="K27" s="54">
        <v>334.48</v>
      </c>
      <c r="L27" s="54">
        <v>21.5</v>
      </c>
      <c r="M27" s="54">
        <v>67.540000000000006</v>
      </c>
      <c r="N27" s="54">
        <v>11.70</v>
      </c>
      <c r="O27" s="54">
        <v>0</v>
      </c>
      <c r="P27" s="54">
        <v>1.27</v>
      </c>
      <c r="Q27" s="54">
        <v>10.23</v>
      </c>
      <c r="R27" s="43"/>
      <c r="S27" s="43"/>
      <c r="T27" s="43"/>
      <c r="U27" s="43"/>
    </row>
    <row r="28" spans="1:21" s="11" customFormat="1" ht="15">
      <c r="A28" s="53" t="s">
        <v>345</v>
      </c>
      <c r="B28" s="54">
        <v>45.96</v>
      </c>
      <c r="C28" s="54">
        <v>70.75</v>
      </c>
      <c r="D28" s="54">
        <v>75.08</v>
      </c>
      <c r="E28" s="54">
        <v>0.33</v>
      </c>
      <c r="F28" s="54">
        <v>3.40</v>
      </c>
      <c r="G28" s="54">
        <v>149.90</v>
      </c>
      <c r="H28" s="54">
        <v>31.36</v>
      </c>
      <c r="I28" s="54">
        <v>1.54</v>
      </c>
      <c r="J28" s="54">
        <v>0.22</v>
      </c>
      <c r="K28" s="54">
        <v>331.88</v>
      </c>
      <c r="L28" s="54">
        <v>20.86</v>
      </c>
      <c r="M28" s="54">
        <v>72.94</v>
      </c>
      <c r="N28" s="54">
        <v>11.90</v>
      </c>
      <c r="O28" s="54">
        <v>0</v>
      </c>
      <c r="P28" s="54">
        <v>1.58</v>
      </c>
      <c r="Q28" s="54">
        <v>11.34</v>
      </c>
      <c r="R28" s="43"/>
      <c r="S28" s="43"/>
      <c r="T28" s="43"/>
      <c r="U28" s="43"/>
    </row>
    <row r="29" spans="1:21" s="11" customFormat="1" ht="15">
      <c r="A29" s="53" t="s">
        <v>346</v>
      </c>
      <c r="B29" s="54">
        <v>75.72</v>
      </c>
      <c r="C29" s="54">
        <v>68.37</v>
      </c>
      <c r="D29" s="54">
        <v>98.21</v>
      </c>
      <c r="E29" s="54">
        <v>0.28999999999999998</v>
      </c>
      <c r="F29" s="54">
        <v>3.29</v>
      </c>
      <c r="G29" s="54">
        <v>199.09</v>
      </c>
      <c r="H29" s="54">
        <v>38.53</v>
      </c>
      <c r="I29" s="54">
        <v>1.47</v>
      </c>
      <c r="J29" s="54">
        <v>0.19</v>
      </c>
      <c r="K29" s="54">
        <v>342.12</v>
      </c>
      <c r="L29" s="54">
        <v>19.559999999999999</v>
      </c>
      <c r="M29" s="54">
        <v>80.42</v>
      </c>
      <c r="N29" s="54">
        <v>11.70</v>
      </c>
      <c r="O29" s="54">
        <v>0</v>
      </c>
      <c r="P29" s="54">
        <v>2.0699999999999998</v>
      </c>
      <c r="Q29" s="54">
        <v>13.41</v>
      </c>
      <c r="R29" s="43"/>
      <c r="S29" s="43"/>
      <c r="T29" s="43"/>
      <c r="U29" s="43"/>
    </row>
    <row r="30" spans="1:21" s="11" customFormat="1" ht="15">
      <c r="A30" s="53" t="s">
        <v>347</v>
      </c>
      <c r="B30" s="54">
        <v>104.48</v>
      </c>
      <c r="C30" s="54">
        <v>68.62</v>
      </c>
      <c r="D30" s="54">
        <v>122.30</v>
      </c>
      <c r="E30" s="54">
        <v>0.34</v>
      </c>
      <c r="F30" s="54">
        <v>3.34</v>
      </c>
      <c r="G30" s="54">
        <v>198.82</v>
      </c>
      <c r="H30" s="54">
        <v>47</v>
      </c>
      <c r="I30" s="54">
        <v>1.59</v>
      </c>
      <c r="J30" s="54">
        <v>0.06</v>
      </c>
      <c r="K30" s="54">
        <v>290.44</v>
      </c>
      <c r="L30" s="54">
        <v>19</v>
      </c>
      <c r="M30" s="54">
        <v>84.67</v>
      </c>
      <c r="N30" s="54">
        <v>11.40</v>
      </c>
      <c r="O30" s="54">
        <v>0</v>
      </c>
      <c r="P30" s="54">
        <v>2.60</v>
      </c>
      <c r="Q30" s="54">
        <v>15.56</v>
      </c>
      <c r="R30" s="43"/>
      <c r="S30" s="43"/>
      <c r="T30" s="43"/>
      <c r="U30" s="43"/>
    </row>
    <row r="31" spans="1:21" s="11" customFormat="1" ht="15">
      <c r="A31" s="53" t="s">
        <v>348</v>
      </c>
      <c r="B31" s="54">
        <v>123.97</v>
      </c>
      <c r="C31" s="54">
        <v>69.47</v>
      </c>
      <c r="D31" s="54">
        <v>138.40</v>
      </c>
      <c r="E31" s="54">
        <v>0.43</v>
      </c>
      <c r="F31" s="54">
        <v>3.30</v>
      </c>
      <c r="G31" s="54">
        <v>194.62</v>
      </c>
      <c r="H31" s="54">
        <v>48.23</v>
      </c>
      <c r="I31" s="54">
        <v>1.52</v>
      </c>
      <c r="J31" s="54">
        <v>0.10</v>
      </c>
      <c r="K31" s="54">
        <v>303.95</v>
      </c>
      <c r="L31" s="54">
        <v>19.149999999999999</v>
      </c>
      <c r="M31" s="54">
        <v>87.83</v>
      </c>
      <c r="N31" s="54">
        <v>11.80</v>
      </c>
      <c r="O31" s="54">
        <v>0</v>
      </c>
      <c r="P31" s="54">
        <v>2.93</v>
      </c>
      <c r="Q31" s="54">
        <v>17.16</v>
      </c>
      <c r="R31" s="43"/>
      <c r="S31" s="43"/>
      <c r="T31" s="43"/>
      <c r="U31" s="43"/>
    </row>
    <row r="32" spans="1:21" s="11" customFormat="1" ht="15">
      <c r="A32" s="53" t="s">
        <v>349</v>
      </c>
      <c r="B32" s="54">
        <v>126.5</v>
      </c>
      <c r="C32" s="54">
        <v>70.08</v>
      </c>
      <c r="D32" s="54">
        <v>140.77000000000001</v>
      </c>
      <c r="E32" s="54">
        <v>0.51</v>
      </c>
      <c r="F32" s="54">
        <v>3.49</v>
      </c>
      <c r="G32" s="54">
        <v>176.93</v>
      </c>
      <c r="H32" s="54">
        <v>48.76</v>
      </c>
      <c r="I32" s="54">
        <v>1.56</v>
      </c>
      <c r="J32" s="54">
        <v>0.72</v>
      </c>
      <c r="K32" s="54">
        <v>343.15</v>
      </c>
      <c r="L32" s="54">
        <v>19.12</v>
      </c>
      <c r="M32" s="54">
        <v>81.48</v>
      </c>
      <c r="N32" s="54">
        <v>11.90</v>
      </c>
      <c r="O32" s="54">
        <v>0</v>
      </c>
      <c r="P32" s="54">
        <v>2.96</v>
      </c>
      <c r="Q32" s="54">
        <v>17.5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4.7199999999999998</v>
      </c>
      <c r="C34" s="28">
        <f t="shared" si="0"/>
        <v>50.25</v>
      </c>
      <c r="D34" s="28">
        <f t="shared" si="0"/>
        <v>38.640000000000001</v>
      </c>
      <c r="E34" s="28">
        <f t="shared" si="0"/>
        <v>0.14000000000000001</v>
      </c>
      <c r="F34" s="28">
        <f t="shared" si="0"/>
        <v>3.2799999999999998</v>
      </c>
      <c r="G34" s="28">
        <f t="shared" si="0"/>
        <v>41.719999999999999</v>
      </c>
      <c r="H34" s="28">
        <f t="shared" si="0"/>
        <v>13.94</v>
      </c>
      <c r="I34" s="28">
        <f t="shared" si="0"/>
        <v>1.47</v>
      </c>
      <c r="J34" s="28">
        <f t="shared" si="0"/>
        <v>0.059999999999999998</v>
      </c>
      <c r="K34" s="28">
        <f t="shared" si="0"/>
        <v>91.409999999999997</v>
      </c>
      <c r="L34" s="28">
        <f t="shared" si="0"/>
        <v>16.02</v>
      </c>
      <c r="M34" s="28">
        <f t="shared" si="0"/>
        <v>33.960000000000001</v>
      </c>
      <c r="N34" s="28">
        <f t="shared" si="0"/>
        <v>11.300000000000001</v>
      </c>
      <c r="O34" s="28">
        <f t="shared" si="0"/>
        <v>0</v>
      </c>
      <c r="P34" s="28">
        <f t="shared" si="0"/>
        <v>0.48999999999999999</v>
      </c>
      <c r="Q34" s="28">
        <f t="shared" si="0"/>
        <v>8.7100000000000009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126.5</v>
      </c>
      <c r="C35" s="29">
        <f t="shared" si="1"/>
        <v>91.640000000000001</v>
      </c>
      <c r="D35" s="29">
        <f t="shared" si="1"/>
        <v>140.77000000000001</v>
      </c>
      <c r="E35" s="29">
        <f t="shared" si="1"/>
        <v>0.51000000000000001</v>
      </c>
      <c r="F35" s="29">
        <f t="shared" si="1"/>
        <v>6.4699999999999998</v>
      </c>
      <c r="G35" s="29">
        <f t="shared" si="1"/>
        <v>199.09</v>
      </c>
      <c r="H35" s="29">
        <f t="shared" si="1"/>
        <v>52.609999999999999</v>
      </c>
      <c r="I35" s="29">
        <f t="shared" si="1"/>
        <v>1.6399999999999999</v>
      </c>
      <c r="J35" s="29">
        <f t="shared" si="1"/>
        <v>1.3500000000000001</v>
      </c>
      <c r="K35" s="29">
        <f t="shared" si="1"/>
        <v>358.25</v>
      </c>
      <c r="L35" s="29">
        <f t="shared" si="1"/>
        <v>30.809999999999999</v>
      </c>
      <c r="M35" s="29">
        <f t="shared" si="1"/>
        <v>87.829999999999998</v>
      </c>
      <c r="N35" s="29">
        <f t="shared" si="1"/>
        <v>503.89999999999998</v>
      </c>
      <c r="O35" s="29">
        <f t="shared" si="1"/>
        <v>0</v>
      </c>
      <c r="P35" s="29">
        <f t="shared" si="1"/>
        <v>2.96</v>
      </c>
      <c r="Q35" s="29">
        <f t="shared" si="1"/>
        <v>17.5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39.788333333333334</v>
      </c>
      <c r="C36" s="28">
        <f t="shared" si="2"/>
        <v>65.311666666666653</v>
      </c>
      <c r="D36" s="28">
        <f t="shared" si="2"/>
        <v>67.732500000000002</v>
      </c>
      <c r="E36" s="28">
        <f t="shared" si="2"/>
        <v>0.28750000000000003</v>
      </c>
      <c r="F36" s="28">
        <f t="shared" si="2"/>
        <v>3.8779166666666671</v>
      </c>
      <c r="G36" s="28">
        <f t="shared" si="2"/>
        <v>102.46666666666665</v>
      </c>
      <c r="H36" s="28">
        <f t="shared" si="2"/>
        <v>30.871666666666666</v>
      </c>
      <c r="I36" s="28">
        <f t="shared" si="2"/>
        <v>1.5475000000000005</v>
      </c>
      <c r="J36" s="28">
        <f t="shared" si="2"/>
        <v>0.49458333333333337</v>
      </c>
      <c r="K36" s="28">
        <f t="shared" si="2"/>
        <v>274.08750000000003</v>
      </c>
      <c r="L36" s="28">
        <f t="shared" si="2"/>
        <v>21.463333333333335</v>
      </c>
      <c r="M36" s="28">
        <f t="shared" si="2"/>
        <v>63.796250000000008</v>
      </c>
      <c r="N36" s="28">
        <f t="shared" si="2"/>
        <v>139.65833333333333</v>
      </c>
      <c r="O36" s="28">
        <f t="shared" si="2"/>
        <v>0</v>
      </c>
      <c r="P36" s="28">
        <f t="shared" si="2"/>
        <v>1.1941666666666668</v>
      </c>
      <c r="Q36" s="28">
        <f t="shared" si="2"/>
        <v>10.921250000000001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36.079682065824997</v>
      </c>
      <c r="C37" s="28">
        <f t="shared" si="3" ref="C37:Q37">STDEV(C9:C32)</f>
        <v>11.044376364257216</v>
      </c>
      <c r="D37" s="28">
        <f t="shared" si="3"/>
        <v>29.58101054363437</v>
      </c>
      <c r="E37" s="28">
        <f t="shared" si="3"/>
        <v>0.081946430009515042</v>
      </c>
      <c r="F37" s="28">
        <f t="shared" si="3"/>
        <v>0.81290664294549886</v>
      </c>
      <c r="G37" s="28">
        <f t="shared" si="3"/>
        <v>53.065861265827586</v>
      </c>
      <c r="H37" s="28">
        <f t="shared" si="3"/>
        <v>11.912919062081727</v>
      </c>
      <c r="I37" s="28">
        <f t="shared" si="3"/>
        <v>0.040780430089209098</v>
      </c>
      <c r="J37" s="28">
        <f t="shared" si="3"/>
        <v>0.3817235417404074</v>
      </c>
      <c r="K37" s="28">
        <f t="shared" si="3"/>
        <v>98.853157731446572</v>
      </c>
      <c r="L37" s="28">
        <f t="shared" si="3"/>
        <v>4.2280087477457364</v>
      </c>
      <c r="M37" s="28">
        <f t="shared" si="3"/>
        <v>17.464667639576447</v>
      </c>
      <c r="N37" s="28">
        <f t="shared" si="3"/>
        <v>189.58230956882363</v>
      </c>
      <c r="O37" s="28">
        <f t="shared" si="3"/>
        <v>0</v>
      </c>
      <c r="P37" s="28">
        <f t="shared" si="3"/>
        <v>0.76101143604882904</v>
      </c>
      <c r="Q37" s="28">
        <f t="shared" si="3"/>
        <v>2.663416100816197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46cc826-491e-4ae9-aa96-fbd7dbca06bc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9" sqref="G5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350</v>
      </c>
      <c r="B9" s="54">
        <v>106.08</v>
      </c>
      <c r="C9" s="54">
        <v>64.930000000000007</v>
      </c>
      <c r="D9" s="54">
        <v>121.55</v>
      </c>
      <c r="E9" s="54">
        <v>0.41</v>
      </c>
      <c r="F9" s="54">
        <v>3.20</v>
      </c>
      <c r="G9" s="54">
        <v>154.02000000000001</v>
      </c>
      <c r="H9" s="54">
        <v>47.55</v>
      </c>
      <c r="I9" s="54">
        <v>1.52</v>
      </c>
      <c r="J9" s="54">
        <v>0.24</v>
      </c>
      <c r="K9" s="54">
        <v>82.13</v>
      </c>
      <c r="L9" s="54">
        <v>18.079999999999998</v>
      </c>
      <c r="M9" s="54">
        <v>75.62</v>
      </c>
      <c r="N9" s="54">
        <v>11.90</v>
      </c>
      <c r="O9" s="54">
        <v>0</v>
      </c>
      <c r="P9" s="54">
        <v>2.54</v>
      </c>
      <c r="Q9" s="54">
        <v>16.20</v>
      </c>
      <c r="R9" s="43"/>
      <c r="S9" s="43"/>
      <c r="T9" s="43"/>
      <c r="U9" s="43"/>
    </row>
    <row r="10" spans="1:21" s="11" customFormat="1" ht="15">
      <c r="A10" s="53" t="s">
        <v>351</v>
      </c>
      <c r="B10" s="54">
        <v>84.13</v>
      </c>
      <c r="C10" s="54">
        <v>62.25</v>
      </c>
      <c r="D10" s="54">
        <v>102.47</v>
      </c>
      <c r="E10" s="54">
        <v>0.38</v>
      </c>
      <c r="F10" s="54">
        <v>3.67</v>
      </c>
      <c r="G10" s="54">
        <v>104.42</v>
      </c>
      <c r="H10" s="54">
        <v>41.18</v>
      </c>
      <c r="I10" s="54">
        <v>1.57</v>
      </c>
      <c r="J10" s="54">
        <v>0.28999999999999998</v>
      </c>
      <c r="K10" s="54">
        <v>329.90</v>
      </c>
      <c r="L10" s="54">
        <v>17.39</v>
      </c>
      <c r="M10" s="54">
        <v>68.92</v>
      </c>
      <c r="N10" s="54">
        <v>11.70</v>
      </c>
      <c r="O10" s="54">
        <v>0</v>
      </c>
      <c r="P10" s="54">
        <v>1.87</v>
      </c>
      <c r="Q10" s="54">
        <v>14.56</v>
      </c>
      <c r="R10" s="43"/>
      <c r="S10" s="43"/>
      <c r="T10" s="43"/>
      <c r="U10" s="43"/>
    </row>
    <row r="11" spans="1:21" s="11" customFormat="1" ht="15">
      <c r="A11" s="53" t="s">
        <v>352</v>
      </c>
      <c r="B11" s="54">
        <v>67.70</v>
      </c>
      <c r="C11" s="54">
        <v>58.33</v>
      </c>
      <c r="D11" s="54">
        <v>87.12</v>
      </c>
      <c r="E11" s="54">
        <v>0.34</v>
      </c>
      <c r="F11" s="54">
        <v>3.42</v>
      </c>
      <c r="G11" s="54">
        <v>69.92</v>
      </c>
      <c r="H11" s="54">
        <v>33.56</v>
      </c>
      <c r="I11" s="54">
        <v>1.59</v>
      </c>
      <c r="J11" s="54">
        <v>0.21</v>
      </c>
      <c r="K11" s="54">
        <v>351.91</v>
      </c>
      <c r="L11" s="54">
        <v>17.170000000000002</v>
      </c>
      <c r="M11" s="54">
        <v>72.150000000000006</v>
      </c>
      <c r="N11" s="54">
        <v>11.90</v>
      </c>
      <c r="O11" s="54">
        <v>0</v>
      </c>
      <c r="P11" s="54">
        <v>1.56</v>
      </c>
      <c r="Q11" s="54">
        <v>13.16</v>
      </c>
      <c r="R11" s="43"/>
      <c r="S11" s="43"/>
      <c r="T11" s="43"/>
      <c r="U11" s="43"/>
    </row>
    <row r="12" spans="1:21" s="11" customFormat="1" ht="15">
      <c r="A12" s="53" t="s">
        <v>353</v>
      </c>
      <c r="B12" s="54">
        <v>55.73</v>
      </c>
      <c r="C12" s="54">
        <v>54.67</v>
      </c>
      <c r="D12" s="54">
        <v>75.510000000000005</v>
      </c>
      <c r="E12" s="54">
        <v>0.32</v>
      </c>
      <c r="F12" s="54">
        <v>3.36</v>
      </c>
      <c r="G12" s="54">
        <v>62.88</v>
      </c>
      <c r="H12" s="54">
        <v>29.78</v>
      </c>
      <c r="I12" s="54">
        <v>1.55</v>
      </c>
      <c r="J12" s="54">
        <v>0.13</v>
      </c>
      <c r="K12" s="54">
        <v>68.569999999999993</v>
      </c>
      <c r="L12" s="54">
        <v>15.96</v>
      </c>
      <c r="M12" s="54">
        <v>71.87</v>
      </c>
      <c r="N12" s="54">
        <v>11.60</v>
      </c>
      <c r="O12" s="54">
        <v>0</v>
      </c>
      <c r="P12" s="54">
        <v>1.29</v>
      </c>
      <c r="Q12" s="54">
        <v>11.98</v>
      </c>
      <c r="R12" s="43"/>
      <c r="S12" s="43"/>
      <c r="T12" s="43"/>
      <c r="U12" s="43"/>
    </row>
    <row r="13" spans="1:21" s="11" customFormat="1" ht="15">
      <c r="A13" s="53" t="s">
        <v>354</v>
      </c>
      <c r="B13" s="54">
        <v>45.61</v>
      </c>
      <c r="C13" s="54">
        <v>50.35</v>
      </c>
      <c r="D13" s="54">
        <v>65.010000000000005</v>
      </c>
      <c r="E13" s="54">
        <v>0.33</v>
      </c>
      <c r="F13" s="54">
        <v>3.11</v>
      </c>
      <c r="G13" s="54">
        <v>62.79</v>
      </c>
      <c r="H13" s="54">
        <v>27.23</v>
      </c>
      <c r="I13" s="54">
        <v>1.53</v>
      </c>
      <c r="J13" s="54">
        <v>0.12</v>
      </c>
      <c r="K13" s="54">
        <v>350.57</v>
      </c>
      <c r="L13" s="54">
        <v>15.57</v>
      </c>
      <c r="M13" s="54">
        <v>76.819999999999993</v>
      </c>
      <c r="N13" s="54">
        <v>11.60</v>
      </c>
      <c r="O13" s="54">
        <v>0</v>
      </c>
      <c r="P13" s="54">
        <v>1.06</v>
      </c>
      <c r="Q13" s="54">
        <v>10.86</v>
      </c>
      <c r="R13" s="43"/>
      <c r="S13" s="43"/>
      <c r="T13" s="43"/>
      <c r="U13" s="43"/>
    </row>
    <row r="14" spans="1:21" s="11" customFormat="1" ht="15">
      <c r="A14" s="53" t="s">
        <v>355</v>
      </c>
      <c r="B14" s="54">
        <v>40.53</v>
      </c>
      <c r="C14" s="54">
        <v>50.60</v>
      </c>
      <c r="D14" s="54">
        <v>60.64</v>
      </c>
      <c r="E14" s="54">
        <v>0.25</v>
      </c>
      <c r="F14" s="54">
        <v>3.31</v>
      </c>
      <c r="G14" s="54">
        <v>66.97</v>
      </c>
      <c r="H14" s="54">
        <v>27.33</v>
      </c>
      <c r="I14" s="54">
        <v>1.53</v>
      </c>
      <c r="J14" s="54">
        <v>0.27</v>
      </c>
      <c r="K14" s="54">
        <v>336.52</v>
      </c>
      <c r="L14" s="54">
        <v>15.61</v>
      </c>
      <c r="M14" s="54">
        <v>77.040000000000006</v>
      </c>
      <c r="N14" s="54">
        <v>11.70</v>
      </c>
      <c r="O14" s="54">
        <v>0</v>
      </c>
      <c r="P14" s="54">
        <v>0.88</v>
      </c>
      <c r="Q14" s="54">
        <v>10.06</v>
      </c>
      <c r="R14" s="43"/>
      <c r="S14" s="43"/>
      <c r="T14" s="43"/>
      <c r="U14" s="43"/>
    </row>
    <row r="15" spans="1:21" s="11" customFormat="1" ht="15">
      <c r="A15" s="53" t="s">
        <v>356</v>
      </c>
      <c r="B15" s="54">
        <v>38.729999999999997</v>
      </c>
      <c r="C15" s="54">
        <v>51.28</v>
      </c>
      <c r="D15" s="54">
        <v>59.39</v>
      </c>
      <c r="E15" s="54">
        <v>0.21</v>
      </c>
      <c r="F15" s="54">
        <v>3.18</v>
      </c>
      <c r="G15" s="54">
        <v>71.45</v>
      </c>
      <c r="H15" s="54">
        <v>26.94</v>
      </c>
      <c r="I15" s="54">
        <v>1.56</v>
      </c>
      <c r="J15" s="54">
        <v>0.78</v>
      </c>
      <c r="K15" s="54">
        <v>191.26</v>
      </c>
      <c r="L15" s="54">
        <v>15.88</v>
      </c>
      <c r="M15" s="54">
        <v>74.83</v>
      </c>
      <c r="N15" s="54">
        <v>24.10</v>
      </c>
      <c r="O15" s="54">
        <v>0</v>
      </c>
      <c r="P15" s="54">
        <v>0.77</v>
      </c>
      <c r="Q15" s="54">
        <v>9.73</v>
      </c>
      <c r="R15" s="43"/>
      <c r="S15" s="43"/>
      <c r="T15" s="43"/>
      <c r="U15" s="43"/>
    </row>
    <row r="16" spans="1:21" s="11" customFormat="1" ht="15">
      <c r="A16" s="53" t="s">
        <v>357</v>
      </c>
      <c r="B16" s="54">
        <v>32.130000000000003</v>
      </c>
      <c r="C16" s="54">
        <v>51.68</v>
      </c>
      <c r="D16" s="54">
        <v>54.74</v>
      </c>
      <c r="E16" s="54">
        <v>0.20</v>
      </c>
      <c r="F16" s="54">
        <v>3.19</v>
      </c>
      <c r="G16" s="54">
        <v>68.69</v>
      </c>
      <c r="H16" s="54">
        <v>25.33</v>
      </c>
      <c r="I16" s="54">
        <v>1.62</v>
      </c>
      <c r="J16" s="54">
        <v>1.40</v>
      </c>
      <c r="K16" s="54">
        <v>139.57</v>
      </c>
      <c r="L16" s="54">
        <v>17.100000000000001</v>
      </c>
      <c r="M16" s="54">
        <v>54.71</v>
      </c>
      <c r="N16" s="54">
        <v>159.90</v>
      </c>
      <c r="O16" s="54">
        <v>0</v>
      </c>
      <c r="P16" s="54">
        <v>0.78</v>
      </c>
      <c r="Q16" s="54">
        <v>9.34</v>
      </c>
      <c r="R16" s="43"/>
      <c r="S16" s="43"/>
      <c r="T16" s="43"/>
      <c r="U16" s="43"/>
    </row>
    <row r="17" spans="1:21" s="11" customFormat="1" ht="15">
      <c r="A17" s="53" t="s">
        <v>358</v>
      </c>
      <c r="B17" s="54">
        <v>27.37</v>
      </c>
      <c r="C17" s="54">
        <v>51.87</v>
      </c>
      <c r="D17" s="54">
        <v>51.03</v>
      </c>
      <c r="E17" s="54">
        <v>0.12</v>
      </c>
      <c r="F17" s="54">
        <v>3.56</v>
      </c>
      <c r="G17" s="54">
        <v>51.79</v>
      </c>
      <c r="H17" s="54">
        <v>24.15</v>
      </c>
      <c r="I17" s="54">
        <v>1.54</v>
      </c>
      <c r="J17" s="54">
        <v>1.43</v>
      </c>
      <c r="K17" s="54">
        <v>112.58</v>
      </c>
      <c r="L17" s="54">
        <v>19.82</v>
      </c>
      <c r="M17" s="54">
        <v>43.15</v>
      </c>
      <c r="N17" s="54">
        <v>322.80</v>
      </c>
      <c r="O17" s="54">
        <v>0</v>
      </c>
      <c r="P17" s="54">
        <v>0.72</v>
      </c>
      <c r="Q17" s="54">
        <v>8.92</v>
      </c>
      <c r="R17" s="43"/>
      <c r="S17" s="43"/>
      <c r="T17" s="43"/>
      <c r="U17" s="43"/>
    </row>
    <row r="18" spans="1:21" s="11" customFormat="1" ht="15">
      <c r="A18" s="53" t="s">
        <v>359</v>
      </c>
      <c r="B18" s="54">
        <v>20.54</v>
      </c>
      <c r="C18" s="54">
        <v>52.77</v>
      </c>
      <c r="D18" s="54">
        <v>45.78</v>
      </c>
      <c r="E18" s="54">
        <v>0.10</v>
      </c>
      <c r="F18" s="54">
        <v>3.42</v>
      </c>
      <c r="G18" s="54">
        <v>41.74</v>
      </c>
      <c r="H18" s="54">
        <v>21.82</v>
      </c>
      <c r="I18" s="54">
        <v>1.53</v>
      </c>
      <c r="J18" s="54">
        <v>0.96</v>
      </c>
      <c r="K18" s="54">
        <v>118.80</v>
      </c>
      <c r="L18" s="54">
        <v>23.30</v>
      </c>
      <c r="M18" s="54">
        <v>39.229999999999997</v>
      </c>
      <c r="N18" s="54">
        <v>452.40</v>
      </c>
      <c r="O18" s="54">
        <v>0</v>
      </c>
      <c r="P18" s="54">
        <v>0.65</v>
      </c>
      <c r="Q18" s="54">
        <v>8.5399999999999991</v>
      </c>
      <c r="R18" s="43"/>
      <c r="S18" s="43"/>
      <c r="T18" s="43"/>
      <c r="U18" s="43"/>
    </row>
    <row r="19" spans="1:21" s="11" customFormat="1" ht="15">
      <c r="A19" s="53" t="s">
        <v>360</v>
      </c>
      <c r="B19" s="54">
        <v>16.5</v>
      </c>
      <c r="C19" s="54">
        <v>56.72</v>
      </c>
      <c r="D19" s="54">
        <v>44.35</v>
      </c>
      <c r="E19" s="54">
        <v>0.08</v>
      </c>
      <c r="F19" s="54">
        <v>3.51</v>
      </c>
      <c r="G19" s="54">
        <v>47.01</v>
      </c>
      <c r="H19" s="54">
        <v>19.55</v>
      </c>
      <c r="I19" s="54">
        <v>1.47</v>
      </c>
      <c r="J19" s="54">
        <v>0.79</v>
      </c>
      <c r="K19" s="54">
        <v>340.46</v>
      </c>
      <c r="L19" s="54">
        <v>30.44</v>
      </c>
      <c r="M19" s="54">
        <v>34</v>
      </c>
      <c r="N19" s="54">
        <v>507</v>
      </c>
      <c r="O19" s="54">
        <v>0</v>
      </c>
      <c r="P19" s="54">
        <v>0.61</v>
      </c>
      <c r="Q19" s="54">
        <v>8.31</v>
      </c>
      <c r="R19" s="43"/>
      <c r="S19" s="43"/>
      <c r="T19" s="43"/>
      <c r="U19" s="43"/>
    </row>
    <row r="20" spans="1:21" s="11" customFormat="1" ht="15">
      <c r="A20" s="53" t="s">
        <v>361</v>
      </c>
      <c r="B20" s="54">
        <v>14.02</v>
      </c>
      <c r="C20" s="54">
        <v>60.85</v>
      </c>
      <c r="D20" s="54">
        <v>43.94</v>
      </c>
      <c r="E20" s="54">
        <v>0.10</v>
      </c>
      <c r="F20" s="54">
        <v>4.1399999999999997</v>
      </c>
      <c r="G20" s="54">
        <v>47.35</v>
      </c>
      <c r="H20" s="54">
        <v>19.16</v>
      </c>
      <c r="I20" s="54">
        <v>1.61</v>
      </c>
      <c r="J20" s="54">
        <v>0.45</v>
      </c>
      <c r="K20" s="54">
        <v>347.78</v>
      </c>
      <c r="L20" s="54">
        <v>30.08</v>
      </c>
      <c r="M20" s="54">
        <v>31.21</v>
      </c>
      <c r="N20" s="54">
        <v>525.79999999999995</v>
      </c>
      <c r="O20" s="54">
        <v>0</v>
      </c>
      <c r="P20" s="54">
        <v>0.61</v>
      </c>
      <c r="Q20" s="54">
        <v>8.23</v>
      </c>
      <c r="R20" s="43"/>
      <c r="S20" s="43"/>
      <c r="T20" s="43"/>
      <c r="U20" s="43"/>
    </row>
    <row r="21" spans="1:21" s="11" customFormat="1" ht="15">
      <c r="A21" s="53" t="s">
        <v>362</v>
      </c>
      <c r="B21" s="54">
        <v>7.26</v>
      </c>
      <c r="C21" s="54">
        <v>62.99</v>
      </c>
      <c r="D21" s="54">
        <v>40.630000000000003</v>
      </c>
      <c r="E21" s="54">
        <v>0.26</v>
      </c>
      <c r="F21" s="54">
        <v>4.59</v>
      </c>
      <c r="G21" s="54">
        <v>46.76</v>
      </c>
      <c r="H21" s="54">
        <v>18.920000000000002</v>
      </c>
      <c r="I21" s="54">
        <v>1.53</v>
      </c>
      <c r="J21" s="54">
        <v>0.53</v>
      </c>
      <c r="K21" s="54">
        <v>351.23</v>
      </c>
      <c r="L21" s="54">
        <v>28.68</v>
      </c>
      <c r="M21" s="54">
        <v>32.159999999999997</v>
      </c>
      <c r="N21" s="54">
        <v>508.70</v>
      </c>
      <c r="O21" s="54">
        <v>0</v>
      </c>
      <c r="P21" s="54">
        <v>0.59</v>
      </c>
      <c r="Q21" s="54">
        <v>7.79</v>
      </c>
      <c r="R21" s="43"/>
      <c r="S21" s="43"/>
      <c r="T21" s="43"/>
      <c r="U21" s="43"/>
    </row>
    <row r="22" spans="1:21" s="11" customFormat="1" ht="15">
      <c r="A22" s="53" t="s">
        <v>363</v>
      </c>
      <c r="B22" s="54">
        <v>3.71</v>
      </c>
      <c r="C22" s="54">
        <v>62.32</v>
      </c>
      <c r="D22" s="54">
        <v>38.01</v>
      </c>
      <c r="E22" s="54">
        <v>0.28999999999999998</v>
      </c>
      <c r="F22" s="54">
        <v>5.0599999999999996</v>
      </c>
      <c r="G22" s="54">
        <v>52.76</v>
      </c>
      <c r="H22" s="54">
        <v>17.920000000000002</v>
      </c>
      <c r="I22" s="54">
        <v>1.62</v>
      </c>
      <c r="J22" s="54">
        <v>1.1200000000000001</v>
      </c>
      <c r="K22" s="54">
        <v>341.14</v>
      </c>
      <c r="L22" s="54">
        <v>30.54</v>
      </c>
      <c r="M22" s="54">
        <v>31.96</v>
      </c>
      <c r="N22" s="54">
        <v>477.90</v>
      </c>
      <c r="O22" s="54">
        <v>0</v>
      </c>
      <c r="P22" s="54">
        <v>0.56999999999999995</v>
      </c>
      <c r="Q22" s="54">
        <v>7.47</v>
      </c>
      <c r="R22" s="43"/>
      <c r="S22" s="43"/>
      <c r="T22" s="43"/>
      <c r="U22" s="43"/>
    </row>
    <row r="23" spans="1:21" s="11" customFormat="1" ht="15">
      <c r="A23" s="53" t="s">
        <v>364</v>
      </c>
      <c r="B23" s="54">
        <v>3.33</v>
      </c>
      <c r="C23" s="54">
        <v>60.47</v>
      </c>
      <c r="D23" s="54">
        <v>36.69</v>
      </c>
      <c r="E23" s="54">
        <v>0.23</v>
      </c>
      <c r="F23" s="54">
        <v>5.39</v>
      </c>
      <c r="G23" s="54">
        <v>52.47</v>
      </c>
      <c r="H23" s="54">
        <v>17.47</v>
      </c>
      <c r="I23" s="54">
        <v>1.58</v>
      </c>
      <c r="J23" s="54">
        <v>1.1000000000000001</v>
      </c>
      <c r="K23" s="54">
        <v>330.23</v>
      </c>
      <c r="L23" s="54">
        <v>29.17</v>
      </c>
      <c r="M23" s="54">
        <v>35.22</v>
      </c>
      <c r="N23" s="54">
        <v>335.60</v>
      </c>
      <c r="O23" s="54">
        <v>0</v>
      </c>
      <c r="P23" s="54">
        <v>0.55000000000000004</v>
      </c>
      <c r="Q23" s="54">
        <v>7.37</v>
      </c>
      <c r="R23" s="43"/>
      <c r="S23" s="43"/>
      <c r="T23" s="43"/>
      <c r="U23" s="43"/>
    </row>
    <row r="24" spans="1:21" s="11" customFormat="1" ht="15">
      <c r="A24" s="53" t="s">
        <v>365</v>
      </c>
      <c r="B24" s="54">
        <v>3.88</v>
      </c>
      <c r="C24" s="54">
        <v>58.52</v>
      </c>
      <c r="D24" s="54">
        <v>35.93</v>
      </c>
      <c r="E24" s="54">
        <v>0.24</v>
      </c>
      <c r="F24" s="54">
        <v>4.37</v>
      </c>
      <c r="G24" s="54">
        <v>50.55</v>
      </c>
      <c r="H24" s="54">
        <v>19.309999999999999</v>
      </c>
      <c r="I24" s="54">
        <v>1.52</v>
      </c>
      <c r="J24" s="54">
        <v>1</v>
      </c>
      <c r="K24" s="54">
        <v>337.70</v>
      </c>
      <c r="L24" s="54">
        <v>27.74</v>
      </c>
      <c r="M24" s="54">
        <v>38.450000000000003</v>
      </c>
      <c r="N24" s="54">
        <v>83.20</v>
      </c>
      <c r="O24" s="54">
        <v>0</v>
      </c>
      <c r="P24" s="54">
        <v>0.53</v>
      </c>
      <c r="Q24" s="54">
        <v>7.28</v>
      </c>
      <c r="R24" s="43"/>
      <c r="S24" s="43"/>
      <c r="T24" s="43"/>
      <c r="U24" s="43"/>
    </row>
    <row r="25" spans="1:21" s="11" customFormat="1" ht="15">
      <c r="A25" s="53" t="s">
        <v>366</v>
      </c>
      <c r="B25" s="54">
        <v>5.49</v>
      </c>
      <c r="C25" s="54">
        <v>59.31</v>
      </c>
      <c r="D25" s="54">
        <v>37.79</v>
      </c>
      <c r="E25" s="54">
        <v>0.09</v>
      </c>
      <c r="F25" s="54">
        <v>4.0199999999999996</v>
      </c>
      <c r="G25" s="54">
        <v>50.08</v>
      </c>
      <c r="H25" s="54">
        <v>18.70</v>
      </c>
      <c r="I25" s="54">
        <v>1.54</v>
      </c>
      <c r="J25" s="54">
        <v>0.80</v>
      </c>
      <c r="K25" s="54">
        <v>337.39</v>
      </c>
      <c r="L25" s="54">
        <v>25.89</v>
      </c>
      <c r="M25" s="54">
        <v>42.34</v>
      </c>
      <c r="N25" s="54">
        <v>51.30</v>
      </c>
      <c r="O25" s="54">
        <v>0</v>
      </c>
      <c r="P25" s="54">
        <v>0.56999999999999995</v>
      </c>
      <c r="Q25" s="54">
        <v>7.85</v>
      </c>
      <c r="R25" s="43"/>
      <c r="S25" s="43"/>
      <c r="T25" s="43"/>
      <c r="U25" s="43"/>
    </row>
    <row r="26" spans="1:21" s="11" customFormat="1" ht="15">
      <c r="A26" s="53" t="s">
        <v>367</v>
      </c>
      <c r="B26" s="54">
        <v>11.72</v>
      </c>
      <c r="C26" s="54">
        <v>60.89</v>
      </c>
      <c r="D26" s="54">
        <v>43.54</v>
      </c>
      <c r="E26" s="54">
        <v>0.14000000000000001</v>
      </c>
      <c r="F26" s="54">
        <v>3.45</v>
      </c>
      <c r="G26" s="54">
        <v>51.43</v>
      </c>
      <c r="H26" s="54">
        <v>16.86</v>
      </c>
      <c r="I26" s="54">
        <v>1.5</v>
      </c>
      <c r="J26" s="54">
        <v>0.28000000000000003</v>
      </c>
      <c r="K26" s="54">
        <v>343.51</v>
      </c>
      <c r="L26" s="54">
        <v>24.39</v>
      </c>
      <c r="M26" s="54">
        <v>68.09</v>
      </c>
      <c r="N26" s="54">
        <v>22.80</v>
      </c>
      <c r="O26" s="54">
        <v>0</v>
      </c>
      <c r="P26" s="54">
        <v>0.71</v>
      </c>
      <c r="Q26" s="54">
        <v>8.39</v>
      </c>
      <c r="R26" s="43"/>
      <c r="S26" s="43"/>
      <c r="T26" s="43"/>
      <c r="U26" s="43"/>
    </row>
    <row r="27" spans="1:21" s="11" customFormat="1" ht="15">
      <c r="A27" s="53" t="s">
        <v>368</v>
      </c>
      <c r="B27" s="54">
        <v>47.40</v>
      </c>
      <c r="C27" s="54">
        <v>67.44</v>
      </c>
      <c r="D27" s="54">
        <v>75.87</v>
      </c>
      <c r="E27" s="54">
        <v>0.21</v>
      </c>
      <c r="F27" s="54">
        <v>3.31</v>
      </c>
      <c r="G27" s="54">
        <v>69.819999999999993</v>
      </c>
      <c r="H27" s="54">
        <v>18.79</v>
      </c>
      <c r="I27" s="54">
        <v>1.52</v>
      </c>
      <c r="J27" s="54">
        <v>0.11</v>
      </c>
      <c r="K27" s="54">
        <v>356.08</v>
      </c>
      <c r="L27" s="54">
        <v>21.20</v>
      </c>
      <c r="M27" s="54">
        <v>75.23</v>
      </c>
      <c r="N27" s="54">
        <v>11.90</v>
      </c>
      <c r="O27" s="54">
        <v>0</v>
      </c>
      <c r="P27" s="54">
        <v>0.93</v>
      </c>
      <c r="Q27" s="54">
        <v>10.65</v>
      </c>
      <c r="R27" s="43"/>
      <c r="S27" s="43"/>
      <c r="T27" s="43"/>
      <c r="U27" s="43"/>
    </row>
    <row r="28" spans="1:21" s="11" customFormat="1" ht="15">
      <c r="A28" s="53" t="s">
        <v>369</v>
      </c>
      <c r="B28" s="54">
        <v>68</v>
      </c>
      <c r="C28" s="54">
        <v>69.02</v>
      </c>
      <c r="D28" s="54">
        <v>93.26</v>
      </c>
      <c r="E28" s="54">
        <v>0.23</v>
      </c>
      <c r="F28" s="54">
        <v>3.27</v>
      </c>
      <c r="G28" s="54">
        <v>149.71</v>
      </c>
      <c r="H28" s="54">
        <v>25.82</v>
      </c>
      <c r="I28" s="54">
        <v>1.53</v>
      </c>
      <c r="J28" s="54">
        <v>0.16</v>
      </c>
      <c r="K28" s="54">
        <v>329.46</v>
      </c>
      <c r="L28" s="54">
        <v>20.22</v>
      </c>
      <c r="M28" s="54">
        <v>77.08</v>
      </c>
      <c r="N28" s="54">
        <v>11.80</v>
      </c>
      <c r="O28" s="54">
        <v>0</v>
      </c>
      <c r="P28" s="54">
        <v>1.29</v>
      </c>
      <c r="Q28" s="54">
        <v>12.58</v>
      </c>
      <c r="R28" s="43"/>
      <c r="S28" s="43"/>
      <c r="T28" s="43"/>
      <c r="U28" s="43"/>
    </row>
    <row r="29" spans="1:21" s="11" customFormat="1" ht="15">
      <c r="A29" s="53" t="s">
        <v>370</v>
      </c>
      <c r="B29" s="54">
        <v>112.42</v>
      </c>
      <c r="C29" s="54">
        <v>70.849999999999994</v>
      </c>
      <c r="D29" s="54">
        <v>129.90</v>
      </c>
      <c r="E29" s="54">
        <v>0.42</v>
      </c>
      <c r="F29" s="54">
        <v>3.22</v>
      </c>
      <c r="G29" s="54">
        <v>195.37</v>
      </c>
      <c r="H29" s="54">
        <v>38.590000000000003</v>
      </c>
      <c r="I29" s="54">
        <v>1.54</v>
      </c>
      <c r="J29" s="54">
        <v>0.13</v>
      </c>
      <c r="K29" s="54">
        <v>284.89</v>
      </c>
      <c r="L29" s="54">
        <v>19.87</v>
      </c>
      <c r="M29" s="54">
        <v>79.53</v>
      </c>
      <c r="N29" s="54">
        <v>11.5</v>
      </c>
      <c r="O29" s="54">
        <v>0</v>
      </c>
      <c r="P29" s="54">
        <v>2.09</v>
      </c>
      <c r="Q29" s="54">
        <v>15.68</v>
      </c>
      <c r="R29" s="43"/>
      <c r="S29" s="43"/>
      <c r="T29" s="43"/>
      <c r="U29" s="43"/>
    </row>
    <row r="30" spans="1:21" s="11" customFormat="1" ht="15">
      <c r="A30" s="53" t="s">
        <v>371</v>
      </c>
      <c r="B30" s="54">
        <v>109.92</v>
      </c>
      <c r="C30" s="54">
        <v>69.459999999999994</v>
      </c>
      <c r="D30" s="54">
        <v>127.13</v>
      </c>
      <c r="E30" s="54">
        <v>0.47</v>
      </c>
      <c r="F30" s="54">
        <v>3.29</v>
      </c>
      <c r="G30" s="54">
        <v>194.80</v>
      </c>
      <c r="H30" s="54">
        <v>47.86</v>
      </c>
      <c r="I30" s="54">
        <v>1.57</v>
      </c>
      <c r="J30" s="54">
        <v>0.11</v>
      </c>
      <c r="K30" s="54">
        <v>292.16000000000003</v>
      </c>
      <c r="L30" s="54">
        <v>19.22</v>
      </c>
      <c r="M30" s="54">
        <v>73.55</v>
      </c>
      <c r="N30" s="54">
        <v>11.60</v>
      </c>
      <c r="O30" s="54">
        <v>0</v>
      </c>
      <c r="P30" s="54">
        <v>2.2599999999999998</v>
      </c>
      <c r="Q30" s="54">
        <v>16.02</v>
      </c>
      <c r="R30" s="43"/>
      <c r="S30" s="43"/>
      <c r="T30" s="43"/>
      <c r="U30" s="43"/>
    </row>
    <row r="31" spans="1:21" s="11" customFormat="1" ht="15">
      <c r="A31" s="53" t="s">
        <v>372</v>
      </c>
      <c r="B31" s="54">
        <v>108.34</v>
      </c>
      <c r="C31" s="54">
        <v>67.91</v>
      </c>
      <c r="D31" s="54">
        <v>125.01</v>
      </c>
      <c r="E31" s="54">
        <v>0.43</v>
      </c>
      <c r="F31" s="54">
        <v>3.23</v>
      </c>
      <c r="G31" s="54">
        <v>183.17</v>
      </c>
      <c r="H31" s="54">
        <v>47.38</v>
      </c>
      <c r="I31" s="54">
        <v>1.51</v>
      </c>
      <c r="J31" s="54">
        <v>0.81</v>
      </c>
      <c r="K31" s="54">
        <v>108.67</v>
      </c>
      <c r="L31" s="54">
        <v>19.95</v>
      </c>
      <c r="M31" s="54">
        <v>63.44</v>
      </c>
      <c r="N31" s="54">
        <v>11.5</v>
      </c>
      <c r="O31" s="54">
        <v>0</v>
      </c>
      <c r="P31" s="54">
        <v>2.16</v>
      </c>
      <c r="Q31" s="54">
        <v>16.04</v>
      </c>
      <c r="R31" s="43"/>
      <c r="S31" s="43"/>
      <c r="T31" s="43"/>
      <c r="U31" s="43"/>
    </row>
    <row r="32" spans="1:21" s="11" customFormat="1" ht="15">
      <c r="A32" s="53" t="s">
        <v>373</v>
      </c>
      <c r="B32" s="54">
        <v>92.30</v>
      </c>
      <c r="C32" s="54">
        <v>64.75</v>
      </c>
      <c r="D32" s="54">
        <v>110.40</v>
      </c>
      <c r="E32" s="54">
        <v>0.42</v>
      </c>
      <c r="F32" s="54">
        <v>3.42</v>
      </c>
      <c r="G32" s="54">
        <v>125.10</v>
      </c>
      <c r="H32" s="54">
        <v>43.88</v>
      </c>
      <c r="I32" s="54">
        <v>1.49</v>
      </c>
      <c r="J32" s="54">
        <v>0.68</v>
      </c>
      <c r="K32" s="54">
        <v>354.48</v>
      </c>
      <c r="L32" s="54">
        <v>19.38</v>
      </c>
      <c r="M32" s="54">
        <v>63.91</v>
      </c>
      <c r="N32" s="54">
        <v>12.20</v>
      </c>
      <c r="O32" s="54">
        <v>0</v>
      </c>
      <c r="P32" s="54">
        <v>1.88</v>
      </c>
      <c r="Q32" s="54">
        <v>15.17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3.3300000000000001</v>
      </c>
      <c r="C34" s="28">
        <f t="shared" si="0"/>
        <v>50.350000000000001</v>
      </c>
      <c r="D34" s="28">
        <f t="shared" si="0"/>
        <v>35.93</v>
      </c>
      <c r="E34" s="28">
        <f t="shared" si="0"/>
        <v>0.080000000000000002</v>
      </c>
      <c r="F34" s="28">
        <f t="shared" si="0"/>
        <v>3.1099999999999999</v>
      </c>
      <c r="G34" s="28">
        <f t="shared" si="0"/>
        <v>41.740000000000002</v>
      </c>
      <c r="H34" s="28">
        <f t="shared" si="0"/>
        <v>16.859999999999999</v>
      </c>
      <c r="I34" s="28">
        <f t="shared" si="0"/>
        <v>1.47</v>
      </c>
      <c r="J34" s="28">
        <f t="shared" si="0"/>
        <v>0.11</v>
      </c>
      <c r="K34" s="28">
        <f t="shared" si="0"/>
        <v>68.569999999999993</v>
      </c>
      <c r="L34" s="28">
        <f t="shared" si="0"/>
        <v>15.57</v>
      </c>
      <c r="M34" s="28">
        <f t="shared" si="0"/>
        <v>31.210000000000001</v>
      </c>
      <c r="N34" s="28">
        <f t="shared" si="0"/>
        <v>11.5</v>
      </c>
      <c r="O34" s="28">
        <f t="shared" si="0"/>
        <v>0</v>
      </c>
      <c r="P34" s="28">
        <f t="shared" si="0"/>
        <v>0.53000000000000003</v>
      </c>
      <c r="Q34" s="28">
        <f t="shared" si="0"/>
        <v>7.2800000000000002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112.42</v>
      </c>
      <c r="C35" s="29">
        <f t="shared" si="1"/>
        <v>70.849999999999994</v>
      </c>
      <c r="D35" s="29">
        <f t="shared" si="1"/>
        <v>129.90000000000001</v>
      </c>
      <c r="E35" s="29">
        <f t="shared" si="1"/>
        <v>0.46999999999999997</v>
      </c>
      <c r="F35" s="29">
        <f t="shared" si="1"/>
        <v>5.3899999999999997</v>
      </c>
      <c r="G35" s="29">
        <f t="shared" si="1"/>
        <v>195.37</v>
      </c>
      <c r="H35" s="29">
        <f t="shared" si="1"/>
        <v>47.859999999999999</v>
      </c>
      <c r="I35" s="29">
        <f t="shared" si="1"/>
        <v>1.6200000000000001</v>
      </c>
      <c r="J35" s="29">
        <f t="shared" si="1"/>
        <v>1.4299999999999999</v>
      </c>
      <c r="K35" s="29">
        <f t="shared" si="1"/>
        <v>356.07999999999998</v>
      </c>
      <c r="L35" s="29">
        <f t="shared" si="1"/>
        <v>30.539999999999999</v>
      </c>
      <c r="M35" s="29">
        <f t="shared" si="1"/>
        <v>79.530000000000001</v>
      </c>
      <c r="N35" s="29">
        <f t="shared" si="1"/>
        <v>525.79999999999995</v>
      </c>
      <c r="O35" s="29">
        <f t="shared" si="1"/>
        <v>0</v>
      </c>
      <c r="P35" s="29">
        <f t="shared" si="1"/>
        <v>2.54</v>
      </c>
      <c r="Q35" s="29">
        <f t="shared" si="1"/>
        <v>16.199999999999999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46.784999999999997</v>
      </c>
      <c r="C36" s="28">
        <f t="shared" si="2"/>
        <v>60.009583333333353</v>
      </c>
      <c r="D36" s="28">
        <f t="shared" si="2"/>
        <v>71.070416666666659</v>
      </c>
      <c r="E36" s="28">
        <f t="shared" si="2"/>
        <v>0.26124999999999998</v>
      </c>
      <c r="F36" s="28">
        <f t="shared" si="2"/>
        <v>3.6537500000000005</v>
      </c>
      <c r="G36" s="28">
        <f t="shared" si="2"/>
        <v>86.293750000000003</v>
      </c>
      <c r="H36" s="28">
        <f t="shared" si="2"/>
        <v>28.128333333333334</v>
      </c>
      <c r="I36" s="28">
        <f t="shared" si="2"/>
        <v>1.5445833333333334</v>
      </c>
      <c r="J36" s="28">
        <f t="shared" si="2"/>
        <v>0.57916666666666672</v>
      </c>
      <c r="K36" s="28">
        <f t="shared" si="2"/>
        <v>272.37458333333342</v>
      </c>
      <c r="L36" s="28">
        <f t="shared" si="2"/>
        <v>21.777083333333337</v>
      </c>
      <c r="M36" s="28">
        <f t="shared" si="2"/>
        <v>58.354583333333345</v>
      </c>
      <c r="N36" s="28">
        <f t="shared" si="2"/>
        <v>150.51666666666665</v>
      </c>
      <c r="O36" s="28">
        <f t="shared" si="2"/>
        <v>0</v>
      </c>
      <c r="P36" s="28">
        <f t="shared" si="2"/>
        <v>1.1445833333333333</v>
      </c>
      <c r="Q36" s="28">
        <f t="shared" si="2"/>
        <v>10.92416666666667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38.15949388963439</v>
      </c>
      <c r="C37" s="28">
        <f t="shared" si="3" ref="C37:Q37">STDEV(C9:C32)</f>
        <v>6.474759340275952</v>
      </c>
      <c r="D37" s="28">
        <f t="shared" si="3"/>
        <v>32.789585366614425</v>
      </c>
      <c r="E37" s="28">
        <f t="shared" si="3"/>
        <v>0.1205535241040803</v>
      </c>
      <c r="F37" s="28">
        <f t="shared" si="3"/>
        <v>0.62200106598538074</v>
      </c>
      <c r="G37" s="28">
        <f t="shared" si="3"/>
        <v>51.038913867796474</v>
      </c>
      <c r="H37" s="28">
        <f t="shared" si="3"/>
        <v>10.64527111451131</v>
      </c>
      <c r="I37" s="28">
        <f t="shared" si="3"/>
        <v>0.039118456298637458</v>
      </c>
      <c r="J37" s="28">
        <f t="shared" si="3"/>
        <v>0.429862633940159</v>
      </c>
      <c r="K37" s="28">
        <f t="shared" si="3"/>
        <v>104.97492851728973</v>
      </c>
      <c r="L37" s="28">
        <f t="shared" si="3"/>
        <v>5.2408740385937316</v>
      </c>
      <c r="M37" s="28">
        <f t="shared" si="3"/>
        <v>18.322432670070715</v>
      </c>
      <c r="N37" s="28">
        <f t="shared" si="3"/>
        <v>201.76641179229074</v>
      </c>
      <c r="O37" s="28">
        <f t="shared" si="3"/>
        <v>0</v>
      </c>
      <c r="P37" s="28">
        <f t="shared" si="3"/>
        <v>0.64871095705028825</v>
      </c>
      <c r="Q37" s="28">
        <f t="shared" si="3"/>
        <v>3.1950191081508756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e1b0d26-8b8a-4819-9f83-6112c9f75aa0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374</v>
      </c>
      <c r="B9" s="54">
        <v>77.12</v>
      </c>
      <c r="C9" s="54">
        <v>61.91</v>
      </c>
      <c r="D9" s="54">
        <v>96.66</v>
      </c>
      <c r="E9" s="54">
        <v>0.28999999999999998</v>
      </c>
      <c r="F9" s="54">
        <v>3.35</v>
      </c>
      <c r="G9" s="54">
        <v>82.15</v>
      </c>
      <c r="H9" s="54">
        <v>33.619999999999997</v>
      </c>
      <c r="I9" s="54">
        <v>1.53</v>
      </c>
      <c r="J9" s="54">
        <v>0.14000000000000001</v>
      </c>
      <c r="K9" s="54">
        <v>342.65</v>
      </c>
      <c r="L9" s="54">
        <v>17.510000000000002</v>
      </c>
      <c r="M9" s="54">
        <v>67.73</v>
      </c>
      <c r="N9" s="54">
        <v>11.90</v>
      </c>
      <c r="O9" s="54">
        <v>0</v>
      </c>
      <c r="P9" s="54">
        <v>1.61</v>
      </c>
      <c r="Q9" s="54">
        <v>13.84</v>
      </c>
      <c r="R9" s="43"/>
      <c r="S9" s="43"/>
      <c r="T9" s="43"/>
      <c r="U9" s="43"/>
    </row>
    <row r="10" spans="1:21" s="11" customFormat="1" ht="15">
      <c r="A10" s="53" t="s">
        <v>375</v>
      </c>
      <c r="B10" s="54">
        <v>62.86</v>
      </c>
      <c r="C10" s="54">
        <v>57.47</v>
      </c>
      <c r="D10" s="54">
        <v>82.77</v>
      </c>
      <c r="E10" s="54">
        <v>0.22</v>
      </c>
      <c r="F10" s="54">
        <v>3.22</v>
      </c>
      <c r="G10" s="54">
        <v>79.569999999999993</v>
      </c>
      <c r="H10" s="54">
        <v>26.08</v>
      </c>
      <c r="I10" s="54">
        <v>1.55</v>
      </c>
      <c r="J10" s="54">
        <v>0.09</v>
      </c>
      <c r="K10" s="54">
        <v>347.97</v>
      </c>
      <c r="L10" s="54">
        <v>16.71</v>
      </c>
      <c r="M10" s="54">
        <v>71.400000000000006</v>
      </c>
      <c r="N10" s="54">
        <v>11.80</v>
      </c>
      <c r="O10" s="54">
        <v>0</v>
      </c>
      <c r="P10" s="54">
        <v>1.28</v>
      </c>
      <c r="Q10" s="54">
        <v>12.51</v>
      </c>
      <c r="R10" s="43"/>
      <c r="S10" s="43"/>
      <c r="T10" s="43"/>
      <c r="U10" s="43"/>
    </row>
    <row r="11" spans="1:21" s="11" customFormat="1" ht="15">
      <c r="A11" s="53" t="s">
        <v>376</v>
      </c>
      <c r="B11" s="54">
        <v>49.62</v>
      </c>
      <c r="C11" s="54">
        <v>55.17</v>
      </c>
      <c r="D11" s="54">
        <v>70.89</v>
      </c>
      <c r="E11" s="54">
        <v>0.20</v>
      </c>
      <c r="F11" s="54">
        <v>2.95</v>
      </c>
      <c r="G11" s="54">
        <v>65.06</v>
      </c>
      <c r="H11" s="54">
        <v>25.63</v>
      </c>
      <c r="I11" s="54">
        <v>1.54</v>
      </c>
      <c r="J11" s="54">
        <v>0.09</v>
      </c>
      <c r="K11" s="54">
        <v>273.89999999999998</v>
      </c>
      <c r="L11" s="54">
        <v>16.850000000000001</v>
      </c>
      <c r="M11" s="54">
        <v>72.239999999999995</v>
      </c>
      <c r="N11" s="54">
        <v>12</v>
      </c>
      <c r="O11" s="54">
        <v>0</v>
      </c>
      <c r="P11" s="54">
        <v>1.1100000000000001</v>
      </c>
      <c r="Q11" s="54">
        <v>11.12</v>
      </c>
      <c r="R11" s="43"/>
      <c r="S11" s="43"/>
      <c r="T11" s="43"/>
      <c r="U11" s="43"/>
    </row>
    <row r="12" spans="1:21" s="11" customFormat="1" ht="15">
      <c r="A12" s="53" t="s">
        <v>377</v>
      </c>
      <c r="B12" s="54">
        <v>41.91</v>
      </c>
      <c r="C12" s="54">
        <v>52.54</v>
      </c>
      <c r="D12" s="54">
        <v>63.22</v>
      </c>
      <c r="E12" s="54">
        <v>0.16</v>
      </c>
      <c r="F12" s="54">
        <v>3.27</v>
      </c>
      <c r="G12" s="54">
        <v>70.89</v>
      </c>
      <c r="H12" s="54">
        <v>24.74</v>
      </c>
      <c r="I12" s="54">
        <v>1.56</v>
      </c>
      <c r="J12" s="54">
        <v>0.09</v>
      </c>
      <c r="K12" s="54">
        <v>283.43</v>
      </c>
      <c r="L12" s="54">
        <v>15.87</v>
      </c>
      <c r="M12" s="54">
        <v>82.31</v>
      </c>
      <c r="N12" s="54">
        <v>11.80</v>
      </c>
      <c r="O12" s="54">
        <v>0</v>
      </c>
      <c r="P12" s="54">
        <v>0.94</v>
      </c>
      <c r="Q12" s="54">
        <v>10.29</v>
      </c>
      <c r="R12" s="43"/>
      <c r="S12" s="43"/>
      <c r="T12" s="43"/>
      <c r="U12" s="43"/>
    </row>
    <row r="13" spans="1:21" s="11" customFormat="1" ht="15">
      <c r="A13" s="53" t="s">
        <v>378</v>
      </c>
      <c r="B13" s="54">
        <v>50.26</v>
      </c>
      <c r="C13" s="54">
        <v>52.27</v>
      </c>
      <c r="D13" s="54">
        <v>69.80</v>
      </c>
      <c r="E13" s="54">
        <v>0.30</v>
      </c>
      <c r="F13" s="54">
        <v>3.20</v>
      </c>
      <c r="G13" s="54">
        <v>68.78</v>
      </c>
      <c r="H13" s="54">
        <v>24.43</v>
      </c>
      <c r="I13" s="54">
        <v>1.51</v>
      </c>
      <c r="J13" s="54">
        <v>0.12</v>
      </c>
      <c r="K13" s="54">
        <v>305.88</v>
      </c>
      <c r="L13" s="54">
        <v>14.71</v>
      </c>
      <c r="M13" s="54">
        <v>88.88</v>
      </c>
      <c r="N13" s="54">
        <v>11.80</v>
      </c>
      <c r="O13" s="54">
        <v>0</v>
      </c>
      <c r="P13" s="54">
        <v>0.82</v>
      </c>
      <c r="Q13" s="54">
        <v>10.49</v>
      </c>
      <c r="R13" s="43"/>
      <c r="S13" s="43"/>
      <c r="T13" s="43"/>
      <c r="U13" s="43"/>
    </row>
    <row r="14" spans="1:21" s="11" customFormat="1" ht="15">
      <c r="A14" s="53" t="s">
        <v>379</v>
      </c>
      <c r="B14" s="54">
        <v>64.88</v>
      </c>
      <c r="C14" s="54">
        <v>53.92</v>
      </c>
      <c r="D14" s="54">
        <v>82.43</v>
      </c>
      <c r="E14" s="54">
        <v>0.34</v>
      </c>
      <c r="F14" s="54">
        <v>3.40</v>
      </c>
      <c r="G14" s="54">
        <v>88.99</v>
      </c>
      <c r="H14" s="54">
        <v>23.20</v>
      </c>
      <c r="I14" s="54">
        <v>1.57</v>
      </c>
      <c r="J14" s="54">
        <v>0.21</v>
      </c>
      <c r="K14" s="54">
        <v>315.94</v>
      </c>
      <c r="L14" s="54">
        <v>15.03</v>
      </c>
      <c r="M14" s="54">
        <v>84.10</v>
      </c>
      <c r="N14" s="54">
        <v>11.70</v>
      </c>
      <c r="O14" s="54">
        <v>0</v>
      </c>
      <c r="P14" s="54">
        <v>0.76</v>
      </c>
      <c r="Q14" s="54">
        <v>11.92</v>
      </c>
      <c r="R14" s="43"/>
      <c r="S14" s="43"/>
      <c r="T14" s="43"/>
      <c r="U14" s="43"/>
    </row>
    <row r="15" spans="1:21" s="11" customFormat="1" ht="15">
      <c r="A15" s="53" t="s">
        <v>380</v>
      </c>
      <c r="B15" s="54">
        <v>76.09</v>
      </c>
      <c r="C15" s="54">
        <v>56.38</v>
      </c>
      <c r="D15" s="54">
        <v>92.78</v>
      </c>
      <c r="E15" s="54">
        <v>0.34</v>
      </c>
      <c r="F15" s="54">
        <v>3.27</v>
      </c>
      <c r="G15" s="54">
        <v>87.62</v>
      </c>
      <c r="H15" s="54">
        <v>28.63</v>
      </c>
      <c r="I15" s="54">
        <v>1.54</v>
      </c>
      <c r="J15" s="54">
        <v>0.27</v>
      </c>
      <c r="K15" s="54">
        <v>321.33999999999997</v>
      </c>
      <c r="L15" s="54">
        <v>14.69</v>
      </c>
      <c r="M15" s="54">
        <v>84.90</v>
      </c>
      <c r="N15" s="54">
        <v>26.40</v>
      </c>
      <c r="O15" s="54">
        <v>0</v>
      </c>
      <c r="P15" s="54">
        <v>0.74</v>
      </c>
      <c r="Q15" s="54">
        <v>12.86</v>
      </c>
      <c r="R15" s="43"/>
      <c r="S15" s="43"/>
      <c r="T15" s="43"/>
      <c r="U15" s="43"/>
    </row>
    <row r="16" spans="1:21" s="11" customFormat="1" ht="15">
      <c r="A16" s="53" t="s">
        <v>381</v>
      </c>
      <c r="B16" s="54">
        <v>78.239999999999995</v>
      </c>
      <c r="C16" s="54">
        <v>57.52</v>
      </c>
      <c r="D16" s="54">
        <v>95.14</v>
      </c>
      <c r="E16" s="54">
        <v>0.32</v>
      </c>
      <c r="F16" s="54">
        <v>3.39</v>
      </c>
      <c r="G16" s="54">
        <v>97.32</v>
      </c>
      <c r="H16" s="54">
        <v>28.60</v>
      </c>
      <c r="I16" s="54">
        <v>1.52</v>
      </c>
      <c r="J16" s="54">
        <v>0.33</v>
      </c>
      <c r="K16" s="54">
        <v>353.56</v>
      </c>
      <c r="L16" s="54">
        <v>18.11</v>
      </c>
      <c r="M16" s="54">
        <v>86.37</v>
      </c>
      <c r="N16" s="54">
        <v>110.70</v>
      </c>
      <c r="O16" s="54">
        <v>0</v>
      </c>
      <c r="P16" s="54">
        <v>0.85</v>
      </c>
      <c r="Q16" s="54">
        <v>13.28</v>
      </c>
      <c r="R16" s="43"/>
      <c r="S16" s="43"/>
      <c r="T16" s="43"/>
      <c r="U16" s="43"/>
    </row>
    <row r="17" spans="1:21" s="11" customFormat="1" ht="15">
      <c r="A17" s="53" t="s">
        <v>382</v>
      </c>
      <c r="B17" s="54">
        <v>77.62</v>
      </c>
      <c r="C17" s="54">
        <v>62.66</v>
      </c>
      <c r="D17" s="54">
        <v>94.75</v>
      </c>
      <c r="E17" s="54">
        <v>0.27</v>
      </c>
      <c r="F17" s="54">
        <v>3.33</v>
      </c>
      <c r="G17" s="54">
        <v>171.65</v>
      </c>
      <c r="H17" s="54">
        <v>40.97</v>
      </c>
      <c r="I17" s="54">
        <v>1.59</v>
      </c>
      <c r="J17" s="54">
        <v>0.39</v>
      </c>
      <c r="K17" s="54">
        <v>345.65</v>
      </c>
      <c r="L17" s="54">
        <v>23.32</v>
      </c>
      <c r="M17" s="54">
        <v>60.42</v>
      </c>
      <c r="N17" s="54">
        <v>260.5</v>
      </c>
      <c r="O17" s="54">
        <v>0</v>
      </c>
      <c r="P17" s="54">
        <v>1.03</v>
      </c>
      <c r="Q17" s="54">
        <v>13.15</v>
      </c>
      <c r="R17" s="43"/>
      <c r="S17" s="43"/>
      <c r="T17" s="43"/>
      <c r="U17" s="43"/>
    </row>
    <row r="18" spans="1:21" s="11" customFormat="1" ht="15">
      <c r="A18" s="53" t="s">
        <v>383</v>
      </c>
      <c r="B18" s="54">
        <v>68.92</v>
      </c>
      <c r="C18" s="54">
        <v>71.709999999999994</v>
      </c>
      <c r="D18" s="54">
        <v>91.70</v>
      </c>
      <c r="E18" s="54">
        <v>0.22</v>
      </c>
      <c r="F18" s="54">
        <v>3.25</v>
      </c>
      <c r="G18" s="54">
        <v>212.66</v>
      </c>
      <c r="H18" s="54">
        <v>56.89</v>
      </c>
      <c r="I18" s="54">
        <v>1.52</v>
      </c>
      <c r="J18" s="54">
        <v>0.41</v>
      </c>
      <c r="K18" s="54">
        <v>342.23</v>
      </c>
      <c r="L18" s="54">
        <v>25.56</v>
      </c>
      <c r="M18" s="54">
        <v>41.76</v>
      </c>
      <c r="N18" s="54">
        <v>407.30</v>
      </c>
      <c r="O18" s="54">
        <v>0</v>
      </c>
      <c r="P18" s="54">
        <v>1.1100000000000001</v>
      </c>
      <c r="Q18" s="54">
        <v>12.79</v>
      </c>
      <c r="R18" s="43"/>
      <c r="S18" s="43"/>
      <c r="T18" s="43"/>
      <c r="U18" s="43"/>
    </row>
    <row r="19" spans="1:21" s="11" customFormat="1" ht="15">
      <c r="A19" s="53" t="s">
        <v>384</v>
      </c>
      <c r="B19" s="54">
        <v>49.73</v>
      </c>
      <c r="C19" s="54">
        <v>73.540000000000006</v>
      </c>
      <c r="D19" s="54">
        <v>80.98</v>
      </c>
      <c r="E19" s="54">
        <v>0.18</v>
      </c>
      <c r="F19" s="54">
        <v>3.20</v>
      </c>
      <c r="G19" s="54">
        <v>194.59</v>
      </c>
      <c r="H19" s="54">
        <v>55.15</v>
      </c>
      <c r="I19" s="54">
        <v>1.49</v>
      </c>
      <c r="J19" s="54">
        <v>0.85</v>
      </c>
      <c r="K19" s="54">
        <v>122.17</v>
      </c>
      <c r="L19" s="54">
        <v>26.89</v>
      </c>
      <c r="M19" s="54">
        <v>34.93</v>
      </c>
      <c r="N19" s="54">
        <v>482.5</v>
      </c>
      <c r="O19" s="54">
        <v>0</v>
      </c>
      <c r="P19" s="54">
        <v>1.08</v>
      </c>
      <c r="Q19" s="54">
        <v>11.74</v>
      </c>
      <c r="R19" s="43"/>
      <c r="S19" s="43"/>
      <c r="T19" s="43"/>
      <c r="U19" s="43"/>
    </row>
    <row r="20" spans="1:21" s="11" customFormat="1" ht="15">
      <c r="A20" s="53" t="s">
        <v>385</v>
      </c>
      <c r="B20" s="54">
        <v>27.82</v>
      </c>
      <c r="C20" s="54">
        <v>74.28</v>
      </c>
      <c r="D20" s="54">
        <v>63.63</v>
      </c>
      <c r="E20" s="54">
        <v>0.15</v>
      </c>
      <c r="F20" s="54">
        <v>3.69</v>
      </c>
      <c r="G20" s="54">
        <v>89.61</v>
      </c>
      <c r="H20" s="54">
        <v>45.49</v>
      </c>
      <c r="I20" s="54">
        <v>1.57</v>
      </c>
      <c r="J20" s="54">
        <v>0.91</v>
      </c>
      <c r="K20" s="54">
        <v>344.72</v>
      </c>
      <c r="L20" s="54">
        <v>30.72</v>
      </c>
      <c r="M20" s="54">
        <v>30.63</v>
      </c>
      <c r="N20" s="54">
        <v>499.40</v>
      </c>
      <c r="O20" s="54">
        <v>0</v>
      </c>
      <c r="P20" s="54">
        <v>0.92</v>
      </c>
      <c r="Q20" s="54">
        <v>10.039999999999999</v>
      </c>
      <c r="R20" s="43"/>
      <c r="S20" s="43"/>
      <c r="T20" s="43"/>
      <c r="U20" s="43"/>
    </row>
    <row r="21" spans="1:21" s="11" customFormat="1" ht="15">
      <c r="A21" s="53" t="s">
        <v>386</v>
      </c>
      <c r="B21" s="54">
        <v>16.95</v>
      </c>
      <c r="C21" s="54">
        <v>73.400000000000006</v>
      </c>
      <c r="D21" s="54">
        <v>54.75</v>
      </c>
      <c r="E21" s="54">
        <v>0.03</v>
      </c>
      <c r="F21" s="54">
        <v>3.92</v>
      </c>
      <c r="G21" s="54">
        <v>51.14</v>
      </c>
      <c r="H21" s="54">
        <v>29.69</v>
      </c>
      <c r="I21" s="54">
        <v>1.56</v>
      </c>
      <c r="J21" s="54">
        <v>0.39</v>
      </c>
      <c r="K21" s="54">
        <v>331.63</v>
      </c>
      <c r="L21" s="54">
        <v>30.98</v>
      </c>
      <c r="M21" s="54">
        <v>29.56</v>
      </c>
      <c r="N21" s="54">
        <v>495.10</v>
      </c>
      <c r="O21" s="54">
        <v>0</v>
      </c>
      <c r="P21" s="54">
        <v>0.87</v>
      </c>
      <c r="Q21" s="54">
        <v>9.1999999999999993</v>
      </c>
      <c r="R21" s="43"/>
      <c r="S21" s="43"/>
      <c r="T21" s="43"/>
      <c r="U21" s="43"/>
    </row>
    <row r="22" spans="1:21" s="11" customFormat="1" ht="15">
      <c r="A22" s="53" t="s">
        <v>387</v>
      </c>
      <c r="B22" s="54">
        <v>9.66</v>
      </c>
      <c r="C22" s="54">
        <v>70.34</v>
      </c>
      <c r="D22" s="54">
        <v>47.21</v>
      </c>
      <c r="E22" s="54">
        <v>0.04</v>
      </c>
      <c r="F22" s="54">
        <v>3.84</v>
      </c>
      <c r="G22" s="54">
        <v>57.06</v>
      </c>
      <c r="H22" s="54">
        <v>24.92</v>
      </c>
      <c r="I22" s="54">
        <v>1.56</v>
      </c>
      <c r="J22" s="54">
        <v>0.67</v>
      </c>
      <c r="K22" s="54">
        <v>352.06</v>
      </c>
      <c r="L22" s="54">
        <v>28.43</v>
      </c>
      <c r="M22" s="54">
        <v>34.22</v>
      </c>
      <c r="N22" s="54">
        <v>430.90</v>
      </c>
      <c r="O22" s="54">
        <v>0</v>
      </c>
      <c r="P22" s="54">
        <v>0.77</v>
      </c>
      <c r="Q22" s="54">
        <v>8.69</v>
      </c>
      <c r="R22" s="43"/>
      <c r="S22" s="43"/>
      <c r="T22" s="43"/>
      <c r="U22" s="43"/>
    </row>
    <row r="23" spans="1:21" s="11" customFormat="1" ht="15">
      <c r="A23" s="53" t="s">
        <v>388</v>
      </c>
      <c r="B23" s="54">
        <v>5.46</v>
      </c>
      <c r="C23" s="54">
        <v>66.80</v>
      </c>
      <c r="D23" s="54">
        <v>41.89</v>
      </c>
      <c r="E23" s="54">
        <v>0.04</v>
      </c>
      <c r="F23" s="54">
        <v>4.70</v>
      </c>
      <c r="G23" s="54">
        <v>57.98</v>
      </c>
      <c r="H23" s="54">
        <v>21.80</v>
      </c>
      <c r="I23" s="54">
        <v>1.53</v>
      </c>
      <c r="J23" s="54">
        <v>0.59</v>
      </c>
      <c r="K23" s="54">
        <v>333.70</v>
      </c>
      <c r="L23" s="54">
        <v>28.33</v>
      </c>
      <c r="M23" s="54">
        <v>32.590000000000003</v>
      </c>
      <c r="N23" s="54">
        <v>316.10000000000002</v>
      </c>
      <c r="O23" s="54">
        <v>0</v>
      </c>
      <c r="P23" s="54">
        <v>0.72</v>
      </c>
      <c r="Q23" s="54">
        <v>8.40</v>
      </c>
      <c r="R23" s="43"/>
      <c r="S23" s="43"/>
      <c r="T23" s="43"/>
      <c r="U23" s="43"/>
    </row>
    <row r="24" spans="1:21" s="11" customFormat="1" ht="15">
      <c r="A24" s="53" t="s">
        <v>389</v>
      </c>
      <c r="B24" s="54">
        <v>3.44</v>
      </c>
      <c r="C24" s="54">
        <v>66.13</v>
      </c>
      <c r="D24" s="54">
        <v>39.83</v>
      </c>
      <c r="E24" s="54">
        <v>0.01</v>
      </c>
      <c r="F24" s="54">
        <v>4.6900000000000004</v>
      </c>
      <c r="G24" s="54">
        <v>74.12</v>
      </c>
      <c r="H24" s="54">
        <v>24.20</v>
      </c>
      <c r="I24" s="54">
        <v>1.57</v>
      </c>
      <c r="J24" s="54">
        <v>1.06</v>
      </c>
      <c r="K24" s="54">
        <v>335.89</v>
      </c>
      <c r="L24" s="54">
        <v>26.52</v>
      </c>
      <c r="M24" s="54">
        <v>35.15</v>
      </c>
      <c r="N24" s="54">
        <v>93.5</v>
      </c>
      <c r="O24" s="54">
        <v>0</v>
      </c>
      <c r="P24" s="54">
        <v>0.69</v>
      </c>
      <c r="Q24" s="54">
        <v>8.11</v>
      </c>
      <c r="R24" s="43"/>
      <c r="S24" s="43"/>
      <c r="T24" s="43"/>
      <c r="U24" s="43"/>
    </row>
    <row r="25" spans="1:21" s="11" customFormat="1" ht="15">
      <c r="A25" s="53" t="s">
        <v>390</v>
      </c>
      <c r="B25" s="54">
        <v>3.43</v>
      </c>
      <c r="C25" s="54">
        <v>64.28</v>
      </c>
      <c r="D25" s="54">
        <v>38.869999999999997</v>
      </c>
      <c r="E25" s="54">
        <v>0.070000000000000007</v>
      </c>
      <c r="F25" s="54">
        <v>4.72</v>
      </c>
      <c r="G25" s="54">
        <v>71.56</v>
      </c>
      <c r="H25" s="54">
        <v>23.5</v>
      </c>
      <c r="I25" s="54">
        <v>1.54</v>
      </c>
      <c r="J25" s="54">
        <v>0.71</v>
      </c>
      <c r="K25" s="54">
        <v>337.01</v>
      </c>
      <c r="L25" s="54">
        <v>25.82</v>
      </c>
      <c r="M25" s="54">
        <v>39.78</v>
      </c>
      <c r="N25" s="54">
        <v>57.40</v>
      </c>
      <c r="O25" s="54">
        <v>0</v>
      </c>
      <c r="P25" s="54">
        <v>0.67</v>
      </c>
      <c r="Q25" s="54">
        <v>7.84</v>
      </c>
      <c r="R25" s="43"/>
      <c r="S25" s="43"/>
      <c r="T25" s="43"/>
      <c r="U25" s="43"/>
    </row>
    <row r="26" spans="1:21" s="11" customFormat="1" ht="15">
      <c r="A26" s="53" t="s">
        <v>391</v>
      </c>
      <c r="B26" s="54">
        <v>8.2899999999999991</v>
      </c>
      <c r="C26" s="54">
        <v>69.39</v>
      </c>
      <c r="D26" s="54">
        <v>45.59</v>
      </c>
      <c r="E26" s="54">
        <v>0.05</v>
      </c>
      <c r="F26" s="54">
        <v>4.1100000000000003</v>
      </c>
      <c r="G26" s="54">
        <v>63.26</v>
      </c>
      <c r="H26" s="54">
        <v>21.94</v>
      </c>
      <c r="I26" s="54">
        <v>1.55</v>
      </c>
      <c r="J26" s="54">
        <v>0.42</v>
      </c>
      <c r="K26" s="54">
        <v>344.39</v>
      </c>
      <c r="L26" s="54">
        <v>24.25</v>
      </c>
      <c r="M26" s="54">
        <v>60.94</v>
      </c>
      <c r="N26" s="54">
        <v>24.5</v>
      </c>
      <c r="O26" s="54">
        <v>0</v>
      </c>
      <c r="P26" s="54">
        <v>0.85</v>
      </c>
      <c r="Q26" s="54">
        <v>8.1999999999999993</v>
      </c>
      <c r="R26" s="43"/>
      <c r="S26" s="43"/>
      <c r="T26" s="43"/>
      <c r="U26" s="43"/>
    </row>
    <row r="27" spans="1:21" s="11" customFormat="1" ht="15">
      <c r="A27" s="53" t="s">
        <v>392</v>
      </c>
      <c r="B27" s="54">
        <v>13.78</v>
      </c>
      <c r="C27" s="54">
        <v>71.39</v>
      </c>
      <c r="D27" s="54">
        <v>50.60</v>
      </c>
      <c r="E27" s="54">
        <v>0.070000000000000007</v>
      </c>
      <c r="F27" s="54">
        <v>3.38</v>
      </c>
      <c r="G27" s="54">
        <v>80.69</v>
      </c>
      <c r="H27" s="54">
        <v>25.68</v>
      </c>
      <c r="I27" s="54">
        <v>1.51</v>
      </c>
      <c r="J27" s="54">
        <v>0.24</v>
      </c>
      <c r="K27" s="54">
        <v>330.85</v>
      </c>
      <c r="L27" s="54">
        <v>21.18</v>
      </c>
      <c r="M27" s="54">
        <v>65.97</v>
      </c>
      <c r="N27" s="54">
        <v>12.30</v>
      </c>
      <c r="O27" s="54">
        <v>0</v>
      </c>
      <c r="P27" s="54">
        <v>1.0900000000000001</v>
      </c>
      <c r="Q27" s="54">
        <v>8.94</v>
      </c>
      <c r="R27" s="43"/>
      <c r="S27" s="43"/>
      <c r="T27" s="43"/>
      <c r="U27" s="43"/>
    </row>
    <row r="28" spans="1:21" s="11" customFormat="1" ht="15">
      <c r="A28" s="53" t="s">
        <v>393</v>
      </c>
      <c r="B28" s="54">
        <v>22.78</v>
      </c>
      <c r="C28" s="54">
        <v>70</v>
      </c>
      <c r="D28" s="54">
        <v>56.30</v>
      </c>
      <c r="E28" s="54">
        <v>0.15</v>
      </c>
      <c r="F28" s="54">
        <v>3.24</v>
      </c>
      <c r="G28" s="54">
        <v>109.65</v>
      </c>
      <c r="H28" s="54">
        <v>27.89</v>
      </c>
      <c r="I28" s="54">
        <v>1.56</v>
      </c>
      <c r="J28" s="54">
        <v>0.12</v>
      </c>
      <c r="K28" s="54">
        <v>340.40</v>
      </c>
      <c r="L28" s="54">
        <v>20.239999999999998</v>
      </c>
      <c r="M28" s="54">
        <v>69.599999999999994</v>
      </c>
      <c r="N28" s="54">
        <v>12</v>
      </c>
      <c r="O28" s="54">
        <v>0</v>
      </c>
      <c r="P28" s="54">
        <v>1.30</v>
      </c>
      <c r="Q28" s="54">
        <v>9.5500000000000007</v>
      </c>
      <c r="R28" s="43"/>
      <c r="S28" s="43"/>
      <c r="T28" s="43"/>
      <c r="U28" s="43"/>
    </row>
    <row r="29" spans="1:21" s="11" customFormat="1" ht="15">
      <c r="A29" s="53" t="s">
        <v>394</v>
      </c>
      <c r="B29" s="54">
        <v>44.39</v>
      </c>
      <c r="C29" s="54">
        <v>67.13</v>
      </c>
      <c r="D29" s="54">
        <v>73.290000000000006</v>
      </c>
      <c r="E29" s="54">
        <v>0.38</v>
      </c>
      <c r="F29" s="54">
        <v>3.31</v>
      </c>
      <c r="G29" s="54">
        <v>124.51</v>
      </c>
      <c r="H29" s="54">
        <v>30.46</v>
      </c>
      <c r="I29" s="54">
        <v>1.53</v>
      </c>
      <c r="J29" s="54">
        <v>0.18</v>
      </c>
      <c r="K29" s="54">
        <v>309.07</v>
      </c>
      <c r="L29" s="54">
        <v>19.350000000000001</v>
      </c>
      <c r="M29" s="54">
        <v>71.319999999999993</v>
      </c>
      <c r="N29" s="54">
        <v>12</v>
      </c>
      <c r="O29" s="54">
        <v>0</v>
      </c>
      <c r="P29" s="54">
        <v>1.68</v>
      </c>
      <c r="Q29" s="54">
        <v>11.08</v>
      </c>
      <c r="R29" s="43"/>
      <c r="S29" s="43"/>
      <c r="T29" s="43"/>
      <c r="U29" s="43"/>
    </row>
    <row r="30" spans="1:21" s="11" customFormat="1" ht="15">
      <c r="A30" s="53" t="s">
        <v>395</v>
      </c>
      <c r="B30" s="54">
        <v>78.739999999999995</v>
      </c>
      <c r="C30" s="54">
        <v>67.77</v>
      </c>
      <c r="D30" s="54">
        <v>101.04</v>
      </c>
      <c r="E30" s="54">
        <v>0.43</v>
      </c>
      <c r="F30" s="54">
        <v>3.22</v>
      </c>
      <c r="G30" s="54">
        <v>158.04</v>
      </c>
      <c r="H30" s="54">
        <v>36.770000000000003</v>
      </c>
      <c r="I30" s="54">
        <v>1.55</v>
      </c>
      <c r="J30" s="54">
        <v>0.09</v>
      </c>
      <c r="K30" s="54">
        <v>354.94</v>
      </c>
      <c r="L30" s="54">
        <v>18.45</v>
      </c>
      <c r="M30" s="54">
        <v>81.11</v>
      </c>
      <c r="N30" s="54">
        <v>12.10</v>
      </c>
      <c r="O30" s="54">
        <v>0</v>
      </c>
      <c r="P30" s="54">
        <v>2.0499999999999998</v>
      </c>
      <c r="Q30" s="54">
        <v>13.33</v>
      </c>
      <c r="R30" s="43"/>
      <c r="S30" s="43"/>
      <c r="T30" s="43"/>
      <c r="U30" s="43"/>
    </row>
    <row r="31" spans="1:21" s="11" customFormat="1" ht="15">
      <c r="A31" s="53" t="s">
        <v>396</v>
      </c>
      <c r="B31" s="54">
        <v>93.60</v>
      </c>
      <c r="C31" s="54">
        <v>70.09</v>
      </c>
      <c r="D31" s="54">
        <v>113.97</v>
      </c>
      <c r="E31" s="54">
        <v>0.51</v>
      </c>
      <c r="F31" s="54">
        <v>3.29</v>
      </c>
      <c r="G31" s="54">
        <v>176.12</v>
      </c>
      <c r="H31" s="54">
        <v>45.30</v>
      </c>
      <c r="I31" s="54">
        <v>1.55</v>
      </c>
      <c r="J31" s="54">
        <v>0.37</v>
      </c>
      <c r="K31" s="54">
        <v>88.90</v>
      </c>
      <c r="L31" s="54">
        <v>19.420000000000002</v>
      </c>
      <c r="M31" s="54">
        <v>77.81</v>
      </c>
      <c r="N31" s="54">
        <v>11.30</v>
      </c>
      <c r="O31" s="54">
        <v>0</v>
      </c>
      <c r="P31" s="54">
        <v>2.1800000000000002</v>
      </c>
      <c r="Q31" s="54">
        <v>14.95</v>
      </c>
      <c r="R31" s="43"/>
      <c r="S31" s="43"/>
      <c r="T31" s="43"/>
      <c r="U31" s="43"/>
    </row>
    <row r="32" spans="1:21" s="11" customFormat="1" ht="15">
      <c r="A32" s="53" t="s">
        <v>397</v>
      </c>
      <c r="B32" s="54">
        <v>78.489999999999995</v>
      </c>
      <c r="C32" s="54">
        <v>69.95</v>
      </c>
      <c r="D32" s="54">
        <v>102.19</v>
      </c>
      <c r="E32" s="54">
        <v>0.45</v>
      </c>
      <c r="F32" s="54">
        <v>3.31</v>
      </c>
      <c r="G32" s="54">
        <v>157.75</v>
      </c>
      <c r="H32" s="54">
        <v>43.79</v>
      </c>
      <c r="I32" s="54">
        <v>1.56</v>
      </c>
      <c r="J32" s="54">
        <v>0.26</v>
      </c>
      <c r="K32" s="54">
        <v>94.15</v>
      </c>
      <c r="L32" s="54">
        <v>19.23</v>
      </c>
      <c r="M32" s="54">
        <v>58.25</v>
      </c>
      <c r="N32" s="54">
        <v>11.70</v>
      </c>
      <c r="O32" s="54">
        <v>0</v>
      </c>
      <c r="P32" s="54">
        <v>1.94</v>
      </c>
      <c r="Q32" s="54">
        <v>14.22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3.4300000000000002</v>
      </c>
      <c r="C34" s="28">
        <f t="shared" si="0"/>
        <v>52.270000000000003</v>
      </c>
      <c r="D34" s="28">
        <f t="shared" si="0"/>
        <v>38.869999999999997</v>
      </c>
      <c r="E34" s="28">
        <f t="shared" si="0"/>
        <v>0.01</v>
      </c>
      <c r="F34" s="28">
        <f t="shared" si="0"/>
        <v>2.9500000000000002</v>
      </c>
      <c r="G34" s="28">
        <f t="shared" si="0"/>
        <v>51.140000000000001</v>
      </c>
      <c r="H34" s="28">
        <f t="shared" si="0"/>
        <v>21.800000000000001</v>
      </c>
      <c r="I34" s="28">
        <f t="shared" si="0"/>
        <v>1.49</v>
      </c>
      <c r="J34" s="28">
        <f t="shared" si="0"/>
        <v>0.089999999999999997</v>
      </c>
      <c r="K34" s="28">
        <f t="shared" si="0"/>
        <v>88.900000000000006</v>
      </c>
      <c r="L34" s="28">
        <f t="shared" si="0"/>
        <v>14.69</v>
      </c>
      <c r="M34" s="28">
        <f t="shared" si="0"/>
        <v>29.559999999999999</v>
      </c>
      <c r="N34" s="28">
        <f t="shared" si="0"/>
        <v>11.300000000000001</v>
      </c>
      <c r="O34" s="28">
        <f t="shared" si="0"/>
        <v>0</v>
      </c>
      <c r="P34" s="28">
        <f t="shared" si="0"/>
        <v>0.67000000000000004</v>
      </c>
      <c r="Q34" s="28">
        <f t="shared" si="0"/>
        <v>7.8399999999999999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93.599999999999994</v>
      </c>
      <c r="C35" s="29">
        <f t="shared" si="1"/>
        <v>74.280000000000001</v>
      </c>
      <c r="D35" s="29">
        <f t="shared" si="1"/>
        <v>113.97</v>
      </c>
      <c r="E35" s="29">
        <f t="shared" si="1"/>
        <v>0.51000000000000001</v>
      </c>
      <c r="F35" s="29">
        <f t="shared" si="1"/>
        <v>4.7199999999999998</v>
      </c>
      <c r="G35" s="29">
        <f t="shared" si="1"/>
        <v>212.66</v>
      </c>
      <c r="H35" s="29">
        <f t="shared" si="1"/>
        <v>56.890000000000001</v>
      </c>
      <c r="I35" s="29">
        <f t="shared" si="1"/>
        <v>1.5900000000000001</v>
      </c>
      <c r="J35" s="29">
        <f t="shared" si="1"/>
        <v>1.0600000000000001</v>
      </c>
      <c r="K35" s="29">
        <f t="shared" si="1"/>
        <v>354.94</v>
      </c>
      <c r="L35" s="29">
        <f t="shared" si="1"/>
        <v>30.98</v>
      </c>
      <c r="M35" s="29">
        <f t="shared" si="1"/>
        <v>88.879999999999995</v>
      </c>
      <c r="N35" s="29">
        <f t="shared" si="1"/>
        <v>499.39999999999998</v>
      </c>
      <c r="O35" s="29">
        <f t="shared" si="1"/>
        <v>0</v>
      </c>
      <c r="P35" s="29">
        <f t="shared" si="1"/>
        <v>2.1800000000000002</v>
      </c>
      <c r="Q35" s="29">
        <f t="shared" si="1"/>
        <v>14.949999999999999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46.00333333333333</v>
      </c>
      <c r="C36" s="28">
        <f t="shared" si="2"/>
        <v>64.834999999999994</v>
      </c>
      <c r="D36" s="28">
        <f t="shared" si="2"/>
        <v>72.928333333333327</v>
      </c>
      <c r="E36" s="28">
        <f t="shared" si="2"/>
        <v>0.21749999999999994</v>
      </c>
      <c r="F36" s="28">
        <f t="shared" si="2"/>
        <v>3.5520833333333335</v>
      </c>
      <c r="G36" s="28">
        <f t="shared" si="2"/>
        <v>103.78208333333333</v>
      </c>
      <c r="H36" s="28">
        <f t="shared" si="2"/>
        <v>32.057083333333331</v>
      </c>
      <c r="I36" s="28">
        <f t="shared" si="2"/>
        <v>1.5441666666666665</v>
      </c>
      <c r="J36" s="28">
        <f t="shared" si="2"/>
        <v>0.37499999999999994</v>
      </c>
      <c r="K36" s="28">
        <f t="shared" si="2"/>
        <v>302.18458333333336</v>
      </c>
      <c r="L36" s="28">
        <f t="shared" si="2"/>
        <v>21.590416666666666</v>
      </c>
      <c r="M36" s="28">
        <f t="shared" si="2"/>
        <v>60.915416666666651</v>
      </c>
      <c r="N36" s="28">
        <f t="shared" si="2"/>
        <v>139.44583333333335</v>
      </c>
      <c r="O36" s="28">
        <f t="shared" si="2"/>
        <v>0</v>
      </c>
      <c r="P36" s="28">
        <f t="shared" si="2"/>
        <v>1.1274999999999999</v>
      </c>
      <c r="Q36" s="28">
        <f t="shared" si="2"/>
        <v>11.105833333333335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29.707486198463247</v>
      </c>
      <c r="C37" s="28">
        <f t="shared" si="3" ref="C37:Q37">STDEV(C9:C32)</f>
        <v>7.2048757645505699</v>
      </c>
      <c r="D37" s="28">
        <f t="shared" si="3"/>
        <v>22.640914996617543</v>
      </c>
      <c r="E37" s="28">
        <f t="shared" si="3"/>
        <v>0.14647302764020062</v>
      </c>
      <c r="F37" s="28">
        <f t="shared" si="3"/>
        <v>0.51325880552531389</v>
      </c>
      <c r="G37" s="28">
        <f t="shared" si="3"/>
        <v>47.998384662961527</v>
      </c>
      <c r="H37" s="28">
        <f t="shared" si="3"/>
        <v>10.421682447485734</v>
      </c>
      <c r="I37" s="28">
        <f t="shared" si="3"/>
        <v>0.023390199855395918</v>
      </c>
      <c r="J37" s="28">
        <f t="shared" si="3"/>
        <v>0.28362559521465908</v>
      </c>
      <c r="K37" s="28">
        <f t="shared" si="3"/>
        <v>80.260843448864662</v>
      </c>
      <c r="L37" s="28">
        <f t="shared" si="3"/>
        <v>5.2450427769355805</v>
      </c>
      <c r="M37" s="28">
        <f t="shared" si="3"/>
        <v>20.602849735173709</v>
      </c>
      <c r="N37" s="28">
        <f t="shared" si="3"/>
        <v>187.34692529280179</v>
      </c>
      <c r="O37" s="28">
        <f t="shared" si="3"/>
        <v>0</v>
      </c>
      <c r="P37" s="28">
        <f t="shared" si="3"/>
        <v>0.44705072175994431</v>
      </c>
      <c r="Q37" s="28">
        <f t="shared" si="3"/>
        <v>2.1761731801823361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5563ce5-12c9-49a1-8f8c-0d1aca20892a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398</v>
      </c>
      <c r="B9" s="54">
        <v>55.46</v>
      </c>
      <c r="C9" s="54">
        <v>68.14</v>
      </c>
      <c r="D9" s="54">
        <v>82.72</v>
      </c>
      <c r="E9" s="54">
        <v>0.34</v>
      </c>
      <c r="F9" s="54">
        <v>3.24</v>
      </c>
      <c r="G9" s="54">
        <v>66.83</v>
      </c>
      <c r="H9" s="54">
        <v>31.91</v>
      </c>
      <c r="I9" s="54">
        <v>1.52</v>
      </c>
      <c r="J9" s="54">
        <v>0.56999999999999995</v>
      </c>
      <c r="K9" s="54">
        <v>341.20</v>
      </c>
      <c r="L9" s="54">
        <v>18.61</v>
      </c>
      <c r="M9" s="54">
        <v>56.59</v>
      </c>
      <c r="N9" s="54">
        <v>11.90</v>
      </c>
      <c r="O9" s="54">
        <v>0</v>
      </c>
      <c r="P9" s="54">
        <v>1.57</v>
      </c>
      <c r="Q9" s="54">
        <v>12.40</v>
      </c>
      <c r="R9" s="43"/>
      <c r="S9" s="43"/>
      <c r="T9" s="43"/>
      <c r="U9" s="43"/>
    </row>
    <row r="10" spans="1:21" s="11" customFormat="1" ht="15">
      <c r="A10" s="53" t="s">
        <v>399</v>
      </c>
      <c r="B10" s="54">
        <v>37.049999999999997</v>
      </c>
      <c r="C10" s="54">
        <v>64.540000000000006</v>
      </c>
      <c r="D10" s="54">
        <v>65.98</v>
      </c>
      <c r="E10" s="54">
        <v>0.30</v>
      </c>
      <c r="F10" s="54">
        <v>3.25</v>
      </c>
      <c r="G10" s="54">
        <v>70.64</v>
      </c>
      <c r="H10" s="54">
        <v>15.14</v>
      </c>
      <c r="I10" s="54">
        <v>1.55</v>
      </c>
      <c r="J10" s="54">
        <v>0.38</v>
      </c>
      <c r="K10" s="54">
        <v>342.73</v>
      </c>
      <c r="L10" s="54">
        <v>17.809999999999999</v>
      </c>
      <c r="M10" s="54">
        <v>58.25</v>
      </c>
      <c r="N10" s="54">
        <v>11.90</v>
      </c>
      <c r="O10" s="54">
        <v>0</v>
      </c>
      <c r="P10" s="54">
        <v>1.17</v>
      </c>
      <c r="Q10" s="54">
        <v>10.69</v>
      </c>
      <c r="R10" s="43"/>
      <c r="S10" s="43"/>
      <c r="T10" s="43"/>
      <c r="U10" s="43"/>
    </row>
    <row r="11" spans="1:21" s="11" customFormat="1" ht="15">
      <c r="A11" s="53" t="s">
        <v>400</v>
      </c>
      <c r="B11" s="54">
        <v>25.28</v>
      </c>
      <c r="C11" s="54">
        <v>60.99</v>
      </c>
      <c r="D11" s="54">
        <v>54.58</v>
      </c>
      <c r="E11" s="54">
        <v>0.31</v>
      </c>
      <c r="F11" s="54">
        <v>3.33</v>
      </c>
      <c r="G11" s="54">
        <v>68.03</v>
      </c>
      <c r="H11" s="54">
        <v>27.09</v>
      </c>
      <c r="I11" s="54">
        <v>1.52</v>
      </c>
      <c r="J11" s="54">
        <v>1.06</v>
      </c>
      <c r="K11" s="54">
        <v>106.03</v>
      </c>
      <c r="L11" s="54">
        <v>17.760000000000002</v>
      </c>
      <c r="M11" s="54">
        <v>52.47</v>
      </c>
      <c r="N11" s="54">
        <v>12.20</v>
      </c>
      <c r="O11" s="54">
        <v>0</v>
      </c>
      <c r="P11" s="54">
        <v>1.02</v>
      </c>
      <c r="Q11" s="54">
        <v>9.68</v>
      </c>
      <c r="R11" s="43"/>
      <c r="S11" s="43"/>
      <c r="T11" s="43"/>
      <c r="U11" s="43"/>
    </row>
    <row r="12" spans="1:21" s="11" customFormat="1" ht="15">
      <c r="A12" s="53" t="s">
        <v>401</v>
      </c>
      <c r="B12" s="54">
        <v>17.16</v>
      </c>
      <c r="C12" s="54">
        <v>57.47</v>
      </c>
      <c r="D12" s="54">
        <v>46.12</v>
      </c>
      <c r="E12" s="54">
        <v>0.25</v>
      </c>
      <c r="F12" s="54">
        <v>3.59</v>
      </c>
      <c r="G12" s="54">
        <v>51.63</v>
      </c>
      <c r="H12" s="54">
        <v>23.97</v>
      </c>
      <c r="I12" s="54">
        <v>1.53</v>
      </c>
      <c r="J12" s="54">
        <v>1.04</v>
      </c>
      <c r="K12" s="54">
        <v>113.75</v>
      </c>
      <c r="L12" s="54">
        <v>17.29</v>
      </c>
      <c r="M12" s="54">
        <v>51.54</v>
      </c>
      <c r="N12" s="54">
        <v>12.40</v>
      </c>
      <c r="O12" s="54">
        <v>0</v>
      </c>
      <c r="P12" s="54">
        <v>0.83</v>
      </c>
      <c r="Q12" s="54">
        <v>8.93</v>
      </c>
      <c r="R12" s="43"/>
      <c r="S12" s="43"/>
      <c r="T12" s="43"/>
      <c r="U12" s="43"/>
    </row>
    <row r="13" spans="1:21" s="11" customFormat="1" ht="15">
      <c r="A13" s="53" t="s">
        <v>402</v>
      </c>
      <c r="B13" s="54">
        <v>11.74</v>
      </c>
      <c r="C13" s="54">
        <v>54.65</v>
      </c>
      <c r="D13" s="54">
        <v>40.22</v>
      </c>
      <c r="E13" s="54">
        <v>0.20</v>
      </c>
      <c r="F13" s="54">
        <v>3.57</v>
      </c>
      <c r="G13" s="54">
        <v>37.44</v>
      </c>
      <c r="H13" s="54">
        <v>38.799999999999997</v>
      </c>
      <c r="I13" s="54">
        <v>1.51</v>
      </c>
      <c r="J13" s="54">
        <v>0.72</v>
      </c>
      <c r="K13" s="54">
        <v>102.01</v>
      </c>
      <c r="L13" s="54">
        <v>16.72</v>
      </c>
      <c r="M13" s="54">
        <v>50.60</v>
      </c>
      <c r="N13" s="54">
        <v>12.5</v>
      </c>
      <c r="O13" s="54">
        <v>0</v>
      </c>
      <c r="P13" s="54">
        <v>0.67</v>
      </c>
      <c r="Q13" s="54">
        <v>8.34</v>
      </c>
      <c r="R13" s="43"/>
      <c r="S13" s="43"/>
      <c r="T13" s="43"/>
      <c r="U13" s="43"/>
    </row>
    <row r="14" spans="1:21" s="11" customFormat="1" ht="15">
      <c r="A14" s="53" t="s">
        <v>403</v>
      </c>
      <c r="B14" s="54">
        <v>7.83</v>
      </c>
      <c r="C14" s="54">
        <v>52.09</v>
      </c>
      <c r="D14" s="54">
        <v>35.67</v>
      </c>
      <c r="E14" s="54">
        <v>0.17</v>
      </c>
      <c r="F14" s="54">
        <v>3.60</v>
      </c>
      <c r="G14" s="54">
        <v>52.48</v>
      </c>
      <c r="H14" s="54">
        <v>35.5</v>
      </c>
      <c r="I14" s="54">
        <v>1.52</v>
      </c>
      <c r="J14" s="54">
        <v>0.30</v>
      </c>
      <c r="K14" s="54">
        <v>93.44</v>
      </c>
      <c r="L14" s="54">
        <v>16.25</v>
      </c>
      <c r="M14" s="54">
        <v>48.67</v>
      </c>
      <c r="N14" s="54">
        <v>12</v>
      </c>
      <c r="O14" s="54">
        <v>0</v>
      </c>
      <c r="P14" s="54">
        <v>0.56000000000000005</v>
      </c>
      <c r="Q14" s="54">
        <v>7.71</v>
      </c>
      <c r="R14" s="43"/>
      <c r="S14" s="43"/>
      <c r="T14" s="43"/>
      <c r="U14" s="43"/>
    </row>
    <row r="15" spans="1:21" s="11" customFormat="1" ht="15">
      <c r="A15" s="53" t="s">
        <v>404</v>
      </c>
      <c r="B15" s="54">
        <v>9.10</v>
      </c>
      <c r="C15" s="54">
        <v>52.5</v>
      </c>
      <c r="D15" s="54">
        <v>36.92</v>
      </c>
      <c r="E15" s="54">
        <v>0.11</v>
      </c>
      <c r="F15" s="54">
        <v>3.51</v>
      </c>
      <c r="G15" s="54">
        <v>59.62</v>
      </c>
      <c r="H15" s="54">
        <v>21.93</v>
      </c>
      <c r="I15" s="54">
        <v>1.52</v>
      </c>
      <c r="J15" s="54">
        <v>0.59</v>
      </c>
      <c r="K15" s="54">
        <v>103.16</v>
      </c>
      <c r="L15" s="54">
        <v>15.91</v>
      </c>
      <c r="M15" s="54">
        <v>49.55</v>
      </c>
      <c r="N15" s="54">
        <v>25.80</v>
      </c>
      <c r="O15" s="54">
        <v>0</v>
      </c>
      <c r="P15" s="54">
        <v>0.49</v>
      </c>
      <c r="Q15" s="54">
        <v>9.9700000000000006</v>
      </c>
      <c r="R15" s="43"/>
      <c r="S15" s="43"/>
      <c r="T15" s="43"/>
      <c r="U15" s="43"/>
    </row>
    <row r="16" spans="1:21" s="11" customFormat="1" ht="15">
      <c r="A16" s="53" t="s">
        <v>405</v>
      </c>
      <c r="B16" s="54">
        <v>11.42</v>
      </c>
      <c r="C16" s="54">
        <v>53.73</v>
      </c>
      <c r="D16" s="54">
        <v>39.450000000000003</v>
      </c>
      <c r="E16" s="54">
        <v>0.09</v>
      </c>
      <c r="F16" s="54">
        <v>3.53</v>
      </c>
      <c r="G16" s="54">
        <v>57.63</v>
      </c>
      <c r="H16" s="54">
        <v>17.190000000000001</v>
      </c>
      <c r="I16" s="54">
        <v>1.55</v>
      </c>
      <c r="J16" s="54">
        <v>0.27</v>
      </c>
      <c r="K16" s="54">
        <v>98.65</v>
      </c>
      <c r="L16" s="54">
        <v>17.16</v>
      </c>
      <c r="M16" s="54">
        <v>49.57</v>
      </c>
      <c r="N16" s="54">
        <v>110.20</v>
      </c>
      <c r="O16" s="54">
        <v>0</v>
      </c>
      <c r="P16" s="54">
        <v>0.51</v>
      </c>
      <c r="Q16" s="54">
        <v>14.41</v>
      </c>
      <c r="R16" s="43"/>
      <c r="S16" s="43"/>
      <c r="T16" s="43"/>
      <c r="U16" s="43"/>
    </row>
    <row r="17" spans="1:21" s="11" customFormat="1" ht="15">
      <c r="A17" s="53" t="s">
        <v>406</v>
      </c>
      <c r="B17" s="54">
        <v>12.74</v>
      </c>
      <c r="C17" s="54">
        <v>54.45</v>
      </c>
      <c r="D17" s="54">
        <v>40.909999999999997</v>
      </c>
      <c r="E17" s="54">
        <v>0.21</v>
      </c>
      <c r="F17" s="54">
        <v>3.64</v>
      </c>
      <c r="G17" s="54">
        <v>77.53</v>
      </c>
      <c r="H17" s="54">
        <v>18.21</v>
      </c>
      <c r="I17" s="54">
        <v>1.54</v>
      </c>
      <c r="J17" s="54">
        <v>1.27</v>
      </c>
      <c r="K17" s="54">
        <v>112.69</v>
      </c>
      <c r="L17" s="54">
        <v>19.68</v>
      </c>
      <c r="M17" s="54">
        <v>45.45</v>
      </c>
      <c r="N17" s="54">
        <v>286.70</v>
      </c>
      <c r="O17" s="54">
        <v>0</v>
      </c>
      <c r="P17" s="54">
        <v>0.53</v>
      </c>
      <c r="Q17" s="54">
        <v>14.25</v>
      </c>
      <c r="R17" s="43"/>
      <c r="S17" s="43"/>
      <c r="T17" s="43"/>
      <c r="U17" s="43"/>
    </row>
    <row r="18" spans="1:21" s="11" customFormat="1" ht="15">
      <c r="A18" s="53" t="s">
        <v>407</v>
      </c>
      <c r="B18" s="55" t="s">
        <v>12</v>
      </c>
      <c r="C18" s="55" t="s">
        <v>12</v>
      </c>
      <c r="D18" s="55" t="s">
        <v>12</v>
      </c>
      <c r="E18" s="54">
        <v>0.27</v>
      </c>
      <c r="F18" s="54">
        <v>3.49</v>
      </c>
      <c r="G18" s="54">
        <v>73.77</v>
      </c>
      <c r="H18" s="54">
        <v>18.05</v>
      </c>
      <c r="I18" s="54">
        <v>1.54</v>
      </c>
      <c r="J18" s="54">
        <v>1.1599999999999999</v>
      </c>
      <c r="K18" s="54">
        <v>110.09</v>
      </c>
      <c r="L18" s="54">
        <v>21.92</v>
      </c>
      <c r="M18" s="54">
        <v>40.07</v>
      </c>
      <c r="N18" s="54">
        <v>331.5</v>
      </c>
      <c r="O18" s="54">
        <v>0</v>
      </c>
      <c r="P18" s="54">
        <v>0.5</v>
      </c>
      <c r="Q18" s="54">
        <v>6.93</v>
      </c>
      <c r="R18" s="43"/>
      <c r="S18" s="43"/>
      <c r="T18" s="43"/>
      <c r="U18" s="43"/>
    </row>
    <row r="19" spans="1:21" s="11" customFormat="1" ht="15">
      <c r="A19" s="53" t="s">
        <v>408</v>
      </c>
      <c r="B19" s="55" t="s">
        <v>12</v>
      </c>
      <c r="C19" s="55" t="s">
        <v>12</v>
      </c>
      <c r="D19" s="55" t="s">
        <v>12</v>
      </c>
      <c r="E19" s="54">
        <v>0.62</v>
      </c>
      <c r="F19" s="54">
        <v>7.60</v>
      </c>
      <c r="G19" s="54">
        <v>64.930000000000007</v>
      </c>
      <c r="H19" s="54">
        <v>18.52</v>
      </c>
      <c r="I19" s="54">
        <v>1.54</v>
      </c>
      <c r="J19" s="54">
        <v>0.87</v>
      </c>
      <c r="K19" s="54">
        <v>343.38</v>
      </c>
      <c r="L19" s="54">
        <v>23.62</v>
      </c>
      <c r="M19" s="54">
        <v>32.549999999999997</v>
      </c>
      <c r="N19" s="54">
        <v>397.70</v>
      </c>
      <c r="O19" s="54">
        <v>0</v>
      </c>
      <c r="P19" s="54">
        <v>0.5</v>
      </c>
      <c r="Q19" s="54">
        <v>7.94</v>
      </c>
      <c r="R19" s="43"/>
      <c r="S19" s="43"/>
      <c r="T19" s="43"/>
      <c r="U19" s="43"/>
    </row>
    <row r="20" spans="1:21" s="11" customFormat="1" ht="15">
      <c r="A20" s="53" t="s">
        <v>409</v>
      </c>
      <c r="B20" s="54">
        <v>5.48</v>
      </c>
      <c r="C20" s="54">
        <v>69.13</v>
      </c>
      <c r="D20" s="54">
        <v>42.69</v>
      </c>
      <c r="E20" s="18" t="s">
        <v>12</v>
      </c>
      <c r="F20" s="54">
        <v>9.40</v>
      </c>
      <c r="G20" s="55" t="s">
        <v>12</v>
      </c>
      <c r="H20" s="55" t="s">
        <v>12</v>
      </c>
      <c r="I20" s="54">
        <v>1.53</v>
      </c>
      <c r="J20" s="54">
        <v>1.37</v>
      </c>
      <c r="K20" s="54">
        <v>344.13</v>
      </c>
      <c r="L20" s="54">
        <v>27.01</v>
      </c>
      <c r="M20" s="54">
        <v>30.12</v>
      </c>
      <c r="N20" s="54">
        <v>489.5</v>
      </c>
      <c r="O20" s="54">
        <v>0</v>
      </c>
      <c r="P20" s="54">
        <v>0.45</v>
      </c>
      <c r="Q20" s="54">
        <v>8.3000000000000007</v>
      </c>
      <c r="R20" s="43"/>
      <c r="S20" s="43"/>
      <c r="T20" s="43"/>
      <c r="U20" s="43"/>
    </row>
    <row r="21" spans="1:21" s="11" customFormat="1" ht="15">
      <c r="A21" s="53" t="s">
        <v>410</v>
      </c>
      <c r="B21" s="54">
        <v>7.53</v>
      </c>
      <c r="C21" s="54">
        <v>73.84</v>
      </c>
      <c r="D21" s="54">
        <v>45.36</v>
      </c>
      <c r="E21" s="54">
        <v>6.93</v>
      </c>
      <c r="F21" s="54">
        <v>6.87</v>
      </c>
      <c r="G21" s="55" t="s">
        <v>12</v>
      </c>
      <c r="H21" s="55" t="s">
        <v>12</v>
      </c>
      <c r="I21" s="54">
        <v>1.52</v>
      </c>
      <c r="J21" s="54">
        <v>1.49</v>
      </c>
      <c r="K21" s="54">
        <v>342.05</v>
      </c>
      <c r="L21" s="54">
        <v>27.98</v>
      </c>
      <c r="M21" s="54">
        <v>27.72</v>
      </c>
      <c r="N21" s="54">
        <v>458.90</v>
      </c>
      <c r="O21" s="54">
        <v>0</v>
      </c>
      <c r="P21" s="54">
        <v>0.49</v>
      </c>
      <c r="Q21" s="54">
        <v>9.06</v>
      </c>
      <c r="R21" s="43"/>
      <c r="S21" s="43"/>
      <c r="T21" s="43"/>
      <c r="U21" s="43"/>
    </row>
    <row r="22" spans="1:21" s="11" customFormat="1" ht="15">
      <c r="A22" s="53" t="s">
        <v>411</v>
      </c>
      <c r="B22" s="54">
        <v>5.68</v>
      </c>
      <c r="C22" s="54">
        <v>76.77</v>
      </c>
      <c r="D22" s="54">
        <v>47.28</v>
      </c>
      <c r="E22" s="54">
        <v>0.79</v>
      </c>
      <c r="F22" s="54">
        <v>5.31</v>
      </c>
      <c r="G22" s="54">
        <v>70.760000000000005</v>
      </c>
      <c r="H22" s="54">
        <v>24.56</v>
      </c>
      <c r="I22" s="54">
        <v>1.58</v>
      </c>
      <c r="J22" s="54">
        <v>1.05</v>
      </c>
      <c r="K22" s="54">
        <v>359.73</v>
      </c>
      <c r="L22" s="54">
        <v>28.67</v>
      </c>
      <c r="M22" s="54">
        <v>28.51</v>
      </c>
      <c r="N22" s="54">
        <v>429.5</v>
      </c>
      <c r="O22" s="54">
        <v>0</v>
      </c>
      <c r="P22" s="54">
        <v>0.56999999999999995</v>
      </c>
      <c r="Q22" s="54">
        <v>9.10</v>
      </c>
      <c r="R22" s="43"/>
      <c r="S22" s="43"/>
      <c r="T22" s="43"/>
      <c r="U22" s="43"/>
    </row>
    <row r="23" spans="1:21" s="11" customFormat="1" ht="15">
      <c r="A23" s="53" t="s">
        <v>412</v>
      </c>
      <c r="B23" s="54">
        <v>6.37</v>
      </c>
      <c r="C23" s="54">
        <v>71.55</v>
      </c>
      <c r="D23" s="54">
        <v>45</v>
      </c>
      <c r="E23" s="54">
        <v>0.41</v>
      </c>
      <c r="F23" s="54">
        <v>4.08</v>
      </c>
      <c r="G23" s="54">
        <v>70.760000000000005</v>
      </c>
      <c r="H23" s="54">
        <v>24.56</v>
      </c>
      <c r="I23" s="54">
        <v>1.52</v>
      </c>
      <c r="J23" s="54">
        <v>0.56000000000000005</v>
      </c>
      <c r="K23" s="54">
        <v>340.68</v>
      </c>
      <c r="L23" s="54">
        <v>27.99</v>
      </c>
      <c r="M23" s="54">
        <v>32.200000000000003</v>
      </c>
      <c r="N23" s="54">
        <v>359</v>
      </c>
      <c r="O23" s="54">
        <v>0</v>
      </c>
      <c r="P23" s="54">
        <v>0.62</v>
      </c>
      <c r="Q23" s="54">
        <v>9.27</v>
      </c>
      <c r="R23" s="43"/>
      <c r="S23" s="43"/>
      <c r="T23" s="43"/>
      <c r="U23" s="43"/>
    </row>
    <row r="24" spans="1:21" s="11" customFormat="1" ht="15">
      <c r="A24" s="53" t="s">
        <v>413</v>
      </c>
      <c r="B24" s="54">
        <v>6.07</v>
      </c>
      <c r="C24" s="54">
        <v>73.27</v>
      </c>
      <c r="D24" s="54">
        <v>44.94</v>
      </c>
      <c r="E24" s="54">
        <v>0.44</v>
      </c>
      <c r="F24" s="54">
        <v>4.6900000000000004</v>
      </c>
      <c r="G24" s="54">
        <v>61.72</v>
      </c>
      <c r="H24" s="54">
        <v>22.28</v>
      </c>
      <c r="I24" s="54">
        <v>1.53</v>
      </c>
      <c r="J24" s="54">
        <v>0.39</v>
      </c>
      <c r="K24" s="54">
        <v>334.14</v>
      </c>
      <c r="L24" s="54">
        <v>25.94</v>
      </c>
      <c r="M24" s="54">
        <v>34.450000000000003</v>
      </c>
      <c r="N24" s="54">
        <v>97.80</v>
      </c>
      <c r="O24" s="54">
        <v>0</v>
      </c>
      <c r="P24" s="54">
        <v>0.62</v>
      </c>
      <c r="Q24" s="54">
        <v>9.40</v>
      </c>
      <c r="R24" s="43"/>
      <c r="S24" s="43"/>
      <c r="T24" s="43"/>
      <c r="U24" s="43"/>
    </row>
    <row r="25" spans="1:21" s="11" customFormat="1" ht="15">
      <c r="A25" s="53" t="s">
        <v>414</v>
      </c>
      <c r="B25" s="54">
        <v>8.23</v>
      </c>
      <c r="C25" s="54">
        <v>83.08</v>
      </c>
      <c r="D25" s="54">
        <v>53.09</v>
      </c>
      <c r="E25" s="54">
        <v>0.75</v>
      </c>
      <c r="F25" s="54">
        <v>4.63</v>
      </c>
      <c r="G25" s="54">
        <v>61.63</v>
      </c>
      <c r="H25" s="54">
        <v>22.76</v>
      </c>
      <c r="I25" s="54">
        <v>1.53</v>
      </c>
      <c r="J25" s="54">
        <v>1.48</v>
      </c>
      <c r="K25" s="54">
        <v>346.5</v>
      </c>
      <c r="L25" s="54">
        <v>23.91</v>
      </c>
      <c r="M25" s="54">
        <v>37.99</v>
      </c>
      <c r="N25" s="54">
        <v>56.90</v>
      </c>
      <c r="O25" s="54">
        <v>0</v>
      </c>
      <c r="P25" s="54">
        <v>0.77</v>
      </c>
      <c r="Q25" s="54">
        <v>9.15</v>
      </c>
      <c r="R25" s="43"/>
      <c r="S25" s="43"/>
      <c r="T25" s="43"/>
      <c r="U25" s="43"/>
    </row>
    <row r="26" spans="1:21" s="11" customFormat="1" ht="15">
      <c r="A26" s="53" t="s">
        <v>415</v>
      </c>
      <c r="B26" s="54">
        <v>7.89</v>
      </c>
      <c r="C26" s="54">
        <v>86.63</v>
      </c>
      <c r="D26" s="54">
        <v>54.21</v>
      </c>
      <c r="E26" s="54">
        <v>0.56999999999999995</v>
      </c>
      <c r="F26" s="54">
        <v>4.43</v>
      </c>
      <c r="G26" s="54">
        <v>141.88999999999999</v>
      </c>
      <c r="H26" s="54">
        <v>25.77</v>
      </c>
      <c r="I26" s="54">
        <v>1.52</v>
      </c>
      <c r="J26" s="54">
        <v>1.29</v>
      </c>
      <c r="K26" s="54">
        <v>346.76</v>
      </c>
      <c r="L26" s="54">
        <v>22.69</v>
      </c>
      <c r="M26" s="54">
        <v>55.92</v>
      </c>
      <c r="N26" s="54">
        <v>24.30</v>
      </c>
      <c r="O26" s="54">
        <v>0</v>
      </c>
      <c r="P26" s="54">
        <v>0.86</v>
      </c>
      <c r="Q26" s="54">
        <v>9.5500000000000007</v>
      </c>
      <c r="R26" s="43"/>
      <c r="S26" s="43"/>
      <c r="T26" s="43"/>
      <c r="U26" s="43"/>
    </row>
    <row r="27" spans="1:21" s="11" customFormat="1" ht="15">
      <c r="A27" s="53" t="s">
        <v>416</v>
      </c>
      <c r="B27" s="54">
        <v>13.91</v>
      </c>
      <c r="C27" s="54">
        <v>84.23</v>
      </c>
      <c r="D27" s="54">
        <v>56.60</v>
      </c>
      <c r="E27" s="54">
        <v>0.44</v>
      </c>
      <c r="F27" s="54">
        <v>3.42</v>
      </c>
      <c r="G27" s="54">
        <v>141.88999999999999</v>
      </c>
      <c r="H27" s="54">
        <v>29.10</v>
      </c>
      <c r="I27" s="54">
        <v>1.53</v>
      </c>
      <c r="J27" s="54">
        <v>0.39</v>
      </c>
      <c r="K27" s="54">
        <v>350.33</v>
      </c>
      <c r="L27" s="54">
        <v>20.51</v>
      </c>
      <c r="M27" s="54">
        <v>56.07</v>
      </c>
      <c r="N27" s="54">
        <v>12.20</v>
      </c>
      <c r="O27" s="54">
        <v>0</v>
      </c>
      <c r="P27" s="54">
        <v>1.03</v>
      </c>
      <c r="Q27" s="54">
        <v>9.68</v>
      </c>
      <c r="R27" s="43"/>
      <c r="S27" s="43"/>
      <c r="T27" s="43"/>
      <c r="U27" s="43"/>
    </row>
    <row r="28" spans="1:21" s="11" customFormat="1" ht="15">
      <c r="A28" s="53" t="s">
        <v>417</v>
      </c>
      <c r="B28" s="54">
        <v>19.559999999999999</v>
      </c>
      <c r="C28" s="54">
        <v>81.430000000000007</v>
      </c>
      <c r="D28" s="54">
        <v>60.70</v>
      </c>
      <c r="E28" s="54">
        <v>0.41</v>
      </c>
      <c r="F28" s="54">
        <v>3.28</v>
      </c>
      <c r="G28" s="54">
        <v>123.16</v>
      </c>
      <c r="H28" s="54">
        <v>32.75</v>
      </c>
      <c r="I28" s="54">
        <v>1.51</v>
      </c>
      <c r="J28" s="54">
        <v>0.20</v>
      </c>
      <c r="K28" s="54">
        <v>355.47</v>
      </c>
      <c r="L28" s="54">
        <v>19.739999999999998</v>
      </c>
      <c r="M28" s="54">
        <v>55.09</v>
      </c>
      <c r="N28" s="54">
        <v>12.30</v>
      </c>
      <c r="O28" s="54">
        <v>0</v>
      </c>
      <c r="P28" s="54">
        <v>1.19</v>
      </c>
      <c r="Q28" s="54">
        <v>9.8699999999999992</v>
      </c>
      <c r="R28" s="43"/>
      <c r="S28" s="43"/>
      <c r="T28" s="43"/>
      <c r="U28" s="43"/>
    </row>
    <row r="29" spans="1:21" s="11" customFormat="1" ht="15">
      <c r="A29" s="53" t="s">
        <v>418</v>
      </c>
      <c r="B29" s="54">
        <v>34.43</v>
      </c>
      <c r="C29" s="54">
        <v>79.83</v>
      </c>
      <c r="D29" s="54">
        <v>71.12</v>
      </c>
      <c r="E29" s="54">
        <v>0.13</v>
      </c>
      <c r="F29" s="54">
        <v>3.29</v>
      </c>
      <c r="G29" s="54">
        <v>123.16</v>
      </c>
      <c r="H29" s="54">
        <v>34.72</v>
      </c>
      <c r="I29" s="54">
        <v>1.55</v>
      </c>
      <c r="J29" s="54">
        <v>0.20</v>
      </c>
      <c r="K29" s="54">
        <v>351.90</v>
      </c>
      <c r="L29" s="54">
        <v>19.059999999999999</v>
      </c>
      <c r="M29" s="54">
        <v>62.22</v>
      </c>
      <c r="N29" s="54">
        <v>12.30</v>
      </c>
      <c r="O29" s="54">
        <v>0</v>
      </c>
      <c r="P29" s="54">
        <v>1.52</v>
      </c>
      <c r="Q29" s="54">
        <v>10.220000000000001</v>
      </c>
      <c r="R29" s="43"/>
      <c r="S29" s="43"/>
      <c r="T29" s="43"/>
      <c r="U29" s="43"/>
    </row>
    <row r="30" spans="1:21" s="11" customFormat="1" ht="15">
      <c r="A30" s="53" t="s">
        <v>419</v>
      </c>
      <c r="B30" s="54">
        <v>49.10</v>
      </c>
      <c r="C30" s="54">
        <v>77.03</v>
      </c>
      <c r="D30" s="54">
        <v>81.81</v>
      </c>
      <c r="E30" s="54">
        <v>0.20</v>
      </c>
      <c r="F30" s="54">
        <v>3.13</v>
      </c>
      <c r="G30" s="54">
        <v>142.84</v>
      </c>
      <c r="H30" s="54">
        <v>38.14</v>
      </c>
      <c r="I30" s="54">
        <v>1.58</v>
      </c>
      <c r="J30" s="54">
        <v>0.26</v>
      </c>
      <c r="K30" s="54">
        <v>341.14</v>
      </c>
      <c r="L30" s="54">
        <v>17.760000000000002</v>
      </c>
      <c r="M30" s="54">
        <v>66.209999999999994</v>
      </c>
      <c r="N30" s="54">
        <v>12.20</v>
      </c>
      <c r="O30" s="54">
        <v>0</v>
      </c>
      <c r="P30" s="54">
        <v>1.74</v>
      </c>
      <c r="Q30" s="54">
        <v>11.43</v>
      </c>
      <c r="R30" s="43"/>
      <c r="S30" s="43"/>
      <c r="T30" s="43"/>
      <c r="U30" s="43"/>
    </row>
    <row r="31" spans="1:21" s="11" customFormat="1" ht="15">
      <c r="A31" s="53" t="s">
        <v>420</v>
      </c>
      <c r="B31" s="54">
        <v>55.84</v>
      </c>
      <c r="C31" s="54">
        <v>75.22</v>
      </c>
      <c r="D31" s="54">
        <v>85.23</v>
      </c>
      <c r="E31" s="54">
        <v>0.23</v>
      </c>
      <c r="F31" s="54">
        <v>3.28</v>
      </c>
      <c r="G31" s="54">
        <v>142.84</v>
      </c>
      <c r="H31" s="54">
        <v>38.14</v>
      </c>
      <c r="I31" s="54">
        <v>1.54</v>
      </c>
      <c r="J31" s="54">
        <v>0.12</v>
      </c>
      <c r="K31" s="54">
        <v>267.33</v>
      </c>
      <c r="L31" s="54">
        <v>16.920000000000002</v>
      </c>
      <c r="M31" s="54">
        <v>70.819999999999993</v>
      </c>
      <c r="N31" s="54">
        <v>12.20</v>
      </c>
      <c r="O31" s="54">
        <v>0</v>
      </c>
      <c r="P31" s="54">
        <v>1.80</v>
      </c>
      <c r="Q31" s="54">
        <v>11.93</v>
      </c>
      <c r="R31" s="43"/>
      <c r="S31" s="43"/>
      <c r="T31" s="43"/>
      <c r="U31" s="43"/>
    </row>
    <row r="32" spans="1:21" s="11" customFormat="1" ht="15">
      <c r="A32" s="53" t="s">
        <v>421</v>
      </c>
      <c r="B32" s="54">
        <v>60.07</v>
      </c>
      <c r="C32" s="54">
        <v>71.48</v>
      </c>
      <c r="D32" s="54">
        <v>87.08</v>
      </c>
      <c r="E32" s="54">
        <v>0.19</v>
      </c>
      <c r="F32" s="54">
        <v>3.34</v>
      </c>
      <c r="G32" s="54">
        <v>116.21</v>
      </c>
      <c r="H32" s="54">
        <v>36.159999999999997</v>
      </c>
      <c r="I32" s="54">
        <v>1.55</v>
      </c>
      <c r="J32" s="54">
        <v>0.42</v>
      </c>
      <c r="K32" s="54">
        <v>349.24</v>
      </c>
      <c r="L32" s="54">
        <v>16.61</v>
      </c>
      <c r="M32" s="54">
        <v>77.75</v>
      </c>
      <c r="N32" s="54">
        <v>12.20</v>
      </c>
      <c r="O32" s="54">
        <v>0</v>
      </c>
      <c r="P32" s="54">
        <v>1.79</v>
      </c>
      <c r="Q32" s="54">
        <v>12.41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5.4800000000000004</v>
      </c>
      <c r="C34" s="28">
        <f t="shared" si="0"/>
        <v>52.090000000000003</v>
      </c>
      <c r="D34" s="28">
        <f t="shared" si="0"/>
        <v>35.670000000000002</v>
      </c>
      <c r="E34" s="28">
        <f t="shared" si="0"/>
        <v>0.089999999999999997</v>
      </c>
      <c r="F34" s="28">
        <f t="shared" si="0"/>
        <v>3.1299999999999999</v>
      </c>
      <c r="G34" s="28">
        <f t="shared" si="0"/>
        <v>37.439999999999998</v>
      </c>
      <c r="H34" s="28">
        <f t="shared" si="0"/>
        <v>15.140000000000001</v>
      </c>
      <c r="I34" s="28">
        <f t="shared" si="0"/>
        <v>1.51</v>
      </c>
      <c r="J34" s="28">
        <f t="shared" si="0"/>
        <v>0.12</v>
      </c>
      <c r="K34" s="28">
        <f t="shared" si="0"/>
        <v>93.439999999999998</v>
      </c>
      <c r="L34" s="28">
        <f t="shared" si="0"/>
        <v>15.91</v>
      </c>
      <c r="M34" s="28">
        <f t="shared" si="0"/>
        <v>27.719999999999999</v>
      </c>
      <c r="N34" s="28">
        <f t="shared" si="0"/>
        <v>11.9</v>
      </c>
      <c r="O34" s="28">
        <f t="shared" si="0"/>
        <v>0</v>
      </c>
      <c r="P34" s="28">
        <f t="shared" si="0"/>
        <v>0.45000000000000001</v>
      </c>
      <c r="Q34" s="28">
        <f t="shared" si="0"/>
        <v>6.9299999999999997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60.07</v>
      </c>
      <c r="C35" s="29">
        <f t="shared" si="1"/>
        <v>86.629999999999995</v>
      </c>
      <c r="D35" s="29">
        <f t="shared" si="1"/>
        <v>87.079999999999998</v>
      </c>
      <c r="E35" s="29">
        <f t="shared" si="1"/>
        <v>6.9299999999999997</v>
      </c>
      <c r="F35" s="29">
        <f t="shared" si="1"/>
        <v>9.4000000000000004</v>
      </c>
      <c r="G35" s="29">
        <f t="shared" si="1"/>
        <v>142.84</v>
      </c>
      <c r="H35" s="29">
        <f t="shared" si="1"/>
        <v>38.799999999999997</v>
      </c>
      <c r="I35" s="29">
        <f t="shared" si="1"/>
        <v>1.5800000000000001</v>
      </c>
      <c r="J35" s="29">
        <f t="shared" si="1"/>
        <v>1.49</v>
      </c>
      <c r="K35" s="29">
        <f t="shared" si="1"/>
        <v>359.73000000000002</v>
      </c>
      <c r="L35" s="29">
        <f t="shared" si="1"/>
        <v>28.670000000000002</v>
      </c>
      <c r="M35" s="29">
        <f t="shared" si="1"/>
        <v>77.75</v>
      </c>
      <c r="N35" s="29">
        <f t="shared" si="1"/>
        <v>489.5</v>
      </c>
      <c r="O35" s="29">
        <f t="shared" si="1"/>
        <v>0</v>
      </c>
      <c r="P35" s="29">
        <f t="shared" si="1"/>
        <v>1.8</v>
      </c>
      <c r="Q35" s="29">
        <f t="shared" si="1"/>
        <v>14.41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21.27</v>
      </c>
      <c r="C36" s="28">
        <f t="shared" si="2"/>
        <v>69.184090909090912</v>
      </c>
      <c r="D36" s="28">
        <f t="shared" si="2"/>
        <v>55.349090909090911</v>
      </c>
      <c r="E36" s="28">
        <f t="shared" si="2"/>
        <v>0.62434782608695649</v>
      </c>
      <c r="F36" s="28">
        <f t="shared" si="2"/>
        <v>4.229166666666667</v>
      </c>
      <c r="G36" s="28">
        <f t="shared" si="2"/>
        <v>85.335909090909084</v>
      </c>
      <c r="H36" s="28">
        <f t="shared" si="2"/>
        <v>27.056818181818183</v>
      </c>
      <c r="I36" s="28">
        <f t="shared" si="2"/>
        <v>1.5345833333333332</v>
      </c>
      <c r="J36" s="28">
        <f t="shared" si="2"/>
        <v>0.72708333333333341</v>
      </c>
      <c r="K36" s="28">
        <f t="shared" si="2"/>
        <v>262.35541666666666</v>
      </c>
      <c r="L36" s="28">
        <f t="shared" si="2"/>
        <v>20.730000000000004</v>
      </c>
      <c r="M36" s="28">
        <f t="shared" si="2"/>
        <v>48.76583333333334</v>
      </c>
      <c r="N36" s="28">
        <f t="shared" si="2"/>
        <v>133.92083333333332</v>
      </c>
      <c r="O36" s="28">
        <f t="shared" si="2"/>
        <v>0</v>
      </c>
      <c r="P36" s="28">
        <f t="shared" si="2"/>
        <v>0.90833333333333321</v>
      </c>
      <c r="Q36" s="28">
        <f t="shared" si="2"/>
        <v>10.025833333333335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18.553490751004759</v>
      </c>
      <c r="C37" s="28">
        <f t="shared" si="3" ref="C37:Q37">STDEV(C9:C32)</f>
        <v>11.247567211704814</v>
      </c>
      <c r="D37" s="28">
        <f t="shared" si="3"/>
        <v>16.605825973948267</v>
      </c>
      <c r="E37" s="28">
        <f t="shared" si="3"/>
        <v>1.3881767836297709</v>
      </c>
      <c r="F37" s="28">
        <f t="shared" si="3"/>
        <v>1.5866204627300184</v>
      </c>
      <c r="G37" s="28">
        <f t="shared" si="3"/>
        <v>35.035274151182072</v>
      </c>
      <c r="H37" s="28">
        <f t="shared" si="3"/>
        <v>7.6202908245737042</v>
      </c>
      <c r="I37" s="28">
        <f t="shared" si="3"/>
        <v>0.018645238736370005</v>
      </c>
      <c r="J37" s="28">
        <f t="shared" si="3"/>
        <v>0.45405878920903037</v>
      </c>
      <c r="K37" s="28">
        <f t="shared" si="3"/>
        <v>114.95822356419846</v>
      </c>
      <c r="L37" s="28">
        <f t="shared" si="3"/>
        <v>4.2203070154134217</v>
      </c>
      <c r="M37" s="28">
        <f t="shared" si="3"/>
        <v>13.640533559839259</v>
      </c>
      <c r="N37" s="28">
        <f t="shared" si="3"/>
        <v>175.86516816353495</v>
      </c>
      <c r="O37" s="28">
        <f t="shared" si="3"/>
        <v>0</v>
      </c>
      <c r="P37" s="28">
        <f t="shared" si="3"/>
        <v>0.46311484787128193</v>
      </c>
      <c r="Q37" s="28">
        <f t="shared" si="3"/>
        <v>1.9200790669106234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COUNT(B9:B32)+2</f>
        <v>24</v>
      </c>
      <c r="C38" s="32">
        <f>COUNT(C9:C32)+2</f>
        <v>24</v>
      </c>
      <c r="D38" s="32">
        <f>COUNT(D9:D32)+2</f>
        <v>24</v>
      </c>
      <c r="E38" s="32">
        <f>COUNT(E9:E32)+1</f>
        <v>24</v>
      </c>
      <c r="F38" s="32">
        <f t="shared" si="4" ref="F38:Q38">COUNT(F9:F32)</f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71cc9c3-d623-4c68-959a-25b7a1a320bd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422</v>
      </c>
      <c r="B9" s="54">
        <v>59.35</v>
      </c>
      <c r="C9" s="54">
        <v>67.989999999999995</v>
      </c>
      <c r="D9" s="54">
        <v>85.76</v>
      </c>
      <c r="E9" s="54">
        <v>0.32</v>
      </c>
      <c r="F9" s="54">
        <v>3.29</v>
      </c>
      <c r="G9" s="54">
        <v>124.55</v>
      </c>
      <c r="H9" s="54">
        <v>43.76</v>
      </c>
      <c r="I9" s="54">
        <v>1.52</v>
      </c>
      <c r="J9" s="54">
        <v>0.37</v>
      </c>
      <c r="K9" s="54">
        <v>333.58</v>
      </c>
      <c r="L9" s="54">
        <v>16.48</v>
      </c>
      <c r="M9" s="54">
        <v>67.78</v>
      </c>
      <c r="N9" s="54">
        <v>11.90</v>
      </c>
      <c r="O9" s="54">
        <v>0</v>
      </c>
      <c r="P9" s="54">
        <v>1.72</v>
      </c>
      <c r="Q9" s="54">
        <v>12.43</v>
      </c>
      <c r="R9" s="43"/>
      <c r="S9" s="43"/>
      <c r="T9" s="43"/>
      <c r="U9" s="43"/>
    </row>
    <row r="10" spans="1:21" s="11" customFormat="1" ht="15">
      <c r="A10" s="53" t="s">
        <v>423</v>
      </c>
      <c r="B10" s="54">
        <v>46.07</v>
      </c>
      <c r="C10" s="54">
        <v>67.16</v>
      </c>
      <c r="D10" s="54">
        <v>74.66</v>
      </c>
      <c r="E10" s="54">
        <v>0.30</v>
      </c>
      <c r="F10" s="54">
        <v>3.51</v>
      </c>
      <c r="G10" s="54">
        <v>124.55</v>
      </c>
      <c r="H10" s="54">
        <v>43.76</v>
      </c>
      <c r="I10" s="54">
        <v>1.55</v>
      </c>
      <c r="J10" s="54">
        <v>0.13</v>
      </c>
      <c r="K10" s="54">
        <v>358.75</v>
      </c>
      <c r="L10" s="54">
        <v>16.47</v>
      </c>
      <c r="M10" s="54">
        <v>65.86</v>
      </c>
      <c r="N10" s="54">
        <v>12.10</v>
      </c>
      <c r="O10" s="54">
        <v>0</v>
      </c>
      <c r="P10" s="54">
        <v>1.44</v>
      </c>
      <c r="Q10" s="54">
        <v>11.71</v>
      </c>
      <c r="R10" s="43"/>
      <c r="S10" s="43"/>
      <c r="T10" s="43"/>
      <c r="U10" s="43"/>
    </row>
    <row r="11" spans="1:21" s="11" customFormat="1" ht="15">
      <c r="A11" s="53" t="s">
        <v>424</v>
      </c>
      <c r="B11" s="54">
        <v>30.5</v>
      </c>
      <c r="C11" s="54">
        <v>64.010000000000005</v>
      </c>
      <c r="D11" s="54">
        <v>60.43</v>
      </c>
      <c r="E11" s="54">
        <v>0.23</v>
      </c>
      <c r="F11" s="54">
        <v>3.36</v>
      </c>
      <c r="G11" s="54">
        <v>80.680000000000007</v>
      </c>
      <c r="H11" s="54">
        <v>43.39</v>
      </c>
      <c r="I11" s="54">
        <v>1.5</v>
      </c>
      <c r="J11" s="54">
        <v>0.26</v>
      </c>
      <c r="K11" s="54">
        <v>333.46</v>
      </c>
      <c r="L11" s="54">
        <v>15.77</v>
      </c>
      <c r="M11" s="54">
        <v>67.88</v>
      </c>
      <c r="N11" s="54">
        <v>11.90</v>
      </c>
      <c r="O11" s="54">
        <v>0</v>
      </c>
      <c r="P11" s="54">
        <v>1.20</v>
      </c>
      <c r="Q11" s="54">
        <v>10.18</v>
      </c>
      <c r="R11" s="43"/>
      <c r="S11" s="43"/>
      <c r="T11" s="43"/>
      <c r="U11" s="43"/>
    </row>
    <row r="12" spans="1:21" s="11" customFormat="1" ht="15">
      <c r="A12" s="53" t="s">
        <v>425</v>
      </c>
      <c r="B12" s="54">
        <v>19.23</v>
      </c>
      <c r="C12" s="54">
        <v>60.83</v>
      </c>
      <c r="D12" s="54">
        <v>49.63</v>
      </c>
      <c r="E12" s="54">
        <v>0.21</v>
      </c>
      <c r="F12" s="54">
        <v>3.37</v>
      </c>
      <c r="G12" s="54">
        <v>61.84</v>
      </c>
      <c r="H12" s="54">
        <v>40.28</v>
      </c>
      <c r="I12" s="54">
        <v>1.54</v>
      </c>
      <c r="J12" s="54">
        <v>0.72</v>
      </c>
      <c r="K12" s="54">
        <v>99.84</v>
      </c>
      <c r="L12" s="54">
        <v>15.41</v>
      </c>
      <c r="M12" s="54">
        <v>65.400000000000006</v>
      </c>
      <c r="N12" s="54">
        <v>11.70</v>
      </c>
      <c r="O12" s="54">
        <v>0</v>
      </c>
      <c r="P12" s="54">
        <v>0.98</v>
      </c>
      <c r="Q12" s="54">
        <v>8.99</v>
      </c>
      <c r="R12" s="43"/>
      <c r="S12" s="43"/>
      <c r="T12" s="43"/>
      <c r="U12" s="43"/>
    </row>
    <row r="13" spans="1:21" s="11" customFormat="1" ht="15">
      <c r="A13" s="53" t="s">
        <v>426</v>
      </c>
      <c r="B13" s="54">
        <v>11.59</v>
      </c>
      <c r="C13" s="54">
        <v>57.52</v>
      </c>
      <c r="D13" s="54">
        <v>41.69</v>
      </c>
      <c r="E13" s="54">
        <v>0.34</v>
      </c>
      <c r="F13" s="54">
        <v>3.38</v>
      </c>
      <c r="G13" s="54">
        <v>52.67</v>
      </c>
      <c r="H13" s="54">
        <v>33.590000000000003</v>
      </c>
      <c r="I13" s="54">
        <v>1.59</v>
      </c>
      <c r="J13" s="54">
        <v>0.46</v>
      </c>
      <c r="K13" s="54">
        <v>95.89</v>
      </c>
      <c r="L13" s="54">
        <v>15.04</v>
      </c>
      <c r="M13" s="54">
        <v>64.25</v>
      </c>
      <c r="N13" s="54">
        <v>12</v>
      </c>
      <c r="O13" s="54">
        <v>0</v>
      </c>
      <c r="P13" s="54">
        <v>0.81</v>
      </c>
      <c r="Q13" s="54">
        <v>8.48</v>
      </c>
      <c r="R13" s="43"/>
      <c r="S13" s="43"/>
      <c r="T13" s="43"/>
      <c r="U13" s="43"/>
    </row>
    <row r="14" spans="1:21" s="11" customFormat="1" ht="15">
      <c r="A14" s="53" t="s">
        <v>427</v>
      </c>
      <c r="B14" s="54">
        <v>8.1300000000000008</v>
      </c>
      <c r="C14" s="54">
        <v>55.18</v>
      </c>
      <c r="D14" s="54">
        <v>37.619999999999997</v>
      </c>
      <c r="E14" s="54">
        <v>0.28000000000000003</v>
      </c>
      <c r="F14" s="54">
        <v>3.55</v>
      </c>
      <c r="G14" s="54">
        <v>52.67</v>
      </c>
      <c r="H14" s="54">
        <v>29.09</v>
      </c>
      <c r="I14" s="54">
        <v>1.58</v>
      </c>
      <c r="J14" s="54">
        <v>0.54</v>
      </c>
      <c r="K14" s="54">
        <v>103.79</v>
      </c>
      <c r="L14" s="54">
        <v>14.59</v>
      </c>
      <c r="M14" s="54">
        <v>58.01</v>
      </c>
      <c r="N14" s="54">
        <v>11.80</v>
      </c>
      <c r="O14" s="54">
        <v>0</v>
      </c>
      <c r="P14" s="54">
        <v>0.67</v>
      </c>
      <c r="Q14" s="54">
        <v>8.4600000000000009</v>
      </c>
      <c r="R14" s="43"/>
      <c r="S14" s="43"/>
      <c r="T14" s="43"/>
      <c r="U14" s="43"/>
    </row>
    <row r="15" spans="1:21" s="11" customFormat="1" ht="15">
      <c r="A15" s="53" t="s">
        <v>428</v>
      </c>
      <c r="B15" s="54">
        <v>8.5</v>
      </c>
      <c r="C15" s="54">
        <v>53.87</v>
      </c>
      <c r="D15" s="54">
        <v>37.200000000000003</v>
      </c>
      <c r="E15" s="54">
        <v>0.31</v>
      </c>
      <c r="F15" s="54">
        <v>3.46</v>
      </c>
      <c r="G15" s="54">
        <v>42.02</v>
      </c>
      <c r="H15" s="54">
        <v>18.91</v>
      </c>
      <c r="I15" s="54">
        <v>1.54</v>
      </c>
      <c r="J15" s="54">
        <v>0.21</v>
      </c>
      <c r="K15" s="54">
        <v>346.93</v>
      </c>
      <c r="L15" s="54">
        <v>14.29</v>
      </c>
      <c r="M15" s="54">
        <v>55.41</v>
      </c>
      <c r="N15" s="54">
        <v>25.10</v>
      </c>
      <c r="O15" s="54">
        <v>0</v>
      </c>
      <c r="P15" s="54">
        <v>0.56999999999999995</v>
      </c>
      <c r="Q15" s="54">
        <v>7.92</v>
      </c>
      <c r="R15" s="43"/>
      <c r="S15" s="43"/>
      <c r="T15" s="43"/>
      <c r="U15" s="43"/>
    </row>
    <row r="16" spans="1:21" s="11" customFormat="1" ht="15">
      <c r="A16" s="53" t="s">
        <v>429</v>
      </c>
      <c r="B16" s="54">
        <v>10.210000000000001</v>
      </c>
      <c r="C16" s="54">
        <v>55.22</v>
      </c>
      <c r="D16" s="54">
        <v>39.31</v>
      </c>
      <c r="E16" s="54">
        <v>0.31</v>
      </c>
      <c r="F16" s="54">
        <v>3.73</v>
      </c>
      <c r="G16" s="54">
        <v>47.43</v>
      </c>
      <c r="H16" s="54">
        <v>12.68</v>
      </c>
      <c r="I16" s="54">
        <v>1.56</v>
      </c>
      <c r="J16" s="54">
        <v>0.75</v>
      </c>
      <c r="K16" s="54">
        <v>356.05</v>
      </c>
      <c r="L16" s="54">
        <v>15.77</v>
      </c>
      <c r="M16" s="54">
        <v>52.15</v>
      </c>
      <c r="N16" s="54">
        <v>168.60</v>
      </c>
      <c r="O16" s="54">
        <v>0</v>
      </c>
      <c r="P16" s="54">
        <v>0.51</v>
      </c>
      <c r="Q16" s="54">
        <v>7.82</v>
      </c>
      <c r="R16" s="43"/>
      <c r="S16" s="43"/>
      <c r="T16" s="43"/>
      <c r="U16" s="43"/>
    </row>
    <row r="17" spans="1:21" s="11" customFormat="1" ht="15">
      <c r="A17" s="53" t="s">
        <v>430</v>
      </c>
      <c r="B17" s="54">
        <v>12.93</v>
      </c>
      <c r="C17" s="54">
        <v>57.75</v>
      </c>
      <c r="D17" s="54">
        <v>42.88</v>
      </c>
      <c r="E17" s="54">
        <v>0.16</v>
      </c>
      <c r="F17" s="54">
        <v>3.65</v>
      </c>
      <c r="G17" s="54">
        <v>59.26</v>
      </c>
      <c r="H17" s="54">
        <v>83.33</v>
      </c>
      <c r="I17" s="54">
        <v>1.5</v>
      </c>
      <c r="J17" s="54">
        <v>0.43</v>
      </c>
      <c r="K17" s="54">
        <v>356.48</v>
      </c>
      <c r="L17" s="54">
        <v>20.55</v>
      </c>
      <c r="M17" s="54">
        <v>46.5</v>
      </c>
      <c r="N17" s="54">
        <v>321.70</v>
      </c>
      <c r="O17" s="54">
        <v>0</v>
      </c>
      <c r="P17" s="54">
        <v>0.51</v>
      </c>
      <c r="Q17" s="54">
        <v>7.86</v>
      </c>
      <c r="R17" s="43"/>
      <c r="S17" s="43"/>
      <c r="T17" s="43"/>
      <c r="U17" s="43"/>
    </row>
    <row r="18" spans="1:21" s="11" customFormat="1" ht="15">
      <c r="A18" s="53" t="s">
        <v>431</v>
      </c>
      <c r="B18" s="54">
        <v>13.22</v>
      </c>
      <c r="C18" s="54">
        <v>59.57</v>
      </c>
      <c r="D18" s="54">
        <v>44.07</v>
      </c>
      <c r="E18" s="54">
        <v>0.16</v>
      </c>
      <c r="F18" s="54">
        <v>3.61</v>
      </c>
      <c r="G18" s="54">
        <v>63.67</v>
      </c>
      <c r="H18" s="54">
        <v>83.33</v>
      </c>
      <c r="I18" s="54">
        <v>1.52</v>
      </c>
      <c r="J18" s="54">
        <v>1.33</v>
      </c>
      <c r="K18" s="54">
        <v>111.67</v>
      </c>
      <c r="L18" s="54">
        <v>20.84</v>
      </c>
      <c r="M18" s="54">
        <v>44.63</v>
      </c>
      <c r="N18" s="54">
        <v>429.40</v>
      </c>
      <c r="O18" s="54">
        <v>0</v>
      </c>
      <c r="P18" s="54">
        <v>0.52</v>
      </c>
      <c r="Q18" s="54">
        <v>8.06</v>
      </c>
      <c r="R18" s="43"/>
      <c r="S18" s="43"/>
      <c r="T18" s="43"/>
      <c r="U18" s="43"/>
    </row>
    <row r="19" spans="1:21" s="11" customFormat="1" ht="15">
      <c r="A19" s="53" t="s">
        <v>432</v>
      </c>
      <c r="B19" s="54">
        <v>9.64</v>
      </c>
      <c r="C19" s="54">
        <v>63.56</v>
      </c>
      <c r="D19" s="54">
        <v>40.90</v>
      </c>
      <c r="E19" s="54">
        <v>0.20</v>
      </c>
      <c r="F19" s="54">
        <v>4.3600000000000003</v>
      </c>
      <c r="G19" s="54">
        <v>64.03</v>
      </c>
      <c r="H19" s="54">
        <v>50.10</v>
      </c>
      <c r="I19" s="54">
        <v>1.56</v>
      </c>
      <c r="J19" s="54">
        <v>0.95</v>
      </c>
      <c r="K19" s="54">
        <v>104.91</v>
      </c>
      <c r="L19" s="54">
        <v>23.87</v>
      </c>
      <c r="M19" s="54">
        <v>41.86</v>
      </c>
      <c r="N19" s="54">
        <v>484.5</v>
      </c>
      <c r="O19" s="54">
        <v>0</v>
      </c>
      <c r="P19" s="54">
        <v>0.49</v>
      </c>
      <c r="Q19" s="54">
        <v>7.88</v>
      </c>
      <c r="R19" s="43"/>
      <c r="S19" s="43"/>
      <c r="T19" s="43"/>
      <c r="U19" s="43"/>
    </row>
    <row r="20" spans="1:21" s="11" customFormat="1" ht="15">
      <c r="A20" s="53" t="s">
        <v>433</v>
      </c>
      <c r="B20" s="54">
        <v>4.76</v>
      </c>
      <c r="C20" s="54">
        <v>63.06</v>
      </c>
      <c r="D20" s="54">
        <v>39.26</v>
      </c>
      <c r="E20" s="54">
        <v>0.22</v>
      </c>
      <c r="F20" s="54">
        <v>5.33</v>
      </c>
      <c r="G20" s="54">
        <v>64.03</v>
      </c>
      <c r="H20" s="54">
        <v>50.10</v>
      </c>
      <c r="I20" s="54">
        <v>1.57</v>
      </c>
      <c r="J20" s="54">
        <v>0.96</v>
      </c>
      <c r="K20" s="54">
        <v>105.77</v>
      </c>
      <c r="L20" s="54">
        <v>25.81</v>
      </c>
      <c r="M20" s="54">
        <v>40.83</v>
      </c>
      <c r="N20" s="54">
        <v>496.80</v>
      </c>
      <c r="O20" s="54">
        <v>0</v>
      </c>
      <c r="P20" s="54">
        <v>0.45</v>
      </c>
      <c r="Q20" s="54">
        <v>7.65</v>
      </c>
      <c r="R20" s="43"/>
      <c r="S20" s="43"/>
      <c r="T20" s="43"/>
      <c r="U20" s="43"/>
    </row>
    <row r="21" spans="1:21" s="11" customFormat="1" ht="15">
      <c r="A21" s="53" t="s">
        <v>434</v>
      </c>
      <c r="B21" s="54">
        <v>3.44</v>
      </c>
      <c r="C21" s="54">
        <v>66.680000000000007</v>
      </c>
      <c r="D21" s="54">
        <v>40.020000000000003</v>
      </c>
      <c r="E21" s="54">
        <v>0.57999999999999996</v>
      </c>
      <c r="F21" s="54">
        <v>13.31</v>
      </c>
      <c r="G21" s="54">
        <v>56.69</v>
      </c>
      <c r="H21" s="54">
        <v>47.88</v>
      </c>
      <c r="I21" s="54">
        <v>1.55</v>
      </c>
      <c r="J21" s="54">
        <v>0.83</v>
      </c>
      <c r="K21" s="54">
        <v>341.74</v>
      </c>
      <c r="L21" s="54">
        <v>30.04</v>
      </c>
      <c r="M21" s="54">
        <v>34.01</v>
      </c>
      <c r="N21" s="54">
        <v>494.40</v>
      </c>
      <c r="O21" s="54">
        <v>0</v>
      </c>
      <c r="P21" s="54">
        <v>0.52</v>
      </c>
      <c r="Q21" s="54">
        <v>7.75</v>
      </c>
      <c r="R21" s="43"/>
      <c r="S21" s="43"/>
      <c r="T21" s="43"/>
      <c r="U21" s="43"/>
    </row>
    <row r="22" spans="1:21" s="11" customFormat="1" ht="15">
      <c r="A22" s="53" t="s">
        <v>435</v>
      </c>
      <c r="B22" s="54">
        <v>4.51</v>
      </c>
      <c r="C22" s="54">
        <v>65.040000000000006</v>
      </c>
      <c r="D22" s="54">
        <v>40.15</v>
      </c>
      <c r="E22" s="54">
        <v>0.63</v>
      </c>
      <c r="F22" s="54">
        <v>11.39</v>
      </c>
      <c r="G22" s="54">
        <v>56.69</v>
      </c>
      <c r="H22" s="54">
        <v>28.45</v>
      </c>
      <c r="I22" s="54">
        <v>1.51</v>
      </c>
      <c r="J22" s="54">
        <v>0.56999999999999995</v>
      </c>
      <c r="K22" s="54">
        <v>345.19</v>
      </c>
      <c r="L22" s="54">
        <v>27.95</v>
      </c>
      <c r="M22" s="54">
        <v>37.15</v>
      </c>
      <c r="N22" s="54">
        <v>443.30</v>
      </c>
      <c r="O22" s="54">
        <v>0</v>
      </c>
      <c r="P22" s="54">
        <v>0.5</v>
      </c>
      <c r="Q22" s="54">
        <v>7.87</v>
      </c>
      <c r="R22" s="43"/>
      <c r="S22" s="43"/>
      <c r="T22" s="43"/>
      <c r="U22" s="43"/>
    </row>
    <row r="23" spans="1:21" s="11" customFormat="1" ht="15">
      <c r="A23" s="53" t="s">
        <v>436</v>
      </c>
      <c r="B23" s="54">
        <v>3.99</v>
      </c>
      <c r="C23" s="54">
        <v>57.69</v>
      </c>
      <c r="D23" s="54">
        <v>35.46</v>
      </c>
      <c r="E23" s="54">
        <v>0.37</v>
      </c>
      <c r="F23" s="54">
        <v>6.29</v>
      </c>
      <c r="G23" s="54">
        <v>56.19</v>
      </c>
      <c r="H23" s="54">
        <v>27.59</v>
      </c>
      <c r="I23" s="54">
        <v>1.53</v>
      </c>
      <c r="J23" s="54">
        <v>1.0900000000000001</v>
      </c>
      <c r="K23" s="54">
        <v>333.93</v>
      </c>
      <c r="L23" s="54">
        <v>27.98</v>
      </c>
      <c r="M23" s="54">
        <v>37.83</v>
      </c>
      <c r="N23" s="54">
        <v>363</v>
      </c>
      <c r="O23" s="54">
        <v>0</v>
      </c>
      <c r="P23" s="54">
        <v>0.47</v>
      </c>
      <c r="Q23" s="54">
        <v>6.44</v>
      </c>
      <c r="R23" s="43"/>
      <c r="S23" s="43"/>
      <c r="T23" s="43"/>
      <c r="U23" s="43"/>
    </row>
    <row r="24" spans="1:21" s="11" customFormat="1" ht="15">
      <c r="A24" s="53" t="s">
        <v>437</v>
      </c>
      <c r="B24" s="54">
        <v>3.42</v>
      </c>
      <c r="C24" s="54">
        <v>57.78</v>
      </c>
      <c r="D24" s="54">
        <v>35.270000000000003</v>
      </c>
      <c r="E24" s="54">
        <v>0.37</v>
      </c>
      <c r="F24" s="54">
        <v>5.79</v>
      </c>
      <c r="G24" s="54">
        <v>56.19</v>
      </c>
      <c r="H24" s="54">
        <v>22.48</v>
      </c>
      <c r="I24" s="54">
        <v>1.64</v>
      </c>
      <c r="J24" s="54">
        <v>0.57999999999999996</v>
      </c>
      <c r="K24" s="54">
        <v>294.13</v>
      </c>
      <c r="L24" s="54">
        <v>25.06</v>
      </c>
      <c r="M24" s="54">
        <v>39.93</v>
      </c>
      <c r="N24" s="54">
        <v>98.80</v>
      </c>
      <c r="O24" s="54">
        <v>0</v>
      </c>
      <c r="P24" s="54">
        <v>0.46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438</v>
      </c>
      <c r="B25" s="54">
        <v>3.49</v>
      </c>
      <c r="C25" s="54">
        <v>60.79</v>
      </c>
      <c r="D25" s="54">
        <v>37</v>
      </c>
      <c r="E25" s="54">
        <v>0.20</v>
      </c>
      <c r="F25" s="54">
        <v>4.91</v>
      </c>
      <c r="G25" s="54">
        <v>65.739999999999995</v>
      </c>
      <c r="H25" s="54">
        <v>38.08</v>
      </c>
      <c r="I25" s="54">
        <v>1.51</v>
      </c>
      <c r="J25" s="54">
        <v>0.36</v>
      </c>
      <c r="K25" s="54">
        <v>349.26</v>
      </c>
      <c r="L25" s="54">
        <v>24.33</v>
      </c>
      <c r="M25" s="54">
        <v>40.520000000000003</v>
      </c>
      <c r="N25" s="54">
        <v>63.40</v>
      </c>
      <c r="O25" s="54">
        <v>0</v>
      </c>
      <c r="P25" s="54">
        <v>0.48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439</v>
      </c>
      <c r="B26" s="54">
        <v>6.98</v>
      </c>
      <c r="C26" s="54">
        <v>82.79</v>
      </c>
      <c r="D26" s="54">
        <v>51.93</v>
      </c>
      <c r="E26" s="54">
        <v>0.28999999999999998</v>
      </c>
      <c r="F26" s="54">
        <v>5.07</v>
      </c>
      <c r="G26" s="54">
        <v>65.739999999999995</v>
      </c>
      <c r="H26" s="54">
        <v>38.08</v>
      </c>
      <c r="I26" s="54">
        <v>1.58</v>
      </c>
      <c r="J26" s="54">
        <v>0.85</v>
      </c>
      <c r="K26" s="54">
        <v>346.52</v>
      </c>
      <c r="L26" s="54">
        <v>23.30</v>
      </c>
      <c r="M26" s="54">
        <v>49.61</v>
      </c>
      <c r="N26" s="54">
        <v>29.90</v>
      </c>
      <c r="O26" s="54">
        <v>0</v>
      </c>
      <c r="P26" s="54">
        <v>0.84</v>
      </c>
      <c r="Q26" s="54">
        <v>7.92</v>
      </c>
      <c r="R26" s="43"/>
      <c r="S26" s="43"/>
      <c r="T26" s="43"/>
      <c r="U26" s="43"/>
    </row>
    <row r="27" spans="1:21" s="11" customFormat="1" ht="15">
      <c r="A27" s="53" t="s">
        <v>440</v>
      </c>
      <c r="B27" s="54">
        <v>10.98</v>
      </c>
      <c r="C27" s="54">
        <v>85.65</v>
      </c>
      <c r="D27" s="54">
        <v>56.72</v>
      </c>
      <c r="E27" s="54">
        <v>0.26</v>
      </c>
      <c r="F27" s="54">
        <v>3.51</v>
      </c>
      <c r="G27" s="54">
        <v>154.40</v>
      </c>
      <c r="H27" s="54">
        <v>46.70</v>
      </c>
      <c r="I27" s="54">
        <v>1.52</v>
      </c>
      <c r="J27" s="54">
        <v>1.06</v>
      </c>
      <c r="K27" s="54">
        <v>347.11</v>
      </c>
      <c r="L27" s="54">
        <v>21.30</v>
      </c>
      <c r="M27" s="54">
        <v>53.15</v>
      </c>
      <c r="N27" s="54">
        <v>12.40</v>
      </c>
      <c r="O27" s="54">
        <v>0</v>
      </c>
      <c r="P27" s="54">
        <v>1.01</v>
      </c>
      <c r="Q27" s="54">
        <v>8.39</v>
      </c>
      <c r="R27" s="43"/>
      <c r="S27" s="43"/>
      <c r="T27" s="43"/>
      <c r="U27" s="43"/>
    </row>
    <row r="28" spans="1:21" s="11" customFormat="1" ht="15">
      <c r="A28" s="53" t="s">
        <v>441</v>
      </c>
      <c r="B28" s="54">
        <v>16.37</v>
      </c>
      <c r="C28" s="54">
        <v>85.32</v>
      </c>
      <c r="D28" s="54">
        <v>58.21</v>
      </c>
      <c r="E28" s="54">
        <v>0.21</v>
      </c>
      <c r="F28" s="54">
        <v>3.36</v>
      </c>
      <c r="G28" s="54">
        <v>154.40</v>
      </c>
      <c r="H28" s="54">
        <v>46.70</v>
      </c>
      <c r="I28" s="54">
        <v>1.55</v>
      </c>
      <c r="J28" s="54">
        <v>0.19</v>
      </c>
      <c r="K28" s="54">
        <v>96.23</v>
      </c>
      <c r="L28" s="54">
        <v>20.11</v>
      </c>
      <c r="M28" s="54">
        <v>60.64</v>
      </c>
      <c r="N28" s="54">
        <v>12.5</v>
      </c>
      <c r="O28" s="54">
        <v>0</v>
      </c>
      <c r="P28" s="54">
        <v>1.23</v>
      </c>
      <c r="Q28" s="54">
        <v>8.7100000000000009</v>
      </c>
      <c r="R28" s="43"/>
      <c r="S28" s="43"/>
      <c r="T28" s="43"/>
      <c r="U28" s="43"/>
    </row>
    <row r="29" spans="1:21" s="11" customFormat="1" ht="15">
      <c r="A29" s="53" t="s">
        <v>442</v>
      </c>
      <c r="B29" s="54">
        <v>21.23</v>
      </c>
      <c r="C29" s="54">
        <v>79.28</v>
      </c>
      <c r="D29" s="54">
        <v>60.10</v>
      </c>
      <c r="E29" s="54">
        <v>0.28000000000000003</v>
      </c>
      <c r="F29" s="54">
        <v>3.38</v>
      </c>
      <c r="G29" s="54">
        <v>172.39</v>
      </c>
      <c r="H29" s="54">
        <v>61.67</v>
      </c>
      <c r="I29" s="54">
        <v>1.56</v>
      </c>
      <c r="J29" s="54">
        <v>0.28999999999999998</v>
      </c>
      <c r="K29" s="54">
        <v>102.03</v>
      </c>
      <c r="L29" s="54">
        <v>19.28</v>
      </c>
      <c r="M29" s="54">
        <v>61.99</v>
      </c>
      <c r="N29" s="54">
        <v>12.40</v>
      </c>
      <c r="O29" s="54">
        <v>0</v>
      </c>
      <c r="P29" s="54">
        <v>1.40</v>
      </c>
      <c r="Q29" s="54">
        <v>9.2200000000000006</v>
      </c>
      <c r="R29" s="43"/>
      <c r="S29" s="43"/>
      <c r="T29" s="43"/>
      <c r="U29" s="43"/>
    </row>
    <row r="30" spans="1:21" s="11" customFormat="1" ht="15">
      <c r="A30" s="53" t="s">
        <v>443</v>
      </c>
      <c r="B30" s="54">
        <v>22.24</v>
      </c>
      <c r="C30" s="54">
        <v>76.47</v>
      </c>
      <c r="D30" s="54">
        <v>60.68</v>
      </c>
      <c r="E30" s="54">
        <v>0.28999999999999998</v>
      </c>
      <c r="F30" s="54">
        <v>3.37</v>
      </c>
      <c r="G30" s="54">
        <v>172.39</v>
      </c>
      <c r="H30" s="54">
        <v>61.67</v>
      </c>
      <c r="I30" s="54">
        <v>1.52</v>
      </c>
      <c r="J30" s="54">
        <v>0.12</v>
      </c>
      <c r="K30" s="54">
        <v>114.27</v>
      </c>
      <c r="L30" s="54">
        <v>18.98</v>
      </c>
      <c r="M30" s="54">
        <v>65.14</v>
      </c>
      <c r="N30" s="54">
        <v>12.60</v>
      </c>
      <c r="O30" s="54">
        <v>0</v>
      </c>
      <c r="P30" s="54">
        <v>1.46</v>
      </c>
      <c r="Q30" s="54">
        <v>9.4499999999999993</v>
      </c>
      <c r="R30" s="43"/>
      <c r="S30" s="43"/>
      <c r="T30" s="43"/>
      <c r="U30" s="43"/>
    </row>
    <row r="31" spans="1:21" s="11" customFormat="1" ht="15">
      <c r="A31" s="53" t="s">
        <v>444</v>
      </c>
      <c r="B31" s="54">
        <v>29.53</v>
      </c>
      <c r="C31" s="54">
        <v>74.64</v>
      </c>
      <c r="D31" s="54">
        <v>64.94</v>
      </c>
      <c r="E31" s="54">
        <v>0.27</v>
      </c>
      <c r="F31" s="54">
        <v>3.44</v>
      </c>
      <c r="G31" s="54">
        <v>135.04</v>
      </c>
      <c r="H31" s="54">
        <v>51.61</v>
      </c>
      <c r="I31" s="54">
        <v>1.55</v>
      </c>
      <c r="J31" s="54">
        <v>0.10</v>
      </c>
      <c r="K31" s="54">
        <v>357.45</v>
      </c>
      <c r="L31" s="54">
        <v>18.260000000000002</v>
      </c>
      <c r="M31" s="54">
        <v>76.13</v>
      </c>
      <c r="N31" s="54">
        <v>12.70</v>
      </c>
      <c r="O31" s="54">
        <v>0</v>
      </c>
      <c r="P31" s="54">
        <v>1.53</v>
      </c>
      <c r="Q31" s="54">
        <v>9.7799999999999994</v>
      </c>
      <c r="R31" s="43"/>
      <c r="S31" s="43"/>
      <c r="T31" s="43"/>
      <c r="U31" s="43"/>
    </row>
    <row r="32" spans="1:21" s="11" customFormat="1" ht="15">
      <c r="A32" s="53" t="s">
        <v>445</v>
      </c>
      <c r="B32" s="54">
        <v>31.22</v>
      </c>
      <c r="C32" s="54">
        <v>73.53</v>
      </c>
      <c r="D32" s="54">
        <v>66.16</v>
      </c>
      <c r="E32" s="54">
        <v>0.30</v>
      </c>
      <c r="F32" s="54">
        <v>3.21</v>
      </c>
      <c r="G32" s="54">
        <v>106.85</v>
      </c>
      <c r="H32" s="54">
        <v>41.84</v>
      </c>
      <c r="I32" s="54">
        <v>1.53</v>
      </c>
      <c r="J32" s="54">
        <v>0.45</v>
      </c>
      <c r="K32" s="54">
        <v>148.97999999999999</v>
      </c>
      <c r="L32" s="54">
        <v>18.329999999999998</v>
      </c>
      <c r="M32" s="54">
        <v>71.239999999999995</v>
      </c>
      <c r="N32" s="54">
        <v>12.30</v>
      </c>
      <c r="O32" s="54">
        <v>0</v>
      </c>
      <c r="P32" s="54">
        <v>1.53</v>
      </c>
      <c r="Q32" s="54">
        <v>10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3.4199999999999999</v>
      </c>
      <c r="C34" s="28">
        <f t="shared" si="0"/>
        <v>53.869999999999997</v>
      </c>
      <c r="D34" s="28">
        <f t="shared" si="0"/>
        <v>35.270000000000003</v>
      </c>
      <c r="E34" s="28">
        <f t="shared" si="0"/>
        <v>0.16</v>
      </c>
      <c r="F34" s="28">
        <f t="shared" si="0"/>
        <v>3.21</v>
      </c>
      <c r="G34" s="28">
        <f t="shared" si="0"/>
        <v>42.020000000000003</v>
      </c>
      <c r="H34" s="28">
        <f t="shared" si="0"/>
        <v>12.68</v>
      </c>
      <c r="I34" s="28">
        <f t="shared" si="0"/>
        <v>1.5</v>
      </c>
      <c r="J34" s="28">
        <f t="shared" si="0"/>
        <v>0.10000000000000001</v>
      </c>
      <c r="K34" s="28">
        <f t="shared" si="0"/>
        <v>95.890000000000001</v>
      </c>
      <c r="L34" s="28">
        <f t="shared" si="0"/>
        <v>14.289999999999999</v>
      </c>
      <c r="M34" s="28">
        <f t="shared" si="0"/>
        <v>34.009999999999998</v>
      </c>
      <c r="N34" s="28">
        <f t="shared" si="0"/>
        <v>11.699999999999999</v>
      </c>
      <c r="O34" s="28">
        <f t="shared" si="0"/>
        <v>0</v>
      </c>
      <c r="P34" s="28">
        <f t="shared" si="0"/>
        <v>0.45000000000000001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59.350000000000001</v>
      </c>
      <c r="C35" s="29">
        <f t="shared" si="1"/>
        <v>85.650000000000006</v>
      </c>
      <c r="D35" s="29">
        <f t="shared" si="1"/>
        <v>85.760000000000005</v>
      </c>
      <c r="E35" s="29">
        <f t="shared" si="1"/>
        <v>0.63</v>
      </c>
      <c r="F35" s="29">
        <f t="shared" si="1"/>
        <v>13.31</v>
      </c>
      <c r="G35" s="29">
        <f t="shared" si="1"/>
        <v>172.38999999999999</v>
      </c>
      <c r="H35" s="29">
        <f t="shared" si="1"/>
        <v>83.329999999999998</v>
      </c>
      <c r="I35" s="29">
        <f t="shared" si="1"/>
        <v>1.6399999999999999</v>
      </c>
      <c r="J35" s="29">
        <f t="shared" si="1"/>
        <v>1.3300000000000001</v>
      </c>
      <c r="K35" s="29">
        <f t="shared" si="1"/>
        <v>358.75</v>
      </c>
      <c r="L35" s="29">
        <f t="shared" si="1"/>
        <v>30.039999999999999</v>
      </c>
      <c r="M35" s="29">
        <f t="shared" si="1"/>
        <v>76.129999999999995</v>
      </c>
      <c r="N35" s="29">
        <f t="shared" si="1"/>
        <v>496.80000000000001</v>
      </c>
      <c r="O35" s="29">
        <f t="shared" si="1"/>
        <v>0</v>
      </c>
      <c r="P35" s="29">
        <f t="shared" si="1"/>
        <v>1.72</v>
      </c>
      <c r="Q35" s="29">
        <f t="shared" si="1"/>
        <v>12.43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16.313750000000002</v>
      </c>
      <c r="C36" s="28">
        <f t="shared" si="2"/>
        <v>66.307500000000005</v>
      </c>
      <c r="D36" s="28">
        <f t="shared" si="2"/>
        <v>50.002083333333339</v>
      </c>
      <c r="E36" s="28">
        <f t="shared" si="2"/>
        <v>0.29541666666666672</v>
      </c>
      <c r="F36" s="28">
        <f t="shared" si="2"/>
        <v>4.6512500000000001</v>
      </c>
      <c r="G36" s="28">
        <f t="shared" si="2"/>
        <v>87.087916666666672</v>
      </c>
      <c r="H36" s="28">
        <f t="shared" si="2"/>
        <v>43.544583333333343</v>
      </c>
      <c r="I36" s="28">
        <f t="shared" si="2"/>
        <v>1.5450000000000006</v>
      </c>
      <c r="J36" s="28">
        <f t="shared" si="2"/>
        <v>0.56666666666666654</v>
      </c>
      <c r="K36" s="28">
        <f t="shared" si="2"/>
        <v>245.16499999999994</v>
      </c>
      <c r="L36" s="28">
        <f t="shared" si="2"/>
        <v>20.408750000000001</v>
      </c>
      <c r="M36" s="28">
        <f t="shared" si="2"/>
        <v>54.079166666666659</v>
      </c>
      <c r="N36" s="28">
        <f t="shared" si="2"/>
        <v>148.55000000000001</v>
      </c>
      <c r="O36" s="28">
        <f t="shared" si="2"/>
        <v>0</v>
      </c>
      <c r="P36" s="28">
        <f t="shared" si="2"/>
        <v>0.88750000000000018</v>
      </c>
      <c r="Q36" s="28">
        <f t="shared" si="2"/>
        <v>8.4745833333333334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14.284858451460439</v>
      </c>
      <c r="C37" s="28">
        <f t="shared" si="3" ref="C37:Q37">STDEV(C9:C32)</f>
        <v>9.8551011950774488</v>
      </c>
      <c r="D37" s="28">
        <f t="shared" si="3"/>
        <v>13.81710470494944</v>
      </c>
      <c r="E37" s="28">
        <f t="shared" si="3"/>
        <v>0.1120938724100654</v>
      </c>
      <c r="F37" s="28">
        <f t="shared" si="3"/>
        <v>2.5416039312761249</v>
      </c>
      <c r="G37" s="28">
        <f t="shared" si="3"/>
        <v>43.146906179497002</v>
      </c>
      <c r="H37" s="28">
        <f t="shared" si="3"/>
        <v>17.294829832908885</v>
      </c>
      <c r="I37" s="28">
        <f t="shared" si="3"/>
        <v>0.032570992696222677</v>
      </c>
      <c r="J37" s="28">
        <f t="shared" si="3"/>
        <v>0.34778387425009499</v>
      </c>
      <c r="K37" s="28">
        <f t="shared" si="3"/>
        <v>119.17144606205702</v>
      </c>
      <c r="L37" s="28">
        <f t="shared" si="3"/>
        <v>4.6900202210558772</v>
      </c>
      <c r="M37" s="28">
        <f t="shared" si="3"/>
        <v>12.524906982789823</v>
      </c>
      <c r="N37" s="28">
        <f t="shared" si="3"/>
        <v>193.14855512746163</v>
      </c>
      <c r="O37" s="28">
        <f t="shared" si="3"/>
        <v>0</v>
      </c>
      <c r="P37" s="28">
        <f t="shared" si="3"/>
        <v>0.43673940095648101</v>
      </c>
      <c r="Q37" s="28">
        <f t="shared" si="3"/>
        <v>1.6662897581066169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f7c55c-f3bb-41ec-a97f-2fdc4defdfd9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446</v>
      </c>
      <c r="B9" s="54">
        <v>24.41</v>
      </c>
      <c r="C9" s="54">
        <v>72.41</v>
      </c>
      <c r="D9" s="54">
        <v>60.18</v>
      </c>
      <c r="E9" s="54">
        <v>0.23</v>
      </c>
      <c r="F9" s="54">
        <v>3.60</v>
      </c>
      <c r="G9" s="54">
        <v>106.85</v>
      </c>
      <c r="H9" s="54">
        <v>44.47</v>
      </c>
      <c r="I9" s="54">
        <v>1.55</v>
      </c>
      <c r="J9" s="54">
        <v>0.37</v>
      </c>
      <c r="K9" s="54">
        <v>185.66</v>
      </c>
      <c r="L9" s="54">
        <v>18.03</v>
      </c>
      <c r="M9" s="54">
        <v>63.86</v>
      </c>
      <c r="N9" s="54">
        <v>12.40</v>
      </c>
      <c r="O9" s="54">
        <v>0</v>
      </c>
      <c r="P9" s="54">
        <v>1.38</v>
      </c>
      <c r="Q9" s="54">
        <v>9.59</v>
      </c>
      <c r="R9" s="43"/>
      <c r="S9" s="43"/>
      <c r="T9" s="43"/>
      <c r="U9" s="43"/>
    </row>
    <row r="10" spans="1:21" s="11" customFormat="1" ht="15">
      <c r="A10" s="53" t="s">
        <v>447</v>
      </c>
      <c r="B10" s="54">
        <v>13.98</v>
      </c>
      <c r="C10" s="54">
        <v>69.66</v>
      </c>
      <c r="D10" s="54">
        <v>50.30</v>
      </c>
      <c r="E10" s="54">
        <v>0.23</v>
      </c>
      <c r="F10" s="54">
        <v>3.30</v>
      </c>
      <c r="G10" s="54">
        <v>97.01</v>
      </c>
      <c r="H10" s="54">
        <v>44.47</v>
      </c>
      <c r="I10" s="54">
        <v>1.5</v>
      </c>
      <c r="J10" s="54">
        <v>0.11</v>
      </c>
      <c r="K10" s="54">
        <v>256.97000000000003</v>
      </c>
      <c r="L10" s="54">
        <v>17.260000000000002</v>
      </c>
      <c r="M10" s="54">
        <v>75.94</v>
      </c>
      <c r="N10" s="54">
        <v>12.90</v>
      </c>
      <c r="O10" s="54">
        <v>0</v>
      </c>
      <c r="P10" s="54">
        <v>1.1000000000000001</v>
      </c>
      <c r="Q10" s="54">
        <v>8.75</v>
      </c>
      <c r="R10" s="43"/>
      <c r="S10" s="43"/>
      <c r="T10" s="43"/>
      <c r="U10" s="43"/>
    </row>
    <row r="11" spans="1:21" s="11" customFormat="1" ht="15">
      <c r="A11" s="53" t="s">
        <v>448</v>
      </c>
      <c r="B11" s="54">
        <v>9.98</v>
      </c>
      <c r="C11" s="54">
        <v>64.36</v>
      </c>
      <c r="D11" s="54">
        <v>44.03</v>
      </c>
      <c r="E11" s="54">
        <v>0.23</v>
      </c>
      <c r="F11" s="54">
        <v>3.33</v>
      </c>
      <c r="G11" s="54">
        <v>71.349999999999994</v>
      </c>
      <c r="H11" s="54">
        <v>32.11</v>
      </c>
      <c r="I11" s="54">
        <v>1.53</v>
      </c>
      <c r="J11" s="54">
        <v>0.20</v>
      </c>
      <c r="K11" s="54">
        <v>307.06</v>
      </c>
      <c r="L11" s="54">
        <v>16.920000000000002</v>
      </c>
      <c r="M11" s="54">
        <v>81.88</v>
      </c>
      <c r="N11" s="54">
        <v>12.80</v>
      </c>
      <c r="O11" s="54">
        <v>0</v>
      </c>
      <c r="P11" s="54">
        <v>0.98</v>
      </c>
      <c r="Q11" s="54">
        <v>8.16</v>
      </c>
      <c r="R11" s="43"/>
      <c r="S11" s="43"/>
      <c r="T11" s="43"/>
      <c r="U11" s="43"/>
    </row>
    <row r="12" spans="1:21" s="11" customFormat="1" ht="15">
      <c r="A12" s="53" t="s">
        <v>449</v>
      </c>
      <c r="B12" s="54">
        <v>11.70</v>
      </c>
      <c r="C12" s="54">
        <v>61.42</v>
      </c>
      <c r="D12" s="54">
        <v>42.88</v>
      </c>
      <c r="E12" s="54">
        <v>0.21</v>
      </c>
      <c r="F12" s="54">
        <v>3.30</v>
      </c>
      <c r="G12" s="54">
        <v>77.77</v>
      </c>
      <c r="H12" s="54">
        <v>32.11</v>
      </c>
      <c r="I12" s="54">
        <v>1.56</v>
      </c>
      <c r="J12" s="54">
        <v>0.56000000000000005</v>
      </c>
      <c r="K12" s="54">
        <v>333.21</v>
      </c>
      <c r="L12" s="54">
        <v>16.23</v>
      </c>
      <c r="M12" s="54">
        <v>84.72</v>
      </c>
      <c r="N12" s="54">
        <v>12.80</v>
      </c>
      <c r="O12" s="54">
        <v>0</v>
      </c>
      <c r="P12" s="54">
        <v>0.86</v>
      </c>
      <c r="Q12" s="54">
        <v>8.35</v>
      </c>
      <c r="R12" s="43"/>
      <c r="S12" s="43"/>
      <c r="T12" s="43"/>
      <c r="U12" s="43"/>
    </row>
    <row r="13" spans="1:21" s="11" customFormat="1" ht="15">
      <c r="A13" s="53" t="s">
        <v>450</v>
      </c>
      <c r="B13" s="54">
        <v>14.75</v>
      </c>
      <c r="C13" s="54">
        <v>59.14</v>
      </c>
      <c r="D13" s="54">
        <v>44.43</v>
      </c>
      <c r="E13" s="54">
        <v>0.15</v>
      </c>
      <c r="F13" s="54">
        <v>3.40</v>
      </c>
      <c r="G13" s="54">
        <v>92.10</v>
      </c>
      <c r="H13" s="54">
        <v>37.14</v>
      </c>
      <c r="I13" s="54">
        <v>1.57</v>
      </c>
      <c r="J13" s="54">
        <v>0.08</v>
      </c>
      <c r="K13" s="54">
        <v>328.40</v>
      </c>
      <c r="L13" s="54">
        <v>15.88</v>
      </c>
      <c r="M13" s="54">
        <v>89.84</v>
      </c>
      <c r="N13" s="54">
        <v>12.70</v>
      </c>
      <c r="O13" s="54">
        <v>0</v>
      </c>
      <c r="P13" s="54">
        <v>0.84</v>
      </c>
      <c r="Q13" s="54">
        <v>8.64</v>
      </c>
      <c r="R13" s="43"/>
      <c r="S13" s="43"/>
      <c r="T13" s="43"/>
      <c r="U13" s="43"/>
    </row>
    <row r="14" spans="1:21" s="11" customFormat="1" ht="15">
      <c r="A14" s="53" t="s">
        <v>451</v>
      </c>
      <c r="B14" s="54">
        <v>28.68</v>
      </c>
      <c r="C14" s="54">
        <v>57.31</v>
      </c>
      <c r="D14" s="54">
        <v>55.06</v>
      </c>
      <c r="E14" s="54">
        <v>0.14000000000000001</v>
      </c>
      <c r="F14" s="54">
        <v>3.55</v>
      </c>
      <c r="G14" s="54">
        <v>121.16</v>
      </c>
      <c r="H14" s="54">
        <v>53.01</v>
      </c>
      <c r="I14" s="54">
        <v>1.55</v>
      </c>
      <c r="J14" s="54">
        <v>0.20</v>
      </c>
      <c r="K14" s="54">
        <v>80.58</v>
      </c>
      <c r="L14" s="54">
        <v>15.89</v>
      </c>
      <c r="M14" s="54">
        <v>90.85</v>
      </c>
      <c r="N14" s="54">
        <v>12.5</v>
      </c>
      <c r="O14" s="54">
        <v>0</v>
      </c>
      <c r="P14" s="54">
        <v>0.92</v>
      </c>
      <c r="Q14" s="54">
        <v>9.4499999999999993</v>
      </c>
      <c r="R14" s="43"/>
      <c r="S14" s="43"/>
      <c r="T14" s="43"/>
      <c r="U14" s="43"/>
    </row>
    <row r="15" spans="1:21" s="11" customFormat="1" ht="15">
      <c r="A15" s="53" t="s">
        <v>452</v>
      </c>
      <c r="B15" s="54">
        <v>34.76</v>
      </c>
      <c r="C15" s="54">
        <v>58.12</v>
      </c>
      <c r="D15" s="54">
        <v>60.60</v>
      </c>
      <c r="E15" s="54">
        <v>0.19</v>
      </c>
      <c r="F15" s="54">
        <v>3.15</v>
      </c>
      <c r="G15" s="54">
        <v>186.39</v>
      </c>
      <c r="H15" s="54">
        <v>67.239999999999995</v>
      </c>
      <c r="I15" s="54">
        <v>1.58</v>
      </c>
      <c r="J15" s="54">
        <v>0.42</v>
      </c>
      <c r="K15" s="54">
        <v>110.71</v>
      </c>
      <c r="L15" s="54">
        <v>16.32</v>
      </c>
      <c r="M15" s="54">
        <v>87.10</v>
      </c>
      <c r="N15" s="54">
        <v>16.80</v>
      </c>
      <c r="O15" s="54">
        <v>0</v>
      </c>
      <c r="P15" s="54">
        <v>1.05</v>
      </c>
      <c r="Q15" s="54">
        <v>9.89</v>
      </c>
      <c r="R15" s="43"/>
      <c r="S15" s="43"/>
      <c r="T15" s="43"/>
      <c r="U15" s="43"/>
    </row>
    <row r="16" spans="1:21" s="11" customFormat="1" ht="15">
      <c r="A16" s="53" t="s">
        <v>453</v>
      </c>
      <c r="B16" s="54">
        <v>43.01</v>
      </c>
      <c r="C16" s="54">
        <v>60.43</v>
      </c>
      <c r="D16" s="54">
        <v>68.489999999999995</v>
      </c>
      <c r="E16" s="54">
        <v>0.21</v>
      </c>
      <c r="F16" s="54">
        <v>3.19</v>
      </c>
      <c r="G16" s="54">
        <v>196.78</v>
      </c>
      <c r="H16" s="54">
        <v>73.20</v>
      </c>
      <c r="I16" s="54">
        <v>1.53</v>
      </c>
      <c r="J16" s="54">
        <v>0.33</v>
      </c>
      <c r="K16" s="54">
        <v>328.36</v>
      </c>
      <c r="L16" s="54">
        <v>18.04</v>
      </c>
      <c r="M16" s="54">
        <v>84.14</v>
      </c>
      <c r="N16" s="54">
        <v>96.70</v>
      </c>
      <c r="O16" s="54">
        <v>0</v>
      </c>
      <c r="P16" s="54">
        <v>1.19</v>
      </c>
      <c r="Q16" s="54">
        <v>10.44</v>
      </c>
      <c r="R16" s="43"/>
      <c r="S16" s="43"/>
      <c r="T16" s="43"/>
      <c r="U16" s="43"/>
    </row>
    <row r="17" spans="1:21" s="11" customFormat="1" ht="15">
      <c r="A17" s="53" t="s">
        <v>454</v>
      </c>
      <c r="B17" s="54">
        <v>44.32</v>
      </c>
      <c r="C17" s="54">
        <v>67.349999999999994</v>
      </c>
      <c r="D17" s="54">
        <v>71.400000000000006</v>
      </c>
      <c r="E17" s="54">
        <v>0.37</v>
      </c>
      <c r="F17" s="54">
        <v>3.20</v>
      </c>
      <c r="G17" s="54">
        <v>196.78</v>
      </c>
      <c r="H17" s="54">
        <v>75.83</v>
      </c>
      <c r="I17" s="54">
        <v>1.55</v>
      </c>
      <c r="J17" s="54">
        <v>0.80</v>
      </c>
      <c r="K17" s="54">
        <v>357.58</v>
      </c>
      <c r="L17" s="54">
        <v>19.04</v>
      </c>
      <c r="M17" s="54">
        <v>68.72</v>
      </c>
      <c r="N17" s="54">
        <v>124</v>
      </c>
      <c r="O17" s="54">
        <v>0</v>
      </c>
      <c r="P17" s="54">
        <v>1.23</v>
      </c>
      <c r="Q17" s="54">
        <v>10.74</v>
      </c>
      <c r="R17" s="43"/>
      <c r="S17" s="43"/>
      <c r="T17" s="43"/>
      <c r="U17" s="43"/>
    </row>
    <row r="18" spans="1:21" s="11" customFormat="1" ht="15">
      <c r="A18" s="53" t="s">
        <v>455</v>
      </c>
      <c r="B18" s="54">
        <v>39.90</v>
      </c>
      <c r="C18" s="54">
        <v>71.92</v>
      </c>
      <c r="D18" s="54">
        <v>70.36</v>
      </c>
      <c r="E18" s="54">
        <v>0.39</v>
      </c>
      <c r="F18" s="54">
        <v>3.34</v>
      </c>
      <c r="G18" s="54">
        <v>178.77</v>
      </c>
      <c r="H18" s="54">
        <v>75.83</v>
      </c>
      <c r="I18" s="54">
        <v>1.57</v>
      </c>
      <c r="J18" s="54">
        <v>0.74</v>
      </c>
      <c r="K18" s="54">
        <v>350.85</v>
      </c>
      <c r="L18" s="54">
        <v>21.37</v>
      </c>
      <c r="M18" s="54">
        <v>70.900000000000006</v>
      </c>
      <c r="N18" s="54">
        <v>177.70</v>
      </c>
      <c r="O18" s="54">
        <v>0</v>
      </c>
      <c r="P18" s="54">
        <v>1.31</v>
      </c>
      <c r="Q18" s="54">
        <v>10.76</v>
      </c>
      <c r="R18" s="43"/>
      <c r="S18" s="43"/>
      <c r="T18" s="43"/>
      <c r="U18" s="43"/>
    </row>
    <row r="19" spans="1:21" s="11" customFormat="1" ht="15">
      <c r="A19" s="53" t="s">
        <v>456</v>
      </c>
      <c r="B19" s="54">
        <v>36.119999999999997</v>
      </c>
      <c r="C19" s="54">
        <v>78.11</v>
      </c>
      <c r="D19" s="54">
        <v>69.989999999999995</v>
      </c>
      <c r="E19" s="54">
        <v>0.35</v>
      </c>
      <c r="F19" s="54">
        <v>3.65</v>
      </c>
      <c r="G19" s="54">
        <v>213.07</v>
      </c>
      <c r="H19" s="54">
        <v>76.53</v>
      </c>
      <c r="I19" s="54">
        <v>1.54</v>
      </c>
      <c r="J19" s="54">
        <v>0.71</v>
      </c>
      <c r="K19" s="54">
        <v>354.72</v>
      </c>
      <c r="L19" s="54">
        <v>26.14</v>
      </c>
      <c r="M19" s="54">
        <v>65.400000000000006</v>
      </c>
      <c r="N19" s="54">
        <v>336.40</v>
      </c>
      <c r="O19" s="54">
        <v>0</v>
      </c>
      <c r="P19" s="54">
        <v>1.41</v>
      </c>
      <c r="Q19" s="54">
        <v>10.83</v>
      </c>
      <c r="R19" s="43"/>
      <c r="S19" s="43"/>
      <c r="T19" s="43"/>
      <c r="U19" s="43"/>
    </row>
    <row r="20" spans="1:21" s="11" customFormat="1" ht="15">
      <c r="A20" s="53" t="s">
        <v>457</v>
      </c>
      <c r="B20" s="54">
        <v>28.28</v>
      </c>
      <c r="C20" s="54">
        <v>82.16</v>
      </c>
      <c r="D20" s="54">
        <v>67.510000000000005</v>
      </c>
      <c r="E20" s="54">
        <v>0.36</v>
      </c>
      <c r="F20" s="54">
        <v>3.52</v>
      </c>
      <c r="G20" s="54">
        <v>213.07</v>
      </c>
      <c r="H20" s="54">
        <v>76.53</v>
      </c>
      <c r="I20" s="54">
        <v>1.53</v>
      </c>
      <c r="J20" s="54">
        <v>0.46</v>
      </c>
      <c r="K20" s="54">
        <v>358.55</v>
      </c>
      <c r="L20" s="54">
        <v>27.35</v>
      </c>
      <c r="M20" s="54">
        <v>52.84</v>
      </c>
      <c r="N20" s="54">
        <v>368.80</v>
      </c>
      <c r="O20" s="54">
        <v>0</v>
      </c>
      <c r="P20" s="54">
        <v>1.41</v>
      </c>
      <c r="Q20" s="54">
        <v>10.75</v>
      </c>
      <c r="R20" s="43"/>
      <c r="S20" s="43"/>
      <c r="T20" s="43"/>
      <c r="U20" s="43"/>
    </row>
    <row r="21" spans="1:21" s="11" customFormat="1" ht="15">
      <c r="A21" s="53" t="s">
        <v>458</v>
      </c>
      <c r="B21" s="54">
        <v>17.260000000000002</v>
      </c>
      <c r="C21" s="54">
        <v>80.989999999999995</v>
      </c>
      <c r="D21" s="54">
        <v>59.18</v>
      </c>
      <c r="E21" s="54">
        <v>0.31</v>
      </c>
      <c r="F21" s="54">
        <v>4.26</v>
      </c>
      <c r="G21" s="54">
        <v>189.48</v>
      </c>
      <c r="H21" s="54">
        <v>80.400000000000006</v>
      </c>
      <c r="I21" s="54">
        <v>1.56</v>
      </c>
      <c r="J21" s="54">
        <v>0.5</v>
      </c>
      <c r="K21" s="54">
        <v>343.05</v>
      </c>
      <c r="L21" s="54">
        <v>26.40</v>
      </c>
      <c r="M21" s="54">
        <v>53.35</v>
      </c>
      <c r="N21" s="54">
        <v>381.70</v>
      </c>
      <c r="O21" s="54">
        <v>0</v>
      </c>
      <c r="P21" s="54">
        <v>1.28</v>
      </c>
      <c r="Q21" s="54">
        <v>10.29</v>
      </c>
      <c r="R21" s="43"/>
      <c r="S21" s="43"/>
      <c r="T21" s="43"/>
      <c r="U21" s="43"/>
    </row>
    <row r="22" spans="1:21" s="11" customFormat="1" ht="15">
      <c r="A22" s="53" t="s">
        <v>459</v>
      </c>
      <c r="B22" s="54">
        <v>5.63</v>
      </c>
      <c r="C22" s="54">
        <v>77.05</v>
      </c>
      <c r="D22" s="54">
        <v>47.69</v>
      </c>
      <c r="E22" s="54">
        <v>0.42</v>
      </c>
      <c r="F22" s="54">
        <v>4.80</v>
      </c>
      <c r="G22" s="54">
        <v>93.66</v>
      </c>
      <c r="H22" s="54">
        <v>80.400000000000006</v>
      </c>
      <c r="I22" s="54">
        <v>1.62</v>
      </c>
      <c r="J22" s="54">
        <v>0.49</v>
      </c>
      <c r="K22" s="54">
        <v>356.28</v>
      </c>
      <c r="L22" s="54">
        <v>27.43</v>
      </c>
      <c r="M22" s="54">
        <v>51.30</v>
      </c>
      <c r="N22" s="54">
        <v>336.10</v>
      </c>
      <c r="O22" s="54">
        <v>0</v>
      </c>
      <c r="P22" s="54">
        <v>1.0900000000000001</v>
      </c>
      <c r="Q22" s="54">
        <v>8.83</v>
      </c>
      <c r="R22" s="43"/>
      <c r="S22" s="43"/>
      <c r="T22" s="43"/>
      <c r="U22" s="43"/>
    </row>
    <row r="23" spans="1:21" s="11" customFormat="1" ht="15">
      <c r="A23" s="53" t="s">
        <v>460</v>
      </c>
      <c r="B23" s="54">
        <v>3.14</v>
      </c>
      <c r="C23" s="54">
        <v>68.430000000000007</v>
      </c>
      <c r="D23" s="54">
        <v>40.49</v>
      </c>
      <c r="E23" s="54">
        <v>0.23</v>
      </c>
      <c r="F23" s="54">
        <v>4.82</v>
      </c>
      <c r="G23" s="54">
        <v>81.319999999999993</v>
      </c>
      <c r="H23" s="54">
        <v>62.5</v>
      </c>
      <c r="I23" s="54">
        <v>1.54</v>
      </c>
      <c r="J23" s="54">
        <v>0.20</v>
      </c>
      <c r="K23" s="54">
        <v>321</v>
      </c>
      <c r="L23" s="54">
        <v>25.99</v>
      </c>
      <c r="M23" s="54">
        <v>53.49</v>
      </c>
      <c r="N23" s="54">
        <v>232.40</v>
      </c>
      <c r="O23" s="54">
        <v>0</v>
      </c>
      <c r="P23" s="54">
        <v>0.97</v>
      </c>
      <c r="Q23" s="54">
        <v>7.90</v>
      </c>
      <c r="R23" s="43"/>
      <c r="S23" s="43"/>
      <c r="T23" s="43"/>
      <c r="U23" s="43"/>
    </row>
    <row r="24" spans="1:21" s="11" customFormat="1" ht="15">
      <c r="A24" s="53" t="s">
        <v>461</v>
      </c>
      <c r="B24" s="54">
        <v>2.5099999999999998</v>
      </c>
      <c r="C24" s="54">
        <v>61.5</v>
      </c>
      <c r="D24" s="54">
        <v>36.60</v>
      </c>
      <c r="E24" s="54">
        <v>0.31</v>
      </c>
      <c r="F24" s="54">
        <v>4.96</v>
      </c>
      <c r="G24" s="54">
        <v>67.819999999999993</v>
      </c>
      <c r="H24" s="54">
        <v>47.88</v>
      </c>
      <c r="I24" s="54">
        <v>1.59</v>
      </c>
      <c r="J24" s="54">
        <v>0.70</v>
      </c>
      <c r="K24" s="54">
        <v>173.02</v>
      </c>
      <c r="L24" s="54">
        <v>24.52</v>
      </c>
      <c r="M24" s="54">
        <v>55.70</v>
      </c>
      <c r="N24" s="54">
        <v>115.70</v>
      </c>
      <c r="O24" s="54">
        <v>0</v>
      </c>
      <c r="P24" s="54">
        <v>0.82</v>
      </c>
      <c r="Q24" s="54">
        <v>7.52</v>
      </c>
      <c r="R24" s="43"/>
      <c r="S24" s="43"/>
      <c r="T24" s="43"/>
      <c r="U24" s="43"/>
    </row>
    <row r="25" spans="1:21" s="11" customFormat="1" ht="15">
      <c r="A25" s="53" t="s">
        <v>462</v>
      </c>
      <c r="B25" s="54">
        <v>3.20</v>
      </c>
      <c r="C25" s="54">
        <v>55.89</v>
      </c>
      <c r="D25" s="54">
        <v>34</v>
      </c>
      <c r="E25" s="54">
        <v>0.21</v>
      </c>
      <c r="F25" s="54">
        <v>4.1500000000000004</v>
      </c>
      <c r="G25" s="54">
        <v>63.34</v>
      </c>
      <c r="H25" s="54">
        <v>31.90</v>
      </c>
      <c r="I25" s="54">
        <v>1.51</v>
      </c>
      <c r="J25" s="54">
        <v>0.72</v>
      </c>
      <c r="K25" s="54">
        <v>160.94999999999999</v>
      </c>
      <c r="L25" s="54">
        <v>23.99</v>
      </c>
      <c r="M25" s="54">
        <v>57.67</v>
      </c>
      <c r="N25" s="54">
        <v>67.30</v>
      </c>
      <c r="O25" s="54">
        <v>0</v>
      </c>
      <c r="P25" s="54">
        <v>0.66</v>
      </c>
      <c r="Q25" s="54">
        <v>6.60</v>
      </c>
      <c r="R25" s="43"/>
      <c r="S25" s="43"/>
      <c r="T25" s="43"/>
      <c r="U25" s="43"/>
    </row>
    <row r="26" spans="1:21" s="11" customFormat="1" ht="15">
      <c r="A26" s="53" t="s">
        <v>463</v>
      </c>
      <c r="B26" s="54">
        <v>8.9499999999999993</v>
      </c>
      <c r="C26" s="54">
        <v>59.83</v>
      </c>
      <c r="D26" s="54">
        <v>40.85</v>
      </c>
      <c r="E26" s="54">
        <v>0.19</v>
      </c>
      <c r="F26" s="54">
        <v>3.35</v>
      </c>
      <c r="G26" s="54">
        <v>59.75</v>
      </c>
      <c r="H26" s="54">
        <v>30.21</v>
      </c>
      <c r="I26" s="54">
        <v>1.57</v>
      </c>
      <c r="J26" s="54">
        <v>0.14000000000000001</v>
      </c>
      <c r="K26" s="54">
        <v>348.73</v>
      </c>
      <c r="L26" s="54">
        <v>23.29</v>
      </c>
      <c r="M26" s="54">
        <v>74.05</v>
      </c>
      <c r="N26" s="54">
        <v>25.10</v>
      </c>
      <c r="O26" s="54">
        <v>0</v>
      </c>
      <c r="P26" s="54">
        <v>0.83</v>
      </c>
      <c r="Q26" s="54">
        <v>7.70</v>
      </c>
      <c r="R26" s="43"/>
      <c r="S26" s="43"/>
      <c r="T26" s="43"/>
      <c r="U26" s="43"/>
    </row>
    <row r="27" spans="1:21" s="11" customFormat="1" ht="15">
      <c r="A27" s="53" t="s">
        <v>464</v>
      </c>
      <c r="B27" s="54">
        <v>39.64</v>
      </c>
      <c r="C27" s="54">
        <v>66.040000000000006</v>
      </c>
      <c r="D27" s="54">
        <v>68.88</v>
      </c>
      <c r="E27" s="54">
        <v>0.26</v>
      </c>
      <c r="F27" s="54">
        <v>3.18</v>
      </c>
      <c r="G27" s="54">
        <v>125.61</v>
      </c>
      <c r="H27" s="54">
        <v>31.04</v>
      </c>
      <c r="I27" s="54">
        <v>1.52</v>
      </c>
      <c r="J27" s="54">
        <v>0.13</v>
      </c>
      <c r="K27" s="54">
        <v>337.80</v>
      </c>
      <c r="L27" s="54">
        <v>20.93</v>
      </c>
      <c r="M27" s="54">
        <v>87.21</v>
      </c>
      <c r="N27" s="54">
        <v>12.90</v>
      </c>
      <c r="O27" s="54">
        <v>0</v>
      </c>
      <c r="P27" s="54">
        <v>1.23</v>
      </c>
      <c r="Q27" s="54">
        <v>9.6999999999999993</v>
      </c>
      <c r="R27" s="43"/>
      <c r="S27" s="43"/>
      <c r="T27" s="43"/>
      <c r="U27" s="43"/>
    </row>
    <row r="28" spans="1:21" s="11" customFormat="1" ht="15">
      <c r="A28" s="53" t="s">
        <v>465</v>
      </c>
      <c r="B28" s="54">
        <v>68.03</v>
      </c>
      <c r="C28" s="54">
        <v>68.75</v>
      </c>
      <c r="D28" s="54">
        <v>93.14</v>
      </c>
      <c r="E28" s="54">
        <v>0.32</v>
      </c>
      <c r="F28" s="54">
        <v>3.20</v>
      </c>
      <c r="G28" s="54">
        <v>170.46</v>
      </c>
      <c r="H28" s="54">
        <v>38.24</v>
      </c>
      <c r="I28" s="54">
        <v>1.51</v>
      </c>
      <c r="J28" s="54">
        <v>0.08</v>
      </c>
      <c r="K28" s="54">
        <v>308.26</v>
      </c>
      <c r="L28" s="54">
        <v>19.96</v>
      </c>
      <c r="M28" s="54">
        <v>88.43</v>
      </c>
      <c r="N28" s="54">
        <v>12.90</v>
      </c>
      <c r="O28" s="54">
        <v>0</v>
      </c>
      <c r="P28" s="54">
        <v>1.48</v>
      </c>
      <c r="Q28" s="54">
        <v>12.21</v>
      </c>
      <c r="R28" s="43"/>
      <c r="S28" s="43"/>
      <c r="T28" s="43"/>
      <c r="U28" s="43"/>
    </row>
    <row r="29" spans="1:21" s="11" customFormat="1" ht="15">
      <c r="A29" s="53" t="s">
        <v>466</v>
      </c>
      <c r="B29" s="54">
        <v>82.44</v>
      </c>
      <c r="C29" s="54">
        <v>71.709999999999994</v>
      </c>
      <c r="D29" s="54">
        <v>106.33</v>
      </c>
      <c r="E29" s="54">
        <v>0.35</v>
      </c>
      <c r="F29" s="54">
        <v>3.23</v>
      </c>
      <c r="G29" s="54">
        <v>170.46</v>
      </c>
      <c r="H29" s="54">
        <v>44.63</v>
      </c>
      <c r="I29" s="54">
        <v>1.60</v>
      </c>
      <c r="J29" s="54">
        <v>0.11</v>
      </c>
      <c r="K29" s="54">
        <v>294.27</v>
      </c>
      <c r="L29" s="54">
        <v>19.54</v>
      </c>
      <c r="M29" s="54">
        <v>91.24</v>
      </c>
      <c r="N29" s="54">
        <v>12.90</v>
      </c>
      <c r="O29" s="54">
        <v>0</v>
      </c>
      <c r="P29" s="54">
        <v>1.97</v>
      </c>
      <c r="Q29" s="54">
        <v>13.44</v>
      </c>
      <c r="R29" s="43"/>
      <c r="S29" s="43"/>
      <c r="T29" s="43"/>
      <c r="U29" s="43"/>
    </row>
    <row r="30" spans="1:21" s="11" customFormat="1" ht="15">
      <c r="A30" s="53" t="s">
        <v>467</v>
      </c>
      <c r="B30" s="54">
        <v>104.36</v>
      </c>
      <c r="C30" s="54">
        <v>73.599999999999994</v>
      </c>
      <c r="D30" s="54">
        <v>124.96</v>
      </c>
      <c r="E30" s="54">
        <v>0.40</v>
      </c>
      <c r="F30" s="54">
        <v>3.33</v>
      </c>
      <c r="G30" s="54">
        <v>158.56</v>
      </c>
      <c r="H30" s="54">
        <v>45.44</v>
      </c>
      <c r="I30" s="54">
        <v>1.62</v>
      </c>
      <c r="J30" s="54">
        <v>0.13</v>
      </c>
      <c r="K30" s="54">
        <v>340.27</v>
      </c>
      <c r="L30" s="54">
        <v>18.989999999999998</v>
      </c>
      <c r="M30" s="54">
        <v>92.96</v>
      </c>
      <c r="N30" s="54">
        <v>12.80</v>
      </c>
      <c r="O30" s="54">
        <v>0</v>
      </c>
      <c r="P30" s="54">
        <v>2.38</v>
      </c>
      <c r="Q30" s="54">
        <v>15.06</v>
      </c>
      <c r="R30" s="43"/>
      <c r="S30" s="43"/>
      <c r="T30" s="43"/>
      <c r="U30" s="43"/>
    </row>
    <row r="31" spans="1:21" s="11" customFormat="1" ht="15">
      <c r="A31" s="53" t="s">
        <v>468</v>
      </c>
      <c r="B31" s="54">
        <v>121.5</v>
      </c>
      <c r="C31" s="54">
        <v>74.709999999999994</v>
      </c>
      <c r="D31" s="54">
        <v>139.11000000000001</v>
      </c>
      <c r="E31" s="54">
        <v>0.51</v>
      </c>
      <c r="F31" s="54">
        <v>3.39</v>
      </c>
      <c r="G31" s="54">
        <v>165.03</v>
      </c>
      <c r="H31" s="54">
        <v>49.88</v>
      </c>
      <c r="I31" s="54">
        <v>1.52</v>
      </c>
      <c r="J31" s="54">
        <v>0.16</v>
      </c>
      <c r="K31" s="54">
        <v>294.48</v>
      </c>
      <c r="L31" s="54">
        <v>18.559999999999999</v>
      </c>
      <c r="M31" s="54">
        <v>94.82</v>
      </c>
      <c r="N31" s="54">
        <v>12.90</v>
      </c>
      <c r="O31" s="54">
        <v>0</v>
      </c>
      <c r="P31" s="54">
        <v>2.61</v>
      </c>
      <c r="Q31" s="54">
        <v>16.57</v>
      </c>
      <c r="R31" s="43"/>
      <c r="S31" s="43"/>
      <c r="T31" s="43"/>
      <c r="U31" s="43"/>
    </row>
    <row r="32" spans="1:21" s="11" customFormat="1" ht="15">
      <c r="A32" s="53" t="s">
        <v>469</v>
      </c>
      <c r="B32" s="54">
        <v>119.32</v>
      </c>
      <c r="C32" s="54">
        <v>74.31</v>
      </c>
      <c r="D32" s="54">
        <v>137.34</v>
      </c>
      <c r="E32" s="54">
        <v>0.47</v>
      </c>
      <c r="F32" s="54">
        <v>3.5</v>
      </c>
      <c r="G32" s="54">
        <v>165.03</v>
      </c>
      <c r="H32" s="54">
        <v>49.88</v>
      </c>
      <c r="I32" s="54">
        <v>1.52</v>
      </c>
      <c r="J32" s="54">
        <v>0.09</v>
      </c>
      <c r="K32" s="54">
        <v>319.72000000000003</v>
      </c>
      <c r="L32" s="54">
        <v>18.80</v>
      </c>
      <c r="M32" s="54">
        <v>88.33</v>
      </c>
      <c r="N32" s="54">
        <v>13</v>
      </c>
      <c r="O32" s="54">
        <v>0</v>
      </c>
      <c r="P32" s="54">
        <v>2.5099999999999998</v>
      </c>
      <c r="Q32" s="54">
        <v>16.690000000000001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2.5099999999999998</v>
      </c>
      <c r="C34" s="28">
        <f t="shared" si="0"/>
        <v>55.890000000000001</v>
      </c>
      <c r="D34" s="28">
        <f t="shared" si="0"/>
        <v>34</v>
      </c>
      <c r="E34" s="28">
        <f t="shared" si="0"/>
        <v>0.14000000000000001</v>
      </c>
      <c r="F34" s="28">
        <f t="shared" si="0"/>
        <v>3.1499999999999999</v>
      </c>
      <c r="G34" s="28">
        <f t="shared" si="0"/>
        <v>59.75</v>
      </c>
      <c r="H34" s="28">
        <f t="shared" si="0"/>
        <v>30.210000000000001</v>
      </c>
      <c r="I34" s="28">
        <f t="shared" si="0"/>
        <v>1.5</v>
      </c>
      <c r="J34" s="28">
        <f t="shared" si="0"/>
        <v>0.080000000000000002</v>
      </c>
      <c r="K34" s="28">
        <f t="shared" si="0"/>
        <v>80.579999999999998</v>
      </c>
      <c r="L34" s="28">
        <f t="shared" si="0"/>
        <v>15.880000000000001</v>
      </c>
      <c r="M34" s="28">
        <f t="shared" si="0"/>
        <v>51.299999999999997</v>
      </c>
      <c r="N34" s="28">
        <f t="shared" si="0"/>
        <v>12.4</v>
      </c>
      <c r="O34" s="28">
        <f t="shared" si="0"/>
        <v>0</v>
      </c>
      <c r="P34" s="28">
        <f t="shared" si="0"/>
        <v>0.66000000000000003</v>
      </c>
      <c r="Q34" s="28">
        <f t="shared" si="0"/>
        <v>6.5999999999999996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121.5</v>
      </c>
      <c r="C35" s="29">
        <f t="shared" si="1"/>
        <v>82.159999999999997</v>
      </c>
      <c r="D35" s="29">
        <f t="shared" si="1"/>
        <v>139.11000000000001</v>
      </c>
      <c r="E35" s="29">
        <f t="shared" si="1"/>
        <v>0.51000000000000001</v>
      </c>
      <c r="F35" s="29">
        <f t="shared" si="1"/>
        <v>4.96</v>
      </c>
      <c r="G35" s="29">
        <f t="shared" si="1"/>
        <v>213.06999999999999</v>
      </c>
      <c r="H35" s="29">
        <f t="shared" si="1"/>
        <v>80.400000000000006</v>
      </c>
      <c r="I35" s="29">
        <f t="shared" si="1"/>
        <v>1.6200000000000001</v>
      </c>
      <c r="J35" s="29">
        <f t="shared" si="1"/>
        <v>0.80000000000000004</v>
      </c>
      <c r="K35" s="29">
        <f t="shared" si="1"/>
        <v>358.55000000000001</v>
      </c>
      <c r="L35" s="29">
        <f t="shared" si="1"/>
        <v>27.43</v>
      </c>
      <c r="M35" s="29">
        <f t="shared" si="1"/>
        <v>94.819999999999993</v>
      </c>
      <c r="N35" s="29">
        <f t="shared" si="1"/>
        <v>381.69999999999999</v>
      </c>
      <c r="O35" s="29">
        <f t="shared" si="1"/>
        <v>0</v>
      </c>
      <c r="P35" s="29">
        <f t="shared" si="1"/>
        <v>2.6099999999999999</v>
      </c>
      <c r="Q35" s="29">
        <f t="shared" si="1"/>
        <v>16.690000000000001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37.744583333333331</v>
      </c>
      <c r="C36" s="28">
        <f t="shared" si="2"/>
        <v>68.133333333333326</v>
      </c>
      <c r="D36" s="28">
        <f t="shared" si="2"/>
        <v>68.075000000000003</v>
      </c>
      <c r="E36" s="28">
        <f t="shared" si="2"/>
        <v>0.29333333333333333</v>
      </c>
      <c r="F36" s="28">
        <f t="shared" si="2"/>
        <v>3.6125000000000003</v>
      </c>
      <c r="G36" s="28">
        <f t="shared" si="2"/>
        <v>135.90083333333337</v>
      </c>
      <c r="H36" s="28">
        <f t="shared" si="2"/>
        <v>53.369583333333345</v>
      </c>
      <c r="I36" s="28">
        <f t="shared" si="2"/>
        <v>1.551666666666667</v>
      </c>
      <c r="J36" s="28">
        <f t="shared" si="2"/>
        <v>0.35125000000000006</v>
      </c>
      <c r="K36" s="28">
        <f t="shared" si="2"/>
        <v>289.60333333333335</v>
      </c>
      <c r="L36" s="28">
        <f t="shared" si="2"/>
        <v>20.70291666666667</v>
      </c>
      <c r="M36" s="28">
        <f t="shared" si="2"/>
        <v>75.197500000000005</v>
      </c>
      <c r="N36" s="28">
        <f t="shared" si="2"/>
        <v>101.3416666666667</v>
      </c>
      <c r="O36" s="28">
        <f t="shared" si="2"/>
        <v>0</v>
      </c>
      <c r="P36" s="28">
        <f t="shared" si="2"/>
        <v>1.3129166666666665</v>
      </c>
      <c r="Q36" s="28">
        <f t="shared" si="2"/>
        <v>10.369166666666667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36.065998558098372</v>
      </c>
      <c r="C37" s="28">
        <f t="shared" si="3" ref="C37:Q37">STDEV(C9:C32)</f>
        <v>7.7610273113510209</v>
      </c>
      <c r="D37" s="28">
        <f t="shared" si="3"/>
        <v>30.727741608322393</v>
      </c>
      <c r="E37" s="28">
        <f t="shared" si="3"/>
        <v>0.10136746183485403</v>
      </c>
      <c r="F37" s="28">
        <f t="shared" si="3"/>
        <v>0.55472868417225452</v>
      </c>
      <c r="G37" s="28">
        <f t="shared" si="3"/>
        <v>52.662179640542249</v>
      </c>
      <c r="H37" s="28">
        <f t="shared" si="3"/>
        <v>18.005411862564525</v>
      </c>
      <c r="I37" s="28">
        <f t="shared" si="3"/>
        <v>0.033578806290338263</v>
      </c>
      <c r="J37" s="28">
        <f t="shared" si="3"/>
        <v>0.24853155691502957</v>
      </c>
      <c r="K37" s="28">
        <f t="shared" si="3"/>
        <v>82.951042851461054</v>
      </c>
      <c r="L37" s="28">
        <f t="shared" si="3"/>
        <v>3.9222447866835686</v>
      </c>
      <c r="M37" s="28">
        <f t="shared" si="3"/>
        <v>15.12242080057176</v>
      </c>
      <c r="N37" s="28">
        <f t="shared" si="3"/>
        <v>130.62710590494399</v>
      </c>
      <c r="O37" s="28">
        <f t="shared" si="3"/>
        <v>0</v>
      </c>
      <c r="P37" s="28">
        <f t="shared" si="3"/>
        <v>0.53751828415143377</v>
      </c>
      <c r="Q37" s="28">
        <f t="shared" si="3"/>
        <v>2.7066583226115397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1b87f0e-b7e8-42cc-92e9-6268391b6e21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470</v>
      </c>
      <c r="B9" s="54">
        <v>104.83</v>
      </c>
      <c r="C9" s="54">
        <v>69.45</v>
      </c>
      <c r="D9" s="54">
        <v>123.03</v>
      </c>
      <c r="E9" s="54">
        <v>0.31</v>
      </c>
      <c r="F9" s="54">
        <v>3.53</v>
      </c>
      <c r="G9" s="54">
        <v>136.58000000000001</v>
      </c>
      <c r="H9" s="54">
        <v>49.72</v>
      </c>
      <c r="I9" s="54">
        <v>1.53</v>
      </c>
      <c r="J9" s="54">
        <v>0.12</v>
      </c>
      <c r="K9" s="54">
        <v>303.64999999999998</v>
      </c>
      <c r="L9" s="54">
        <v>18</v>
      </c>
      <c r="M9" s="54">
        <v>97.20</v>
      </c>
      <c r="N9" s="54">
        <v>13</v>
      </c>
      <c r="O9" s="54">
        <v>0</v>
      </c>
      <c r="P9" s="54">
        <v>2.2400000000000002</v>
      </c>
      <c r="Q9" s="54">
        <v>15.87</v>
      </c>
      <c r="R9" s="43"/>
      <c r="S9" s="43"/>
      <c r="T9" s="43"/>
      <c r="U9" s="43"/>
    </row>
    <row r="10" spans="1:21" s="11" customFormat="1" ht="15">
      <c r="A10" s="53" t="s">
        <v>471</v>
      </c>
      <c r="B10" s="54">
        <v>92.35</v>
      </c>
      <c r="C10" s="54">
        <v>64.11</v>
      </c>
      <c r="D10" s="54">
        <v>110.08</v>
      </c>
      <c r="E10" s="54">
        <v>0.27</v>
      </c>
      <c r="F10" s="54">
        <v>3.34</v>
      </c>
      <c r="G10" s="54">
        <v>112.22</v>
      </c>
      <c r="H10" s="54">
        <v>49.72</v>
      </c>
      <c r="I10" s="54">
        <v>1.53</v>
      </c>
      <c r="J10" s="54">
        <v>0.13</v>
      </c>
      <c r="K10" s="54">
        <v>319.67</v>
      </c>
      <c r="L10" s="54">
        <v>16.96</v>
      </c>
      <c r="M10" s="54">
        <v>99.81</v>
      </c>
      <c r="N10" s="54">
        <v>12.90</v>
      </c>
      <c r="O10" s="54">
        <v>0</v>
      </c>
      <c r="P10" s="54">
        <v>1.85</v>
      </c>
      <c r="Q10" s="54">
        <v>14.82</v>
      </c>
      <c r="R10" s="43"/>
      <c r="S10" s="43"/>
      <c r="T10" s="43"/>
      <c r="U10" s="43"/>
    </row>
    <row r="11" spans="1:21" s="11" customFormat="1" ht="15">
      <c r="A11" s="53" t="s">
        <v>472</v>
      </c>
      <c r="B11" s="54">
        <v>78.73</v>
      </c>
      <c r="C11" s="54">
        <v>60.96</v>
      </c>
      <c r="D11" s="54">
        <v>97.42</v>
      </c>
      <c r="E11" s="54">
        <v>0.22</v>
      </c>
      <c r="F11" s="54">
        <v>3.25</v>
      </c>
      <c r="G11" s="54">
        <v>106.92</v>
      </c>
      <c r="H11" s="54">
        <v>45.24</v>
      </c>
      <c r="I11" s="54">
        <v>1.59</v>
      </c>
      <c r="J11" s="54">
        <v>0.12</v>
      </c>
      <c r="K11" s="54">
        <v>297.45999999999998</v>
      </c>
      <c r="L11" s="54">
        <v>16.89</v>
      </c>
      <c r="M11" s="54">
        <v>101.21</v>
      </c>
      <c r="N11" s="54">
        <v>12.90</v>
      </c>
      <c r="O11" s="54">
        <v>0</v>
      </c>
      <c r="P11" s="54">
        <v>1.63</v>
      </c>
      <c r="Q11" s="54">
        <v>13.95</v>
      </c>
      <c r="R11" s="43"/>
      <c r="S11" s="43"/>
      <c r="T11" s="43"/>
      <c r="U11" s="43"/>
    </row>
    <row r="12" spans="1:21" s="11" customFormat="1" ht="15">
      <c r="A12" s="53" t="s">
        <v>473</v>
      </c>
      <c r="B12" s="54">
        <v>63.57</v>
      </c>
      <c r="C12" s="54">
        <v>55.44</v>
      </c>
      <c r="D12" s="54">
        <v>82.22</v>
      </c>
      <c r="E12" s="54">
        <v>0.23</v>
      </c>
      <c r="F12" s="54">
        <v>3.07</v>
      </c>
      <c r="G12" s="54">
        <v>75.89</v>
      </c>
      <c r="H12" s="54">
        <v>44.07</v>
      </c>
      <c r="I12" s="54">
        <v>1.51</v>
      </c>
      <c r="J12" s="54">
        <v>0.49</v>
      </c>
      <c r="K12" s="54">
        <v>351.26</v>
      </c>
      <c r="L12" s="54">
        <v>16.88</v>
      </c>
      <c r="M12" s="54">
        <v>101.15</v>
      </c>
      <c r="N12" s="54">
        <v>12.70</v>
      </c>
      <c r="O12" s="54">
        <v>0</v>
      </c>
      <c r="P12" s="54">
        <v>1.37</v>
      </c>
      <c r="Q12" s="54">
        <v>12.44</v>
      </c>
      <c r="R12" s="43"/>
      <c r="S12" s="43"/>
      <c r="T12" s="43"/>
      <c r="U12" s="43"/>
    </row>
    <row r="13" spans="1:21" s="11" customFormat="1" ht="15">
      <c r="A13" s="53" t="s">
        <v>474</v>
      </c>
      <c r="B13" s="54">
        <v>49.85</v>
      </c>
      <c r="C13" s="54">
        <v>55.98</v>
      </c>
      <c r="D13" s="54">
        <v>70.88</v>
      </c>
      <c r="E13" s="54">
        <v>0.28999999999999998</v>
      </c>
      <c r="F13" s="54">
        <v>3.22</v>
      </c>
      <c r="G13" s="54">
        <v>94.38</v>
      </c>
      <c r="H13" s="54">
        <v>43.66</v>
      </c>
      <c r="I13" s="54">
        <v>1.54</v>
      </c>
      <c r="J13" s="54">
        <v>0.56000000000000005</v>
      </c>
      <c r="K13" s="54">
        <v>359.31</v>
      </c>
      <c r="L13" s="54">
        <v>17.02</v>
      </c>
      <c r="M13" s="54">
        <v>98.18</v>
      </c>
      <c r="N13" s="54">
        <v>12.80</v>
      </c>
      <c r="O13" s="54">
        <v>0</v>
      </c>
      <c r="P13" s="54">
        <v>1.19</v>
      </c>
      <c r="Q13" s="54">
        <v>11.33</v>
      </c>
      <c r="R13" s="43"/>
      <c r="S13" s="43"/>
      <c r="T13" s="43"/>
      <c r="U13" s="43"/>
    </row>
    <row r="14" spans="1:21" s="11" customFormat="1" ht="15">
      <c r="A14" s="53" t="s">
        <v>475</v>
      </c>
      <c r="B14" s="54">
        <v>41.24</v>
      </c>
      <c r="C14" s="54">
        <v>56.64</v>
      </c>
      <c r="D14" s="54">
        <v>64.53</v>
      </c>
      <c r="E14" s="54">
        <v>0.26</v>
      </c>
      <c r="F14" s="54">
        <v>3.28</v>
      </c>
      <c r="G14" s="54">
        <v>101.62</v>
      </c>
      <c r="H14" s="54">
        <v>45.91</v>
      </c>
      <c r="I14" s="54">
        <v>1.53</v>
      </c>
      <c r="J14" s="54">
        <v>0.26</v>
      </c>
      <c r="K14" s="54">
        <v>358.67</v>
      </c>
      <c r="L14" s="54">
        <v>16.59</v>
      </c>
      <c r="M14" s="54">
        <v>101.17</v>
      </c>
      <c r="N14" s="54">
        <v>12.90</v>
      </c>
      <c r="O14" s="54">
        <v>0</v>
      </c>
      <c r="P14" s="54">
        <v>1.1499999999999999</v>
      </c>
      <c r="Q14" s="54">
        <v>10.68</v>
      </c>
      <c r="R14" s="43"/>
      <c r="S14" s="43"/>
      <c r="T14" s="43"/>
      <c r="U14" s="43"/>
    </row>
    <row r="15" spans="1:21" s="11" customFormat="1" ht="15">
      <c r="A15" s="53" t="s">
        <v>476</v>
      </c>
      <c r="B15" s="54">
        <v>37.520000000000003</v>
      </c>
      <c r="C15" s="54">
        <v>57.06</v>
      </c>
      <c r="D15" s="54">
        <v>62.17</v>
      </c>
      <c r="E15" s="54">
        <v>0.28000000000000003</v>
      </c>
      <c r="F15" s="54">
        <v>3.26</v>
      </c>
      <c r="G15" s="54">
        <v>101.62</v>
      </c>
      <c r="H15" s="54">
        <v>45.91</v>
      </c>
      <c r="I15" s="54">
        <v>1.52</v>
      </c>
      <c r="J15" s="54">
        <v>0.49</v>
      </c>
      <c r="K15" s="54">
        <v>356.60</v>
      </c>
      <c r="L15" s="54">
        <v>16.37</v>
      </c>
      <c r="M15" s="54">
        <v>101.25</v>
      </c>
      <c r="N15" s="54">
        <v>23.40</v>
      </c>
      <c r="O15" s="54">
        <v>0</v>
      </c>
      <c r="P15" s="54">
        <v>1.03</v>
      </c>
      <c r="Q15" s="54">
        <v>10.36</v>
      </c>
      <c r="R15" s="43"/>
      <c r="S15" s="43"/>
      <c r="T15" s="43"/>
      <c r="U15" s="43"/>
    </row>
    <row r="16" spans="1:21" s="11" customFormat="1" ht="15">
      <c r="A16" s="53" t="s">
        <v>477</v>
      </c>
      <c r="B16" s="54">
        <v>37.82</v>
      </c>
      <c r="C16" s="54">
        <v>56.92</v>
      </c>
      <c r="D16" s="54">
        <v>62.23</v>
      </c>
      <c r="E16" s="54">
        <v>0.27</v>
      </c>
      <c r="F16" s="54">
        <v>3.44</v>
      </c>
      <c r="G16" s="54">
        <v>104.83</v>
      </c>
      <c r="H16" s="54">
        <v>44.23</v>
      </c>
      <c r="I16" s="54">
        <v>1.52</v>
      </c>
      <c r="J16" s="54">
        <v>0.37</v>
      </c>
      <c r="K16" s="54">
        <v>350.92</v>
      </c>
      <c r="L16" s="54">
        <v>18.21</v>
      </c>
      <c r="M16" s="54">
        <v>101.18</v>
      </c>
      <c r="N16" s="54">
        <v>95</v>
      </c>
      <c r="O16" s="54">
        <v>0</v>
      </c>
      <c r="P16" s="54">
        <v>1.06</v>
      </c>
      <c r="Q16" s="54">
        <v>10.54</v>
      </c>
      <c r="R16" s="43"/>
      <c r="S16" s="43"/>
      <c r="T16" s="43"/>
      <c r="U16" s="43"/>
    </row>
    <row r="17" spans="1:21" s="11" customFormat="1" ht="15">
      <c r="A17" s="53" t="s">
        <v>478</v>
      </c>
      <c r="B17" s="54">
        <v>40.26</v>
      </c>
      <c r="C17" s="54">
        <v>57.85</v>
      </c>
      <c r="D17" s="54">
        <v>64.709999999999994</v>
      </c>
      <c r="E17" s="54">
        <v>0.31</v>
      </c>
      <c r="F17" s="54">
        <v>3.25</v>
      </c>
      <c r="G17" s="54">
        <v>115.92</v>
      </c>
      <c r="H17" s="54">
        <v>45.46</v>
      </c>
      <c r="I17" s="54">
        <v>1.49</v>
      </c>
      <c r="J17" s="54">
        <v>0.51</v>
      </c>
      <c r="K17" s="54">
        <v>120.05</v>
      </c>
      <c r="L17" s="54">
        <v>19.02</v>
      </c>
      <c r="M17" s="54">
        <v>94.29</v>
      </c>
      <c r="N17" s="54">
        <v>170.10</v>
      </c>
      <c r="O17" s="54">
        <v>0</v>
      </c>
      <c r="P17" s="54">
        <v>1.08</v>
      </c>
      <c r="Q17" s="54">
        <v>10.83</v>
      </c>
      <c r="R17" s="43"/>
      <c r="S17" s="43"/>
      <c r="T17" s="43"/>
      <c r="U17" s="43"/>
    </row>
    <row r="18" spans="1:21" s="11" customFormat="1" ht="15">
      <c r="A18" s="53" t="s">
        <v>479</v>
      </c>
      <c r="B18" s="54">
        <v>38.31</v>
      </c>
      <c r="C18" s="54">
        <v>59.78</v>
      </c>
      <c r="D18" s="54">
        <v>63.51</v>
      </c>
      <c r="E18" s="54">
        <v>0.28999999999999998</v>
      </c>
      <c r="F18" s="54">
        <v>3.38</v>
      </c>
      <c r="G18" s="54">
        <v>115.92</v>
      </c>
      <c r="H18" s="54">
        <v>48.16</v>
      </c>
      <c r="I18" s="54">
        <v>1.63</v>
      </c>
      <c r="J18" s="54">
        <v>0.59</v>
      </c>
      <c r="K18" s="54">
        <v>133.34</v>
      </c>
      <c r="L18" s="54">
        <v>21.72</v>
      </c>
      <c r="M18" s="54">
        <v>89.25</v>
      </c>
      <c r="N18" s="54">
        <v>271.10000000000002</v>
      </c>
      <c r="O18" s="54">
        <v>0</v>
      </c>
      <c r="P18" s="54">
        <v>1.07</v>
      </c>
      <c r="Q18" s="54">
        <v>10.79</v>
      </c>
      <c r="R18" s="43"/>
      <c r="S18" s="43"/>
      <c r="T18" s="43"/>
      <c r="U18" s="43"/>
    </row>
    <row r="19" spans="1:21" s="11" customFormat="1" ht="15">
      <c r="A19" s="53" t="s">
        <v>480</v>
      </c>
      <c r="B19" s="54">
        <v>28.02</v>
      </c>
      <c r="C19" s="54">
        <v>67.81</v>
      </c>
      <c r="D19" s="54">
        <v>56.51</v>
      </c>
      <c r="E19" s="54">
        <v>0.25</v>
      </c>
      <c r="F19" s="54">
        <v>3.49</v>
      </c>
      <c r="G19" s="54">
        <v>108.74</v>
      </c>
      <c r="H19" s="54">
        <v>48.16</v>
      </c>
      <c r="I19" s="54">
        <v>1.56</v>
      </c>
      <c r="J19" s="54">
        <v>0.99</v>
      </c>
      <c r="K19" s="54">
        <v>341.76</v>
      </c>
      <c r="L19" s="54">
        <v>26.31</v>
      </c>
      <c r="M19" s="54">
        <v>69.36</v>
      </c>
      <c r="N19" s="54">
        <v>312.20</v>
      </c>
      <c r="O19" s="54">
        <v>0</v>
      </c>
      <c r="P19" s="54">
        <v>1.05</v>
      </c>
      <c r="Q19" s="54">
        <v>10.050000000000001</v>
      </c>
      <c r="R19" s="43"/>
      <c r="S19" s="43"/>
      <c r="T19" s="43"/>
      <c r="U19" s="43"/>
    </row>
    <row r="20" spans="1:21" s="11" customFormat="1" ht="15">
      <c r="A20" s="53" t="s">
        <v>481</v>
      </c>
      <c r="B20" s="54">
        <v>16.97</v>
      </c>
      <c r="C20" s="54">
        <v>69.040000000000006</v>
      </c>
      <c r="D20" s="54">
        <v>52.26</v>
      </c>
      <c r="E20" s="54">
        <v>0.22</v>
      </c>
      <c r="F20" s="54">
        <v>3.71</v>
      </c>
      <c r="G20" s="54">
        <v>108.74</v>
      </c>
      <c r="H20" s="54">
        <v>47.26</v>
      </c>
      <c r="I20" s="54">
        <v>1.56</v>
      </c>
      <c r="J20" s="54">
        <v>0.83</v>
      </c>
      <c r="K20" s="54">
        <v>338.32</v>
      </c>
      <c r="L20" s="54">
        <v>24.79</v>
      </c>
      <c r="M20" s="54">
        <v>63.89</v>
      </c>
      <c r="N20" s="54">
        <v>277.70</v>
      </c>
      <c r="O20" s="54">
        <v>0</v>
      </c>
      <c r="P20" s="54">
        <v>1</v>
      </c>
      <c r="Q20" s="54">
        <v>9.5399999999999991</v>
      </c>
      <c r="R20" s="43"/>
      <c r="S20" s="43"/>
      <c r="T20" s="43"/>
      <c r="U20" s="43"/>
    </row>
    <row r="21" spans="1:21" s="11" customFormat="1" ht="15">
      <c r="A21" s="53" t="s">
        <v>482</v>
      </c>
      <c r="B21" s="54">
        <v>7.64</v>
      </c>
      <c r="C21" s="54">
        <v>68.77</v>
      </c>
      <c r="D21" s="54">
        <v>44.73</v>
      </c>
      <c r="E21" s="54">
        <v>0.15</v>
      </c>
      <c r="F21" s="54">
        <v>3.90</v>
      </c>
      <c r="G21" s="54">
        <v>93.71</v>
      </c>
      <c r="H21" s="54">
        <v>43.66</v>
      </c>
      <c r="I21" s="54">
        <v>1.52</v>
      </c>
      <c r="J21" s="54">
        <v>1.17</v>
      </c>
      <c r="K21" s="54">
        <v>325.35000000000002</v>
      </c>
      <c r="L21" s="54">
        <v>24.66</v>
      </c>
      <c r="M21" s="54">
        <v>63.18</v>
      </c>
      <c r="N21" s="54">
        <v>200.80</v>
      </c>
      <c r="O21" s="54">
        <v>0</v>
      </c>
      <c r="P21" s="54">
        <v>0.88</v>
      </c>
      <c r="Q21" s="54">
        <v>8.7799999999999994</v>
      </c>
      <c r="R21" s="43"/>
      <c r="S21" s="43"/>
      <c r="T21" s="43"/>
      <c r="U21" s="43"/>
    </row>
    <row r="22" spans="1:21" s="11" customFormat="1" ht="15">
      <c r="A22" s="53" t="s">
        <v>483</v>
      </c>
      <c r="B22" s="54">
        <v>7.24</v>
      </c>
      <c r="C22" s="54">
        <v>67.48</v>
      </c>
      <c r="D22" s="54">
        <v>43.09</v>
      </c>
      <c r="E22" s="54">
        <v>0.28000000000000003</v>
      </c>
      <c r="F22" s="54">
        <v>3.80</v>
      </c>
      <c r="G22" s="54">
        <v>75.45</v>
      </c>
      <c r="H22" s="54">
        <v>36.82</v>
      </c>
      <c r="I22" s="54">
        <v>1.54</v>
      </c>
      <c r="J22" s="54">
        <v>1.25</v>
      </c>
      <c r="K22" s="54">
        <v>337.74</v>
      </c>
      <c r="L22" s="54">
        <v>25.47</v>
      </c>
      <c r="M22" s="54">
        <v>63.58</v>
      </c>
      <c r="N22" s="54">
        <v>255</v>
      </c>
      <c r="O22" s="54">
        <v>0</v>
      </c>
      <c r="P22" s="54">
        <v>0.84</v>
      </c>
      <c r="Q22" s="54">
        <v>8.73</v>
      </c>
      <c r="R22" s="43"/>
      <c r="S22" s="43"/>
      <c r="T22" s="43"/>
      <c r="U22" s="43"/>
    </row>
    <row r="23" spans="1:21" s="11" customFormat="1" ht="15">
      <c r="A23" s="53" t="s">
        <v>484</v>
      </c>
      <c r="B23" s="54">
        <v>8.81</v>
      </c>
      <c r="C23" s="54">
        <v>66.47</v>
      </c>
      <c r="D23" s="54">
        <v>44.39</v>
      </c>
      <c r="E23" s="54">
        <v>0.14000000000000001</v>
      </c>
      <c r="F23" s="54">
        <v>4.0599999999999996</v>
      </c>
      <c r="G23" s="54">
        <v>75.45</v>
      </c>
      <c r="H23" s="54">
        <v>36.770000000000003</v>
      </c>
      <c r="I23" s="54">
        <v>1.59</v>
      </c>
      <c r="J23" s="54">
        <v>1.01</v>
      </c>
      <c r="K23" s="54">
        <v>344.06</v>
      </c>
      <c r="L23" s="54">
        <v>25.83</v>
      </c>
      <c r="M23" s="54">
        <v>65.47</v>
      </c>
      <c r="N23" s="54">
        <v>206.80</v>
      </c>
      <c r="O23" s="54">
        <v>0</v>
      </c>
      <c r="P23" s="54">
        <v>0.86</v>
      </c>
      <c r="Q23" s="54">
        <v>8.8800000000000008</v>
      </c>
      <c r="R23" s="43"/>
      <c r="S23" s="43"/>
      <c r="T23" s="43"/>
      <c r="U23" s="43"/>
    </row>
    <row r="24" spans="1:21" s="11" customFormat="1" ht="15">
      <c r="A24" s="53" t="s">
        <v>485</v>
      </c>
      <c r="B24" s="54">
        <v>9.7899999999999991</v>
      </c>
      <c r="C24" s="54">
        <v>67.69</v>
      </c>
      <c r="D24" s="54">
        <v>45.85</v>
      </c>
      <c r="E24" s="54">
        <v>0.14000000000000001</v>
      </c>
      <c r="F24" s="54">
        <v>3.61</v>
      </c>
      <c r="G24" s="54">
        <v>82.81</v>
      </c>
      <c r="H24" s="54">
        <v>36.770000000000003</v>
      </c>
      <c r="I24" s="54">
        <v>1.54</v>
      </c>
      <c r="J24" s="54">
        <v>0.96</v>
      </c>
      <c r="K24" s="54">
        <v>351.42</v>
      </c>
      <c r="L24" s="54">
        <v>24.43</v>
      </c>
      <c r="M24" s="54">
        <v>68.27</v>
      </c>
      <c r="N24" s="54">
        <v>141.5</v>
      </c>
      <c r="O24" s="54">
        <v>0</v>
      </c>
      <c r="P24" s="54">
        <v>0.89</v>
      </c>
      <c r="Q24" s="54">
        <v>9.10</v>
      </c>
      <c r="R24" s="43"/>
      <c r="S24" s="43"/>
      <c r="T24" s="43"/>
      <c r="U24" s="43"/>
    </row>
    <row r="25" spans="1:21" s="11" customFormat="1" ht="15">
      <c r="A25" s="53" t="s">
        <v>486</v>
      </c>
      <c r="B25" s="54">
        <v>12.30</v>
      </c>
      <c r="C25" s="54">
        <v>68.069999999999993</v>
      </c>
      <c r="D25" s="54">
        <v>48.08</v>
      </c>
      <c r="E25" s="54">
        <v>0.22</v>
      </c>
      <c r="F25" s="54">
        <v>3.70</v>
      </c>
      <c r="G25" s="54">
        <v>92.95</v>
      </c>
      <c r="H25" s="54">
        <v>38.15</v>
      </c>
      <c r="I25" s="54">
        <v>1.53</v>
      </c>
      <c r="J25" s="54">
        <v>0.72</v>
      </c>
      <c r="K25" s="54">
        <v>349.65</v>
      </c>
      <c r="L25" s="54">
        <v>22.48</v>
      </c>
      <c r="M25" s="54">
        <v>74.09</v>
      </c>
      <c r="N25" s="54">
        <v>69.5</v>
      </c>
      <c r="O25" s="54">
        <v>0</v>
      </c>
      <c r="P25" s="54">
        <v>1</v>
      </c>
      <c r="Q25" s="54">
        <v>9.0500000000000007</v>
      </c>
      <c r="R25" s="43"/>
      <c r="S25" s="43"/>
      <c r="T25" s="43"/>
      <c r="U25" s="43"/>
    </row>
    <row r="26" spans="1:21" s="11" customFormat="1" ht="15">
      <c r="A26" s="53" t="s">
        <v>487</v>
      </c>
      <c r="B26" s="54">
        <v>15.31</v>
      </c>
      <c r="C26" s="54">
        <v>69.03</v>
      </c>
      <c r="D26" s="54">
        <v>50.96</v>
      </c>
      <c r="E26" s="54">
        <v>0.23</v>
      </c>
      <c r="F26" s="54">
        <v>3.36</v>
      </c>
      <c r="G26" s="54">
        <v>101.79</v>
      </c>
      <c r="H26" s="54">
        <v>38.15</v>
      </c>
      <c r="I26" s="54">
        <v>1.56</v>
      </c>
      <c r="J26" s="54">
        <v>0.41</v>
      </c>
      <c r="K26" s="54">
        <v>357.67</v>
      </c>
      <c r="L26" s="54">
        <v>21.20</v>
      </c>
      <c r="M26" s="54">
        <v>81.47</v>
      </c>
      <c r="N26" s="54">
        <v>27.10</v>
      </c>
      <c r="O26" s="54">
        <v>0</v>
      </c>
      <c r="P26" s="54">
        <v>1.07</v>
      </c>
      <c r="Q26" s="54">
        <v>9.1999999999999993</v>
      </c>
      <c r="R26" s="43"/>
      <c r="S26" s="43"/>
      <c r="T26" s="43"/>
      <c r="U26" s="43"/>
    </row>
    <row r="27" spans="1:21" s="11" customFormat="1" ht="15">
      <c r="A27" s="53" t="s">
        <v>488</v>
      </c>
      <c r="B27" s="54">
        <v>21.5</v>
      </c>
      <c r="C27" s="54">
        <v>68.31</v>
      </c>
      <c r="D27" s="54">
        <v>55.56</v>
      </c>
      <c r="E27" s="54">
        <v>0.27</v>
      </c>
      <c r="F27" s="54">
        <v>3.27</v>
      </c>
      <c r="G27" s="54">
        <v>105.12</v>
      </c>
      <c r="H27" s="54">
        <v>38.29</v>
      </c>
      <c r="I27" s="54">
        <v>1.52</v>
      </c>
      <c r="J27" s="54">
        <v>0.21</v>
      </c>
      <c r="K27" s="54">
        <v>355.30</v>
      </c>
      <c r="L27" s="54">
        <v>19.739999999999998</v>
      </c>
      <c r="M27" s="54">
        <v>86.94</v>
      </c>
      <c r="N27" s="54">
        <v>13</v>
      </c>
      <c r="O27" s="54">
        <v>0</v>
      </c>
      <c r="P27" s="54">
        <v>1.20</v>
      </c>
      <c r="Q27" s="54">
        <v>9.5500000000000007</v>
      </c>
      <c r="R27" s="43"/>
      <c r="S27" s="43"/>
      <c r="T27" s="43"/>
      <c r="U27" s="43"/>
    </row>
    <row r="28" spans="1:21" s="11" customFormat="1" ht="15">
      <c r="A28" s="53" t="s">
        <v>489</v>
      </c>
      <c r="B28" s="54">
        <v>24.28</v>
      </c>
      <c r="C28" s="54">
        <v>67.760000000000005</v>
      </c>
      <c r="D28" s="54">
        <v>56.70</v>
      </c>
      <c r="E28" s="54">
        <v>0.26</v>
      </c>
      <c r="F28" s="54">
        <v>3.15</v>
      </c>
      <c r="G28" s="54">
        <v>105.12</v>
      </c>
      <c r="H28" s="54">
        <v>39.82</v>
      </c>
      <c r="I28" s="54">
        <v>1.58</v>
      </c>
      <c r="J28" s="54">
        <v>0.28000000000000003</v>
      </c>
      <c r="K28" s="54">
        <v>99.40</v>
      </c>
      <c r="L28" s="54">
        <v>19.059999999999999</v>
      </c>
      <c r="M28" s="54">
        <v>92.67</v>
      </c>
      <c r="N28" s="54">
        <v>12.90</v>
      </c>
      <c r="O28" s="54">
        <v>0</v>
      </c>
      <c r="P28" s="54">
        <v>1.25</v>
      </c>
      <c r="Q28" s="54">
        <v>9.76</v>
      </c>
      <c r="R28" s="43"/>
      <c r="S28" s="43"/>
      <c r="T28" s="43"/>
      <c r="U28" s="43"/>
    </row>
    <row r="29" spans="1:21" s="11" customFormat="1" ht="15">
      <c r="A29" s="53" t="s">
        <v>490</v>
      </c>
      <c r="B29" s="54">
        <v>24.94</v>
      </c>
      <c r="C29" s="54">
        <v>66.12</v>
      </c>
      <c r="D29" s="54">
        <v>57.09</v>
      </c>
      <c r="E29" s="54">
        <v>0.31</v>
      </c>
      <c r="F29" s="54">
        <v>3.34</v>
      </c>
      <c r="G29" s="54">
        <v>102.73</v>
      </c>
      <c r="H29" s="54">
        <v>39.82</v>
      </c>
      <c r="I29" s="54">
        <v>1.54</v>
      </c>
      <c r="J29" s="54">
        <v>0.57999999999999996</v>
      </c>
      <c r="K29" s="54">
        <v>105.16</v>
      </c>
      <c r="L29" s="54">
        <v>18.48</v>
      </c>
      <c r="M29" s="54">
        <v>97.12</v>
      </c>
      <c r="N29" s="54">
        <v>13</v>
      </c>
      <c r="O29" s="54">
        <v>0</v>
      </c>
      <c r="P29" s="54">
        <v>1.24</v>
      </c>
      <c r="Q29" s="54">
        <v>9.94</v>
      </c>
      <c r="R29" s="43"/>
      <c r="S29" s="43"/>
      <c r="T29" s="43"/>
      <c r="U29" s="43"/>
    </row>
    <row r="30" spans="1:21" s="11" customFormat="1" ht="15">
      <c r="A30" s="53" t="s">
        <v>491</v>
      </c>
      <c r="B30" s="54">
        <v>24.73</v>
      </c>
      <c r="C30" s="54">
        <v>62.80</v>
      </c>
      <c r="D30" s="54">
        <v>55.14</v>
      </c>
      <c r="E30" s="54">
        <v>0.31</v>
      </c>
      <c r="F30" s="54">
        <v>3.18</v>
      </c>
      <c r="G30" s="54">
        <v>94.38</v>
      </c>
      <c r="H30" s="54">
        <v>39.520000000000003</v>
      </c>
      <c r="I30" s="54">
        <v>1.53</v>
      </c>
      <c r="J30" s="54">
        <v>0.59</v>
      </c>
      <c r="K30" s="54">
        <v>107.10</v>
      </c>
      <c r="L30" s="54">
        <v>17.80</v>
      </c>
      <c r="M30" s="54">
        <v>97.83</v>
      </c>
      <c r="N30" s="54">
        <v>13</v>
      </c>
      <c r="O30" s="54">
        <v>0</v>
      </c>
      <c r="P30" s="54">
        <v>1.20</v>
      </c>
      <c r="Q30" s="54">
        <v>10.01</v>
      </c>
      <c r="R30" s="43"/>
      <c r="S30" s="43"/>
      <c r="T30" s="43"/>
      <c r="U30" s="43"/>
    </row>
    <row r="31" spans="1:21" s="11" customFormat="1" ht="15">
      <c r="A31" s="53" t="s">
        <v>492</v>
      </c>
      <c r="B31" s="54">
        <v>23.59</v>
      </c>
      <c r="C31" s="54">
        <v>61.64</v>
      </c>
      <c r="D31" s="54">
        <v>53.58</v>
      </c>
      <c r="E31" s="54">
        <v>0.33</v>
      </c>
      <c r="F31" s="54">
        <v>3.30</v>
      </c>
      <c r="G31" s="54">
        <v>87.19</v>
      </c>
      <c r="H31" s="54">
        <v>37.25</v>
      </c>
      <c r="I31" s="54">
        <v>1.58</v>
      </c>
      <c r="J31" s="54">
        <v>0.60</v>
      </c>
      <c r="K31" s="54">
        <v>115.29</v>
      </c>
      <c r="L31" s="54">
        <v>17.510000000000002</v>
      </c>
      <c r="M31" s="54">
        <v>95.44</v>
      </c>
      <c r="N31" s="54">
        <v>13</v>
      </c>
      <c r="O31" s="54">
        <v>0</v>
      </c>
      <c r="P31" s="54">
        <v>1.1299999999999999</v>
      </c>
      <c r="Q31" s="54">
        <v>9.9499999999999993</v>
      </c>
      <c r="R31" s="43"/>
      <c r="S31" s="43"/>
      <c r="T31" s="43"/>
      <c r="U31" s="43"/>
    </row>
    <row r="32" spans="1:21" s="11" customFormat="1" ht="15">
      <c r="A32" s="53" t="s">
        <v>493</v>
      </c>
      <c r="B32" s="54">
        <v>22.11</v>
      </c>
      <c r="C32" s="54">
        <v>59.58</v>
      </c>
      <c r="D32" s="54">
        <v>50.95</v>
      </c>
      <c r="E32" s="54">
        <v>0.28000000000000003</v>
      </c>
      <c r="F32" s="54">
        <v>3.43</v>
      </c>
      <c r="G32" s="54">
        <v>85.68</v>
      </c>
      <c r="H32" s="54">
        <v>37.58</v>
      </c>
      <c r="I32" s="54">
        <v>1.52</v>
      </c>
      <c r="J32" s="54">
        <v>0.14000000000000001</v>
      </c>
      <c r="K32" s="54">
        <v>145.63999999999999</v>
      </c>
      <c r="L32" s="54">
        <v>17.25</v>
      </c>
      <c r="M32" s="54">
        <v>96.26</v>
      </c>
      <c r="N32" s="54">
        <v>13.10</v>
      </c>
      <c r="O32" s="54">
        <v>0</v>
      </c>
      <c r="P32" s="54">
        <v>1.05</v>
      </c>
      <c r="Q32" s="54">
        <v>9.57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7.2400000000000002</v>
      </c>
      <c r="C34" s="28">
        <f t="shared" si="0"/>
        <v>55.439999999999998</v>
      </c>
      <c r="D34" s="28">
        <f t="shared" si="0"/>
        <v>43.090000000000003</v>
      </c>
      <c r="E34" s="28">
        <f t="shared" si="0"/>
        <v>0.14000000000000001</v>
      </c>
      <c r="F34" s="28">
        <f t="shared" si="0"/>
        <v>3.0699999999999998</v>
      </c>
      <c r="G34" s="28">
        <f t="shared" si="0"/>
        <v>75.450000000000003</v>
      </c>
      <c r="H34" s="28">
        <f t="shared" si="0"/>
        <v>36.770000000000003</v>
      </c>
      <c r="I34" s="28">
        <f t="shared" si="0"/>
        <v>1.49</v>
      </c>
      <c r="J34" s="28">
        <f t="shared" si="0"/>
        <v>0.12</v>
      </c>
      <c r="K34" s="28">
        <f t="shared" si="0"/>
        <v>99.400000000000006</v>
      </c>
      <c r="L34" s="28">
        <f t="shared" si="0"/>
        <v>16.370000000000001</v>
      </c>
      <c r="M34" s="28">
        <f t="shared" si="0"/>
        <v>63.18</v>
      </c>
      <c r="N34" s="28">
        <f t="shared" si="0"/>
        <v>12.699999999999999</v>
      </c>
      <c r="O34" s="28">
        <f t="shared" si="0"/>
        <v>0</v>
      </c>
      <c r="P34" s="28">
        <f t="shared" si="0"/>
        <v>0.83999999999999997</v>
      </c>
      <c r="Q34" s="28">
        <f t="shared" si="0"/>
        <v>8.7300000000000004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104.83</v>
      </c>
      <c r="C35" s="29">
        <f t="shared" si="1"/>
        <v>69.450000000000003</v>
      </c>
      <c r="D35" s="29">
        <f t="shared" si="1"/>
        <v>123.03</v>
      </c>
      <c r="E35" s="29">
        <f t="shared" si="1"/>
        <v>0.33000000000000002</v>
      </c>
      <c r="F35" s="29">
        <f t="shared" si="1"/>
        <v>4.0599999999999996</v>
      </c>
      <c r="G35" s="29">
        <f t="shared" si="1"/>
        <v>136.58000000000001</v>
      </c>
      <c r="H35" s="29">
        <f t="shared" si="1"/>
        <v>49.719999999999999</v>
      </c>
      <c r="I35" s="29">
        <f t="shared" si="1"/>
        <v>1.6299999999999999</v>
      </c>
      <c r="J35" s="29">
        <f t="shared" si="1"/>
        <v>1.25</v>
      </c>
      <c r="K35" s="29">
        <f t="shared" si="1"/>
        <v>359.31</v>
      </c>
      <c r="L35" s="29">
        <f t="shared" si="1"/>
        <v>26.309999999999999</v>
      </c>
      <c r="M35" s="29">
        <f t="shared" si="1"/>
        <v>101.25</v>
      </c>
      <c r="N35" s="29">
        <f t="shared" si="1"/>
        <v>312.19999999999999</v>
      </c>
      <c r="O35" s="29">
        <f t="shared" si="1"/>
        <v>0</v>
      </c>
      <c r="P35" s="29">
        <f t="shared" si="1"/>
        <v>2.2400000000000002</v>
      </c>
      <c r="Q35" s="29">
        <f t="shared" si="1"/>
        <v>15.869999999999999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34.654583333333328</v>
      </c>
      <c r="C36" s="28">
        <f t="shared" si="2"/>
        <v>63.531666666666659</v>
      </c>
      <c r="D36" s="28">
        <f t="shared" si="2"/>
        <v>63.152916666666663</v>
      </c>
      <c r="E36" s="28">
        <f t="shared" si="2"/>
        <v>0.255</v>
      </c>
      <c r="F36" s="28">
        <f t="shared" si="2"/>
        <v>3.430000000000001</v>
      </c>
      <c r="G36" s="28">
        <f t="shared" si="2"/>
        <v>99.40666666666668</v>
      </c>
      <c r="H36" s="28">
        <f t="shared" si="2"/>
        <v>42.50416666666667</v>
      </c>
      <c r="I36" s="28">
        <f t="shared" si="2"/>
        <v>1.5441666666666665</v>
      </c>
      <c r="J36" s="28">
        <f t="shared" si="2"/>
        <v>0.55750000000000011</v>
      </c>
      <c r="K36" s="28">
        <f t="shared" si="2"/>
        <v>276.03291666666672</v>
      </c>
      <c r="L36" s="28">
        <f t="shared" si="2"/>
        <v>20.111250000000002</v>
      </c>
      <c r="M36" s="28">
        <f t="shared" si="2"/>
        <v>87.510833333333338</v>
      </c>
      <c r="N36" s="28">
        <f t="shared" si="2"/>
        <v>91.891666666666666</v>
      </c>
      <c r="O36" s="28">
        <f t="shared" si="2"/>
        <v>0</v>
      </c>
      <c r="P36" s="28">
        <f t="shared" si="2"/>
        <v>1.1804166666666667</v>
      </c>
      <c r="Q36" s="28">
        <f t="shared" si="2"/>
        <v>10.571666666666665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26.474723134269635</v>
      </c>
      <c r="C37" s="28">
        <f t="shared" si="3" ref="C37:Q37">STDEV(C9:C32)</f>
        <v>5.019503410971411</v>
      </c>
      <c r="D37" s="28">
        <f t="shared" si="3"/>
        <v>20.603918681557452</v>
      </c>
      <c r="E37" s="28">
        <f t="shared" si="3"/>
        <v>0.053242676573362173</v>
      </c>
      <c r="F37" s="28">
        <f t="shared" si="3"/>
        <v>0.25099800796022265</v>
      </c>
      <c r="G37" s="28">
        <f t="shared" si="3"/>
        <v>14.56914657363491</v>
      </c>
      <c r="H37" s="28">
        <f t="shared" si="3"/>
        <v>4.5068594258150334</v>
      </c>
      <c r="I37" s="28">
        <f t="shared" si="3"/>
        <v>0.031611316997538094</v>
      </c>
      <c r="J37" s="28">
        <f t="shared" si="3"/>
        <v>0.33673948129209541</v>
      </c>
      <c r="K37" s="28">
        <f t="shared" si="3"/>
        <v>105.13629971237401</v>
      </c>
      <c r="L37" s="28">
        <f t="shared" si="3"/>
        <v>3.4302013028772507</v>
      </c>
      <c r="M37" s="28">
        <f t="shared" si="3"/>
        <v>14.496945680313823</v>
      </c>
      <c r="N37" s="28">
        <f t="shared" si="3"/>
        <v>106.24749579316605</v>
      </c>
      <c r="O37" s="28">
        <f t="shared" si="3"/>
        <v>0</v>
      </c>
      <c r="P37" s="28">
        <f t="shared" si="3"/>
        <v>0.32206506453991807</v>
      </c>
      <c r="Q37" s="28">
        <f t="shared" si="3"/>
        <v>1.8966920097132716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81060b2-7a34-467f-b0d9-a5975ed7d020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3" sqref="G6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494</v>
      </c>
      <c r="B9" s="54">
        <v>22.17</v>
      </c>
      <c r="C9" s="54">
        <v>59.64</v>
      </c>
      <c r="D9" s="54">
        <v>50.86</v>
      </c>
      <c r="E9" s="54">
        <v>0.23</v>
      </c>
      <c r="F9" s="54">
        <v>3.43</v>
      </c>
      <c r="G9" s="54">
        <v>81.510000000000005</v>
      </c>
      <c r="H9" s="54">
        <v>40.06</v>
      </c>
      <c r="I9" s="54">
        <v>1.52</v>
      </c>
      <c r="J9" s="54">
        <v>0.11</v>
      </c>
      <c r="K9" s="54">
        <v>351.01</v>
      </c>
      <c r="L9" s="54">
        <v>17.309999999999999</v>
      </c>
      <c r="M9" s="54">
        <v>96.97</v>
      </c>
      <c r="N9" s="54">
        <v>13.30</v>
      </c>
      <c r="O9" s="54">
        <v>0</v>
      </c>
      <c r="P9" s="54">
        <v>1.01</v>
      </c>
      <c r="Q9" s="54">
        <v>9.41</v>
      </c>
      <c r="R9" s="43"/>
      <c r="S9" s="43"/>
      <c r="T9" s="43"/>
      <c r="U9" s="43"/>
    </row>
    <row r="10" spans="1:21" s="11" customFormat="1" ht="15">
      <c r="A10" s="53" t="s">
        <v>495</v>
      </c>
      <c r="B10" s="54">
        <v>20.64</v>
      </c>
      <c r="C10" s="54">
        <v>58.18</v>
      </c>
      <c r="D10" s="54">
        <v>48.91</v>
      </c>
      <c r="E10" s="54">
        <v>0.25</v>
      </c>
      <c r="F10" s="54">
        <v>3.32</v>
      </c>
      <c r="G10" s="54">
        <v>80.70</v>
      </c>
      <c r="H10" s="54">
        <v>40.81</v>
      </c>
      <c r="I10" s="54">
        <v>1.5</v>
      </c>
      <c r="J10" s="54">
        <v>0.13</v>
      </c>
      <c r="K10" s="54">
        <v>138</v>
      </c>
      <c r="L10" s="54">
        <v>16.96</v>
      </c>
      <c r="M10" s="54">
        <v>95.5</v>
      </c>
      <c r="N10" s="54">
        <v>13.10</v>
      </c>
      <c r="O10" s="54">
        <v>0</v>
      </c>
      <c r="P10" s="54">
        <v>0.95</v>
      </c>
      <c r="Q10" s="54">
        <v>9.24</v>
      </c>
      <c r="R10" s="43"/>
      <c r="S10" s="43"/>
      <c r="T10" s="43"/>
      <c r="U10" s="43"/>
    </row>
    <row r="11" spans="1:21" s="11" customFormat="1" ht="15">
      <c r="A11" s="53" t="s">
        <v>496</v>
      </c>
      <c r="B11" s="54">
        <v>15.54</v>
      </c>
      <c r="C11" s="54">
        <v>56.41</v>
      </c>
      <c r="D11" s="54">
        <v>44.24</v>
      </c>
      <c r="E11" s="54">
        <v>0.25</v>
      </c>
      <c r="F11" s="54">
        <v>3.32</v>
      </c>
      <c r="G11" s="54">
        <v>80.650000000000006</v>
      </c>
      <c r="H11" s="54">
        <v>40.81</v>
      </c>
      <c r="I11" s="54">
        <v>1.58</v>
      </c>
      <c r="J11" s="54">
        <v>0.37</v>
      </c>
      <c r="K11" s="54">
        <v>96.71</v>
      </c>
      <c r="L11" s="54">
        <v>16.64</v>
      </c>
      <c r="M11" s="54">
        <v>96.12</v>
      </c>
      <c r="N11" s="54">
        <v>13.10</v>
      </c>
      <c r="O11" s="54">
        <v>0</v>
      </c>
      <c r="P11" s="54">
        <v>0.87</v>
      </c>
      <c r="Q11" s="54">
        <v>8.77</v>
      </c>
      <c r="R11" s="43"/>
      <c r="S11" s="43"/>
      <c r="T11" s="43"/>
      <c r="U11" s="43"/>
    </row>
    <row r="12" spans="1:21" s="11" customFormat="1" ht="15">
      <c r="A12" s="53" t="s">
        <v>497</v>
      </c>
      <c r="B12" s="54">
        <v>12.39</v>
      </c>
      <c r="C12" s="54">
        <v>55.66</v>
      </c>
      <c r="D12" s="54">
        <v>40.64</v>
      </c>
      <c r="E12" s="54">
        <v>0.19</v>
      </c>
      <c r="F12" s="54">
        <v>3.47</v>
      </c>
      <c r="G12" s="54">
        <v>75.5</v>
      </c>
      <c r="H12" s="54">
        <v>38.840000000000003</v>
      </c>
      <c r="I12" s="54">
        <v>1.59</v>
      </c>
      <c r="J12" s="54">
        <v>0.62</v>
      </c>
      <c r="K12" s="54">
        <v>107.79</v>
      </c>
      <c r="L12" s="54">
        <v>16.03</v>
      </c>
      <c r="M12" s="54">
        <v>100.45</v>
      </c>
      <c r="N12" s="54">
        <v>13.10</v>
      </c>
      <c r="O12" s="54">
        <v>0</v>
      </c>
      <c r="P12" s="54">
        <v>0.80</v>
      </c>
      <c r="Q12" s="54">
        <v>8.48</v>
      </c>
      <c r="R12" s="43"/>
      <c r="S12" s="43"/>
      <c r="T12" s="43"/>
      <c r="U12" s="43"/>
    </row>
    <row r="13" spans="1:21" s="11" customFormat="1" ht="15">
      <c r="A13" s="53" t="s">
        <v>498</v>
      </c>
      <c r="B13" s="54">
        <v>11.25</v>
      </c>
      <c r="C13" s="54">
        <v>55.67</v>
      </c>
      <c r="D13" s="54">
        <v>40.200000000000003</v>
      </c>
      <c r="E13" s="54">
        <v>0.33</v>
      </c>
      <c r="F13" s="54">
        <v>3.40</v>
      </c>
      <c r="G13" s="54">
        <v>75.5</v>
      </c>
      <c r="H13" s="54">
        <v>37.90</v>
      </c>
      <c r="I13" s="54">
        <v>1.54</v>
      </c>
      <c r="J13" s="54">
        <v>0.11</v>
      </c>
      <c r="K13" s="54">
        <v>105.56</v>
      </c>
      <c r="L13" s="54">
        <v>15.59</v>
      </c>
      <c r="M13" s="54">
        <v>100.43</v>
      </c>
      <c r="N13" s="54">
        <v>13</v>
      </c>
      <c r="O13" s="54">
        <v>0</v>
      </c>
      <c r="P13" s="54">
        <v>0.75</v>
      </c>
      <c r="Q13" s="54">
        <v>8.5399999999999991</v>
      </c>
      <c r="R13" s="43"/>
      <c r="S13" s="43"/>
      <c r="T13" s="43"/>
      <c r="U13" s="43"/>
    </row>
    <row r="14" spans="1:21" s="11" customFormat="1" ht="15">
      <c r="A14" s="53" t="s">
        <v>499</v>
      </c>
      <c r="B14" s="54">
        <v>13.32</v>
      </c>
      <c r="C14" s="54">
        <v>55.58</v>
      </c>
      <c r="D14" s="54">
        <v>41.91</v>
      </c>
      <c r="E14" s="54">
        <v>0.35</v>
      </c>
      <c r="F14" s="54">
        <v>3.53</v>
      </c>
      <c r="G14" s="54">
        <v>75.290000000000006</v>
      </c>
      <c r="H14" s="54">
        <v>38.770000000000003</v>
      </c>
      <c r="I14" s="54">
        <v>1.56</v>
      </c>
      <c r="J14" s="54">
        <v>0.45</v>
      </c>
      <c r="K14" s="54">
        <v>347.82</v>
      </c>
      <c r="L14" s="54">
        <v>15.57</v>
      </c>
      <c r="M14" s="54">
        <v>98.03</v>
      </c>
      <c r="N14" s="54">
        <v>13.20</v>
      </c>
      <c r="O14" s="54">
        <v>0</v>
      </c>
      <c r="P14" s="54">
        <v>0.73</v>
      </c>
      <c r="Q14" s="54">
        <v>8.6300000000000008</v>
      </c>
      <c r="R14" s="43"/>
      <c r="S14" s="43"/>
      <c r="T14" s="43"/>
      <c r="U14" s="43"/>
    </row>
    <row r="15" spans="1:21" s="11" customFormat="1" ht="15">
      <c r="A15" s="53" t="s">
        <v>500</v>
      </c>
      <c r="B15" s="54">
        <v>14.86</v>
      </c>
      <c r="C15" s="54">
        <v>54.35</v>
      </c>
      <c r="D15" s="54">
        <v>42.5</v>
      </c>
      <c r="E15" s="54">
        <v>0.33</v>
      </c>
      <c r="F15" s="54">
        <v>3.47</v>
      </c>
      <c r="G15" s="54">
        <v>85.64</v>
      </c>
      <c r="H15" s="54">
        <v>39.979999999999997</v>
      </c>
      <c r="I15" s="54">
        <v>1.5</v>
      </c>
      <c r="J15" s="54">
        <v>0.5</v>
      </c>
      <c r="K15" s="54">
        <v>356.11</v>
      </c>
      <c r="L15" s="54">
        <v>15.89</v>
      </c>
      <c r="M15" s="54">
        <v>93.51</v>
      </c>
      <c r="N15" s="54">
        <v>18.20</v>
      </c>
      <c r="O15" s="54">
        <v>0</v>
      </c>
      <c r="P15" s="54">
        <v>0.73</v>
      </c>
      <c r="Q15" s="54">
        <v>8.6300000000000008</v>
      </c>
      <c r="R15" s="43"/>
      <c r="S15" s="43"/>
      <c r="T15" s="43"/>
      <c r="U15" s="43"/>
    </row>
    <row r="16" spans="1:21" s="11" customFormat="1" ht="15">
      <c r="A16" s="53" t="s">
        <v>501</v>
      </c>
      <c r="B16" s="54">
        <v>15.39</v>
      </c>
      <c r="C16" s="54">
        <v>54.69</v>
      </c>
      <c r="D16" s="54">
        <v>43.17</v>
      </c>
      <c r="E16" s="54">
        <v>0.34</v>
      </c>
      <c r="F16" s="54">
        <v>3.16</v>
      </c>
      <c r="G16" s="54">
        <v>85.64</v>
      </c>
      <c r="H16" s="54">
        <v>39.979999999999997</v>
      </c>
      <c r="I16" s="54">
        <v>1.60</v>
      </c>
      <c r="J16" s="54">
        <v>0.66</v>
      </c>
      <c r="K16" s="54">
        <v>342.57</v>
      </c>
      <c r="L16" s="54">
        <v>16.11</v>
      </c>
      <c r="M16" s="54">
        <v>85.93</v>
      </c>
      <c r="N16" s="54">
        <v>72.20</v>
      </c>
      <c r="O16" s="54">
        <v>0</v>
      </c>
      <c r="P16" s="54">
        <v>0.75</v>
      </c>
      <c r="Q16" s="54">
        <v>8.42</v>
      </c>
      <c r="R16" s="43"/>
      <c r="S16" s="43"/>
      <c r="T16" s="43"/>
      <c r="U16" s="43"/>
    </row>
    <row r="17" spans="1:21" s="11" customFormat="1" ht="15">
      <c r="A17" s="53" t="s">
        <v>502</v>
      </c>
      <c r="B17" s="54">
        <v>19.21</v>
      </c>
      <c r="C17" s="54">
        <v>55.99</v>
      </c>
      <c r="D17" s="54">
        <v>46.84</v>
      </c>
      <c r="E17" s="54">
        <v>0.18</v>
      </c>
      <c r="F17" s="54">
        <v>3.37</v>
      </c>
      <c r="G17" s="54">
        <v>83.61</v>
      </c>
      <c r="H17" s="54">
        <v>40.35</v>
      </c>
      <c r="I17" s="54">
        <v>1.48</v>
      </c>
      <c r="J17" s="54">
        <v>0.5</v>
      </c>
      <c r="K17" s="54">
        <v>101.80</v>
      </c>
      <c r="L17" s="54">
        <v>16.87</v>
      </c>
      <c r="M17" s="54">
        <v>78.25</v>
      </c>
      <c r="N17" s="54">
        <v>117.40</v>
      </c>
      <c r="O17" s="54">
        <v>0</v>
      </c>
      <c r="P17" s="54">
        <v>0.79</v>
      </c>
      <c r="Q17" s="54">
        <v>8.48</v>
      </c>
      <c r="R17" s="43"/>
      <c r="S17" s="43"/>
      <c r="T17" s="43"/>
      <c r="U17" s="43"/>
    </row>
    <row r="18" spans="1:21" s="11" customFormat="1" ht="15">
      <c r="A18" s="53" t="s">
        <v>503</v>
      </c>
      <c r="B18" s="54">
        <v>28.36</v>
      </c>
      <c r="C18" s="54">
        <v>59.41</v>
      </c>
      <c r="D18" s="54">
        <v>56.18</v>
      </c>
      <c r="E18" s="54">
        <v>0.19</v>
      </c>
      <c r="F18" s="54">
        <v>3.40</v>
      </c>
      <c r="G18" s="54">
        <v>88.09</v>
      </c>
      <c r="H18" s="54">
        <v>41.62</v>
      </c>
      <c r="I18" s="54">
        <v>1.57</v>
      </c>
      <c r="J18" s="54">
        <v>1.5</v>
      </c>
      <c r="K18" s="54">
        <v>347.19</v>
      </c>
      <c r="L18" s="54">
        <v>18.96</v>
      </c>
      <c r="M18" s="54">
        <v>76.14</v>
      </c>
      <c r="N18" s="54">
        <v>149.69999999999999</v>
      </c>
      <c r="O18" s="54">
        <v>0</v>
      </c>
      <c r="P18" s="54">
        <v>0.88</v>
      </c>
      <c r="Q18" s="54">
        <v>9.02</v>
      </c>
      <c r="R18" s="43"/>
      <c r="S18" s="43"/>
      <c r="T18" s="43"/>
      <c r="U18" s="43"/>
    </row>
    <row r="19" spans="1:21" s="11" customFormat="1" ht="15">
      <c r="A19" s="53" t="s">
        <v>504</v>
      </c>
      <c r="B19" s="54">
        <v>35.17</v>
      </c>
      <c r="C19" s="54">
        <v>67.83</v>
      </c>
      <c r="D19" s="54">
        <v>66.28</v>
      </c>
      <c r="E19" s="54">
        <v>0.61</v>
      </c>
      <c r="F19" s="54">
        <v>3.60</v>
      </c>
      <c r="G19" s="54">
        <v>100.14</v>
      </c>
      <c r="H19" s="54">
        <v>41.62</v>
      </c>
      <c r="I19" s="54">
        <v>1.60</v>
      </c>
      <c r="J19" s="54">
        <v>1.66</v>
      </c>
      <c r="K19" s="54">
        <v>346.83</v>
      </c>
      <c r="L19" s="54">
        <v>18.62</v>
      </c>
      <c r="M19" s="54">
        <v>71.11</v>
      </c>
      <c r="N19" s="54">
        <v>144.60</v>
      </c>
      <c r="O19" s="54">
        <v>0</v>
      </c>
      <c r="P19" s="54">
        <v>1.01</v>
      </c>
      <c r="Q19" s="54">
        <v>10.09</v>
      </c>
      <c r="R19" s="43"/>
      <c r="S19" s="43"/>
      <c r="T19" s="43"/>
      <c r="U19" s="43"/>
    </row>
    <row r="20" spans="1:21" s="11" customFormat="1" ht="15">
      <c r="A20" s="53" t="s">
        <v>505</v>
      </c>
      <c r="B20" s="54">
        <v>39.24</v>
      </c>
      <c r="C20" s="54">
        <v>78.260000000000005</v>
      </c>
      <c r="D20" s="54">
        <v>75.30</v>
      </c>
      <c r="E20" s="54">
        <v>0.52</v>
      </c>
      <c r="F20" s="54">
        <v>3.39</v>
      </c>
      <c r="G20" s="54">
        <v>101.89</v>
      </c>
      <c r="H20" s="54">
        <v>48.80</v>
      </c>
      <c r="I20" s="54">
        <v>1.58</v>
      </c>
      <c r="J20" s="54">
        <v>1.67</v>
      </c>
      <c r="K20" s="54">
        <v>344.80</v>
      </c>
      <c r="L20" s="54">
        <v>20.20</v>
      </c>
      <c r="M20" s="54">
        <v>67.569999999999993</v>
      </c>
      <c r="N20" s="54">
        <v>245.90</v>
      </c>
      <c r="O20" s="54">
        <v>0</v>
      </c>
      <c r="P20" s="54">
        <v>1.07</v>
      </c>
      <c r="Q20" s="54">
        <v>11.12</v>
      </c>
      <c r="R20" s="43"/>
      <c r="S20" s="43"/>
      <c r="T20" s="43"/>
      <c r="U20" s="43"/>
    </row>
    <row r="21" spans="1:21" s="11" customFormat="1" ht="15">
      <c r="A21" s="53" t="s">
        <v>506</v>
      </c>
      <c r="B21" s="54">
        <v>38.44</v>
      </c>
      <c r="C21" s="54">
        <v>84.42</v>
      </c>
      <c r="D21" s="54">
        <v>78.06</v>
      </c>
      <c r="E21" s="54">
        <v>0.5</v>
      </c>
      <c r="F21" s="54">
        <v>3.43</v>
      </c>
      <c r="G21" s="54">
        <v>124</v>
      </c>
      <c r="H21" s="54">
        <v>48.80</v>
      </c>
      <c r="I21" s="54">
        <v>1.53</v>
      </c>
      <c r="J21" s="54">
        <v>1.03</v>
      </c>
      <c r="K21" s="54">
        <v>352.18</v>
      </c>
      <c r="L21" s="54">
        <v>21.07</v>
      </c>
      <c r="M21" s="54">
        <v>69.98</v>
      </c>
      <c r="N21" s="54">
        <v>329.60</v>
      </c>
      <c r="O21" s="54">
        <v>0</v>
      </c>
      <c r="P21" s="54">
        <v>1.1599999999999999</v>
      </c>
      <c r="Q21" s="54">
        <v>11.63</v>
      </c>
      <c r="R21" s="43"/>
      <c r="S21" s="43"/>
      <c r="T21" s="43"/>
      <c r="U21" s="43"/>
    </row>
    <row r="22" spans="1:21" s="11" customFormat="1" ht="15">
      <c r="A22" s="53" t="s">
        <v>507</v>
      </c>
      <c r="B22" s="54">
        <v>35.119999999999997</v>
      </c>
      <c r="C22" s="54">
        <v>79.53</v>
      </c>
      <c r="D22" s="54">
        <v>72.70</v>
      </c>
      <c r="E22" s="54">
        <v>0.74</v>
      </c>
      <c r="F22" s="54">
        <v>3.82</v>
      </c>
      <c r="G22" s="54">
        <v>124</v>
      </c>
      <c r="H22" s="54">
        <v>47.58</v>
      </c>
      <c r="I22" s="54">
        <v>1.55</v>
      </c>
      <c r="J22" s="54">
        <v>0.97</v>
      </c>
      <c r="K22" s="54">
        <v>345.52</v>
      </c>
      <c r="L22" s="54">
        <v>21.94</v>
      </c>
      <c r="M22" s="54">
        <v>72.86</v>
      </c>
      <c r="N22" s="54">
        <v>310.70</v>
      </c>
      <c r="O22" s="54">
        <v>0</v>
      </c>
      <c r="P22" s="54">
        <v>1.02</v>
      </c>
      <c r="Q22" s="54">
        <v>11.46</v>
      </c>
      <c r="R22" s="43"/>
      <c r="S22" s="43"/>
      <c r="T22" s="43"/>
      <c r="U22" s="43"/>
    </row>
    <row r="23" spans="1:21" s="11" customFormat="1" ht="15">
      <c r="A23" s="53" t="s">
        <v>508</v>
      </c>
      <c r="B23" s="54">
        <v>10.79</v>
      </c>
      <c r="C23" s="54">
        <v>74.72</v>
      </c>
      <c r="D23" s="54">
        <v>50.54</v>
      </c>
      <c r="E23" s="54">
        <v>0.16</v>
      </c>
      <c r="F23" s="54">
        <v>3.63</v>
      </c>
      <c r="G23" s="54">
        <v>115.29</v>
      </c>
      <c r="H23" s="54">
        <v>45.94</v>
      </c>
      <c r="I23" s="54">
        <v>1.54</v>
      </c>
      <c r="J23" s="54">
        <v>0.52</v>
      </c>
      <c r="K23" s="54">
        <v>349.85</v>
      </c>
      <c r="L23" s="54">
        <v>20.98</v>
      </c>
      <c r="M23" s="54">
        <v>75.12</v>
      </c>
      <c r="N23" s="54">
        <v>266.60000000000002</v>
      </c>
      <c r="O23" s="54">
        <v>0</v>
      </c>
      <c r="P23" s="54">
        <v>0.89</v>
      </c>
      <c r="Q23" s="54">
        <v>9.7899999999999991</v>
      </c>
      <c r="R23" s="43"/>
      <c r="S23" s="43"/>
      <c r="T23" s="43"/>
      <c r="U23" s="43"/>
    </row>
    <row r="24" spans="1:21" s="11" customFormat="1" ht="15">
      <c r="A24" s="53" t="s">
        <v>509</v>
      </c>
      <c r="B24" s="54">
        <v>15.98</v>
      </c>
      <c r="C24" s="54">
        <v>66.099999999999994</v>
      </c>
      <c r="D24" s="54">
        <v>49.54</v>
      </c>
      <c r="E24" s="54">
        <v>0.23</v>
      </c>
      <c r="F24" s="54">
        <v>3.40</v>
      </c>
      <c r="G24" s="54">
        <v>102.44</v>
      </c>
      <c r="H24" s="54">
        <v>36.43</v>
      </c>
      <c r="I24" s="54">
        <v>1.58</v>
      </c>
      <c r="J24" s="54">
        <v>0.78</v>
      </c>
      <c r="K24" s="54">
        <v>354.70</v>
      </c>
      <c r="L24" s="54">
        <v>20.54</v>
      </c>
      <c r="M24" s="54">
        <v>77.819999999999993</v>
      </c>
      <c r="N24" s="54">
        <v>131.80000000000001</v>
      </c>
      <c r="O24" s="54">
        <v>0</v>
      </c>
      <c r="P24" s="54">
        <v>0.89</v>
      </c>
      <c r="Q24" s="54">
        <v>9.49</v>
      </c>
      <c r="R24" s="43"/>
      <c r="S24" s="43"/>
      <c r="T24" s="43"/>
      <c r="U24" s="43"/>
    </row>
    <row r="25" spans="1:21" s="11" customFormat="1" ht="15">
      <c r="A25" s="53" t="s">
        <v>510</v>
      </c>
      <c r="B25" s="54">
        <v>18.47</v>
      </c>
      <c r="C25" s="54">
        <v>75.459999999999994</v>
      </c>
      <c r="D25" s="54">
        <v>57.11</v>
      </c>
      <c r="E25" s="54">
        <v>0.39</v>
      </c>
      <c r="F25" s="54">
        <v>3.41</v>
      </c>
      <c r="G25" s="54">
        <v>89.89</v>
      </c>
      <c r="H25" s="54">
        <v>39.71</v>
      </c>
      <c r="I25" s="54">
        <v>1.56</v>
      </c>
      <c r="J25" s="54">
        <v>1.05</v>
      </c>
      <c r="K25" s="54">
        <v>357.5</v>
      </c>
      <c r="L25" s="54">
        <v>19.38</v>
      </c>
      <c r="M25" s="54">
        <v>82.83</v>
      </c>
      <c r="N25" s="54">
        <v>74.400000000000006</v>
      </c>
      <c r="O25" s="54">
        <v>0</v>
      </c>
      <c r="P25" s="54">
        <v>0.87</v>
      </c>
      <c r="Q25" s="54">
        <v>9.9600000000000009</v>
      </c>
      <c r="R25" s="43"/>
      <c r="S25" s="43"/>
      <c r="T25" s="43"/>
      <c r="U25" s="43"/>
    </row>
    <row r="26" spans="1:21" s="11" customFormat="1" ht="15">
      <c r="A26" s="53" t="s">
        <v>511</v>
      </c>
      <c r="B26" s="54">
        <v>31.91</v>
      </c>
      <c r="C26" s="54">
        <v>78.61</v>
      </c>
      <c r="D26" s="54">
        <v>68.91</v>
      </c>
      <c r="E26" s="54">
        <v>0.42</v>
      </c>
      <c r="F26" s="54">
        <v>3.55</v>
      </c>
      <c r="G26" s="54">
        <v>75.5</v>
      </c>
      <c r="H26" s="54">
        <v>39.71</v>
      </c>
      <c r="I26" s="54">
        <v>1.52</v>
      </c>
      <c r="J26" s="54">
        <v>0.63</v>
      </c>
      <c r="K26" s="54">
        <v>340.01</v>
      </c>
      <c r="L26" s="54">
        <v>18.16</v>
      </c>
      <c r="M26" s="54">
        <v>92.51</v>
      </c>
      <c r="N26" s="54">
        <v>27.20</v>
      </c>
      <c r="O26" s="54">
        <v>0</v>
      </c>
      <c r="P26" s="54">
        <v>0.94</v>
      </c>
      <c r="Q26" s="54">
        <v>10.80</v>
      </c>
      <c r="R26" s="43"/>
      <c r="S26" s="43"/>
      <c r="T26" s="43"/>
      <c r="U26" s="43"/>
    </row>
    <row r="27" spans="1:21" s="11" customFormat="1" ht="15">
      <c r="A27" s="53" t="s">
        <v>512</v>
      </c>
      <c r="B27" s="54">
        <v>45.68</v>
      </c>
      <c r="C27" s="54">
        <v>74.989999999999995</v>
      </c>
      <c r="D27" s="54">
        <v>76.36</v>
      </c>
      <c r="E27" s="54">
        <v>0.43</v>
      </c>
      <c r="F27" s="54">
        <v>3.22</v>
      </c>
      <c r="G27" s="54">
        <v>75.5</v>
      </c>
      <c r="H27" s="54">
        <v>41.39</v>
      </c>
      <c r="I27" s="54">
        <v>1.52</v>
      </c>
      <c r="J27" s="54">
        <v>1.1100000000000001</v>
      </c>
      <c r="K27" s="54">
        <v>347.69</v>
      </c>
      <c r="L27" s="54">
        <v>17.07</v>
      </c>
      <c r="M27" s="54">
        <v>93.15</v>
      </c>
      <c r="N27" s="54">
        <v>13.60</v>
      </c>
      <c r="O27" s="54">
        <v>0</v>
      </c>
      <c r="P27" s="54">
        <v>1</v>
      </c>
      <c r="Q27" s="54">
        <v>11.5</v>
      </c>
      <c r="R27" s="43"/>
      <c r="S27" s="43"/>
      <c r="T27" s="43"/>
      <c r="U27" s="43"/>
    </row>
    <row r="28" spans="1:21" s="11" customFormat="1" ht="15">
      <c r="A28" s="53" t="s">
        <v>513</v>
      </c>
      <c r="B28" s="54">
        <v>49.56</v>
      </c>
      <c r="C28" s="54">
        <v>69.92</v>
      </c>
      <c r="D28" s="54">
        <v>77.739999999999995</v>
      </c>
      <c r="E28" s="54">
        <v>0.40</v>
      </c>
      <c r="F28" s="54">
        <v>3.23</v>
      </c>
      <c r="G28" s="54">
        <v>79.77</v>
      </c>
      <c r="H28" s="54">
        <v>43.34</v>
      </c>
      <c r="I28" s="54">
        <v>1.5</v>
      </c>
      <c r="J28" s="54">
        <v>0.72</v>
      </c>
      <c r="K28" s="54">
        <v>357.14</v>
      </c>
      <c r="L28" s="54">
        <v>16.38</v>
      </c>
      <c r="M28" s="54">
        <v>92.32</v>
      </c>
      <c r="N28" s="54">
        <v>13.90</v>
      </c>
      <c r="O28" s="54">
        <v>0</v>
      </c>
      <c r="P28" s="54">
        <v>1.06</v>
      </c>
      <c r="Q28" s="54">
        <v>11.70</v>
      </c>
      <c r="R28" s="43"/>
      <c r="S28" s="43"/>
      <c r="T28" s="43"/>
      <c r="U28" s="43"/>
    </row>
    <row r="29" spans="1:21" s="11" customFormat="1" ht="15">
      <c r="A29" s="53" t="s">
        <v>514</v>
      </c>
      <c r="B29" s="54">
        <v>54.53</v>
      </c>
      <c r="C29" s="54">
        <v>63.62</v>
      </c>
      <c r="D29" s="54">
        <v>78.97</v>
      </c>
      <c r="E29" s="54">
        <v>0.17</v>
      </c>
      <c r="F29" s="54">
        <v>3.30</v>
      </c>
      <c r="G29" s="54">
        <v>86.52</v>
      </c>
      <c r="H29" s="54">
        <v>43.34</v>
      </c>
      <c r="I29" s="54">
        <v>1.52</v>
      </c>
      <c r="J29" s="54">
        <v>0.37</v>
      </c>
      <c r="K29" s="54">
        <v>355.17</v>
      </c>
      <c r="L29" s="54">
        <v>15.81</v>
      </c>
      <c r="M29" s="54">
        <v>92.28</v>
      </c>
      <c r="N29" s="54">
        <v>13.5</v>
      </c>
      <c r="O29" s="54">
        <v>0</v>
      </c>
      <c r="P29" s="54">
        <v>1.1299999999999999</v>
      </c>
      <c r="Q29" s="54">
        <v>11.60</v>
      </c>
      <c r="R29" s="43"/>
      <c r="S29" s="43"/>
      <c r="T29" s="43"/>
      <c r="U29" s="43"/>
    </row>
    <row r="30" spans="1:21" s="11" customFormat="1" ht="15">
      <c r="A30" s="53" t="s">
        <v>515</v>
      </c>
      <c r="B30" s="54">
        <v>56.41</v>
      </c>
      <c r="C30" s="54">
        <v>61.49</v>
      </c>
      <c r="D30" s="54">
        <v>79.27</v>
      </c>
      <c r="E30" s="54">
        <v>0.21</v>
      </c>
      <c r="F30" s="54">
        <v>3.41</v>
      </c>
      <c r="G30" s="54">
        <v>92.22</v>
      </c>
      <c r="H30" s="54">
        <v>40.85</v>
      </c>
      <c r="I30" s="54">
        <v>1.56</v>
      </c>
      <c r="J30" s="54">
        <v>0.19</v>
      </c>
      <c r="K30" s="54">
        <v>355.90</v>
      </c>
      <c r="L30" s="54">
        <v>15.44</v>
      </c>
      <c r="M30" s="54">
        <v>91.41</v>
      </c>
      <c r="N30" s="54">
        <v>13.60</v>
      </c>
      <c r="O30" s="54">
        <v>0</v>
      </c>
      <c r="P30" s="54">
        <v>1.1399999999999999</v>
      </c>
      <c r="Q30" s="54">
        <v>11.58</v>
      </c>
      <c r="R30" s="43"/>
      <c r="S30" s="43"/>
      <c r="T30" s="43"/>
      <c r="U30" s="43"/>
    </row>
    <row r="31" spans="1:21" s="11" customFormat="1" ht="15">
      <c r="A31" s="53" t="s">
        <v>516</v>
      </c>
      <c r="B31" s="54">
        <v>56.85</v>
      </c>
      <c r="C31" s="54">
        <v>60.27</v>
      </c>
      <c r="D31" s="54">
        <v>79.5</v>
      </c>
      <c r="E31" s="54">
        <v>0.19</v>
      </c>
      <c r="F31" s="54">
        <v>3.15</v>
      </c>
      <c r="G31" s="54">
        <v>94.61</v>
      </c>
      <c r="H31" s="54">
        <v>45.22</v>
      </c>
      <c r="I31" s="54">
        <v>1.54</v>
      </c>
      <c r="J31" s="54">
        <v>0.44</v>
      </c>
      <c r="K31" s="54">
        <v>347.53</v>
      </c>
      <c r="L31" s="54">
        <v>15.10</v>
      </c>
      <c r="M31" s="54">
        <v>89.73</v>
      </c>
      <c r="N31" s="54">
        <v>13.5</v>
      </c>
      <c r="O31" s="54">
        <v>0</v>
      </c>
      <c r="P31" s="54">
        <v>1.1599999999999999</v>
      </c>
      <c r="Q31" s="54">
        <v>11.57</v>
      </c>
      <c r="R31" s="43"/>
      <c r="S31" s="43"/>
      <c r="T31" s="43"/>
      <c r="U31" s="43"/>
    </row>
    <row r="32" spans="1:21" s="11" customFormat="1" ht="15">
      <c r="A32" s="53" t="s">
        <v>517</v>
      </c>
      <c r="B32" s="54">
        <v>53.04</v>
      </c>
      <c r="C32" s="54">
        <v>58</v>
      </c>
      <c r="D32" s="54">
        <v>75.19</v>
      </c>
      <c r="E32" s="54">
        <v>0.19</v>
      </c>
      <c r="F32" s="54">
        <v>3.29</v>
      </c>
      <c r="G32" s="54">
        <v>95.70</v>
      </c>
      <c r="H32" s="54">
        <v>45.22</v>
      </c>
      <c r="I32" s="54">
        <v>1.53</v>
      </c>
      <c r="J32" s="54">
        <v>0.13</v>
      </c>
      <c r="K32" s="54">
        <v>80.260000000000005</v>
      </c>
      <c r="L32" s="54">
        <v>14.86</v>
      </c>
      <c r="M32" s="54">
        <v>92.40</v>
      </c>
      <c r="N32" s="54">
        <v>13.60</v>
      </c>
      <c r="O32" s="54">
        <v>0</v>
      </c>
      <c r="P32" s="54">
        <v>1.1299999999999999</v>
      </c>
      <c r="Q32" s="54">
        <v>11.14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10.789999999999999</v>
      </c>
      <c r="C34" s="28">
        <f t="shared" si="0"/>
        <v>54.350000000000001</v>
      </c>
      <c r="D34" s="28">
        <f t="shared" si="0"/>
        <v>40.200000000000003</v>
      </c>
      <c r="E34" s="28">
        <f t="shared" si="0"/>
        <v>0.16</v>
      </c>
      <c r="F34" s="28">
        <f t="shared" si="0"/>
        <v>3.1499999999999999</v>
      </c>
      <c r="G34" s="28">
        <f t="shared" si="0"/>
        <v>75.290000000000006</v>
      </c>
      <c r="H34" s="28">
        <f t="shared" si="0"/>
        <v>36.43</v>
      </c>
      <c r="I34" s="28">
        <f t="shared" si="0"/>
        <v>1.48</v>
      </c>
      <c r="J34" s="28">
        <f t="shared" si="0"/>
        <v>0.11</v>
      </c>
      <c r="K34" s="28">
        <f t="shared" si="0"/>
        <v>80.260000000000005</v>
      </c>
      <c r="L34" s="28">
        <f t="shared" si="0"/>
        <v>14.859999999999999</v>
      </c>
      <c r="M34" s="28">
        <f t="shared" si="0"/>
        <v>67.569999999999993</v>
      </c>
      <c r="N34" s="28">
        <f t="shared" si="0"/>
        <v>13</v>
      </c>
      <c r="O34" s="28">
        <f t="shared" si="0"/>
        <v>0</v>
      </c>
      <c r="P34" s="28">
        <f t="shared" si="0"/>
        <v>0.72999999999999998</v>
      </c>
      <c r="Q34" s="28">
        <f t="shared" si="0"/>
        <v>8.4199999999999999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56.850000000000001</v>
      </c>
      <c r="C35" s="29">
        <f t="shared" si="1"/>
        <v>84.420000000000002</v>
      </c>
      <c r="D35" s="29">
        <f t="shared" si="1"/>
        <v>79.5</v>
      </c>
      <c r="E35" s="29">
        <f t="shared" si="1"/>
        <v>0.73999999999999999</v>
      </c>
      <c r="F35" s="29">
        <f t="shared" si="1"/>
        <v>3.8199999999999998</v>
      </c>
      <c r="G35" s="29">
        <f t="shared" si="1"/>
        <v>124</v>
      </c>
      <c r="H35" s="29">
        <f t="shared" si="1"/>
        <v>48.799999999999997</v>
      </c>
      <c r="I35" s="29">
        <f t="shared" si="1"/>
        <v>1.6000000000000001</v>
      </c>
      <c r="J35" s="29">
        <f t="shared" si="1"/>
        <v>1.6699999999999999</v>
      </c>
      <c r="K35" s="29">
        <f t="shared" si="1"/>
        <v>357.5</v>
      </c>
      <c r="L35" s="29">
        <f t="shared" si="1"/>
        <v>21.940000000000001</v>
      </c>
      <c r="M35" s="29">
        <f t="shared" si="1"/>
        <v>100.45</v>
      </c>
      <c r="N35" s="29">
        <f t="shared" si="1"/>
        <v>329.60000000000002</v>
      </c>
      <c r="O35" s="29">
        <f t="shared" si="1"/>
        <v>0</v>
      </c>
      <c r="P35" s="29">
        <f t="shared" si="1"/>
        <v>1.1599999999999999</v>
      </c>
      <c r="Q35" s="29">
        <f t="shared" si="1"/>
        <v>11.699999999999999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29.763333333333335</v>
      </c>
      <c r="C36" s="28">
        <f t="shared" si="2"/>
        <v>64.950000000000003</v>
      </c>
      <c r="D36" s="28">
        <f t="shared" si="2"/>
        <v>60.038333333333327</v>
      </c>
      <c r="E36" s="28">
        <f t="shared" si="2"/>
        <v>0.32500000000000001</v>
      </c>
      <c r="F36" s="28">
        <f t="shared" si="2"/>
        <v>3.4041666666666672</v>
      </c>
      <c r="G36" s="28">
        <f t="shared" si="2"/>
        <v>90.399999999999991</v>
      </c>
      <c r="H36" s="28">
        <f t="shared" si="2"/>
        <v>41.961250000000014</v>
      </c>
      <c r="I36" s="28">
        <f t="shared" si="2"/>
        <v>1.5445833333333334</v>
      </c>
      <c r="J36" s="28">
        <f t="shared" si="2"/>
        <v>0.67583333333333329</v>
      </c>
      <c r="K36" s="28">
        <f t="shared" si="2"/>
        <v>288.73499999999996</v>
      </c>
      <c r="L36" s="28">
        <f t="shared" si="2"/>
        <v>17.561666666666671</v>
      </c>
      <c r="M36" s="28">
        <f t="shared" si="2"/>
        <v>86.767499999999984</v>
      </c>
      <c r="N36" s="28">
        <f t="shared" si="2"/>
        <v>85.366666666666674</v>
      </c>
      <c r="O36" s="28">
        <f t="shared" si="2"/>
        <v>0</v>
      </c>
      <c r="P36" s="28">
        <f t="shared" si="2"/>
        <v>0.94708333333333317</v>
      </c>
      <c r="Q36" s="28">
        <f t="shared" si="2"/>
        <v>10.043750000000001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16.083349928654055</v>
      </c>
      <c r="C37" s="28">
        <f t="shared" si="3" ref="C37:Q37">STDEV(C9:C32)</f>
        <v>9.5920428979713055</v>
      </c>
      <c r="D37" s="28">
        <f t="shared" si="3"/>
        <v>15.177797189850471</v>
      </c>
      <c r="E37" s="28">
        <f t="shared" si="3"/>
        <v>0.1533112775567633</v>
      </c>
      <c r="F37" s="28">
        <f t="shared" si="3"/>
        <v>0.15285448228175444</v>
      </c>
      <c r="G37" s="28">
        <f t="shared" si="3"/>
        <v>14.60793619920357</v>
      </c>
      <c r="H37" s="28">
        <f t="shared" si="3"/>
        <v>3.3727556950157038</v>
      </c>
      <c r="I37" s="28">
        <f t="shared" si="3"/>
        <v>0.033876908470759748</v>
      </c>
      <c r="J37" s="28">
        <f t="shared" si="3"/>
        <v>0.46843789126309432</v>
      </c>
      <c r="K37" s="28">
        <f t="shared" si="3"/>
        <v>108.80136655951236</v>
      </c>
      <c r="L37" s="28">
        <f t="shared" si="3"/>
        <v>2.1382249173324479</v>
      </c>
      <c r="M37" s="28">
        <f t="shared" si="3"/>
        <v>10.461815558621302</v>
      </c>
      <c r="N37" s="28">
        <f t="shared" si="3"/>
        <v>104.31012984559938</v>
      </c>
      <c r="O37" s="28">
        <f t="shared" si="3"/>
        <v>0</v>
      </c>
      <c r="P37" s="28">
        <f t="shared" si="3"/>
        <v>0.14444734761110842</v>
      </c>
      <c r="Q37" s="28">
        <f t="shared" si="3"/>
        <v>1.2737033048146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cb927b3-f3ec-475c-8fad-f2b2ed425c9d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1" sqref="G6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518</v>
      </c>
      <c r="B9" s="54">
        <v>45.29</v>
      </c>
      <c r="C9" s="54">
        <v>56.02</v>
      </c>
      <c r="D9" s="54">
        <v>67.89</v>
      </c>
      <c r="E9" s="54">
        <v>0.27</v>
      </c>
      <c r="F9" s="54">
        <v>3.10</v>
      </c>
      <c r="G9" s="54">
        <v>95.70</v>
      </c>
      <c r="H9" s="54">
        <v>44.80</v>
      </c>
      <c r="I9" s="54">
        <v>1.54</v>
      </c>
      <c r="J9" s="54">
        <v>0.19</v>
      </c>
      <c r="K9" s="54">
        <v>91.78</v>
      </c>
      <c r="L9" s="54">
        <v>14.49</v>
      </c>
      <c r="M9" s="54">
        <v>91.91</v>
      </c>
      <c r="N9" s="54">
        <v>13.60</v>
      </c>
      <c r="O9" s="54">
        <v>0</v>
      </c>
      <c r="P9" s="54">
        <v>1.04</v>
      </c>
      <c r="Q9" s="54">
        <v>10.63</v>
      </c>
      <c r="R9" s="43"/>
      <c r="S9" s="43"/>
      <c r="T9" s="43"/>
      <c r="U9" s="43"/>
    </row>
    <row r="10" spans="1:21" s="11" customFormat="1" ht="15">
      <c r="A10" s="53" t="s">
        <v>519</v>
      </c>
      <c r="B10" s="54">
        <v>38.01</v>
      </c>
      <c r="C10" s="54">
        <v>54.5</v>
      </c>
      <c r="D10" s="54">
        <v>61.12</v>
      </c>
      <c r="E10" s="54">
        <v>0.20</v>
      </c>
      <c r="F10" s="54">
        <v>3.03</v>
      </c>
      <c r="G10" s="54">
        <v>91.63</v>
      </c>
      <c r="H10" s="54">
        <v>40.729999999999997</v>
      </c>
      <c r="I10" s="54">
        <v>1.52</v>
      </c>
      <c r="J10" s="54">
        <v>0.22</v>
      </c>
      <c r="K10" s="54">
        <v>321.86</v>
      </c>
      <c r="L10" s="54">
        <v>14.36</v>
      </c>
      <c r="M10" s="54">
        <v>88.51</v>
      </c>
      <c r="N10" s="54">
        <v>13.60</v>
      </c>
      <c r="O10" s="54">
        <v>0</v>
      </c>
      <c r="P10" s="54">
        <v>0.94</v>
      </c>
      <c r="Q10" s="54">
        <v>10.11</v>
      </c>
      <c r="R10" s="43"/>
      <c r="S10" s="43"/>
      <c r="T10" s="43"/>
      <c r="U10" s="43"/>
    </row>
    <row r="11" spans="1:21" s="11" customFormat="1" ht="15">
      <c r="A11" s="53" t="s">
        <v>520</v>
      </c>
      <c r="B11" s="54">
        <v>33.21</v>
      </c>
      <c r="C11" s="54">
        <v>53.95</v>
      </c>
      <c r="D11" s="54">
        <v>57.05</v>
      </c>
      <c r="E11" s="54">
        <v>0.19</v>
      </c>
      <c r="F11" s="54">
        <v>3.28</v>
      </c>
      <c r="G11" s="54">
        <v>90.91</v>
      </c>
      <c r="H11" s="54">
        <v>40.36</v>
      </c>
      <c r="I11" s="54">
        <v>1.58</v>
      </c>
      <c r="J11" s="54">
        <v>0.14000000000000001</v>
      </c>
      <c r="K11" s="54">
        <v>102.65</v>
      </c>
      <c r="L11" s="54">
        <v>14.18</v>
      </c>
      <c r="M11" s="54">
        <v>85.93</v>
      </c>
      <c r="N11" s="54">
        <v>13.80</v>
      </c>
      <c r="O11" s="54">
        <v>0</v>
      </c>
      <c r="P11" s="54">
        <v>0.90</v>
      </c>
      <c r="Q11" s="54">
        <v>9.6999999999999993</v>
      </c>
      <c r="R11" s="43"/>
      <c r="S11" s="43"/>
      <c r="T11" s="43"/>
      <c r="U11" s="43"/>
    </row>
    <row r="12" spans="1:21" s="11" customFormat="1" ht="15">
      <c r="A12" s="53" t="s">
        <v>521</v>
      </c>
      <c r="B12" s="54">
        <v>30.34</v>
      </c>
      <c r="C12" s="54">
        <v>52.05</v>
      </c>
      <c r="D12" s="54">
        <v>53.70</v>
      </c>
      <c r="E12" s="54">
        <v>0.21</v>
      </c>
      <c r="F12" s="54">
        <v>3.42</v>
      </c>
      <c r="G12" s="54">
        <v>89.58</v>
      </c>
      <c r="H12" s="54">
        <v>40.630000000000003</v>
      </c>
      <c r="I12" s="54">
        <v>1.55</v>
      </c>
      <c r="J12" s="54">
        <v>0.82</v>
      </c>
      <c r="K12" s="54">
        <v>116.25</v>
      </c>
      <c r="L12" s="54">
        <v>14.79</v>
      </c>
      <c r="M12" s="54">
        <v>79.02</v>
      </c>
      <c r="N12" s="54">
        <v>14.40</v>
      </c>
      <c r="O12" s="54">
        <v>0</v>
      </c>
      <c r="P12" s="54">
        <v>0.86</v>
      </c>
      <c r="Q12" s="54">
        <v>9.2799999999999994</v>
      </c>
      <c r="R12" s="43"/>
      <c r="S12" s="43"/>
      <c r="T12" s="43"/>
      <c r="U12" s="43"/>
    </row>
    <row r="13" spans="1:21" s="11" customFormat="1" ht="15">
      <c r="A13" s="53" t="s">
        <v>522</v>
      </c>
      <c r="B13" s="54">
        <v>24.55</v>
      </c>
      <c r="C13" s="54">
        <v>51.34</v>
      </c>
      <c r="D13" s="54">
        <v>48.67</v>
      </c>
      <c r="E13" s="54">
        <v>0.19</v>
      </c>
      <c r="F13" s="54">
        <v>3.21</v>
      </c>
      <c r="G13" s="54">
        <v>87.59</v>
      </c>
      <c r="H13" s="54">
        <v>40.630000000000003</v>
      </c>
      <c r="I13" s="54">
        <v>1.53</v>
      </c>
      <c r="J13" s="54">
        <v>0.89</v>
      </c>
      <c r="K13" s="54">
        <v>108.55</v>
      </c>
      <c r="L13" s="54">
        <v>14.63</v>
      </c>
      <c r="M13" s="54">
        <v>76.92</v>
      </c>
      <c r="N13" s="54">
        <v>14.40</v>
      </c>
      <c r="O13" s="54">
        <v>0</v>
      </c>
      <c r="P13" s="54">
        <v>0.82</v>
      </c>
      <c r="Q13" s="54">
        <v>8.58</v>
      </c>
      <c r="R13" s="43"/>
      <c r="S13" s="43"/>
      <c r="T13" s="43"/>
      <c r="U13" s="43"/>
    </row>
    <row r="14" spans="1:21" s="11" customFormat="1" ht="15">
      <c r="A14" s="53" t="s">
        <v>523</v>
      </c>
      <c r="B14" s="54">
        <v>21.52</v>
      </c>
      <c r="C14" s="54">
        <v>50.01</v>
      </c>
      <c r="D14" s="54">
        <v>45.5</v>
      </c>
      <c r="E14" s="54">
        <v>0.18</v>
      </c>
      <c r="F14" s="54">
        <v>3.15</v>
      </c>
      <c r="G14" s="54">
        <v>81.93</v>
      </c>
      <c r="H14" s="54">
        <v>39.409999999999997</v>
      </c>
      <c r="I14" s="54">
        <v>1.55</v>
      </c>
      <c r="J14" s="54">
        <v>2.41</v>
      </c>
      <c r="K14" s="54">
        <v>112.75</v>
      </c>
      <c r="L14" s="54">
        <v>14.89</v>
      </c>
      <c r="M14" s="54">
        <v>83.89</v>
      </c>
      <c r="N14" s="54">
        <v>14.5</v>
      </c>
      <c r="O14" s="54">
        <v>0</v>
      </c>
      <c r="P14" s="54">
        <v>0.79</v>
      </c>
      <c r="Q14" s="54">
        <v>8.23</v>
      </c>
      <c r="R14" s="43"/>
      <c r="S14" s="43"/>
      <c r="T14" s="43"/>
      <c r="U14" s="43"/>
    </row>
    <row r="15" spans="1:21" s="11" customFormat="1" ht="15">
      <c r="A15" s="53" t="s">
        <v>524</v>
      </c>
      <c r="B15" s="54">
        <v>23.07</v>
      </c>
      <c r="C15" s="54">
        <v>49.58</v>
      </c>
      <c r="D15" s="54">
        <v>46.51</v>
      </c>
      <c r="E15" s="54">
        <v>0.19</v>
      </c>
      <c r="F15" s="54">
        <v>3.42</v>
      </c>
      <c r="G15" s="54">
        <v>79.62</v>
      </c>
      <c r="H15" s="54">
        <v>37.96</v>
      </c>
      <c r="I15" s="54">
        <v>1.49</v>
      </c>
      <c r="J15" s="54">
        <v>0.84</v>
      </c>
      <c r="K15" s="54">
        <v>341.17</v>
      </c>
      <c r="L15" s="54">
        <v>14.84</v>
      </c>
      <c r="M15" s="54">
        <v>89.99</v>
      </c>
      <c r="N15" s="54">
        <v>17</v>
      </c>
      <c r="O15" s="54">
        <v>0</v>
      </c>
      <c r="P15" s="54">
        <v>0.80</v>
      </c>
      <c r="Q15" s="54">
        <v>8.08</v>
      </c>
      <c r="R15" s="43"/>
      <c r="S15" s="43"/>
      <c r="T15" s="43"/>
      <c r="U15" s="43"/>
    </row>
    <row r="16" spans="1:21" s="11" customFormat="1" ht="15">
      <c r="A16" s="53" t="s">
        <v>525</v>
      </c>
      <c r="B16" s="54">
        <v>28.55</v>
      </c>
      <c r="C16" s="54">
        <v>50.32</v>
      </c>
      <c r="D16" s="54">
        <v>51.31</v>
      </c>
      <c r="E16" s="54">
        <v>0.23</v>
      </c>
      <c r="F16" s="54">
        <v>3.28</v>
      </c>
      <c r="G16" s="54">
        <v>87.63</v>
      </c>
      <c r="H16" s="54">
        <v>38.60</v>
      </c>
      <c r="I16" s="54">
        <v>1.60</v>
      </c>
      <c r="J16" s="54">
        <v>0.99</v>
      </c>
      <c r="K16" s="54">
        <v>345.74</v>
      </c>
      <c r="L16" s="54">
        <v>15.20</v>
      </c>
      <c r="M16" s="54">
        <v>82.02</v>
      </c>
      <c r="N16" s="54">
        <v>27.40</v>
      </c>
      <c r="O16" s="54">
        <v>0</v>
      </c>
      <c r="P16" s="54">
        <v>0.86</v>
      </c>
      <c r="Q16" s="54">
        <v>8.61</v>
      </c>
      <c r="R16" s="43"/>
      <c r="S16" s="43"/>
      <c r="T16" s="43"/>
      <c r="U16" s="43"/>
    </row>
    <row r="17" spans="1:21" s="11" customFormat="1" ht="15">
      <c r="A17" s="53" t="s">
        <v>526</v>
      </c>
      <c r="B17" s="54">
        <v>46.54</v>
      </c>
      <c r="C17" s="54">
        <v>49.88</v>
      </c>
      <c r="D17" s="54">
        <v>64.52</v>
      </c>
      <c r="E17" s="54">
        <v>0.28000000000000003</v>
      </c>
      <c r="F17" s="54">
        <v>3.16</v>
      </c>
      <c r="G17" s="54">
        <v>100.62</v>
      </c>
      <c r="H17" s="54">
        <v>45.37</v>
      </c>
      <c r="I17" s="54">
        <v>1.54</v>
      </c>
      <c r="J17" s="54">
        <v>0.89</v>
      </c>
      <c r="K17" s="54">
        <v>346.19</v>
      </c>
      <c r="L17" s="54">
        <v>15.61</v>
      </c>
      <c r="M17" s="54">
        <v>79.97</v>
      </c>
      <c r="N17" s="54">
        <v>39.200000000000003</v>
      </c>
      <c r="O17" s="54">
        <v>0</v>
      </c>
      <c r="P17" s="54">
        <v>1.06</v>
      </c>
      <c r="Q17" s="54">
        <v>9.7200000000000006</v>
      </c>
      <c r="R17" s="43"/>
      <c r="S17" s="43"/>
      <c r="T17" s="43"/>
      <c r="U17" s="43"/>
    </row>
    <row r="18" spans="1:21" s="11" customFormat="1" ht="15">
      <c r="A18" s="53" t="s">
        <v>527</v>
      </c>
      <c r="B18" s="54">
        <v>59.09</v>
      </c>
      <c r="C18" s="54">
        <v>49.22</v>
      </c>
      <c r="D18" s="54">
        <v>75.099999999999994</v>
      </c>
      <c r="E18" s="54">
        <v>0.40</v>
      </c>
      <c r="F18" s="54">
        <v>3.43</v>
      </c>
      <c r="G18" s="54">
        <v>193.82</v>
      </c>
      <c r="H18" s="54">
        <v>54.91</v>
      </c>
      <c r="I18" s="54">
        <v>1.57</v>
      </c>
      <c r="J18" s="54">
        <v>0.87</v>
      </c>
      <c r="K18" s="54">
        <v>357.64</v>
      </c>
      <c r="L18" s="54">
        <v>15.88</v>
      </c>
      <c r="M18" s="54">
        <v>79.39</v>
      </c>
      <c r="N18" s="54">
        <v>92.10</v>
      </c>
      <c r="O18" s="54">
        <v>0</v>
      </c>
      <c r="P18" s="54">
        <v>1.21</v>
      </c>
      <c r="Q18" s="54">
        <v>10.79</v>
      </c>
      <c r="R18" s="43"/>
      <c r="S18" s="43"/>
      <c r="T18" s="43"/>
      <c r="U18" s="43"/>
    </row>
    <row r="19" spans="1:21" s="11" customFormat="1" ht="15">
      <c r="A19" s="53" t="s">
        <v>528</v>
      </c>
      <c r="B19" s="54">
        <v>62.35</v>
      </c>
      <c r="C19" s="54">
        <v>53.42</v>
      </c>
      <c r="D19" s="54">
        <v>79</v>
      </c>
      <c r="E19" s="54">
        <v>0.39</v>
      </c>
      <c r="F19" s="54">
        <v>3.21</v>
      </c>
      <c r="G19" s="54">
        <v>193.82</v>
      </c>
      <c r="H19" s="54">
        <v>56.09</v>
      </c>
      <c r="I19" s="54">
        <v>1.52</v>
      </c>
      <c r="J19" s="54">
        <v>1.04</v>
      </c>
      <c r="K19" s="54">
        <v>346.57</v>
      </c>
      <c r="L19" s="54">
        <v>17.93</v>
      </c>
      <c r="M19" s="54">
        <v>74.569999999999993</v>
      </c>
      <c r="N19" s="54">
        <v>104.30</v>
      </c>
      <c r="O19" s="54">
        <v>0</v>
      </c>
      <c r="P19" s="54">
        <v>1.27</v>
      </c>
      <c r="Q19" s="54">
        <v>11.07</v>
      </c>
      <c r="R19" s="43"/>
      <c r="S19" s="43"/>
      <c r="T19" s="43"/>
      <c r="U19" s="43"/>
    </row>
    <row r="20" spans="1:21" s="11" customFormat="1" ht="15">
      <c r="A20" s="53" t="s">
        <v>529</v>
      </c>
      <c r="B20" s="54">
        <v>60.10</v>
      </c>
      <c r="C20" s="54">
        <v>56.52</v>
      </c>
      <c r="D20" s="54">
        <v>79.14</v>
      </c>
      <c r="E20" s="54">
        <v>0.33</v>
      </c>
      <c r="F20" s="54">
        <v>3.27</v>
      </c>
      <c r="G20" s="54">
        <v>174.88</v>
      </c>
      <c r="H20" s="54">
        <v>56.09</v>
      </c>
      <c r="I20" s="54">
        <v>1.58</v>
      </c>
      <c r="J20" s="54">
        <v>0.73</v>
      </c>
      <c r="K20" s="54">
        <v>339.51</v>
      </c>
      <c r="L20" s="54">
        <v>18.510000000000002</v>
      </c>
      <c r="M20" s="54">
        <v>78.28</v>
      </c>
      <c r="N20" s="54">
        <v>160.5</v>
      </c>
      <c r="O20" s="54">
        <v>0</v>
      </c>
      <c r="P20" s="54">
        <v>1.28</v>
      </c>
      <c r="Q20" s="54">
        <v>11.04</v>
      </c>
      <c r="R20" s="43"/>
      <c r="S20" s="43"/>
      <c r="T20" s="43"/>
      <c r="U20" s="43"/>
    </row>
    <row r="21" spans="1:21" s="11" customFormat="1" ht="15">
      <c r="A21" s="53" t="s">
        <v>530</v>
      </c>
      <c r="B21" s="54">
        <v>53.29</v>
      </c>
      <c r="C21" s="54">
        <v>60.04</v>
      </c>
      <c r="D21" s="54">
        <v>74.62</v>
      </c>
      <c r="E21" s="54">
        <v>0.43</v>
      </c>
      <c r="F21" s="54">
        <v>3.27</v>
      </c>
      <c r="G21" s="54">
        <v>119.95</v>
      </c>
      <c r="H21" s="54">
        <v>53.41</v>
      </c>
      <c r="I21" s="54">
        <v>1.51</v>
      </c>
      <c r="J21" s="54">
        <v>0.74</v>
      </c>
      <c r="K21" s="54">
        <v>358.21</v>
      </c>
      <c r="L21" s="54">
        <v>20.43</v>
      </c>
      <c r="M21" s="54">
        <v>80.16</v>
      </c>
      <c r="N21" s="54">
        <v>160.30000000000001</v>
      </c>
      <c r="O21" s="54">
        <v>0</v>
      </c>
      <c r="P21" s="54">
        <v>1.23</v>
      </c>
      <c r="Q21" s="54">
        <v>10.80</v>
      </c>
      <c r="R21" s="43"/>
      <c r="S21" s="43"/>
      <c r="T21" s="43"/>
      <c r="U21" s="43"/>
    </row>
    <row r="22" spans="1:21" s="11" customFormat="1" ht="15">
      <c r="A22" s="53" t="s">
        <v>531</v>
      </c>
      <c r="B22" s="54">
        <v>45.33</v>
      </c>
      <c r="C22" s="54">
        <v>65.16</v>
      </c>
      <c r="D22" s="54">
        <v>71.05</v>
      </c>
      <c r="E22" s="54">
        <v>0.60</v>
      </c>
      <c r="F22" s="54">
        <v>3.32</v>
      </c>
      <c r="G22" s="54">
        <v>96.03</v>
      </c>
      <c r="H22" s="54">
        <v>53.41</v>
      </c>
      <c r="I22" s="54">
        <v>1.58</v>
      </c>
      <c r="J22" s="54">
        <v>1.1100000000000001</v>
      </c>
      <c r="K22" s="54">
        <v>345.32</v>
      </c>
      <c r="L22" s="54">
        <v>21.71</v>
      </c>
      <c r="M22" s="54">
        <v>69.75</v>
      </c>
      <c r="N22" s="54">
        <v>180.80</v>
      </c>
      <c r="O22" s="54">
        <v>0</v>
      </c>
      <c r="P22" s="54">
        <v>1.21</v>
      </c>
      <c r="Q22" s="54">
        <v>10.51</v>
      </c>
      <c r="R22" s="43"/>
      <c r="S22" s="43"/>
      <c r="T22" s="43"/>
      <c r="U22" s="43"/>
    </row>
    <row r="23" spans="1:21" s="11" customFormat="1" ht="15">
      <c r="A23" s="53" t="s">
        <v>532</v>
      </c>
      <c r="B23" s="54">
        <v>36.15</v>
      </c>
      <c r="C23" s="54">
        <v>66.84</v>
      </c>
      <c r="D23" s="54">
        <v>65.81</v>
      </c>
      <c r="E23" s="54">
        <v>0.31</v>
      </c>
      <c r="F23" s="54">
        <v>3.32</v>
      </c>
      <c r="G23" s="54">
        <v>96.03</v>
      </c>
      <c r="H23" s="54">
        <v>50.85</v>
      </c>
      <c r="I23" s="54">
        <v>1.51</v>
      </c>
      <c r="J23" s="54">
        <v>0.91</v>
      </c>
      <c r="K23" s="54">
        <v>345.41</v>
      </c>
      <c r="L23" s="54">
        <v>22.79</v>
      </c>
      <c r="M23" s="54">
        <v>68.94</v>
      </c>
      <c r="N23" s="54">
        <v>245.40</v>
      </c>
      <c r="O23" s="54">
        <v>0</v>
      </c>
      <c r="P23" s="54">
        <v>1.19</v>
      </c>
      <c r="Q23" s="54">
        <v>10.27</v>
      </c>
      <c r="R23" s="43"/>
      <c r="S23" s="43"/>
      <c r="T23" s="43"/>
      <c r="U23" s="43"/>
    </row>
    <row r="24" spans="1:21" s="11" customFormat="1" ht="15">
      <c r="A24" s="53" t="s">
        <v>533</v>
      </c>
      <c r="B24" s="54">
        <v>28.70</v>
      </c>
      <c r="C24" s="54">
        <v>68.430000000000007</v>
      </c>
      <c r="D24" s="54">
        <v>60.77</v>
      </c>
      <c r="E24" s="54">
        <v>0.34</v>
      </c>
      <c r="F24" s="54">
        <v>3.24</v>
      </c>
      <c r="G24" s="54">
        <v>91.08</v>
      </c>
      <c r="H24" s="54">
        <v>44.56</v>
      </c>
      <c r="I24" s="54">
        <v>1.55</v>
      </c>
      <c r="J24" s="54">
        <v>1.23</v>
      </c>
      <c r="K24" s="54">
        <v>341.76</v>
      </c>
      <c r="L24" s="54">
        <v>22.08</v>
      </c>
      <c r="M24" s="54">
        <v>70.53</v>
      </c>
      <c r="N24" s="54">
        <v>125.70</v>
      </c>
      <c r="O24" s="54">
        <v>0</v>
      </c>
      <c r="P24" s="54">
        <v>1.1299999999999999</v>
      </c>
      <c r="Q24" s="54">
        <v>10.119999999999999</v>
      </c>
      <c r="R24" s="43"/>
      <c r="S24" s="43"/>
      <c r="T24" s="43"/>
      <c r="U24" s="43"/>
    </row>
    <row r="25" spans="1:21" s="11" customFormat="1" ht="15">
      <c r="A25" s="53" t="s">
        <v>534</v>
      </c>
      <c r="B25" s="54">
        <v>25.56</v>
      </c>
      <c r="C25" s="54">
        <v>70.83</v>
      </c>
      <c r="D25" s="54">
        <v>60.23</v>
      </c>
      <c r="E25" s="54">
        <v>0.24</v>
      </c>
      <c r="F25" s="54">
        <v>3.33</v>
      </c>
      <c r="G25" s="54">
        <v>115.88</v>
      </c>
      <c r="H25" s="54">
        <v>44.56</v>
      </c>
      <c r="I25" s="54">
        <v>1.59</v>
      </c>
      <c r="J25" s="54">
        <v>1.5</v>
      </c>
      <c r="K25" s="54">
        <v>346.98</v>
      </c>
      <c r="L25" s="54">
        <v>21.45</v>
      </c>
      <c r="M25" s="54">
        <v>78.319999999999993</v>
      </c>
      <c r="N25" s="54">
        <v>70.70</v>
      </c>
      <c r="O25" s="54">
        <v>0</v>
      </c>
      <c r="P25" s="54">
        <v>1.1499999999999999</v>
      </c>
      <c r="Q25" s="54">
        <v>10.11</v>
      </c>
      <c r="R25" s="43"/>
      <c r="S25" s="43"/>
      <c r="T25" s="43"/>
      <c r="U25" s="43"/>
    </row>
    <row r="26" spans="1:21" s="11" customFormat="1" ht="15">
      <c r="A26" s="53" t="s">
        <v>535</v>
      </c>
      <c r="B26" s="54">
        <v>27.79</v>
      </c>
      <c r="C26" s="54">
        <v>68.92</v>
      </c>
      <c r="D26" s="54">
        <v>60.51</v>
      </c>
      <c r="E26" s="54">
        <v>0.24</v>
      </c>
      <c r="F26" s="54">
        <v>3.39</v>
      </c>
      <c r="G26" s="54">
        <v>118.79</v>
      </c>
      <c r="H26" s="54">
        <v>41.15</v>
      </c>
      <c r="I26" s="54">
        <v>1.51</v>
      </c>
      <c r="J26" s="54">
        <v>1.29</v>
      </c>
      <c r="K26" s="54">
        <v>345.52</v>
      </c>
      <c r="L26" s="54">
        <v>19.559999999999999</v>
      </c>
      <c r="M26" s="54">
        <v>88.17</v>
      </c>
      <c r="N26" s="54">
        <v>26.5</v>
      </c>
      <c r="O26" s="54">
        <v>0</v>
      </c>
      <c r="P26" s="54">
        <v>1.24</v>
      </c>
      <c r="Q26" s="54">
        <v>10.039999999999999</v>
      </c>
      <c r="R26" s="43"/>
      <c r="S26" s="43"/>
      <c r="T26" s="43"/>
      <c r="U26" s="43"/>
    </row>
    <row r="27" spans="1:21" s="11" customFormat="1" ht="15">
      <c r="A27" s="53" t="s">
        <v>536</v>
      </c>
      <c r="B27" s="54">
        <v>34.979999999999997</v>
      </c>
      <c r="C27" s="54">
        <v>66.959999999999994</v>
      </c>
      <c r="D27" s="54">
        <v>64.45</v>
      </c>
      <c r="E27" s="54">
        <v>0.23</v>
      </c>
      <c r="F27" s="54">
        <v>3.10</v>
      </c>
      <c r="G27" s="54">
        <v>118.79</v>
      </c>
      <c r="H27" s="54">
        <v>41.14</v>
      </c>
      <c r="I27" s="54">
        <v>1.53</v>
      </c>
      <c r="J27" s="54">
        <v>0.45</v>
      </c>
      <c r="K27" s="54">
        <v>325.52</v>
      </c>
      <c r="L27" s="54">
        <v>18.59</v>
      </c>
      <c r="M27" s="54">
        <v>92.44</v>
      </c>
      <c r="N27" s="54">
        <v>14.40</v>
      </c>
      <c r="O27" s="54">
        <v>0</v>
      </c>
      <c r="P27" s="54">
        <v>1.31</v>
      </c>
      <c r="Q27" s="54">
        <v>10.40</v>
      </c>
      <c r="R27" s="43"/>
      <c r="S27" s="43"/>
      <c r="T27" s="43"/>
      <c r="U27" s="43"/>
    </row>
    <row r="28" spans="1:21" s="11" customFormat="1" ht="15">
      <c r="A28" s="53" t="s">
        <v>537</v>
      </c>
      <c r="B28" s="54">
        <v>34.74</v>
      </c>
      <c r="C28" s="54">
        <v>63.08</v>
      </c>
      <c r="D28" s="54">
        <v>63.32</v>
      </c>
      <c r="E28" s="54">
        <v>0.18</v>
      </c>
      <c r="F28" s="54">
        <v>3.22</v>
      </c>
      <c r="G28" s="54">
        <v>114.11</v>
      </c>
      <c r="H28" s="54">
        <v>41</v>
      </c>
      <c r="I28" s="54">
        <v>1.49</v>
      </c>
      <c r="J28" s="54">
        <v>0.46</v>
      </c>
      <c r="K28" s="54">
        <v>101.54</v>
      </c>
      <c r="L28" s="54">
        <v>17.32</v>
      </c>
      <c r="M28" s="54">
        <v>98.31</v>
      </c>
      <c r="N28" s="54">
        <v>14.40</v>
      </c>
      <c r="O28" s="54">
        <v>0</v>
      </c>
      <c r="P28" s="54">
        <v>1.29</v>
      </c>
      <c r="Q28" s="54">
        <v>10.37</v>
      </c>
      <c r="R28" s="43"/>
      <c r="S28" s="43"/>
      <c r="T28" s="43"/>
      <c r="U28" s="43"/>
    </row>
    <row r="29" spans="1:21" s="11" customFormat="1" ht="15">
      <c r="A29" s="53" t="s">
        <v>538</v>
      </c>
      <c r="B29" s="54">
        <v>38.200000000000003</v>
      </c>
      <c r="C29" s="54">
        <v>59.27</v>
      </c>
      <c r="D29" s="54">
        <v>63.76</v>
      </c>
      <c r="E29" s="54">
        <v>0.32</v>
      </c>
      <c r="F29" s="54">
        <v>3.06</v>
      </c>
      <c r="G29" s="54">
        <v>99.62</v>
      </c>
      <c r="H29" s="54">
        <v>41</v>
      </c>
      <c r="I29" s="54">
        <v>1.52</v>
      </c>
      <c r="J29" s="54">
        <v>0.28999999999999998</v>
      </c>
      <c r="K29" s="54">
        <v>331.16</v>
      </c>
      <c r="L29" s="54">
        <v>16.73</v>
      </c>
      <c r="M29" s="54">
        <v>100.26</v>
      </c>
      <c r="N29" s="54">
        <v>14.30</v>
      </c>
      <c r="O29" s="54">
        <v>0</v>
      </c>
      <c r="P29" s="54">
        <v>1.32</v>
      </c>
      <c r="Q29" s="54">
        <v>10.47</v>
      </c>
      <c r="R29" s="43"/>
      <c r="S29" s="43"/>
      <c r="T29" s="43"/>
      <c r="U29" s="43"/>
    </row>
    <row r="30" spans="1:21" s="11" customFormat="1" ht="15">
      <c r="A30" s="53" t="s">
        <v>539</v>
      </c>
      <c r="B30" s="54">
        <v>38.5</v>
      </c>
      <c r="C30" s="54">
        <v>58.28</v>
      </c>
      <c r="D30" s="54">
        <v>63.24</v>
      </c>
      <c r="E30" s="54">
        <v>0.38</v>
      </c>
      <c r="F30" s="54">
        <v>3.29</v>
      </c>
      <c r="G30" s="54">
        <v>92.53</v>
      </c>
      <c r="H30" s="54">
        <v>40.71</v>
      </c>
      <c r="I30" s="54">
        <v>1.57</v>
      </c>
      <c r="J30" s="54">
        <v>0.62</v>
      </c>
      <c r="K30" s="54">
        <v>345.40</v>
      </c>
      <c r="L30" s="54">
        <v>16.22</v>
      </c>
      <c r="M30" s="54">
        <v>100.27</v>
      </c>
      <c r="N30" s="54">
        <v>14.30</v>
      </c>
      <c r="O30" s="54">
        <v>0</v>
      </c>
      <c r="P30" s="54">
        <v>1.31</v>
      </c>
      <c r="Q30" s="54">
        <v>10.60</v>
      </c>
      <c r="R30" s="43"/>
      <c r="S30" s="43"/>
      <c r="T30" s="43"/>
      <c r="U30" s="43"/>
    </row>
    <row r="31" spans="1:21" s="11" customFormat="1" ht="15">
      <c r="A31" s="53" t="s">
        <v>540</v>
      </c>
      <c r="B31" s="54">
        <v>37.83</v>
      </c>
      <c r="C31" s="54">
        <v>57.06</v>
      </c>
      <c r="D31" s="54">
        <v>62.47</v>
      </c>
      <c r="E31" s="54">
        <v>0.37</v>
      </c>
      <c r="F31" s="54">
        <v>3.26</v>
      </c>
      <c r="G31" s="54">
        <v>94.64</v>
      </c>
      <c r="H31" s="54">
        <v>40.71</v>
      </c>
      <c r="I31" s="54">
        <v>1.58</v>
      </c>
      <c r="J31" s="54">
        <v>0.80</v>
      </c>
      <c r="K31" s="54">
        <v>346.10</v>
      </c>
      <c r="L31" s="54">
        <v>16.18</v>
      </c>
      <c r="M31" s="54">
        <v>100.25</v>
      </c>
      <c r="N31" s="54">
        <v>14.70</v>
      </c>
      <c r="O31" s="54">
        <v>0</v>
      </c>
      <c r="P31" s="54">
        <v>1.29</v>
      </c>
      <c r="Q31" s="54">
        <v>10.58</v>
      </c>
      <c r="R31" s="43"/>
      <c r="S31" s="43"/>
      <c r="T31" s="43"/>
      <c r="U31" s="43"/>
    </row>
    <row r="32" spans="1:21" s="11" customFormat="1" ht="15">
      <c r="A32" s="53" t="s">
        <v>541</v>
      </c>
      <c r="B32" s="54">
        <v>35.43</v>
      </c>
      <c r="C32" s="54">
        <v>56.18</v>
      </c>
      <c r="D32" s="54">
        <v>60.06</v>
      </c>
      <c r="E32" s="54">
        <v>0.33</v>
      </c>
      <c r="F32" s="54">
        <v>3.16</v>
      </c>
      <c r="G32" s="54">
        <v>94.64</v>
      </c>
      <c r="H32" s="54">
        <v>40.39</v>
      </c>
      <c r="I32" s="54">
        <v>1.55</v>
      </c>
      <c r="J32" s="54">
        <v>0.24</v>
      </c>
      <c r="K32" s="54">
        <v>357.97</v>
      </c>
      <c r="L32" s="54">
        <v>15.69</v>
      </c>
      <c r="M32" s="54">
        <v>100.26</v>
      </c>
      <c r="N32" s="54">
        <v>14.40</v>
      </c>
      <c r="O32" s="54">
        <v>0</v>
      </c>
      <c r="P32" s="54">
        <v>1.25</v>
      </c>
      <c r="Q32" s="54">
        <v>10.42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21.52</v>
      </c>
      <c r="C34" s="28">
        <f t="shared" si="0"/>
        <v>49.219999999999999</v>
      </c>
      <c r="D34" s="28">
        <f t="shared" si="0"/>
        <v>45.5</v>
      </c>
      <c r="E34" s="28">
        <f t="shared" si="0"/>
        <v>0.17999999999999999</v>
      </c>
      <c r="F34" s="28">
        <f t="shared" si="0"/>
        <v>3.0299999999999998</v>
      </c>
      <c r="G34" s="28">
        <f t="shared" si="0"/>
        <v>79.620000000000005</v>
      </c>
      <c r="H34" s="28">
        <f t="shared" si="0"/>
        <v>37.960000000000001</v>
      </c>
      <c r="I34" s="28">
        <f t="shared" si="0"/>
        <v>1.49</v>
      </c>
      <c r="J34" s="28">
        <f t="shared" si="0"/>
        <v>0.14000000000000001</v>
      </c>
      <c r="K34" s="28">
        <f t="shared" si="0"/>
        <v>91.780000000000001</v>
      </c>
      <c r="L34" s="28">
        <f t="shared" si="0"/>
        <v>14.18</v>
      </c>
      <c r="M34" s="28">
        <f t="shared" si="0"/>
        <v>68.939999999999998</v>
      </c>
      <c r="N34" s="28">
        <f t="shared" si="0"/>
        <v>13.6</v>
      </c>
      <c r="O34" s="28">
        <f t="shared" si="0"/>
        <v>0</v>
      </c>
      <c r="P34" s="28">
        <f t="shared" si="0"/>
        <v>0.79000000000000004</v>
      </c>
      <c r="Q34" s="28">
        <f t="shared" si="0"/>
        <v>8.0800000000000001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62.350000000000001</v>
      </c>
      <c r="C35" s="29">
        <f t="shared" si="1"/>
        <v>70.829999999999998</v>
      </c>
      <c r="D35" s="29">
        <f t="shared" si="1"/>
        <v>79.140000000000001</v>
      </c>
      <c r="E35" s="29">
        <f t="shared" si="1"/>
        <v>0.59999999999999998</v>
      </c>
      <c r="F35" s="29">
        <f t="shared" si="1"/>
        <v>3.4300000000000002</v>
      </c>
      <c r="G35" s="29">
        <f t="shared" si="1"/>
        <v>193.81999999999999</v>
      </c>
      <c r="H35" s="29">
        <f t="shared" si="1"/>
        <v>56.090000000000003</v>
      </c>
      <c r="I35" s="29">
        <f t="shared" si="1"/>
        <v>1.6000000000000001</v>
      </c>
      <c r="J35" s="29">
        <f t="shared" si="1"/>
        <v>2.4100000000000001</v>
      </c>
      <c r="K35" s="29">
        <f t="shared" si="1"/>
        <v>358.20999999999998</v>
      </c>
      <c r="L35" s="29">
        <f t="shared" si="1"/>
        <v>22.789999999999999</v>
      </c>
      <c r="M35" s="29">
        <f t="shared" si="1"/>
        <v>100.27</v>
      </c>
      <c r="N35" s="29">
        <f t="shared" si="1"/>
        <v>245.40000000000001</v>
      </c>
      <c r="O35" s="29">
        <f t="shared" si="1"/>
        <v>0</v>
      </c>
      <c r="P35" s="29">
        <f t="shared" si="1"/>
        <v>1.3200000000000001</v>
      </c>
      <c r="Q35" s="29">
        <f t="shared" si="1"/>
        <v>11.07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37.880000000000003</v>
      </c>
      <c r="C36" s="28">
        <f t="shared" si="2"/>
        <v>57.827499999999993</v>
      </c>
      <c r="D36" s="28">
        <f t="shared" si="2"/>
        <v>62.491666666666667</v>
      </c>
      <c r="E36" s="28">
        <f t="shared" si="2"/>
        <v>0.29291666666666666</v>
      </c>
      <c r="F36" s="28">
        <f t="shared" si="2"/>
        <v>3.2466666666666679</v>
      </c>
      <c r="G36" s="28">
        <f t="shared" si="2"/>
        <v>109.15916666666665</v>
      </c>
      <c r="H36" s="28">
        <f t="shared" si="2"/>
        <v>44.519583333333337</v>
      </c>
      <c r="I36" s="28">
        <f t="shared" si="2"/>
        <v>1.5441666666666667</v>
      </c>
      <c r="J36" s="28">
        <f t="shared" si="2"/>
        <v>0.81958333333333344</v>
      </c>
      <c r="K36" s="28">
        <f t="shared" si="2"/>
        <v>284.23125000000005</v>
      </c>
      <c r="L36" s="28">
        <f t="shared" si="2"/>
        <v>17.252499999999998</v>
      </c>
      <c r="M36" s="28">
        <f t="shared" si="2"/>
        <v>84.919166666666669</v>
      </c>
      <c r="N36" s="28">
        <f t="shared" si="2"/>
        <v>59.195833333333347</v>
      </c>
      <c r="O36" s="28">
        <f t="shared" si="2"/>
        <v>0</v>
      </c>
      <c r="P36" s="28">
        <f t="shared" si="2"/>
        <v>1.114583333333333</v>
      </c>
      <c r="Q36" s="28">
        <f t="shared" si="2"/>
        <v>10.022083333333333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11.723751069108991</v>
      </c>
      <c r="C37" s="28">
        <f t="shared" si="3" ref="C37:Q37">STDEV(C9:C32)</f>
        <v>6.946108231608374</v>
      </c>
      <c r="D37" s="28">
        <f t="shared" si="3"/>
        <v>9.2474812865410865</v>
      </c>
      <c r="E37" s="28">
        <f t="shared" si="3"/>
        <v>0.1022562495875443</v>
      </c>
      <c r="F37" s="28">
        <f t="shared" si="3"/>
        <v>0.11227554097598136</v>
      </c>
      <c r="G37" s="28">
        <f t="shared" si="3"/>
        <v>32.508829023709147</v>
      </c>
      <c r="H37" s="28">
        <f t="shared" si="3"/>
        <v>6.0231304002853037</v>
      </c>
      <c r="I37" s="28">
        <f t="shared" si="3"/>
        <v>0.031885210782848346</v>
      </c>
      <c r="J37" s="28">
        <f t="shared" si="3"/>
        <v>0.49868068694930612</v>
      </c>
      <c r="K37" s="28">
        <f t="shared" si="3"/>
        <v>105.77832507130776</v>
      </c>
      <c r="L37" s="28">
        <f t="shared" si="3"/>
        <v>2.7522168929949862</v>
      </c>
      <c r="M37" s="28">
        <f t="shared" si="3"/>
        <v>10.107027652629426</v>
      </c>
      <c r="N37" s="28">
        <f t="shared" si="3"/>
        <v>67.931432688420799</v>
      </c>
      <c r="O37" s="28">
        <f t="shared" si="3"/>
        <v>0</v>
      </c>
      <c r="P37" s="28">
        <f t="shared" si="3"/>
        <v>0.18768565687633793</v>
      </c>
      <c r="Q37" s="28">
        <f t="shared" si="3"/>
        <v>0.86210550734646241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c3b34f-c773-468b-8d8c-aba627e0babb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542</v>
      </c>
      <c r="B9" s="54">
        <v>31.08</v>
      </c>
      <c r="C9" s="54">
        <v>53.67</v>
      </c>
      <c r="D9" s="54">
        <v>54.76</v>
      </c>
      <c r="E9" s="54">
        <v>0.34</v>
      </c>
      <c r="F9" s="54">
        <v>3.19</v>
      </c>
      <c r="G9" s="54">
        <v>99.45</v>
      </c>
      <c r="H9" s="54">
        <v>42.14</v>
      </c>
      <c r="I9" s="54">
        <v>1.53</v>
      </c>
      <c r="J9" s="54">
        <v>0.75</v>
      </c>
      <c r="K9" s="54">
        <v>356.51</v>
      </c>
      <c r="L9" s="54">
        <v>15.85</v>
      </c>
      <c r="M9" s="54">
        <v>100.25</v>
      </c>
      <c r="N9" s="54">
        <v>14.60</v>
      </c>
      <c r="O9" s="54">
        <v>0</v>
      </c>
      <c r="P9" s="54">
        <v>1.18</v>
      </c>
      <c r="Q9" s="54">
        <v>9.90</v>
      </c>
      <c r="R9" s="43"/>
      <c r="S9" s="43"/>
      <c r="T9" s="43"/>
      <c r="U9" s="43"/>
    </row>
    <row r="10" spans="1:21" s="11" customFormat="1" ht="15">
      <c r="A10" s="53" t="s">
        <v>543</v>
      </c>
      <c r="B10" s="54">
        <v>25.01</v>
      </c>
      <c r="C10" s="54">
        <v>53.13</v>
      </c>
      <c r="D10" s="54">
        <v>50</v>
      </c>
      <c r="E10" s="54">
        <v>0.32</v>
      </c>
      <c r="F10" s="54">
        <v>3.02</v>
      </c>
      <c r="G10" s="54">
        <v>101.68</v>
      </c>
      <c r="H10" s="54">
        <v>42.14</v>
      </c>
      <c r="I10" s="54">
        <v>1.55</v>
      </c>
      <c r="J10" s="54">
        <v>0.82</v>
      </c>
      <c r="K10" s="54">
        <v>349.64</v>
      </c>
      <c r="L10" s="54">
        <v>15.77</v>
      </c>
      <c r="M10" s="54">
        <v>100.25</v>
      </c>
      <c r="N10" s="54">
        <v>14.70</v>
      </c>
      <c r="O10" s="54">
        <v>0</v>
      </c>
      <c r="P10" s="54">
        <v>1.1000000000000001</v>
      </c>
      <c r="Q10" s="54">
        <v>9.34</v>
      </c>
      <c r="R10" s="43"/>
      <c r="S10" s="43"/>
      <c r="T10" s="43"/>
      <c r="U10" s="43"/>
    </row>
    <row r="11" spans="1:21" s="11" customFormat="1" ht="15">
      <c r="A11" s="53" t="s">
        <v>544</v>
      </c>
      <c r="B11" s="54">
        <v>23.98</v>
      </c>
      <c r="C11" s="54">
        <v>51.44</v>
      </c>
      <c r="D11" s="54">
        <v>48.11</v>
      </c>
      <c r="E11" s="54">
        <v>0.32</v>
      </c>
      <c r="F11" s="54">
        <v>3.22</v>
      </c>
      <c r="G11" s="54">
        <v>101.68</v>
      </c>
      <c r="H11" s="54">
        <v>44.83</v>
      </c>
      <c r="I11" s="54">
        <v>1.58</v>
      </c>
      <c r="J11" s="54">
        <v>1.58</v>
      </c>
      <c r="K11" s="54">
        <v>339.14</v>
      </c>
      <c r="L11" s="54">
        <v>15.64</v>
      </c>
      <c r="M11" s="54">
        <v>100.26</v>
      </c>
      <c r="N11" s="54">
        <v>15.60</v>
      </c>
      <c r="O11" s="54">
        <v>0</v>
      </c>
      <c r="P11" s="54">
        <v>1.07</v>
      </c>
      <c r="Q11" s="54">
        <v>8.99</v>
      </c>
      <c r="R11" s="43"/>
      <c r="S11" s="43"/>
      <c r="T11" s="43"/>
      <c r="U11" s="43"/>
    </row>
    <row r="12" spans="1:21" s="11" customFormat="1" ht="15">
      <c r="A12" s="53" t="s">
        <v>545</v>
      </c>
      <c r="B12" s="54">
        <v>24.43</v>
      </c>
      <c r="C12" s="54">
        <v>51.44</v>
      </c>
      <c r="D12" s="54">
        <v>48.08</v>
      </c>
      <c r="E12" s="54">
        <v>0.28999999999999998</v>
      </c>
      <c r="F12" s="54">
        <v>3.32</v>
      </c>
      <c r="G12" s="54">
        <v>100.84</v>
      </c>
      <c r="H12" s="54">
        <v>45.91</v>
      </c>
      <c r="I12" s="54">
        <v>1.58</v>
      </c>
      <c r="J12" s="54">
        <v>1.0900000000000001</v>
      </c>
      <c r="K12" s="54">
        <v>352.10</v>
      </c>
      <c r="L12" s="54">
        <v>15.14</v>
      </c>
      <c r="M12" s="54">
        <v>100.28</v>
      </c>
      <c r="N12" s="54">
        <v>15</v>
      </c>
      <c r="O12" s="54">
        <v>0.20</v>
      </c>
      <c r="P12" s="54">
        <v>1.01</v>
      </c>
      <c r="Q12" s="54">
        <v>9</v>
      </c>
      <c r="R12" s="43"/>
      <c r="S12" s="43"/>
      <c r="T12" s="43"/>
      <c r="U12" s="43"/>
    </row>
    <row r="13" spans="1:21" s="11" customFormat="1" ht="15">
      <c r="A13" s="53" t="s">
        <v>546</v>
      </c>
      <c r="B13" s="54">
        <v>24.76</v>
      </c>
      <c r="C13" s="54">
        <v>52.11</v>
      </c>
      <c r="D13" s="54">
        <v>48.78</v>
      </c>
      <c r="E13" s="54">
        <v>0.22</v>
      </c>
      <c r="F13" s="54">
        <v>3.25</v>
      </c>
      <c r="G13" s="54">
        <v>100.58</v>
      </c>
      <c r="H13" s="54">
        <v>45.91</v>
      </c>
      <c r="I13" s="54">
        <v>1.53</v>
      </c>
      <c r="J13" s="54">
        <v>0.95</v>
      </c>
      <c r="K13" s="54">
        <v>344.97</v>
      </c>
      <c r="L13" s="54">
        <v>14.45</v>
      </c>
      <c r="M13" s="54">
        <v>100.28</v>
      </c>
      <c r="N13" s="54">
        <v>15.60</v>
      </c>
      <c r="O13" s="54">
        <v>0</v>
      </c>
      <c r="P13" s="54">
        <v>0.97</v>
      </c>
      <c r="Q13" s="54">
        <v>9.2200000000000006</v>
      </c>
      <c r="R13" s="43"/>
      <c r="S13" s="43"/>
      <c r="T13" s="43"/>
      <c r="U13" s="43"/>
    </row>
    <row r="14" spans="1:21" s="11" customFormat="1" ht="15">
      <c r="A14" s="53" t="s">
        <v>547</v>
      </c>
      <c r="B14" s="54">
        <v>22.32</v>
      </c>
      <c r="C14" s="54">
        <v>51.76</v>
      </c>
      <c r="D14" s="54">
        <v>47</v>
      </c>
      <c r="E14" s="54">
        <v>0.25</v>
      </c>
      <c r="F14" s="54">
        <v>3.53</v>
      </c>
      <c r="G14" s="54">
        <v>99.67</v>
      </c>
      <c r="H14" s="54">
        <v>45.04</v>
      </c>
      <c r="I14" s="54">
        <v>1.59</v>
      </c>
      <c r="J14" s="54">
        <v>0.63</v>
      </c>
      <c r="K14" s="54">
        <v>333.44</v>
      </c>
      <c r="L14" s="54">
        <v>14.70</v>
      </c>
      <c r="M14" s="54">
        <v>98.63</v>
      </c>
      <c r="N14" s="54">
        <v>17</v>
      </c>
      <c r="O14" s="54">
        <v>3</v>
      </c>
      <c r="P14" s="54">
        <v>0.90</v>
      </c>
      <c r="Q14" s="54">
        <v>9.06</v>
      </c>
      <c r="R14" s="43"/>
      <c r="S14" s="43"/>
      <c r="T14" s="43"/>
      <c r="U14" s="43"/>
    </row>
    <row r="15" spans="1:21" s="11" customFormat="1" ht="15">
      <c r="A15" s="53" t="s">
        <v>548</v>
      </c>
      <c r="B15" s="54">
        <v>27.21</v>
      </c>
      <c r="C15" s="54">
        <v>52.07</v>
      </c>
      <c r="D15" s="54">
        <v>47.62</v>
      </c>
      <c r="E15" s="54">
        <v>0.24</v>
      </c>
      <c r="F15" s="54">
        <v>3.22</v>
      </c>
      <c r="G15" s="54">
        <v>74.86</v>
      </c>
      <c r="H15" s="54">
        <v>41.72</v>
      </c>
      <c r="I15" s="54">
        <v>1.53</v>
      </c>
      <c r="J15" s="54">
        <v>0.72</v>
      </c>
      <c r="K15" s="54">
        <v>353.09</v>
      </c>
      <c r="L15" s="54">
        <v>13.65</v>
      </c>
      <c r="M15" s="54">
        <v>100.33</v>
      </c>
      <c r="N15" s="54">
        <v>26.30</v>
      </c>
      <c r="O15" s="54">
        <v>0</v>
      </c>
      <c r="P15" s="54">
        <v>0.81</v>
      </c>
      <c r="Q15" s="54">
        <v>8.98</v>
      </c>
      <c r="R15" s="43"/>
      <c r="S15" s="43"/>
      <c r="T15" s="43"/>
      <c r="U15" s="43"/>
    </row>
    <row r="16" spans="1:21" s="11" customFormat="1" ht="15">
      <c r="A16" s="53" t="s">
        <v>549</v>
      </c>
      <c r="B16" s="54">
        <v>30.39</v>
      </c>
      <c r="C16" s="54">
        <v>45.26</v>
      </c>
      <c r="D16" s="54">
        <v>49.98</v>
      </c>
      <c r="E16" s="54">
        <v>0.22</v>
      </c>
      <c r="F16" s="54">
        <v>3.32</v>
      </c>
      <c r="G16" s="54">
        <v>71.88</v>
      </c>
      <c r="H16" s="54">
        <v>40.520000000000003</v>
      </c>
      <c r="I16" s="54">
        <v>1.55</v>
      </c>
      <c r="J16" s="54">
        <v>0.52</v>
      </c>
      <c r="K16" s="54">
        <v>351.78</v>
      </c>
      <c r="L16" s="54">
        <v>14.14</v>
      </c>
      <c r="M16" s="54">
        <v>100.32</v>
      </c>
      <c r="N16" s="54">
        <v>69.400000000000006</v>
      </c>
      <c r="O16" s="54">
        <v>0</v>
      </c>
      <c r="P16" s="54">
        <v>0.86</v>
      </c>
      <c r="Q16" s="54">
        <v>9.0399999999999991</v>
      </c>
      <c r="R16" s="43"/>
      <c r="S16" s="43"/>
      <c r="T16" s="43"/>
      <c r="U16" s="43"/>
    </row>
    <row r="17" spans="1:21" s="11" customFormat="1" ht="15">
      <c r="A17" s="53" t="s">
        <v>550</v>
      </c>
      <c r="B17" s="54">
        <v>31.49</v>
      </c>
      <c r="C17" s="54">
        <v>48.40</v>
      </c>
      <c r="D17" s="54">
        <v>52.61</v>
      </c>
      <c r="E17" s="54">
        <v>0.21</v>
      </c>
      <c r="F17" s="54">
        <v>3.17</v>
      </c>
      <c r="G17" s="54">
        <v>71.88</v>
      </c>
      <c r="H17" s="54">
        <v>40.520000000000003</v>
      </c>
      <c r="I17" s="54">
        <v>1.58</v>
      </c>
      <c r="J17" s="54">
        <v>0.53</v>
      </c>
      <c r="K17" s="54">
        <v>328.15</v>
      </c>
      <c r="L17" s="54">
        <v>14.29</v>
      </c>
      <c r="M17" s="54">
        <v>100.31</v>
      </c>
      <c r="N17" s="54">
        <v>66.70</v>
      </c>
      <c r="O17" s="54">
        <v>1</v>
      </c>
      <c r="P17" s="54">
        <v>0.86</v>
      </c>
      <c r="Q17" s="54">
        <v>9.17</v>
      </c>
      <c r="R17" s="43"/>
      <c r="S17" s="43"/>
      <c r="T17" s="43"/>
      <c r="U17" s="43"/>
    </row>
    <row r="18" spans="1:21" s="11" customFormat="1" ht="15">
      <c r="A18" s="53" t="s">
        <v>551</v>
      </c>
      <c r="B18" s="54">
        <v>36.01</v>
      </c>
      <c r="C18" s="54">
        <v>49.55</v>
      </c>
      <c r="D18" s="54">
        <v>56.38</v>
      </c>
      <c r="E18" s="54">
        <v>0.21</v>
      </c>
      <c r="F18" s="54">
        <v>3.06</v>
      </c>
      <c r="G18" s="54">
        <v>63.65</v>
      </c>
      <c r="H18" s="54">
        <v>37.76</v>
      </c>
      <c r="I18" s="54">
        <v>1.55</v>
      </c>
      <c r="J18" s="54">
        <v>1.05</v>
      </c>
      <c r="K18" s="54">
        <v>106.56</v>
      </c>
      <c r="L18" s="54">
        <v>15.75</v>
      </c>
      <c r="M18" s="54">
        <v>100.30</v>
      </c>
      <c r="N18" s="54">
        <v>393.30</v>
      </c>
      <c r="O18" s="54">
        <v>0</v>
      </c>
      <c r="P18" s="54">
        <v>0.84</v>
      </c>
      <c r="Q18" s="54">
        <v>9.57</v>
      </c>
      <c r="R18" s="43"/>
      <c r="S18" s="43"/>
      <c r="T18" s="43"/>
      <c r="U18" s="43"/>
    </row>
    <row r="19" spans="1:21" s="11" customFormat="1" ht="15">
      <c r="A19" s="53" t="s">
        <v>552</v>
      </c>
      <c r="B19" s="54">
        <v>34.61</v>
      </c>
      <c r="C19" s="54">
        <v>53.28</v>
      </c>
      <c r="D19" s="54">
        <v>57</v>
      </c>
      <c r="E19" s="54">
        <v>0.22</v>
      </c>
      <c r="F19" s="54">
        <v>3.18</v>
      </c>
      <c r="G19" s="54">
        <v>57.30</v>
      </c>
      <c r="H19" s="54">
        <v>33.299999999999997</v>
      </c>
      <c r="I19" s="54">
        <v>1.56</v>
      </c>
      <c r="J19" s="54">
        <v>0.87</v>
      </c>
      <c r="K19" s="54">
        <v>108.36</v>
      </c>
      <c r="L19" s="54">
        <v>18.21</v>
      </c>
      <c r="M19" s="54">
        <v>99.67</v>
      </c>
      <c r="N19" s="54">
        <v>388.70</v>
      </c>
      <c r="O19" s="54">
        <v>0</v>
      </c>
      <c r="P19" s="54">
        <v>0.79</v>
      </c>
      <c r="Q19" s="54">
        <v>9.66</v>
      </c>
      <c r="R19" s="43"/>
      <c r="S19" s="43"/>
      <c r="T19" s="43"/>
      <c r="U19" s="43"/>
    </row>
    <row r="20" spans="1:21" s="11" customFormat="1" ht="15">
      <c r="A20" s="53" t="s">
        <v>553</v>
      </c>
      <c r="B20" s="54">
        <v>33.32</v>
      </c>
      <c r="C20" s="54">
        <v>55.93</v>
      </c>
      <c r="D20" s="54">
        <v>58.23</v>
      </c>
      <c r="E20" s="54">
        <v>0.23</v>
      </c>
      <c r="F20" s="54">
        <v>3.36</v>
      </c>
      <c r="G20" s="54">
        <v>53.43</v>
      </c>
      <c r="H20" s="54">
        <v>34.08</v>
      </c>
      <c r="I20" s="54">
        <v>1.54</v>
      </c>
      <c r="J20" s="54">
        <v>0.57999999999999996</v>
      </c>
      <c r="K20" s="54">
        <v>342.43</v>
      </c>
      <c r="L20" s="54">
        <v>22.97</v>
      </c>
      <c r="M20" s="54">
        <v>89.09</v>
      </c>
      <c r="N20" s="54">
        <v>552.79999999999995</v>
      </c>
      <c r="O20" s="54">
        <v>0</v>
      </c>
      <c r="P20" s="54">
        <v>0.80</v>
      </c>
      <c r="Q20" s="54">
        <v>9.92</v>
      </c>
      <c r="R20" s="43"/>
      <c r="S20" s="43"/>
      <c r="T20" s="43"/>
      <c r="U20" s="43"/>
    </row>
    <row r="21" spans="1:21" s="11" customFormat="1" ht="15">
      <c r="A21" s="53" t="s">
        <v>554</v>
      </c>
      <c r="B21" s="54">
        <v>32.950000000000003</v>
      </c>
      <c r="C21" s="54">
        <v>61.17</v>
      </c>
      <c r="D21" s="54">
        <v>58.74</v>
      </c>
      <c r="E21" s="54">
        <v>0.25</v>
      </c>
      <c r="F21" s="54">
        <v>3.30</v>
      </c>
      <c r="G21" s="54">
        <v>72.900000000000006</v>
      </c>
      <c r="H21" s="54">
        <v>36.700000000000003</v>
      </c>
      <c r="I21" s="54">
        <v>1.51</v>
      </c>
      <c r="J21" s="54">
        <v>0.70</v>
      </c>
      <c r="K21" s="54">
        <v>349.39</v>
      </c>
      <c r="L21" s="54">
        <v>23.82</v>
      </c>
      <c r="M21" s="54">
        <v>70.099999999999994</v>
      </c>
      <c r="N21" s="54">
        <v>534</v>
      </c>
      <c r="O21" s="54">
        <v>0</v>
      </c>
      <c r="P21" s="54">
        <v>0.84</v>
      </c>
      <c r="Q21" s="54">
        <v>10.10</v>
      </c>
      <c r="R21" s="43"/>
      <c r="S21" s="43"/>
      <c r="T21" s="43"/>
      <c r="U21" s="43"/>
    </row>
    <row r="22" spans="1:21" s="11" customFormat="1" ht="15">
      <c r="A22" s="53" t="s">
        <v>555</v>
      </c>
      <c r="B22" s="54">
        <v>26.33</v>
      </c>
      <c r="C22" s="54">
        <v>63</v>
      </c>
      <c r="D22" s="54">
        <v>55.92</v>
      </c>
      <c r="E22" s="54">
        <v>0.33</v>
      </c>
      <c r="F22" s="54">
        <v>3.28</v>
      </c>
      <c r="G22" s="54">
        <v>75.08</v>
      </c>
      <c r="H22" s="54">
        <v>36.700000000000003</v>
      </c>
      <c r="I22" s="54">
        <v>1.52</v>
      </c>
      <c r="J22" s="54">
        <v>0.36</v>
      </c>
      <c r="K22" s="54">
        <v>346.29</v>
      </c>
      <c r="L22" s="54">
        <v>24.74</v>
      </c>
      <c r="M22" s="54">
        <v>67.489999999999995</v>
      </c>
      <c r="N22" s="54">
        <v>508.60</v>
      </c>
      <c r="O22" s="54">
        <v>0</v>
      </c>
      <c r="P22" s="54">
        <v>0.87</v>
      </c>
      <c r="Q22" s="54">
        <v>9.91</v>
      </c>
      <c r="R22" s="43"/>
      <c r="S22" s="43"/>
      <c r="T22" s="43"/>
      <c r="U22" s="43"/>
    </row>
    <row r="23" spans="1:21" s="11" customFormat="1" ht="15">
      <c r="A23" s="53" t="s">
        <v>556</v>
      </c>
      <c r="B23" s="54">
        <v>21.91</v>
      </c>
      <c r="C23" s="54">
        <v>66.290000000000006</v>
      </c>
      <c r="D23" s="54">
        <v>52.76</v>
      </c>
      <c r="E23" s="54">
        <v>0.24</v>
      </c>
      <c r="F23" s="54">
        <v>3.25</v>
      </c>
      <c r="G23" s="54">
        <v>93.51</v>
      </c>
      <c r="H23" s="54">
        <v>40.25</v>
      </c>
      <c r="I23" s="54">
        <v>1.5</v>
      </c>
      <c r="J23" s="54">
        <v>0.43</v>
      </c>
      <c r="K23" s="54">
        <v>172.78</v>
      </c>
      <c r="L23" s="54">
        <v>22.88</v>
      </c>
      <c r="M23" s="54">
        <v>69.09</v>
      </c>
      <c r="N23" s="54">
        <v>379.60</v>
      </c>
      <c r="O23" s="54">
        <v>0</v>
      </c>
      <c r="P23" s="54">
        <v>0.88</v>
      </c>
      <c r="Q23" s="54">
        <v>9.61</v>
      </c>
      <c r="R23" s="43"/>
      <c r="S23" s="43"/>
      <c r="T23" s="43"/>
      <c r="U23" s="43"/>
    </row>
    <row r="24" spans="1:21" s="11" customFormat="1" ht="15">
      <c r="A24" s="53" t="s">
        <v>557</v>
      </c>
      <c r="B24" s="54">
        <v>15.67</v>
      </c>
      <c r="C24" s="54">
        <v>68.319999999999993</v>
      </c>
      <c r="D24" s="54">
        <v>50.68</v>
      </c>
      <c r="E24" s="54">
        <v>0.23</v>
      </c>
      <c r="F24" s="54">
        <v>3.41</v>
      </c>
      <c r="G24" s="54">
        <v>107.08</v>
      </c>
      <c r="H24" s="54">
        <v>42.33</v>
      </c>
      <c r="I24" s="54">
        <v>1.55</v>
      </c>
      <c r="J24" s="54">
        <v>0.46</v>
      </c>
      <c r="K24" s="54">
        <v>350.77</v>
      </c>
      <c r="L24" s="54">
        <v>22.75</v>
      </c>
      <c r="M24" s="54">
        <v>72.599999999999994</v>
      </c>
      <c r="N24" s="54">
        <v>151.60</v>
      </c>
      <c r="O24" s="54">
        <v>0</v>
      </c>
      <c r="P24" s="54">
        <v>0.89</v>
      </c>
      <c r="Q24" s="54">
        <v>9.1999999999999993</v>
      </c>
      <c r="R24" s="43"/>
      <c r="S24" s="43"/>
      <c r="T24" s="43"/>
      <c r="U24" s="43"/>
    </row>
    <row r="25" spans="1:21" s="11" customFormat="1" ht="15">
      <c r="A25" s="53" t="s">
        <v>558</v>
      </c>
      <c r="B25" s="54">
        <v>14.78</v>
      </c>
      <c r="C25" s="54">
        <v>67.790000000000006</v>
      </c>
      <c r="D25" s="54">
        <v>49.08</v>
      </c>
      <c r="E25" s="54">
        <v>0.28000000000000003</v>
      </c>
      <c r="F25" s="54">
        <v>3.46</v>
      </c>
      <c r="G25" s="54">
        <v>107.08</v>
      </c>
      <c r="H25" s="54">
        <v>43.45</v>
      </c>
      <c r="I25" s="54">
        <v>1.54</v>
      </c>
      <c r="J25" s="54">
        <v>0.81</v>
      </c>
      <c r="K25" s="54">
        <v>344.72</v>
      </c>
      <c r="L25" s="54">
        <v>22.01</v>
      </c>
      <c r="M25" s="54">
        <v>75.98</v>
      </c>
      <c r="N25" s="54">
        <v>94.70</v>
      </c>
      <c r="O25" s="54">
        <v>0</v>
      </c>
      <c r="P25" s="54">
        <v>0.92</v>
      </c>
      <c r="Q25" s="54">
        <v>9.11</v>
      </c>
      <c r="R25" s="43"/>
      <c r="S25" s="43"/>
      <c r="T25" s="43"/>
      <c r="U25" s="43"/>
    </row>
    <row r="26" spans="1:21" s="11" customFormat="1" ht="15">
      <c r="A26" s="53" t="s">
        <v>559</v>
      </c>
      <c r="B26" s="54">
        <v>24.10</v>
      </c>
      <c r="C26" s="54">
        <v>66.70</v>
      </c>
      <c r="D26" s="54">
        <v>54.30</v>
      </c>
      <c r="E26" s="54">
        <v>0.28999999999999998</v>
      </c>
      <c r="F26" s="54">
        <v>3.98</v>
      </c>
      <c r="G26" s="54">
        <v>114.33</v>
      </c>
      <c r="H26" s="54">
        <v>43.71</v>
      </c>
      <c r="I26" s="54">
        <v>1.52</v>
      </c>
      <c r="J26" s="54">
        <v>0.47</v>
      </c>
      <c r="K26" s="54">
        <v>357.57</v>
      </c>
      <c r="L26" s="54">
        <v>21.05</v>
      </c>
      <c r="M26" s="54">
        <v>86.32</v>
      </c>
      <c r="N26" s="54">
        <v>36.700000000000003</v>
      </c>
      <c r="O26" s="54">
        <v>0</v>
      </c>
      <c r="P26" s="54">
        <v>1.1299999999999999</v>
      </c>
      <c r="Q26" s="54">
        <v>9.48</v>
      </c>
      <c r="R26" s="43"/>
      <c r="S26" s="43"/>
      <c r="T26" s="43"/>
      <c r="U26" s="43"/>
    </row>
    <row r="27" spans="1:21" s="11" customFormat="1" ht="15">
      <c r="A27" s="53" t="s">
        <v>560</v>
      </c>
      <c r="B27" s="54">
        <v>29.31</v>
      </c>
      <c r="C27" s="54">
        <v>61.86</v>
      </c>
      <c r="D27" s="54">
        <v>58.12</v>
      </c>
      <c r="E27" s="54">
        <v>0.28999999999999998</v>
      </c>
      <c r="F27" s="54">
        <v>3.19</v>
      </c>
      <c r="G27" s="54">
        <v>122.25</v>
      </c>
      <c r="H27" s="54">
        <v>44.38</v>
      </c>
      <c r="I27" s="54">
        <v>1.63</v>
      </c>
      <c r="J27" s="54">
        <v>0.59</v>
      </c>
      <c r="K27" s="54">
        <v>348.69</v>
      </c>
      <c r="L27" s="54">
        <v>19.38</v>
      </c>
      <c r="M27" s="54">
        <v>86.20</v>
      </c>
      <c r="N27" s="54">
        <v>16.30</v>
      </c>
      <c r="O27" s="54">
        <v>0</v>
      </c>
      <c r="P27" s="54">
        <v>1.21</v>
      </c>
      <c r="Q27" s="54">
        <v>10.029999999999999</v>
      </c>
      <c r="R27" s="43"/>
      <c r="S27" s="43"/>
      <c r="T27" s="43"/>
      <c r="U27" s="43"/>
    </row>
    <row r="28" spans="1:21" s="11" customFormat="1" ht="15">
      <c r="A28" s="53" t="s">
        <v>561</v>
      </c>
      <c r="B28" s="54">
        <v>32.57</v>
      </c>
      <c r="C28" s="54">
        <v>61.41</v>
      </c>
      <c r="D28" s="54">
        <v>59.65</v>
      </c>
      <c r="E28" s="54">
        <v>0.32</v>
      </c>
      <c r="F28" s="54">
        <v>3.37</v>
      </c>
      <c r="G28" s="54">
        <v>122.25</v>
      </c>
      <c r="H28" s="54">
        <v>44.38</v>
      </c>
      <c r="I28" s="54">
        <v>1.56</v>
      </c>
      <c r="J28" s="54">
        <v>0.73</v>
      </c>
      <c r="K28" s="54">
        <v>346.88</v>
      </c>
      <c r="L28" s="54">
        <v>18.36</v>
      </c>
      <c r="M28" s="54">
        <v>87.62</v>
      </c>
      <c r="N28" s="54">
        <v>16.20</v>
      </c>
      <c r="O28" s="54">
        <v>0</v>
      </c>
      <c r="P28" s="54">
        <v>1.26</v>
      </c>
      <c r="Q28" s="54">
        <v>10.28</v>
      </c>
      <c r="R28" s="43"/>
      <c r="S28" s="43"/>
      <c r="T28" s="43"/>
      <c r="U28" s="43"/>
    </row>
    <row r="29" spans="1:21" s="11" customFormat="1" ht="15">
      <c r="A29" s="53" t="s">
        <v>562</v>
      </c>
      <c r="B29" s="54">
        <v>38.93</v>
      </c>
      <c r="C29" s="54">
        <v>58.56</v>
      </c>
      <c r="D29" s="54">
        <v>61.61</v>
      </c>
      <c r="E29" s="54">
        <v>0.37</v>
      </c>
      <c r="F29" s="54">
        <v>3.24</v>
      </c>
      <c r="G29" s="54">
        <v>118.99</v>
      </c>
      <c r="H29" s="54">
        <v>45.29</v>
      </c>
      <c r="I29" s="54">
        <v>1.58</v>
      </c>
      <c r="J29" s="54">
        <v>0.15</v>
      </c>
      <c r="K29" s="54">
        <v>343.97</v>
      </c>
      <c r="L29" s="54">
        <v>17.760000000000002</v>
      </c>
      <c r="M29" s="54">
        <v>92.24</v>
      </c>
      <c r="N29" s="54">
        <v>16.20</v>
      </c>
      <c r="O29" s="54">
        <v>0</v>
      </c>
      <c r="P29" s="54">
        <v>1.32</v>
      </c>
      <c r="Q29" s="54">
        <v>10.40</v>
      </c>
      <c r="R29" s="43"/>
      <c r="S29" s="43"/>
      <c r="T29" s="43"/>
      <c r="U29" s="43"/>
    </row>
    <row r="30" spans="1:21" s="11" customFormat="1" ht="15">
      <c r="A30" s="53" t="s">
        <v>563</v>
      </c>
      <c r="B30" s="54">
        <v>41.96</v>
      </c>
      <c r="C30" s="54">
        <v>55.45</v>
      </c>
      <c r="D30" s="54">
        <v>64.89</v>
      </c>
      <c r="E30" s="54">
        <v>0.30</v>
      </c>
      <c r="F30" s="54">
        <v>3.35</v>
      </c>
      <c r="G30" s="54">
        <v>113.87</v>
      </c>
      <c r="H30" s="54">
        <v>47.02</v>
      </c>
      <c r="I30" s="54">
        <v>1.49</v>
      </c>
      <c r="J30" s="54">
        <v>0.18</v>
      </c>
      <c r="K30" s="54">
        <v>328.16</v>
      </c>
      <c r="L30" s="54">
        <v>17.75</v>
      </c>
      <c r="M30" s="54">
        <v>93.68</v>
      </c>
      <c r="N30" s="54">
        <v>16.600000000000001</v>
      </c>
      <c r="O30" s="54">
        <v>0</v>
      </c>
      <c r="P30" s="54">
        <v>1.34</v>
      </c>
      <c r="Q30" s="54">
        <v>10.59</v>
      </c>
      <c r="R30" s="43"/>
      <c r="S30" s="43"/>
      <c r="T30" s="43"/>
      <c r="U30" s="43"/>
    </row>
    <row r="31" spans="1:21" s="11" customFormat="1" ht="15">
      <c r="A31" s="53" t="s">
        <v>564</v>
      </c>
      <c r="B31" s="54">
        <v>47.13</v>
      </c>
      <c r="C31" s="54">
        <v>54.33</v>
      </c>
      <c r="D31" s="54">
        <v>64.599999999999994</v>
      </c>
      <c r="E31" s="54">
        <v>0.28000000000000003</v>
      </c>
      <c r="F31" s="54">
        <v>3.64</v>
      </c>
      <c r="G31" s="54">
        <v>113.87</v>
      </c>
      <c r="H31" s="54">
        <v>47.02</v>
      </c>
      <c r="I31" s="54">
        <v>1.55</v>
      </c>
      <c r="J31" s="54">
        <v>0.27</v>
      </c>
      <c r="K31" s="54">
        <v>325.81</v>
      </c>
      <c r="L31" s="54">
        <v>17.54</v>
      </c>
      <c r="M31" s="54">
        <v>96.15</v>
      </c>
      <c r="N31" s="54">
        <v>16.399999999999999</v>
      </c>
      <c r="O31" s="54">
        <v>0</v>
      </c>
      <c r="P31" s="54">
        <v>1.33</v>
      </c>
      <c r="Q31" s="54">
        <v>10.59</v>
      </c>
      <c r="R31" s="43"/>
      <c r="S31" s="43"/>
      <c r="T31" s="43"/>
      <c r="U31" s="43"/>
    </row>
    <row r="32" spans="1:21" s="11" customFormat="1" ht="15">
      <c r="A32" s="53" t="s">
        <v>565</v>
      </c>
      <c r="B32" s="54">
        <v>42.10</v>
      </c>
      <c r="C32" s="54">
        <v>51.63</v>
      </c>
      <c r="D32" s="54">
        <v>61.28</v>
      </c>
      <c r="E32" s="54">
        <v>0.30</v>
      </c>
      <c r="F32" s="54">
        <v>3.25</v>
      </c>
      <c r="G32" s="54">
        <v>107.88</v>
      </c>
      <c r="H32" s="54">
        <v>44.75</v>
      </c>
      <c r="I32" s="54">
        <v>1.63</v>
      </c>
      <c r="J32" s="54">
        <v>0.20</v>
      </c>
      <c r="K32" s="54">
        <v>330.44</v>
      </c>
      <c r="L32" s="54">
        <v>17.16</v>
      </c>
      <c r="M32" s="54">
        <v>98.14</v>
      </c>
      <c r="N32" s="54">
        <v>16.399999999999999</v>
      </c>
      <c r="O32" s="54">
        <v>0</v>
      </c>
      <c r="P32" s="54">
        <v>1.25</v>
      </c>
      <c r="Q32" s="54">
        <v>10.32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14.779999999999999</v>
      </c>
      <c r="C34" s="28">
        <f t="shared" si="0"/>
        <v>45.259999999999998</v>
      </c>
      <c r="D34" s="28">
        <f t="shared" si="0"/>
        <v>47</v>
      </c>
      <c r="E34" s="28">
        <f t="shared" si="0"/>
        <v>0.20999999999999999</v>
      </c>
      <c r="F34" s="28">
        <f t="shared" si="0"/>
        <v>3.02</v>
      </c>
      <c r="G34" s="28">
        <f t="shared" si="0"/>
        <v>53.43</v>
      </c>
      <c r="H34" s="28">
        <f t="shared" si="0"/>
        <v>33.299999999999997</v>
      </c>
      <c r="I34" s="28">
        <f t="shared" si="0"/>
        <v>1.49</v>
      </c>
      <c r="J34" s="28">
        <f t="shared" si="0"/>
        <v>0.14999999999999999</v>
      </c>
      <c r="K34" s="28">
        <f t="shared" si="0"/>
        <v>106.56</v>
      </c>
      <c r="L34" s="28">
        <f t="shared" si="0"/>
        <v>13.65</v>
      </c>
      <c r="M34" s="28">
        <f t="shared" si="0"/>
        <v>67.489999999999995</v>
      </c>
      <c r="N34" s="28">
        <f t="shared" si="0"/>
        <v>14.6</v>
      </c>
      <c r="O34" s="28">
        <f t="shared" si="0"/>
        <v>0</v>
      </c>
      <c r="P34" s="28">
        <f t="shared" si="0"/>
        <v>0.79000000000000004</v>
      </c>
      <c r="Q34" s="28">
        <f t="shared" si="0"/>
        <v>8.9800000000000004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47.130000000000003</v>
      </c>
      <c r="C35" s="29">
        <f t="shared" si="1"/>
        <v>68.319999999999993</v>
      </c>
      <c r="D35" s="29">
        <f t="shared" si="1"/>
        <v>64.890000000000001</v>
      </c>
      <c r="E35" s="29">
        <f t="shared" si="1"/>
        <v>0.37</v>
      </c>
      <c r="F35" s="29">
        <f t="shared" si="1"/>
        <v>3.98</v>
      </c>
      <c r="G35" s="29">
        <f t="shared" si="1"/>
        <v>122.25</v>
      </c>
      <c r="H35" s="29">
        <f t="shared" si="1"/>
        <v>47.020000000000003</v>
      </c>
      <c r="I35" s="29">
        <f t="shared" si="1"/>
        <v>1.6299999999999999</v>
      </c>
      <c r="J35" s="29">
        <f t="shared" si="1"/>
        <v>1.5800000000000001</v>
      </c>
      <c r="K35" s="29">
        <f t="shared" si="1"/>
        <v>357.56999999999999</v>
      </c>
      <c r="L35" s="29">
        <f t="shared" si="1"/>
        <v>24.739999999999998</v>
      </c>
      <c r="M35" s="29">
        <f t="shared" si="1"/>
        <v>100.33</v>
      </c>
      <c r="N35" s="29">
        <f t="shared" si="1"/>
        <v>552.79999999999995</v>
      </c>
      <c r="O35" s="29">
        <f t="shared" si="1"/>
        <v>3</v>
      </c>
      <c r="P35" s="29">
        <f t="shared" si="1"/>
        <v>1.3400000000000001</v>
      </c>
      <c r="Q35" s="29">
        <f t="shared" si="1"/>
        <v>10.59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29.681250000000002</v>
      </c>
      <c r="C36" s="28">
        <f t="shared" si="2"/>
        <v>56.439583333333331</v>
      </c>
      <c r="D36" s="28">
        <f t="shared" si="2"/>
        <v>54.590833333333329</v>
      </c>
      <c r="E36" s="28">
        <f t="shared" si="2"/>
        <v>0.27291666666666675</v>
      </c>
      <c r="F36" s="28">
        <f t="shared" si="2"/>
        <v>3.3149999999999995</v>
      </c>
      <c r="G36" s="28">
        <f t="shared" si="2"/>
        <v>94.416249999999991</v>
      </c>
      <c r="H36" s="28">
        <f t="shared" si="2"/>
        <v>42.077083333333341</v>
      </c>
      <c r="I36" s="28">
        <f t="shared" si="2"/>
        <v>1.5520833333333333</v>
      </c>
      <c r="J36" s="28">
        <f t="shared" si="2"/>
        <v>0.64333333333333331</v>
      </c>
      <c r="K36" s="28">
        <f t="shared" si="2"/>
        <v>317.15166666666664</v>
      </c>
      <c r="L36" s="28">
        <f t="shared" si="2"/>
        <v>18.15666666666667</v>
      </c>
      <c r="M36" s="28">
        <f t="shared" si="2"/>
        <v>91.065833333333316</v>
      </c>
      <c r="N36" s="28">
        <f t="shared" si="2"/>
        <v>141.37499999999997</v>
      </c>
      <c r="O36" s="28">
        <f t="shared" si="2"/>
        <v>0.17500000000000002</v>
      </c>
      <c r="P36" s="28">
        <f t="shared" si="2"/>
        <v>1.017916666666667</v>
      </c>
      <c r="Q36" s="28">
        <f t="shared" si="2"/>
        <v>9.6445833333333351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8.035317321457919</v>
      </c>
      <c r="C37" s="28">
        <f t="shared" si="3" ref="C37:Q37">STDEV(C9:C32)</f>
        <v>6.5955271267511684</v>
      </c>
      <c r="D37" s="28">
        <f t="shared" si="3"/>
        <v>5.5140554921957836</v>
      </c>
      <c r="E37" s="28">
        <f t="shared" si="3"/>
        <v>0.046389575915535018</v>
      </c>
      <c r="F37" s="28">
        <f t="shared" si="3"/>
        <v>0.19680049487389173</v>
      </c>
      <c r="G37" s="28">
        <f t="shared" si="3"/>
        <v>21.147943843417742</v>
      </c>
      <c r="H37" s="28">
        <f t="shared" si="3"/>
        <v>3.9180224372558894</v>
      </c>
      <c r="I37" s="28">
        <f t="shared" si="3"/>
        <v>0.035506174192626007</v>
      </c>
      <c r="J37" s="28">
        <f t="shared" si="3"/>
        <v>0.32923715077323135</v>
      </c>
      <c r="K37" s="28">
        <f t="shared" si="3"/>
        <v>73.94705401232342</v>
      </c>
      <c r="L37" s="28">
        <f t="shared" si="3"/>
        <v>3.4752074278619061</v>
      </c>
      <c r="M37" s="28">
        <f t="shared" si="3"/>
        <v>11.58980846023492</v>
      </c>
      <c r="N37" s="28">
        <f t="shared" si="3"/>
        <v>194.02931927708872</v>
      </c>
      <c r="O37" s="28">
        <f t="shared" si="3"/>
        <v>0.63605441386040573</v>
      </c>
      <c r="P37" s="28">
        <f t="shared" si="3"/>
        <v>0.18985072320496615</v>
      </c>
      <c r="Q37" s="28">
        <f t="shared" si="3"/>
        <v>0.54351496252886511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3c9f97a-ca88-40ed-bc67-20ab15befd0f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5" sqref="G6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566</v>
      </c>
      <c r="B9" s="54">
        <v>33.200000000000003</v>
      </c>
      <c r="C9" s="54">
        <v>52.89</v>
      </c>
      <c r="D9" s="54">
        <v>55.72</v>
      </c>
      <c r="E9" s="54">
        <v>0.20</v>
      </c>
      <c r="F9" s="54">
        <v>3.16</v>
      </c>
      <c r="G9" s="54">
        <v>100.68</v>
      </c>
      <c r="H9" s="54">
        <v>43.41</v>
      </c>
      <c r="I9" s="54">
        <v>1.5</v>
      </c>
      <c r="J9" s="54">
        <v>0.51</v>
      </c>
      <c r="K9" s="54">
        <v>350.5</v>
      </c>
      <c r="L9" s="54">
        <v>16.829999999999998</v>
      </c>
      <c r="M9" s="54">
        <v>100.12</v>
      </c>
      <c r="N9" s="54">
        <v>16.5</v>
      </c>
      <c r="O9" s="54">
        <v>0</v>
      </c>
      <c r="P9" s="54">
        <v>1.1200000000000001</v>
      </c>
      <c r="Q9" s="54">
        <v>9.89</v>
      </c>
      <c r="R9" s="43"/>
      <c r="S9" s="43"/>
      <c r="T9" s="43"/>
      <c r="U9" s="43"/>
    </row>
    <row r="10" spans="1:21" s="11" customFormat="1" ht="15">
      <c r="A10" s="53" t="s">
        <v>567</v>
      </c>
      <c r="B10" s="54">
        <v>26.89</v>
      </c>
      <c r="C10" s="54">
        <v>52</v>
      </c>
      <c r="D10" s="54">
        <v>50.91</v>
      </c>
      <c r="E10" s="54">
        <v>0.18</v>
      </c>
      <c r="F10" s="54">
        <v>3.24</v>
      </c>
      <c r="G10" s="54">
        <v>90.42</v>
      </c>
      <c r="H10" s="54">
        <v>41.52</v>
      </c>
      <c r="I10" s="54">
        <v>1.56</v>
      </c>
      <c r="J10" s="54">
        <v>0.52</v>
      </c>
      <c r="K10" s="54">
        <v>358.85</v>
      </c>
      <c r="L10" s="54">
        <v>16.45</v>
      </c>
      <c r="M10" s="54">
        <v>100.13</v>
      </c>
      <c r="N10" s="54">
        <v>16.600000000000001</v>
      </c>
      <c r="O10" s="54">
        <v>0</v>
      </c>
      <c r="P10" s="54">
        <v>0.94</v>
      </c>
      <c r="Q10" s="54">
        <v>9.52</v>
      </c>
      <c r="R10" s="43"/>
      <c r="S10" s="43"/>
      <c r="T10" s="43"/>
      <c r="U10" s="43"/>
    </row>
    <row r="11" spans="1:21" s="11" customFormat="1" ht="15">
      <c r="A11" s="53" t="s">
        <v>568</v>
      </c>
      <c r="B11" s="54">
        <v>23.09</v>
      </c>
      <c r="C11" s="54">
        <v>48.55</v>
      </c>
      <c r="D11" s="54">
        <v>45.95</v>
      </c>
      <c r="E11" s="54">
        <v>0.17</v>
      </c>
      <c r="F11" s="54">
        <v>3.39</v>
      </c>
      <c r="G11" s="54">
        <v>79.59</v>
      </c>
      <c r="H11" s="54">
        <v>39.49</v>
      </c>
      <c r="I11" s="54">
        <v>1.54</v>
      </c>
      <c r="J11" s="54">
        <v>0.28999999999999998</v>
      </c>
      <c r="K11" s="54">
        <v>337.02</v>
      </c>
      <c r="L11" s="54">
        <v>15.44</v>
      </c>
      <c r="M11" s="54">
        <v>98.72</v>
      </c>
      <c r="N11" s="54">
        <v>16.5</v>
      </c>
      <c r="O11" s="54">
        <v>0</v>
      </c>
      <c r="P11" s="54">
        <v>0.85</v>
      </c>
      <c r="Q11" s="54">
        <v>9.16</v>
      </c>
      <c r="R11" s="43"/>
      <c r="S11" s="43"/>
      <c r="T11" s="43"/>
      <c r="U11" s="43"/>
    </row>
    <row r="12" spans="1:21" s="11" customFormat="1" ht="15">
      <c r="A12" s="53" t="s">
        <v>569</v>
      </c>
      <c r="B12" s="54">
        <v>20.43</v>
      </c>
      <c r="C12" s="54">
        <v>47.46</v>
      </c>
      <c r="D12" s="54">
        <v>43.22</v>
      </c>
      <c r="E12" s="54">
        <v>0.21</v>
      </c>
      <c r="F12" s="54">
        <v>3.33</v>
      </c>
      <c r="G12" s="54">
        <v>77.069999999999993</v>
      </c>
      <c r="H12" s="54">
        <v>37.60</v>
      </c>
      <c r="I12" s="54">
        <v>1.56</v>
      </c>
      <c r="J12" s="54">
        <v>0.59</v>
      </c>
      <c r="K12" s="54">
        <v>355.43</v>
      </c>
      <c r="L12" s="54">
        <v>14.85</v>
      </c>
      <c r="M12" s="54">
        <v>71.099999999999994</v>
      </c>
      <c r="N12" s="54">
        <v>16.600000000000001</v>
      </c>
      <c r="O12" s="54">
        <v>0</v>
      </c>
      <c r="P12" s="54">
        <v>0.75</v>
      </c>
      <c r="Q12" s="54">
        <v>8.85</v>
      </c>
      <c r="R12" s="43"/>
      <c r="S12" s="43"/>
      <c r="T12" s="43"/>
      <c r="U12" s="43"/>
    </row>
    <row r="13" spans="1:21" s="11" customFormat="1" ht="15">
      <c r="A13" s="53" t="s">
        <v>570</v>
      </c>
      <c r="B13" s="54">
        <v>17.579999999999998</v>
      </c>
      <c r="C13" s="54">
        <v>46.38</v>
      </c>
      <c r="D13" s="54">
        <v>39.83</v>
      </c>
      <c r="E13" s="54">
        <v>0.14000000000000001</v>
      </c>
      <c r="F13" s="54">
        <v>3.13</v>
      </c>
      <c r="G13" s="54">
        <v>64.69</v>
      </c>
      <c r="H13" s="54">
        <v>36.92</v>
      </c>
      <c r="I13" s="54">
        <v>1.57</v>
      </c>
      <c r="J13" s="54">
        <v>0.90</v>
      </c>
      <c r="K13" s="54">
        <v>348.42</v>
      </c>
      <c r="L13" s="54">
        <v>14.10</v>
      </c>
      <c r="M13" s="54">
        <v>63.06</v>
      </c>
      <c r="N13" s="54">
        <v>16.399999999999999</v>
      </c>
      <c r="O13" s="54">
        <v>0</v>
      </c>
      <c r="P13" s="54">
        <v>0.63</v>
      </c>
      <c r="Q13" s="54">
        <v>8.07</v>
      </c>
      <c r="R13" s="43"/>
      <c r="S13" s="43"/>
      <c r="T13" s="43"/>
      <c r="U13" s="43"/>
    </row>
    <row r="14" spans="1:21" s="11" customFormat="1" ht="15">
      <c r="A14" s="53" t="s">
        <v>571</v>
      </c>
      <c r="B14" s="54">
        <v>15.88</v>
      </c>
      <c r="C14" s="54">
        <v>46.74</v>
      </c>
      <c r="D14" s="54">
        <v>39.06</v>
      </c>
      <c r="E14" s="54">
        <v>0.18</v>
      </c>
      <c r="F14" s="54">
        <v>3.36</v>
      </c>
      <c r="G14" s="54">
        <v>53.83</v>
      </c>
      <c r="H14" s="54">
        <v>35.22</v>
      </c>
      <c r="I14" s="54">
        <v>1.49</v>
      </c>
      <c r="J14" s="54">
        <v>0.80</v>
      </c>
      <c r="K14" s="54">
        <v>348.37</v>
      </c>
      <c r="L14" s="54">
        <v>13.52</v>
      </c>
      <c r="M14" s="54">
        <v>62.46</v>
      </c>
      <c r="N14" s="54">
        <v>16.399999999999999</v>
      </c>
      <c r="O14" s="54">
        <v>0</v>
      </c>
      <c r="P14" s="54">
        <v>0.54</v>
      </c>
      <c r="Q14" s="54">
        <v>7.61</v>
      </c>
      <c r="R14" s="43"/>
      <c r="S14" s="43"/>
      <c r="T14" s="43"/>
      <c r="U14" s="43"/>
    </row>
    <row r="15" spans="1:21" s="11" customFormat="1" ht="15">
      <c r="A15" s="53" t="s">
        <v>572</v>
      </c>
      <c r="B15" s="54">
        <v>20.78</v>
      </c>
      <c r="C15" s="54">
        <v>45.80</v>
      </c>
      <c r="D15" s="54">
        <v>42.19</v>
      </c>
      <c r="E15" s="54">
        <v>0.08</v>
      </c>
      <c r="F15" s="54">
        <v>3.30</v>
      </c>
      <c r="G15" s="54">
        <v>52.04</v>
      </c>
      <c r="H15" s="54">
        <v>26.19</v>
      </c>
      <c r="I15" s="54">
        <v>1.58</v>
      </c>
      <c r="J15" s="54">
        <v>0.57999999999999996</v>
      </c>
      <c r="K15" s="54">
        <v>354.09</v>
      </c>
      <c r="L15" s="54">
        <v>12.93</v>
      </c>
      <c r="M15" s="54">
        <v>65.209999999999994</v>
      </c>
      <c r="N15" s="54">
        <v>34.799999999999997</v>
      </c>
      <c r="O15" s="54">
        <v>0</v>
      </c>
      <c r="P15" s="54">
        <v>0.48</v>
      </c>
      <c r="Q15" s="54">
        <v>7.41</v>
      </c>
      <c r="R15" s="43"/>
      <c r="S15" s="43"/>
      <c r="T15" s="43"/>
      <c r="U15" s="43"/>
    </row>
    <row r="16" spans="1:21" s="11" customFormat="1" ht="15">
      <c r="A16" s="53" t="s">
        <v>573</v>
      </c>
      <c r="B16" s="54">
        <v>25.87</v>
      </c>
      <c r="C16" s="54">
        <v>45.36</v>
      </c>
      <c r="D16" s="54">
        <v>46.42</v>
      </c>
      <c r="E16" s="54">
        <v>0.10</v>
      </c>
      <c r="F16" s="54">
        <v>3.26</v>
      </c>
      <c r="G16" s="54">
        <v>59.98</v>
      </c>
      <c r="H16" s="54">
        <v>26.06</v>
      </c>
      <c r="I16" s="54">
        <v>1.55</v>
      </c>
      <c r="J16" s="54">
        <v>0.46</v>
      </c>
      <c r="K16" s="54">
        <v>349.04</v>
      </c>
      <c r="L16" s="54">
        <v>13.93</v>
      </c>
      <c r="M16" s="54">
        <v>66.87</v>
      </c>
      <c r="N16" s="54">
        <v>137.69999999999999</v>
      </c>
      <c r="O16" s="54">
        <v>0</v>
      </c>
      <c r="P16" s="54">
        <v>0.52</v>
      </c>
      <c r="Q16" s="54">
        <v>7.78</v>
      </c>
      <c r="R16" s="43"/>
      <c r="S16" s="43"/>
      <c r="T16" s="43"/>
      <c r="U16" s="43"/>
    </row>
    <row r="17" spans="1:21" s="11" customFormat="1" ht="15">
      <c r="A17" s="53" t="s">
        <v>574</v>
      </c>
      <c r="B17" s="54">
        <v>27.05</v>
      </c>
      <c r="C17" s="54">
        <v>46.15</v>
      </c>
      <c r="D17" s="54">
        <v>47.68</v>
      </c>
      <c r="E17" s="54">
        <v>0.18</v>
      </c>
      <c r="F17" s="54">
        <v>3.34</v>
      </c>
      <c r="G17" s="54">
        <v>67.17</v>
      </c>
      <c r="H17" s="54">
        <v>25.95</v>
      </c>
      <c r="I17" s="54">
        <v>1.53</v>
      </c>
      <c r="J17" s="54">
        <v>1.19</v>
      </c>
      <c r="K17" s="54">
        <v>109.92</v>
      </c>
      <c r="L17" s="54">
        <v>14.79</v>
      </c>
      <c r="M17" s="54">
        <v>76.11</v>
      </c>
      <c r="N17" s="54">
        <v>221.30</v>
      </c>
      <c r="O17" s="54">
        <v>0</v>
      </c>
      <c r="P17" s="54">
        <v>0.54</v>
      </c>
      <c r="Q17" s="54">
        <v>8.0500000000000007</v>
      </c>
      <c r="R17" s="43"/>
      <c r="S17" s="43"/>
      <c r="T17" s="43"/>
      <c r="U17" s="43"/>
    </row>
    <row r="18" spans="1:21" s="11" customFormat="1" ht="15">
      <c r="A18" s="53" t="s">
        <v>575</v>
      </c>
      <c r="B18" s="54">
        <v>26.88</v>
      </c>
      <c r="C18" s="54">
        <v>46.82</v>
      </c>
      <c r="D18" s="54">
        <v>47.61</v>
      </c>
      <c r="E18" s="54">
        <v>0.18</v>
      </c>
      <c r="F18" s="54">
        <v>3.32</v>
      </c>
      <c r="G18" s="54">
        <v>67.17</v>
      </c>
      <c r="H18" s="54">
        <v>25.88</v>
      </c>
      <c r="I18" s="54">
        <v>1.49</v>
      </c>
      <c r="J18" s="54">
        <v>1.07</v>
      </c>
      <c r="K18" s="54">
        <v>112</v>
      </c>
      <c r="L18" s="54">
        <v>16.850000000000001</v>
      </c>
      <c r="M18" s="54">
        <v>82.62</v>
      </c>
      <c r="N18" s="54">
        <v>370.20</v>
      </c>
      <c r="O18" s="54">
        <v>0</v>
      </c>
      <c r="P18" s="54">
        <v>0.56999999999999995</v>
      </c>
      <c r="Q18" s="54">
        <v>8.2799999999999994</v>
      </c>
      <c r="R18" s="43"/>
      <c r="S18" s="43"/>
      <c r="T18" s="43"/>
      <c r="U18" s="43"/>
    </row>
    <row r="19" spans="1:21" s="11" customFormat="1" ht="15">
      <c r="A19" s="53" t="s">
        <v>576</v>
      </c>
      <c r="B19" s="54">
        <v>24.01</v>
      </c>
      <c r="C19" s="54">
        <v>55.82</v>
      </c>
      <c r="D19" s="54">
        <v>45.96</v>
      </c>
      <c r="E19" s="54">
        <v>0.32</v>
      </c>
      <c r="F19" s="54">
        <v>3.68</v>
      </c>
      <c r="G19" s="54">
        <v>68.92</v>
      </c>
      <c r="H19" s="54">
        <v>25.16</v>
      </c>
      <c r="I19" s="54">
        <v>1.54</v>
      </c>
      <c r="J19" s="54">
        <v>1.33</v>
      </c>
      <c r="K19" s="54">
        <v>111.02</v>
      </c>
      <c r="L19" s="54">
        <v>19.05</v>
      </c>
      <c r="M19" s="54">
        <v>82.05</v>
      </c>
      <c r="N19" s="54">
        <v>550.79999999999995</v>
      </c>
      <c r="O19" s="54">
        <v>0</v>
      </c>
      <c r="P19" s="54">
        <v>0.61</v>
      </c>
      <c r="Q19" s="54">
        <v>8.3699999999999992</v>
      </c>
      <c r="R19" s="43"/>
      <c r="S19" s="43"/>
      <c r="T19" s="43"/>
      <c r="U19" s="43"/>
    </row>
    <row r="20" spans="1:21" s="11" customFormat="1" ht="15">
      <c r="A20" s="53" t="s">
        <v>577</v>
      </c>
      <c r="B20" s="54">
        <v>10.60</v>
      </c>
      <c r="C20" s="54">
        <v>56.88</v>
      </c>
      <c r="D20" s="54">
        <v>40.40</v>
      </c>
      <c r="E20" s="54">
        <v>0.19</v>
      </c>
      <c r="F20" s="54">
        <v>3.87</v>
      </c>
      <c r="G20" s="54">
        <v>68.92</v>
      </c>
      <c r="H20" s="54">
        <v>28.31</v>
      </c>
      <c r="I20" s="54">
        <v>1.56</v>
      </c>
      <c r="J20" s="54">
        <v>1.1200000000000001</v>
      </c>
      <c r="K20" s="54">
        <v>110.87</v>
      </c>
      <c r="L20" s="54">
        <v>19.98</v>
      </c>
      <c r="M20" s="54">
        <v>79.510000000000005</v>
      </c>
      <c r="N20" s="54">
        <v>496.40</v>
      </c>
      <c r="O20" s="54">
        <v>0</v>
      </c>
      <c r="P20" s="54">
        <v>0.60</v>
      </c>
      <c r="Q20" s="54">
        <v>8.24</v>
      </c>
      <c r="R20" s="43"/>
      <c r="S20" s="43"/>
      <c r="T20" s="43"/>
      <c r="U20" s="43"/>
    </row>
    <row r="21" spans="1:21" s="11" customFormat="1" ht="15">
      <c r="A21" s="53" t="s">
        <v>578</v>
      </c>
      <c r="B21" s="54">
        <v>5.80</v>
      </c>
      <c r="C21" s="54">
        <v>53.29</v>
      </c>
      <c r="D21" s="54">
        <v>34.71</v>
      </c>
      <c r="E21" s="54">
        <v>0.13</v>
      </c>
      <c r="F21" s="54">
        <v>5.53</v>
      </c>
      <c r="G21" s="54">
        <v>63.45</v>
      </c>
      <c r="H21" s="54">
        <v>28.31</v>
      </c>
      <c r="I21" s="54">
        <v>1.59</v>
      </c>
      <c r="J21" s="54">
        <v>1.1100000000000001</v>
      </c>
      <c r="K21" s="54">
        <v>120.77</v>
      </c>
      <c r="L21" s="54">
        <v>21.07</v>
      </c>
      <c r="M21" s="54">
        <v>74.540000000000006</v>
      </c>
      <c r="N21" s="54">
        <v>564.5</v>
      </c>
      <c r="O21" s="54">
        <v>0</v>
      </c>
      <c r="P21" s="54">
        <v>0.59</v>
      </c>
      <c r="Q21" s="54">
        <v>7.94</v>
      </c>
      <c r="R21" s="43"/>
      <c r="S21" s="43"/>
      <c r="T21" s="43"/>
      <c r="U21" s="43"/>
    </row>
    <row r="22" spans="1:21" s="11" customFormat="1" ht="15">
      <c r="A22" s="53" t="s">
        <v>579</v>
      </c>
      <c r="B22" s="54">
        <v>3.46</v>
      </c>
      <c r="C22" s="54">
        <v>48.80</v>
      </c>
      <c r="D22" s="54">
        <v>30.12</v>
      </c>
      <c r="E22" s="54">
        <v>0.27</v>
      </c>
      <c r="F22" s="54">
        <v>5.33</v>
      </c>
      <c r="G22" s="54">
        <v>60.35</v>
      </c>
      <c r="H22" s="54">
        <v>27.16</v>
      </c>
      <c r="I22" s="54">
        <v>1.53</v>
      </c>
      <c r="J22" s="54">
        <v>0.95</v>
      </c>
      <c r="K22" s="54">
        <v>139.11000000000001</v>
      </c>
      <c r="L22" s="54">
        <v>22.01</v>
      </c>
      <c r="M22" s="54">
        <v>70.84</v>
      </c>
      <c r="N22" s="54">
        <v>525.10</v>
      </c>
      <c r="O22" s="54">
        <v>0</v>
      </c>
      <c r="P22" s="54">
        <v>0.56999999999999995</v>
      </c>
      <c r="Q22" s="54">
        <v>7.20</v>
      </c>
      <c r="R22" s="43"/>
      <c r="S22" s="43"/>
      <c r="T22" s="43"/>
      <c r="U22" s="43"/>
    </row>
    <row r="23" spans="1:21" s="11" customFormat="1" ht="15">
      <c r="A23" s="53" t="s">
        <v>580</v>
      </c>
      <c r="B23" s="54">
        <v>3.74</v>
      </c>
      <c r="C23" s="54">
        <v>54.52</v>
      </c>
      <c r="D23" s="54">
        <v>33.71</v>
      </c>
      <c r="E23" s="54">
        <v>0.24</v>
      </c>
      <c r="F23" s="54">
        <v>12.91</v>
      </c>
      <c r="G23" s="54">
        <v>59.80</v>
      </c>
      <c r="H23" s="54">
        <v>28.40</v>
      </c>
      <c r="I23" s="54">
        <v>1.55</v>
      </c>
      <c r="J23" s="54">
        <v>0.79</v>
      </c>
      <c r="K23" s="54">
        <v>108.82</v>
      </c>
      <c r="L23" s="54">
        <v>22.48</v>
      </c>
      <c r="M23" s="54">
        <v>68.17</v>
      </c>
      <c r="N23" s="54">
        <v>341.80</v>
      </c>
      <c r="O23" s="54">
        <v>0</v>
      </c>
      <c r="P23" s="54">
        <v>0.59</v>
      </c>
      <c r="Q23" s="54">
        <v>8.1300000000000008</v>
      </c>
      <c r="R23" s="43"/>
      <c r="S23" s="43"/>
      <c r="T23" s="43"/>
      <c r="U23" s="43"/>
    </row>
    <row r="24" spans="1:21" s="11" customFormat="1" ht="15">
      <c r="A24" s="53" t="s">
        <v>581</v>
      </c>
      <c r="B24" s="54">
        <v>3.99</v>
      </c>
      <c r="C24" s="54">
        <v>52.15</v>
      </c>
      <c r="D24" s="54">
        <v>32.39</v>
      </c>
      <c r="E24" s="54">
        <v>0.22</v>
      </c>
      <c r="F24" s="54">
        <v>9.24</v>
      </c>
      <c r="G24" s="54">
        <v>59.80</v>
      </c>
      <c r="H24" s="54">
        <v>28.40</v>
      </c>
      <c r="I24" s="54">
        <v>1.54</v>
      </c>
      <c r="J24" s="54">
        <v>0.63</v>
      </c>
      <c r="K24" s="54">
        <v>126.33</v>
      </c>
      <c r="L24" s="54">
        <v>22.42</v>
      </c>
      <c r="M24" s="54">
        <v>65.28</v>
      </c>
      <c r="N24" s="54">
        <v>218.60</v>
      </c>
      <c r="O24" s="54">
        <v>0</v>
      </c>
      <c r="P24" s="54">
        <v>0.56000000000000005</v>
      </c>
      <c r="Q24" s="54">
        <v>7.80</v>
      </c>
      <c r="R24" s="43"/>
      <c r="S24" s="43"/>
      <c r="T24" s="43"/>
      <c r="U24" s="43"/>
    </row>
    <row r="25" spans="1:21" s="11" customFormat="1" ht="15">
      <c r="A25" s="53" t="s">
        <v>582</v>
      </c>
      <c r="B25" s="54">
        <v>5.52</v>
      </c>
      <c r="C25" s="54">
        <v>56.93</v>
      </c>
      <c r="D25" s="54">
        <v>36.130000000000003</v>
      </c>
      <c r="E25" s="54">
        <v>0.070000000000000007</v>
      </c>
      <c r="F25" s="54">
        <v>4.29</v>
      </c>
      <c r="G25" s="54">
        <v>66.72</v>
      </c>
      <c r="H25" s="54">
        <v>31.73</v>
      </c>
      <c r="I25" s="54">
        <v>1.51</v>
      </c>
      <c r="J25" s="54">
        <v>0.34</v>
      </c>
      <c r="K25" s="54">
        <v>356.17</v>
      </c>
      <c r="L25" s="54">
        <v>22.26</v>
      </c>
      <c r="M25" s="54">
        <v>66.62</v>
      </c>
      <c r="N25" s="54">
        <v>117.30</v>
      </c>
      <c r="O25" s="54">
        <v>0</v>
      </c>
      <c r="P25" s="54">
        <v>0.65</v>
      </c>
      <c r="Q25" s="54">
        <v>8.24</v>
      </c>
      <c r="R25" s="43"/>
      <c r="S25" s="43"/>
      <c r="T25" s="43"/>
      <c r="U25" s="43"/>
    </row>
    <row r="26" spans="1:21" s="11" customFormat="1" ht="15">
      <c r="A26" s="53" t="s">
        <v>583</v>
      </c>
      <c r="B26" s="54">
        <v>10.39</v>
      </c>
      <c r="C26" s="54">
        <v>60.76</v>
      </c>
      <c r="D26" s="54">
        <v>41.97</v>
      </c>
      <c r="E26" s="54">
        <v>0.08</v>
      </c>
      <c r="F26" s="54">
        <v>3.67</v>
      </c>
      <c r="G26" s="54">
        <v>69.25</v>
      </c>
      <c r="H26" s="54">
        <v>31.88</v>
      </c>
      <c r="I26" s="54">
        <v>1.63</v>
      </c>
      <c r="J26" s="54">
        <v>0.10</v>
      </c>
      <c r="K26" s="54">
        <v>352.48</v>
      </c>
      <c r="L26" s="54">
        <v>21.14</v>
      </c>
      <c r="M26" s="54">
        <v>74.48</v>
      </c>
      <c r="N26" s="54">
        <v>43.70</v>
      </c>
      <c r="O26" s="54">
        <v>0</v>
      </c>
      <c r="P26" s="54">
        <v>0.89</v>
      </c>
      <c r="Q26" s="54">
        <v>8.49</v>
      </c>
      <c r="R26" s="43"/>
      <c r="S26" s="43"/>
      <c r="T26" s="43"/>
      <c r="U26" s="43"/>
    </row>
    <row r="27" spans="1:21" s="11" customFormat="1" ht="15">
      <c r="A27" s="53" t="s">
        <v>584</v>
      </c>
      <c r="B27" s="54">
        <v>13.77</v>
      </c>
      <c r="C27" s="54">
        <v>63.10</v>
      </c>
      <c r="D27" s="54">
        <v>46.51</v>
      </c>
      <c r="E27" s="54">
        <v>0.12</v>
      </c>
      <c r="F27" s="54">
        <v>3.27</v>
      </c>
      <c r="G27" s="54">
        <v>80.33</v>
      </c>
      <c r="H27" s="54">
        <v>38.10</v>
      </c>
      <c r="I27" s="54">
        <v>1.51</v>
      </c>
      <c r="J27" s="54">
        <v>0.14000000000000001</v>
      </c>
      <c r="K27" s="54">
        <v>94.28</v>
      </c>
      <c r="L27" s="54">
        <v>19.84</v>
      </c>
      <c r="M27" s="54">
        <v>75.03</v>
      </c>
      <c r="N27" s="54">
        <v>22.80</v>
      </c>
      <c r="O27" s="54">
        <v>0</v>
      </c>
      <c r="P27" s="54">
        <v>1.0900000000000001</v>
      </c>
      <c r="Q27" s="54">
        <v>8.74</v>
      </c>
      <c r="R27" s="43"/>
      <c r="S27" s="43"/>
      <c r="T27" s="43"/>
      <c r="U27" s="43"/>
    </row>
    <row r="28" spans="1:21" s="11" customFormat="1" ht="15">
      <c r="A28" s="53" t="s">
        <v>585</v>
      </c>
      <c r="B28" s="54">
        <v>19.989999999999998</v>
      </c>
      <c r="C28" s="54">
        <v>65.010000000000005</v>
      </c>
      <c r="D28" s="54">
        <v>52.55</v>
      </c>
      <c r="E28" s="54">
        <v>0.10</v>
      </c>
      <c r="F28" s="54">
        <v>3.27</v>
      </c>
      <c r="G28" s="54">
        <v>97.79</v>
      </c>
      <c r="H28" s="54">
        <v>48.83</v>
      </c>
      <c r="I28" s="54">
        <v>1.51</v>
      </c>
      <c r="J28" s="54">
        <v>0.22</v>
      </c>
      <c r="K28" s="54">
        <v>342.78</v>
      </c>
      <c r="L28" s="54">
        <v>19.649999999999999</v>
      </c>
      <c r="M28" s="54">
        <v>74.33</v>
      </c>
      <c r="N28" s="54">
        <v>22.90</v>
      </c>
      <c r="O28" s="54">
        <v>0</v>
      </c>
      <c r="P28" s="54">
        <v>1.17</v>
      </c>
      <c r="Q28" s="54">
        <v>9.2100000000000009</v>
      </c>
      <c r="R28" s="43"/>
      <c r="S28" s="43"/>
      <c r="T28" s="43"/>
      <c r="U28" s="43"/>
    </row>
    <row r="29" spans="1:21" s="11" customFormat="1" ht="15">
      <c r="A29" s="53" t="s">
        <v>586</v>
      </c>
      <c r="B29" s="54">
        <v>26.34</v>
      </c>
      <c r="C29" s="54">
        <v>64.89</v>
      </c>
      <c r="D29" s="54">
        <v>57.36</v>
      </c>
      <c r="E29" s="54">
        <v>0.17</v>
      </c>
      <c r="F29" s="54">
        <v>3.30</v>
      </c>
      <c r="G29" s="54">
        <v>132.61000000000001</v>
      </c>
      <c r="H29" s="54">
        <v>67.69</v>
      </c>
      <c r="I29" s="54">
        <v>1.56</v>
      </c>
      <c r="J29" s="54">
        <v>0.16</v>
      </c>
      <c r="K29" s="54">
        <v>330.95</v>
      </c>
      <c r="L29" s="54">
        <v>19.09</v>
      </c>
      <c r="M29" s="54">
        <v>74.30</v>
      </c>
      <c r="N29" s="54">
        <v>22.80</v>
      </c>
      <c r="O29" s="54">
        <v>0</v>
      </c>
      <c r="P29" s="54">
        <v>1.27</v>
      </c>
      <c r="Q29" s="54">
        <v>9.58</v>
      </c>
      <c r="R29" s="43"/>
      <c r="S29" s="43"/>
      <c r="T29" s="43"/>
      <c r="U29" s="43"/>
    </row>
    <row r="30" spans="1:21" s="11" customFormat="1" ht="15">
      <c r="A30" s="53" t="s">
        <v>587</v>
      </c>
      <c r="B30" s="54">
        <v>30.17</v>
      </c>
      <c r="C30" s="54">
        <v>66.790000000000006</v>
      </c>
      <c r="D30" s="54">
        <v>61.70</v>
      </c>
      <c r="E30" s="54">
        <v>0.15</v>
      </c>
      <c r="F30" s="54">
        <v>3.35</v>
      </c>
      <c r="G30" s="54">
        <v>236.98</v>
      </c>
      <c r="H30" s="54">
        <v>139.97999999999999</v>
      </c>
      <c r="I30" s="54">
        <v>1.54</v>
      </c>
      <c r="J30" s="54">
        <v>0.61</v>
      </c>
      <c r="K30" s="54">
        <v>98.41</v>
      </c>
      <c r="L30" s="54">
        <v>18.84</v>
      </c>
      <c r="M30" s="54">
        <v>74.37</v>
      </c>
      <c r="N30" s="54">
        <v>23</v>
      </c>
      <c r="O30" s="54">
        <v>0</v>
      </c>
      <c r="P30" s="54">
        <v>1.27</v>
      </c>
      <c r="Q30" s="54">
        <v>10.15</v>
      </c>
      <c r="R30" s="43"/>
      <c r="S30" s="43"/>
      <c r="T30" s="43"/>
      <c r="U30" s="43"/>
    </row>
    <row r="31" spans="1:21" s="11" customFormat="1" ht="15">
      <c r="A31" s="53" t="s">
        <v>588</v>
      </c>
      <c r="B31" s="54">
        <v>28.84</v>
      </c>
      <c r="C31" s="54">
        <v>65.540000000000006</v>
      </c>
      <c r="D31" s="54">
        <v>59.94</v>
      </c>
      <c r="E31" s="54">
        <v>0.20</v>
      </c>
      <c r="F31" s="54">
        <v>3.74</v>
      </c>
      <c r="G31" s="54">
        <v>236.98</v>
      </c>
      <c r="H31" s="54">
        <v>139.97999999999999</v>
      </c>
      <c r="I31" s="54">
        <v>1.57</v>
      </c>
      <c r="J31" s="54">
        <v>0.42</v>
      </c>
      <c r="K31" s="54">
        <v>350.98</v>
      </c>
      <c r="L31" s="54">
        <v>18.77</v>
      </c>
      <c r="M31" s="54">
        <v>76.14</v>
      </c>
      <c r="N31" s="54">
        <v>23.20</v>
      </c>
      <c r="O31" s="54">
        <v>0</v>
      </c>
      <c r="P31" s="54">
        <v>1.21</v>
      </c>
      <c r="Q31" s="54">
        <v>10.17</v>
      </c>
      <c r="R31" s="43"/>
      <c r="S31" s="43"/>
      <c r="T31" s="43"/>
      <c r="U31" s="43"/>
    </row>
    <row r="32" spans="1:21" s="11" customFormat="1" ht="15">
      <c r="A32" s="53" t="s">
        <v>589</v>
      </c>
      <c r="B32" s="54">
        <v>25.87</v>
      </c>
      <c r="C32" s="54">
        <v>63.41</v>
      </c>
      <c r="D32" s="54">
        <v>56.39</v>
      </c>
      <c r="E32" s="54">
        <v>0.15</v>
      </c>
      <c r="F32" s="54">
        <v>3.74</v>
      </c>
      <c r="G32" s="54">
        <v>125.40</v>
      </c>
      <c r="H32" s="54">
        <v>67.459999999999994</v>
      </c>
      <c r="I32" s="54">
        <v>1.56</v>
      </c>
      <c r="J32" s="54">
        <v>1.25</v>
      </c>
      <c r="K32" s="54">
        <v>117.77</v>
      </c>
      <c r="L32" s="54">
        <v>18.37</v>
      </c>
      <c r="M32" s="54">
        <v>78.66</v>
      </c>
      <c r="N32" s="54">
        <v>23.20</v>
      </c>
      <c r="O32" s="54">
        <v>0</v>
      </c>
      <c r="P32" s="54">
        <v>1.1299999999999999</v>
      </c>
      <c r="Q32" s="54">
        <v>9.91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3.46</v>
      </c>
      <c r="C34" s="28">
        <f t="shared" si="0"/>
        <v>45.359999999999999</v>
      </c>
      <c r="D34" s="28">
        <f t="shared" si="0"/>
        <v>30.120000000000001</v>
      </c>
      <c r="E34" s="28">
        <f t="shared" si="0"/>
        <v>0.070000000000000007</v>
      </c>
      <c r="F34" s="28">
        <f t="shared" si="0"/>
        <v>3.1299999999999999</v>
      </c>
      <c r="G34" s="28">
        <f t="shared" si="0"/>
        <v>52.039999999999999</v>
      </c>
      <c r="H34" s="28">
        <f t="shared" si="0"/>
        <v>25.16</v>
      </c>
      <c r="I34" s="28">
        <f t="shared" si="0"/>
        <v>1.49</v>
      </c>
      <c r="J34" s="28">
        <f t="shared" si="0"/>
        <v>0.10000000000000001</v>
      </c>
      <c r="K34" s="28">
        <f t="shared" si="0"/>
        <v>94.280000000000001</v>
      </c>
      <c r="L34" s="28">
        <f t="shared" si="0"/>
        <v>12.93</v>
      </c>
      <c r="M34" s="28">
        <f t="shared" si="0"/>
        <v>62.460000000000001</v>
      </c>
      <c r="N34" s="28">
        <f t="shared" si="0"/>
        <v>16.399999999999999</v>
      </c>
      <c r="O34" s="28">
        <f t="shared" si="0"/>
        <v>0</v>
      </c>
      <c r="P34" s="28">
        <f t="shared" si="0"/>
        <v>0.47999999999999998</v>
      </c>
      <c r="Q34" s="28">
        <f t="shared" si="0"/>
        <v>7.2000000000000002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33.200000000000003</v>
      </c>
      <c r="C35" s="29">
        <f t="shared" si="1"/>
        <v>66.790000000000006</v>
      </c>
      <c r="D35" s="29">
        <f t="shared" si="1"/>
        <v>61.700000000000003</v>
      </c>
      <c r="E35" s="29">
        <f t="shared" si="1"/>
        <v>0.32000000000000001</v>
      </c>
      <c r="F35" s="29">
        <f t="shared" si="1"/>
        <v>12.91</v>
      </c>
      <c r="G35" s="29">
        <f t="shared" si="1"/>
        <v>236.97999999999999</v>
      </c>
      <c r="H35" s="29">
        <f t="shared" si="1"/>
        <v>139.97999999999999</v>
      </c>
      <c r="I35" s="29">
        <f t="shared" si="1"/>
        <v>1.6299999999999999</v>
      </c>
      <c r="J35" s="29">
        <f t="shared" si="1"/>
        <v>1.3300000000000001</v>
      </c>
      <c r="K35" s="29">
        <f t="shared" si="1"/>
        <v>358.85000000000002</v>
      </c>
      <c r="L35" s="29">
        <f t="shared" si="1"/>
        <v>22.48</v>
      </c>
      <c r="M35" s="29">
        <f t="shared" si="1"/>
        <v>100.13</v>
      </c>
      <c r="N35" s="29">
        <f t="shared" si="1"/>
        <v>564.5</v>
      </c>
      <c r="O35" s="29">
        <f t="shared" si="1"/>
        <v>0</v>
      </c>
      <c r="P35" s="29">
        <f t="shared" si="1"/>
        <v>1.27</v>
      </c>
      <c r="Q35" s="29">
        <f t="shared" si="1"/>
        <v>10.17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18.755833333333332</v>
      </c>
      <c r="C36" s="28">
        <f t="shared" si="2"/>
        <v>54.418333333333329</v>
      </c>
      <c r="D36" s="28">
        <f t="shared" si="2"/>
        <v>45.351250000000014</v>
      </c>
      <c r="E36" s="28">
        <f t="shared" si="2"/>
        <v>0.16791666666666671</v>
      </c>
      <c r="F36" s="28">
        <f t="shared" si="2"/>
        <v>4.2508333333333317</v>
      </c>
      <c r="G36" s="28">
        <f t="shared" si="2"/>
        <v>89.164166666666674</v>
      </c>
      <c r="H36" s="28">
        <f t="shared" si="2"/>
        <v>44.567916666666669</v>
      </c>
      <c r="I36" s="28">
        <f t="shared" si="2"/>
        <v>1.5445833333333336</v>
      </c>
      <c r="J36" s="28">
        <f t="shared" si="2"/>
        <v>0.66999999999999993</v>
      </c>
      <c r="K36" s="28">
        <f t="shared" si="2"/>
        <v>241.01583333333338</v>
      </c>
      <c r="L36" s="28">
        <f t="shared" si="2"/>
        <v>18.110833333333328</v>
      </c>
      <c r="M36" s="28">
        <f t="shared" si="2"/>
        <v>75.86333333333333</v>
      </c>
      <c r="N36" s="28">
        <f t="shared" si="2"/>
        <v>160.79583333333332</v>
      </c>
      <c r="O36" s="28">
        <f t="shared" si="2"/>
        <v>0</v>
      </c>
      <c r="P36" s="28">
        <f t="shared" si="2"/>
        <v>0.79749999999999999</v>
      </c>
      <c r="Q36" s="28">
        <f t="shared" si="2"/>
        <v>8.6162500000000026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9.4331726954110913</v>
      </c>
      <c r="C37" s="28">
        <f t="shared" si="3" ref="C37:Q37">STDEV(C9:C32)</f>
        <v>7.3555507976107215</v>
      </c>
      <c r="D37" s="28">
        <f t="shared" si="3"/>
        <v>8.8574897378727186</v>
      </c>
      <c r="E37" s="28">
        <f t="shared" si="3"/>
        <v>0.061075802272163277</v>
      </c>
      <c r="F37" s="28">
        <f t="shared" si="3"/>
        <v>2.2561759040786127</v>
      </c>
      <c r="G37" s="28">
        <f t="shared" si="3"/>
        <v>49.958693539212227</v>
      </c>
      <c r="H37" s="28">
        <f t="shared" si="3"/>
        <v>31.615590124956938</v>
      </c>
      <c r="I37" s="28">
        <f t="shared" si="3"/>
        <v>0.033097900454451101</v>
      </c>
      <c r="J37" s="28">
        <f t="shared" si="3"/>
        <v>0.37632086216996796</v>
      </c>
      <c r="K37" s="28">
        <f t="shared" si="3"/>
        <v>120.16536699632842</v>
      </c>
      <c r="L37" s="28">
        <f t="shared" si="3"/>
        <v>3.0645446738416506</v>
      </c>
      <c r="M37" s="28">
        <f t="shared" si="3"/>
        <v>10.751658988941863</v>
      </c>
      <c r="N37" s="28">
        <f t="shared" si="3"/>
        <v>199.44880672398918</v>
      </c>
      <c r="O37" s="28">
        <f t="shared" si="3"/>
        <v>0</v>
      </c>
      <c r="P37" s="28">
        <f t="shared" si="3"/>
        <v>0.27739863013360405</v>
      </c>
      <c r="Q37" s="28">
        <f t="shared" si="3"/>
        <v>0.88835369229191063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e8a1df-2c4c-4992-8144-35ece63b7ee3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9" sqref="G5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590</v>
      </c>
      <c r="B9" s="54">
        <v>20.21</v>
      </c>
      <c r="C9" s="54">
        <v>60.46</v>
      </c>
      <c r="D9" s="54">
        <v>50.22</v>
      </c>
      <c r="E9" s="54">
        <v>0.27</v>
      </c>
      <c r="F9" s="54">
        <v>3.39</v>
      </c>
      <c r="G9" s="54">
        <v>99.70</v>
      </c>
      <c r="H9" s="54">
        <v>63.16</v>
      </c>
      <c r="I9" s="54">
        <v>1.56</v>
      </c>
      <c r="J9" s="54">
        <v>0.90</v>
      </c>
      <c r="K9" s="54">
        <v>147.68</v>
      </c>
      <c r="L9" s="54">
        <v>18</v>
      </c>
      <c r="M9" s="54">
        <v>87.06</v>
      </c>
      <c r="N9" s="54">
        <v>23.10</v>
      </c>
      <c r="O9" s="54">
        <v>0</v>
      </c>
      <c r="P9" s="54">
        <v>1</v>
      </c>
      <c r="Q9" s="54">
        <v>9.44</v>
      </c>
      <c r="R9" s="43"/>
      <c r="S9" s="43"/>
      <c r="T9" s="43"/>
      <c r="U9" s="43"/>
    </row>
    <row r="10" spans="1:21" s="11" customFormat="1" ht="15">
      <c r="A10" s="53" t="s">
        <v>591</v>
      </c>
      <c r="B10" s="54">
        <v>15.35</v>
      </c>
      <c r="C10" s="54">
        <v>53.89</v>
      </c>
      <c r="D10" s="54">
        <v>42.27</v>
      </c>
      <c r="E10" s="54">
        <v>0.25</v>
      </c>
      <c r="F10" s="54">
        <v>3.26</v>
      </c>
      <c r="G10" s="54">
        <v>83.81</v>
      </c>
      <c r="H10" s="54">
        <v>33.19</v>
      </c>
      <c r="I10" s="54">
        <v>1.55</v>
      </c>
      <c r="J10" s="54">
        <v>0.51</v>
      </c>
      <c r="K10" s="54">
        <v>113.46</v>
      </c>
      <c r="L10" s="54">
        <v>17.36</v>
      </c>
      <c r="M10" s="54">
        <v>94.47</v>
      </c>
      <c r="N10" s="54">
        <v>22.90</v>
      </c>
      <c r="O10" s="54">
        <v>0</v>
      </c>
      <c r="P10" s="54">
        <v>0.91</v>
      </c>
      <c r="Q10" s="54">
        <v>8.64</v>
      </c>
      <c r="R10" s="43"/>
      <c r="S10" s="43"/>
      <c r="T10" s="43"/>
      <c r="U10" s="43"/>
    </row>
    <row r="11" spans="1:21" s="11" customFormat="1" ht="15">
      <c r="A11" s="53" t="s">
        <v>592</v>
      </c>
      <c r="B11" s="54">
        <v>11.59</v>
      </c>
      <c r="C11" s="54">
        <v>52.14</v>
      </c>
      <c r="D11" s="54">
        <v>38.72</v>
      </c>
      <c r="E11" s="54">
        <v>0.22</v>
      </c>
      <c r="F11" s="54">
        <v>3.27</v>
      </c>
      <c r="G11" s="54">
        <v>58.01</v>
      </c>
      <c r="H11" s="54">
        <v>30.86</v>
      </c>
      <c r="I11" s="54">
        <v>1.54</v>
      </c>
      <c r="J11" s="54">
        <v>0.31</v>
      </c>
      <c r="K11" s="54">
        <v>341.02</v>
      </c>
      <c r="L11" s="54">
        <v>17.03</v>
      </c>
      <c r="M11" s="54">
        <v>99.99</v>
      </c>
      <c r="N11" s="54">
        <v>23</v>
      </c>
      <c r="O11" s="54">
        <v>0</v>
      </c>
      <c r="P11" s="54">
        <v>0.83</v>
      </c>
      <c r="Q11" s="54">
        <v>8.24</v>
      </c>
      <c r="R11" s="43"/>
      <c r="S11" s="43"/>
      <c r="T11" s="43"/>
      <c r="U11" s="43"/>
    </row>
    <row r="12" spans="1:21" s="11" customFormat="1" ht="15">
      <c r="A12" s="53" t="s">
        <v>593</v>
      </c>
      <c r="B12" s="54">
        <v>10</v>
      </c>
      <c r="C12" s="54">
        <v>49.81</v>
      </c>
      <c r="D12" s="54">
        <v>36.15</v>
      </c>
      <c r="E12" s="54">
        <v>0.22</v>
      </c>
      <c r="F12" s="54">
        <v>3.22</v>
      </c>
      <c r="G12" s="54">
        <v>58.01</v>
      </c>
      <c r="H12" s="54">
        <v>32.51</v>
      </c>
      <c r="I12" s="54">
        <v>1.61</v>
      </c>
      <c r="J12" s="54">
        <v>0.40</v>
      </c>
      <c r="K12" s="54">
        <v>101.85</v>
      </c>
      <c r="L12" s="54">
        <v>16.45</v>
      </c>
      <c r="M12" s="54">
        <v>100.07</v>
      </c>
      <c r="N12" s="54">
        <v>22.70</v>
      </c>
      <c r="O12" s="54">
        <v>0</v>
      </c>
      <c r="P12" s="54">
        <v>0.76</v>
      </c>
      <c r="Q12" s="54">
        <v>8.02</v>
      </c>
      <c r="R12" s="43"/>
      <c r="S12" s="43"/>
      <c r="T12" s="43"/>
      <c r="U12" s="43"/>
    </row>
    <row r="13" spans="1:21" s="11" customFormat="1" ht="15">
      <c r="A13" s="53" t="s">
        <v>594</v>
      </c>
      <c r="B13" s="54">
        <v>11.76</v>
      </c>
      <c r="C13" s="54">
        <v>48.83</v>
      </c>
      <c r="D13" s="54">
        <v>36.369999999999997</v>
      </c>
      <c r="E13" s="54">
        <v>0.11</v>
      </c>
      <c r="F13" s="54">
        <v>3</v>
      </c>
      <c r="G13" s="54">
        <v>52.25</v>
      </c>
      <c r="H13" s="54">
        <v>32.51</v>
      </c>
      <c r="I13" s="54">
        <v>1.54</v>
      </c>
      <c r="J13" s="54">
        <v>0.69</v>
      </c>
      <c r="K13" s="54">
        <v>114.14</v>
      </c>
      <c r="L13" s="54">
        <v>16.41</v>
      </c>
      <c r="M13" s="54">
        <v>100.07</v>
      </c>
      <c r="N13" s="54">
        <v>23</v>
      </c>
      <c r="O13" s="54">
        <v>0</v>
      </c>
      <c r="P13" s="54">
        <v>0.70</v>
      </c>
      <c r="Q13" s="54">
        <v>8.07</v>
      </c>
      <c r="R13" s="43"/>
      <c r="S13" s="43"/>
      <c r="T13" s="43"/>
      <c r="U13" s="43"/>
    </row>
    <row r="14" spans="1:21" s="11" customFormat="1" ht="15">
      <c r="A14" s="53" t="s">
        <v>595</v>
      </c>
      <c r="B14" s="54">
        <v>13.71</v>
      </c>
      <c r="C14" s="54">
        <v>47.18</v>
      </c>
      <c r="D14" s="54">
        <v>37.67</v>
      </c>
      <c r="E14" s="54">
        <v>0.14000000000000001</v>
      </c>
      <c r="F14" s="54">
        <v>3.44</v>
      </c>
      <c r="G14" s="54">
        <v>50.23</v>
      </c>
      <c r="H14" s="54">
        <v>31.40</v>
      </c>
      <c r="I14" s="54">
        <v>1.55</v>
      </c>
      <c r="J14" s="54">
        <v>0.95</v>
      </c>
      <c r="K14" s="54">
        <v>111.44</v>
      </c>
      <c r="L14" s="54">
        <v>16.649999999999999</v>
      </c>
      <c r="M14" s="54">
        <v>100.08</v>
      </c>
      <c r="N14" s="54">
        <v>23.20</v>
      </c>
      <c r="O14" s="54">
        <v>0</v>
      </c>
      <c r="P14" s="54">
        <v>0.67</v>
      </c>
      <c r="Q14" s="54">
        <v>8.27</v>
      </c>
      <c r="R14" s="43"/>
      <c r="S14" s="43"/>
      <c r="T14" s="43"/>
      <c r="U14" s="43"/>
    </row>
    <row r="15" spans="1:21" s="11" customFormat="1" ht="15">
      <c r="A15" s="53" t="s">
        <v>596</v>
      </c>
      <c r="B15" s="54">
        <v>18.38</v>
      </c>
      <c r="C15" s="54">
        <v>47.57</v>
      </c>
      <c r="D15" s="54">
        <v>41.60</v>
      </c>
      <c r="E15" s="54">
        <v>0.15</v>
      </c>
      <c r="F15" s="54">
        <v>3.22</v>
      </c>
      <c r="G15" s="54">
        <v>64.040000000000006</v>
      </c>
      <c r="H15" s="54">
        <v>53.82</v>
      </c>
      <c r="I15" s="54">
        <v>1.51</v>
      </c>
      <c r="J15" s="54">
        <v>0.78</v>
      </c>
      <c r="K15" s="54">
        <v>345.23</v>
      </c>
      <c r="L15" s="54">
        <v>16.77</v>
      </c>
      <c r="M15" s="54">
        <v>100.07</v>
      </c>
      <c r="N15" s="54">
        <v>27.80</v>
      </c>
      <c r="O15" s="54">
        <v>0</v>
      </c>
      <c r="P15" s="54">
        <v>0.67</v>
      </c>
      <c r="Q15" s="54">
        <v>8.58</v>
      </c>
      <c r="R15" s="43"/>
      <c r="S15" s="43"/>
      <c r="T15" s="43"/>
      <c r="U15" s="43"/>
    </row>
    <row r="16" spans="1:21" s="11" customFormat="1" ht="15">
      <c r="A16" s="53" t="s">
        <v>597</v>
      </c>
      <c r="B16" s="54">
        <v>23.11</v>
      </c>
      <c r="C16" s="54">
        <v>47.62</v>
      </c>
      <c r="D16" s="54">
        <v>43.45</v>
      </c>
      <c r="E16" s="54">
        <v>0.16</v>
      </c>
      <c r="F16" s="54">
        <v>3.26</v>
      </c>
      <c r="G16" s="54">
        <v>64.040000000000006</v>
      </c>
      <c r="H16" s="54">
        <v>53.82</v>
      </c>
      <c r="I16" s="54">
        <v>1.58</v>
      </c>
      <c r="J16" s="54">
        <v>0.72</v>
      </c>
      <c r="K16" s="54">
        <v>350.94</v>
      </c>
      <c r="L16" s="54">
        <v>16.61</v>
      </c>
      <c r="M16" s="54">
        <v>100.06</v>
      </c>
      <c r="N16" s="54">
        <v>117.60</v>
      </c>
      <c r="O16" s="54">
        <v>0</v>
      </c>
      <c r="P16" s="54">
        <v>0.77</v>
      </c>
      <c r="Q16" s="54">
        <v>8.6999999999999993</v>
      </c>
      <c r="R16" s="43"/>
      <c r="S16" s="43"/>
      <c r="T16" s="43"/>
      <c r="U16" s="43"/>
    </row>
    <row r="17" spans="1:21" s="11" customFormat="1" ht="15">
      <c r="A17" s="53" t="s">
        <v>598</v>
      </c>
      <c r="B17" s="54">
        <v>24.32</v>
      </c>
      <c r="C17" s="54">
        <v>46.68</v>
      </c>
      <c r="D17" s="54">
        <v>45.60</v>
      </c>
      <c r="E17" s="54">
        <v>0.15</v>
      </c>
      <c r="F17" s="54">
        <v>3.48</v>
      </c>
      <c r="G17" s="54">
        <v>99.04</v>
      </c>
      <c r="H17" s="54">
        <v>47.90</v>
      </c>
      <c r="I17" s="54">
        <v>1.55</v>
      </c>
      <c r="J17" s="54">
        <v>1.04</v>
      </c>
      <c r="K17" s="54">
        <v>106.85</v>
      </c>
      <c r="L17" s="54">
        <v>17.32</v>
      </c>
      <c r="M17" s="54">
        <v>99.43</v>
      </c>
      <c r="N17" s="54">
        <v>172</v>
      </c>
      <c r="O17" s="54">
        <v>0</v>
      </c>
      <c r="P17" s="54">
        <v>0.82</v>
      </c>
      <c r="Q17" s="54">
        <v>8.74</v>
      </c>
      <c r="R17" s="43"/>
      <c r="S17" s="43"/>
      <c r="T17" s="43"/>
      <c r="U17" s="43"/>
    </row>
    <row r="18" spans="1:21" s="11" customFormat="1" ht="15">
      <c r="A18" s="53" t="s">
        <v>599</v>
      </c>
      <c r="B18" s="54">
        <v>24.44</v>
      </c>
      <c r="C18" s="54">
        <v>49.10</v>
      </c>
      <c r="D18" s="54">
        <v>47.34</v>
      </c>
      <c r="E18" s="54">
        <v>0.14000000000000001</v>
      </c>
      <c r="F18" s="54">
        <v>3.26</v>
      </c>
      <c r="G18" s="54">
        <v>99.04</v>
      </c>
      <c r="H18" s="54">
        <v>47.90</v>
      </c>
      <c r="I18" s="54">
        <v>1.54</v>
      </c>
      <c r="J18" s="54">
        <v>1.0900000000000001</v>
      </c>
      <c r="K18" s="54">
        <v>348.12</v>
      </c>
      <c r="L18" s="54">
        <v>18.600000000000001</v>
      </c>
      <c r="M18" s="54">
        <v>92.93</v>
      </c>
      <c r="N18" s="54">
        <v>196.10</v>
      </c>
      <c r="O18" s="54">
        <v>0</v>
      </c>
      <c r="P18" s="54">
        <v>0.90</v>
      </c>
      <c r="Q18" s="54">
        <v>8.8000000000000007</v>
      </c>
      <c r="R18" s="43"/>
      <c r="S18" s="43"/>
      <c r="T18" s="43"/>
      <c r="U18" s="43"/>
    </row>
    <row r="19" spans="1:21" s="11" customFormat="1" ht="15">
      <c r="A19" s="53" t="s">
        <v>600</v>
      </c>
      <c r="B19" s="54">
        <v>25.60</v>
      </c>
      <c r="C19" s="54">
        <v>50.81</v>
      </c>
      <c r="D19" s="54">
        <v>49.22</v>
      </c>
      <c r="E19" s="54">
        <v>0.18</v>
      </c>
      <c r="F19" s="54">
        <v>3.22</v>
      </c>
      <c r="G19" s="54">
        <v>89.98</v>
      </c>
      <c r="H19" s="54">
        <v>36</v>
      </c>
      <c r="I19" s="54">
        <v>1.57</v>
      </c>
      <c r="J19" s="54">
        <v>0.87</v>
      </c>
      <c r="K19" s="54">
        <v>343.65</v>
      </c>
      <c r="L19" s="54">
        <v>18.75</v>
      </c>
      <c r="M19" s="54">
        <v>91.29</v>
      </c>
      <c r="N19" s="54">
        <v>256</v>
      </c>
      <c r="O19" s="54">
        <v>0</v>
      </c>
      <c r="P19" s="54">
        <v>0.95</v>
      </c>
      <c r="Q19" s="54">
        <v>8.9600000000000009</v>
      </c>
      <c r="R19" s="43"/>
      <c r="S19" s="43"/>
      <c r="T19" s="43"/>
      <c r="U19" s="43"/>
    </row>
    <row r="20" spans="1:21" s="11" customFormat="1" ht="15">
      <c r="A20" s="53" t="s">
        <v>601</v>
      </c>
      <c r="B20" s="54">
        <v>24.46</v>
      </c>
      <c r="C20" s="54">
        <v>53.47</v>
      </c>
      <c r="D20" s="54">
        <v>49.68</v>
      </c>
      <c r="E20" s="54">
        <v>0.18</v>
      </c>
      <c r="F20" s="54">
        <v>3.34</v>
      </c>
      <c r="G20" s="54">
        <v>87.17</v>
      </c>
      <c r="H20" s="54">
        <v>36</v>
      </c>
      <c r="I20" s="54">
        <v>1.52</v>
      </c>
      <c r="J20" s="54">
        <v>1.34</v>
      </c>
      <c r="K20" s="54">
        <v>346.06</v>
      </c>
      <c r="L20" s="54">
        <v>18.399999999999999</v>
      </c>
      <c r="M20" s="54">
        <v>90.66</v>
      </c>
      <c r="N20" s="54">
        <v>230.10</v>
      </c>
      <c r="O20" s="54">
        <v>0</v>
      </c>
      <c r="P20" s="54">
        <v>0.97</v>
      </c>
      <c r="Q20" s="54">
        <v>9.0399999999999991</v>
      </c>
      <c r="R20" s="43"/>
      <c r="S20" s="43"/>
      <c r="T20" s="43"/>
      <c r="U20" s="43"/>
    </row>
    <row r="21" spans="1:21" s="11" customFormat="1" ht="15">
      <c r="A21" s="53" t="s">
        <v>602</v>
      </c>
      <c r="B21" s="54">
        <v>26.42</v>
      </c>
      <c r="C21" s="54">
        <v>53.90</v>
      </c>
      <c r="D21" s="54">
        <v>51.58</v>
      </c>
      <c r="E21" s="54">
        <v>0.22</v>
      </c>
      <c r="F21" s="54">
        <v>3.24</v>
      </c>
      <c r="G21" s="54">
        <v>79.19</v>
      </c>
      <c r="H21" s="54">
        <v>35.799999999999997</v>
      </c>
      <c r="I21" s="54">
        <v>1.54</v>
      </c>
      <c r="J21" s="54">
        <v>1.39</v>
      </c>
      <c r="K21" s="54">
        <v>351.11</v>
      </c>
      <c r="L21" s="54">
        <v>18.37</v>
      </c>
      <c r="M21" s="54">
        <v>96.44</v>
      </c>
      <c r="N21" s="54">
        <v>226.80</v>
      </c>
      <c r="O21" s="54">
        <v>0</v>
      </c>
      <c r="P21" s="54">
        <v>0.97</v>
      </c>
      <c r="Q21" s="54">
        <v>9.23</v>
      </c>
      <c r="R21" s="43"/>
      <c r="S21" s="43"/>
      <c r="T21" s="43"/>
      <c r="U21" s="43"/>
    </row>
    <row r="22" spans="1:21" s="11" customFormat="1" ht="15">
      <c r="A22" s="53" t="s">
        <v>603</v>
      </c>
      <c r="B22" s="54">
        <v>34.369999999999997</v>
      </c>
      <c r="C22" s="54">
        <v>53.74</v>
      </c>
      <c r="D22" s="54">
        <v>57.32</v>
      </c>
      <c r="E22" s="54">
        <v>0.44</v>
      </c>
      <c r="F22" s="54">
        <v>3.27</v>
      </c>
      <c r="G22" s="54">
        <v>61.68</v>
      </c>
      <c r="H22" s="54">
        <v>40.68</v>
      </c>
      <c r="I22" s="54">
        <v>1.54</v>
      </c>
      <c r="J22" s="54">
        <v>1.43</v>
      </c>
      <c r="K22" s="54">
        <v>346.87</v>
      </c>
      <c r="L22" s="54">
        <v>16.14</v>
      </c>
      <c r="M22" s="54">
        <v>100.10</v>
      </c>
      <c r="N22" s="54">
        <v>98.10</v>
      </c>
      <c r="O22" s="54">
        <v>0</v>
      </c>
      <c r="P22" s="54">
        <v>1.03</v>
      </c>
      <c r="Q22" s="54">
        <v>9.67</v>
      </c>
      <c r="R22" s="43"/>
      <c r="S22" s="43"/>
      <c r="T22" s="43"/>
      <c r="U22" s="43"/>
    </row>
    <row r="23" spans="1:21" s="11" customFormat="1" ht="15">
      <c r="A23" s="53" t="s">
        <v>604</v>
      </c>
      <c r="B23" s="54">
        <v>41.24</v>
      </c>
      <c r="C23" s="54">
        <v>52.75</v>
      </c>
      <c r="D23" s="54">
        <v>61.83</v>
      </c>
      <c r="E23" s="54">
        <v>0.24</v>
      </c>
      <c r="F23" s="54">
        <v>3.15</v>
      </c>
      <c r="G23" s="54">
        <v>61.68</v>
      </c>
      <c r="H23" s="54">
        <v>40.68</v>
      </c>
      <c r="I23" s="54">
        <v>1.58</v>
      </c>
      <c r="J23" s="54">
        <v>1.39</v>
      </c>
      <c r="K23" s="54">
        <v>347.21</v>
      </c>
      <c r="L23" s="54">
        <v>15.66</v>
      </c>
      <c r="M23" s="54">
        <v>99.94</v>
      </c>
      <c r="N23" s="54">
        <v>163.10</v>
      </c>
      <c r="O23" s="54">
        <v>0</v>
      </c>
      <c r="P23" s="54">
        <v>1.1000000000000001</v>
      </c>
      <c r="Q23" s="54">
        <v>10.15</v>
      </c>
      <c r="R23" s="43"/>
      <c r="S23" s="43"/>
      <c r="T23" s="43"/>
      <c r="U23" s="43"/>
    </row>
    <row r="24" spans="1:21" s="11" customFormat="1" ht="15">
      <c r="A24" s="53" t="s">
        <v>605</v>
      </c>
      <c r="B24" s="54">
        <v>44.42</v>
      </c>
      <c r="C24" s="54">
        <v>52.47</v>
      </c>
      <c r="D24" s="54">
        <v>64.39</v>
      </c>
      <c r="E24" s="54">
        <v>0.26</v>
      </c>
      <c r="F24" s="54">
        <v>3.31</v>
      </c>
      <c r="G24" s="54">
        <v>61.04</v>
      </c>
      <c r="H24" s="54">
        <v>27.90</v>
      </c>
      <c r="I24" s="54">
        <v>1.56</v>
      </c>
      <c r="J24" s="54">
        <v>1.32</v>
      </c>
      <c r="K24" s="54">
        <v>348.41</v>
      </c>
      <c r="L24" s="54">
        <v>15.63</v>
      </c>
      <c r="M24" s="54">
        <v>100.01</v>
      </c>
      <c r="N24" s="54">
        <v>103.70</v>
      </c>
      <c r="O24" s="54">
        <v>0</v>
      </c>
      <c r="P24" s="54">
        <v>1.1100000000000001</v>
      </c>
      <c r="Q24" s="54">
        <v>10.18</v>
      </c>
      <c r="R24" s="43"/>
      <c r="S24" s="43"/>
      <c r="T24" s="43"/>
      <c r="U24" s="43"/>
    </row>
    <row r="25" spans="1:21" s="11" customFormat="1" ht="15">
      <c r="A25" s="53" t="s">
        <v>606</v>
      </c>
      <c r="B25" s="54">
        <v>45.07</v>
      </c>
      <c r="C25" s="54">
        <v>52.13</v>
      </c>
      <c r="D25" s="54">
        <v>65.55</v>
      </c>
      <c r="E25" s="54">
        <v>0.23</v>
      </c>
      <c r="F25" s="54">
        <v>3.35</v>
      </c>
      <c r="G25" s="54">
        <v>61.04</v>
      </c>
      <c r="H25" s="54">
        <v>9.48</v>
      </c>
      <c r="I25" s="54">
        <v>1.57</v>
      </c>
      <c r="J25" s="54">
        <v>0.99</v>
      </c>
      <c r="K25" s="54">
        <v>347.75</v>
      </c>
      <c r="L25" s="54">
        <v>15.56</v>
      </c>
      <c r="M25" s="54">
        <v>99.94</v>
      </c>
      <c r="N25" s="54">
        <v>95.5</v>
      </c>
      <c r="O25" s="54">
        <v>0</v>
      </c>
      <c r="P25" s="54">
        <v>1.1100000000000001</v>
      </c>
      <c r="Q25" s="54">
        <v>10.18</v>
      </c>
      <c r="R25" s="43"/>
      <c r="S25" s="43"/>
      <c r="T25" s="43"/>
      <c r="U25" s="43"/>
    </row>
    <row r="26" spans="1:21" s="11" customFormat="1" ht="15">
      <c r="A26" s="53" t="s">
        <v>607</v>
      </c>
      <c r="B26" s="54">
        <v>53.93</v>
      </c>
      <c r="C26" s="54">
        <v>52.20</v>
      </c>
      <c r="D26" s="54">
        <v>71.88</v>
      </c>
      <c r="E26" s="54">
        <v>0.28000000000000003</v>
      </c>
      <c r="F26" s="54">
        <v>2.98</v>
      </c>
      <c r="G26" s="54">
        <v>60.56</v>
      </c>
      <c r="H26" s="54">
        <v>20.98</v>
      </c>
      <c r="I26" s="54">
        <v>1.55</v>
      </c>
      <c r="J26" s="54">
        <v>0.69</v>
      </c>
      <c r="K26" s="54">
        <v>356.03</v>
      </c>
      <c r="L26" s="54">
        <v>15.24</v>
      </c>
      <c r="M26" s="54">
        <v>99.94</v>
      </c>
      <c r="N26" s="54">
        <v>39.40</v>
      </c>
      <c r="O26" s="54">
        <v>0</v>
      </c>
      <c r="P26" s="54">
        <v>1.1599999999999999</v>
      </c>
      <c r="Q26" s="54">
        <v>10.62</v>
      </c>
      <c r="R26" s="43"/>
      <c r="S26" s="43"/>
      <c r="T26" s="43"/>
      <c r="U26" s="43"/>
    </row>
    <row r="27" spans="1:21" s="11" customFormat="1" ht="15">
      <c r="A27" s="53" t="s">
        <v>608</v>
      </c>
      <c r="B27" s="54">
        <v>58.05</v>
      </c>
      <c r="C27" s="54">
        <v>52.45</v>
      </c>
      <c r="D27" s="54">
        <v>75.739999999999995</v>
      </c>
      <c r="E27" s="54">
        <v>0.27</v>
      </c>
      <c r="F27" s="54">
        <v>3.19</v>
      </c>
      <c r="G27" s="54">
        <v>61.69</v>
      </c>
      <c r="H27" s="54">
        <v>27.60</v>
      </c>
      <c r="I27" s="54">
        <v>1.54</v>
      </c>
      <c r="J27" s="54">
        <v>0.45</v>
      </c>
      <c r="K27" s="54">
        <v>343.97</v>
      </c>
      <c r="L27" s="54">
        <v>14.82</v>
      </c>
      <c r="M27" s="54">
        <v>100</v>
      </c>
      <c r="N27" s="54">
        <v>24.90</v>
      </c>
      <c r="O27" s="54">
        <v>0</v>
      </c>
      <c r="P27" s="54">
        <v>1.17</v>
      </c>
      <c r="Q27" s="54">
        <v>11.15</v>
      </c>
      <c r="R27" s="43"/>
      <c r="S27" s="43"/>
      <c r="T27" s="43"/>
      <c r="U27" s="43"/>
    </row>
    <row r="28" spans="1:21" s="11" customFormat="1" ht="15">
      <c r="A28" s="53" t="s">
        <v>609</v>
      </c>
      <c r="B28" s="54">
        <v>60.85</v>
      </c>
      <c r="C28" s="54">
        <v>52.17</v>
      </c>
      <c r="D28" s="54">
        <v>77.81</v>
      </c>
      <c r="E28" s="54">
        <v>0.27</v>
      </c>
      <c r="F28" s="54">
        <v>3.23</v>
      </c>
      <c r="G28" s="54">
        <v>67.180000000000007</v>
      </c>
      <c r="H28" s="54">
        <v>39.33</v>
      </c>
      <c r="I28" s="54">
        <v>1.59</v>
      </c>
      <c r="J28" s="54">
        <v>0.73</v>
      </c>
      <c r="K28" s="54">
        <v>355.28</v>
      </c>
      <c r="L28" s="54">
        <v>14.66</v>
      </c>
      <c r="M28" s="54">
        <v>100.03</v>
      </c>
      <c r="N28" s="54">
        <v>24.90</v>
      </c>
      <c r="O28" s="54">
        <v>0</v>
      </c>
      <c r="P28" s="54">
        <v>1.1399999999999999</v>
      </c>
      <c r="Q28" s="54">
        <v>11.55</v>
      </c>
      <c r="R28" s="43"/>
      <c r="S28" s="43"/>
      <c r="T28" s="43"/>
      <c r="U28" s="43"/>
    </row>
    <row r="29" spans="1:21" s="11" customFormat="1" ht="15">
      <c r="A29" s="53" t="s">
        <v>610</v>
      </c>
      <c r="B29" s="54">
        <v>57.28</v>
      </c>
      <c r="C29" s="54">
        <v>52.53</v>
      </c>
      <c r="D29" s="54">
        <v>75.58</v>
      </c>
      <c r="E29" s="54">
        <v>0.22</v>
      </c>
      <c r="F29" s="54">
        <v>3.22</v>
      </c>
      <c r="G29" s="54">
        <v>68.72</v>
      </c>
      <c r="H29" s="54">
        <v>48.09</v>
      </c>
      <c r="I29" s="54">
        <v>1.58</v>
      </c>
      <c r="J29" s="54">
        <v>0.53</v>
      </c>
      <c r="K29" s="54">
        <v>347.57</v>
      </c>
      <c r="L29" s="54">
        <v>14.34</v>
      </c>
      <c r="M29" s="54">
        <v>99.88</v>
      </c>
      <c r="N29" s="54">
        <v>24.90</v>
      </c>
      <c r="O29" s="54">
        <v>0</v>
      </c>
      <c r="P29" s="54">
        <v>1.1299999999999999</v>
      </c>
      <c r="Q29" s="54">
        <v>11.47</v>
      </c>
      <c r="R29" s="43"/>
      <c r="S29" s="43"/>
      <c r="T29" s="43"/>
      <c r="U29" s="43"/>
    </row>
    <row r="30" spans="1:21" s="11" customFormat="1" ht="15">
      <c r="A30" s="53" t="s">
        <v>611</v>
      </c>
      <c r="B30" s="54">
        <v>56.58</v>
      </c>
      <c r="C30" s="54">
        <v>51.16</v>
      </c>
      <c r="D30" s="54">
        <v>74.25</v>
      </c>
      <c r="E30" s="54">
        <v>0.27</v>
      </c>
      <c r="F30" s="54">
        <v>3.13</v>
      </c>
      <c r="G30" s="54">
        <v>75.599999999999994</v>
      </c>
      <c r="H30" s="54">
        <v>48.09</v>
      </c>
      <c r="I30" s="54">
        <v>1.56</v>
      </c>
      <c r="J30" s="54">
        <v>0.28999999999999998</v>
      </c>
      <c r="K30" s="54">
        <v>335.65</v>
      </c>
      <c r="L30" s="54">
        <v>13.83</v>
      </c>
      <c r="M30" s="54">
        <v>99.79</v>
      </c>
      <c r="N30" s="54">
        <v>24.80</v>
      </c>
      <c r="O30" s="54">
        <v>0</v>
      </c>
      <c r="P30" s="54">
        <v>1.1499999999999999</v>
      </c>
      <c r="Q30" s="54">
        <v>11.30</v>
      </c>
      <c r="R30" s="43"/>
      <c r="S30" s="43"/>
      <c r="T30" s="43"/>
      <c r="U30" s="43"/>
    </row>
    <row r="31" spans="1:21" s="11" customFormat="1" ht="15">
      <c r="A31" s="53" t="s">
        <v>612</v>
      </c>
      <c r="B31" s="54">
        <v>53.47</v>
      </c>
      <c r="C31" s="54">
        <v>48.63</v>
      </c>
      <c r="D31" s="54">
        <v>70.37</v>
      </c>
      <c r="E31" s="54">
        <v>0.22</v>
      </c>
      <c r="F31" s="54">
        <v>3.11</v>
      </c>
      <c r="G31" s="54">
        <v>75.599999999999994</v>
      </c>
      <c r="H31" s="54">
        <v>39.71</v>
      </c>
      <c r="I31" s="54">
        <v>1.51</v>
      </c>
      <c r="J31" s="54">
        <v>1.1100000000000001</v>
      </c>
      <c r="K31" s="54">
        <v>351.77</v>
      </c>
      <c r="L31" s="54">
        <v>13.87</v>
      </c>
      <c r="M31" s="54">
        <v>99.55</v>
      </c>
      <c r="N31" s="54">
        <v>25.10</v>
      </c>
      <c r="O31" s="54">
        <v>0</v>
      </c>
      <c r="P31" s="54">
        <v>1.1200000000000001</v>
      </c>
      <c r="Q31" s="54">
        <v>10.86</v>
      </c>
      <c r="R31" s="43"/>
      <c r="S31" s="43"/>
      <c r="T31" s="43"/>
      <c r="U31" s="43"/>
    </row>
    <row r="32" spans="1:21" s="11" customFormat="1" ht="15">
      <c r="A32" s="53" t="s">
        <v>613</v>
      </c>
      <c r="B32" s="54">
        <v>48.43</v>
      </c>
      <c r="C32" s="54">
        <v>45.53</v>
      </c>
      <c r="D32" s="54">
        <v>64.61</v>
      </c>
      <c r="E32" s="54">
        <v>0.22</v>
      </c>
      <c r="F32" s="54">
        <v>3.27</v>
      </c>
      <c r="G32" s="54">
        <v>68.31</v>
      </c>
      <c r="H32" s="54">
        <v>35.950000000000003</v>
      </c>
      <c r="I32" s="54">
        <v>1.51</v>
      </c>
      <c r="J32" s="54">
        <v>0.64</v>
      </c>
      <c r="K32" s="54">
        <v>346.67</v>
      </c>
      <c r="L32" s="54">
        <v>13.67</v>
      </c>
      <c r="M32" s="54">
        <v>99.54</v>
      </c>
      <c r="N32" s="54">
        <v>25.10</v>
      </c>
      <c r="O32" s="54">
        <v>0</v>
      </c>
      <c r="P32" s="54">
        <v>1.07</v>
      </c>
      <c r="Q32" s="54">
        <v>10.37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10</v>
      </c>
      <c r="C34" s="28">
        <f t="shared" si="0"/>
        <v>45.530000000000001</v>
      </c>
      <c r="D34" s="28">
        <f t="shared" si="0"/>
        <v>36.149999999999999</v>
      </c>
      <c r="E34" s="28">
        <f t="shared" si="0"/>
        <v>0.11</v>
      </c>
      <c r="F34" s="28">
        <f t="shared" si="0"/>
        <v>2.98</v>
      </c>
      <c r="G34" s="28">
        <f t="shared" si="0"/>
        <v>50.229999999999997</v>
      </c>
      <c r="H34" s="28">
        <f t="shared" si="0"/>
        <v>9.4800000000000004</v>
      </c>
      <c r="I34" s="28">
        <f t="shared" si="0"/>
        <v>1.51</v>
      </c>
      <c r="J34" s="28">
        <f t="shared" si="0"/>
        <v>0.28999999999999998</v>
      </c>
      <c r="K34" s="28">
        <f t="shared" si="0"/>
        <v>101.84999999999999</v>
      </c>
      <c r="L34" s="28">
        <f t="shared" si="0"/>
        <v>13.67</v>
      </c>
      <c r="M34" s="28">
        <f t="shared" si="0"/>
        <v>87.060000000000002</v>
      </c>
      <c r="N34" s="28">
        <f t="shared" si="0"/>
        <v>22.699999999999999</v>
      </c>
      <c r="O34" s="28">
        <f t="shared" si="0"/>
        <v>0</v>
      </c>
      <c r="P34" s="28">
        <f t="shared" si="0"/>
        <v>0.67000000000000004</v>
      </c>
      <c r="Q34" s="28">
        <f t="shared" si="0"/>
        <v>8.0199999999999996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60.850000000000001</v>
      </c>
      <c r="C35" s="29">
        <f t="shared" si="1"/>
        <v>60.460000000000001</v>
      </c>
      <c r="D35" s="29">
        <f t="shared" si="1"/>
        <v>77.810000000000002</v>
      </c>
      <c r="E35" s="29">
        <f t="shared" si="1"/>
        <v>0.44</v>
      </c>
      <c r="F35" s="29">
        <f t="shared" si="1"/>
        <v>3.48</v>
      </c>
      <c r="G35" s="29">
        <f t="shared" si="1"/>
        <v>99.700000000000003</v>
      </c>
      <c r="H35" s="29">
        <f t="shared" si="1"/>
        <v>63.159999999999997</v>
      </c>
      <c r="I35" s="29">
        <f t="shared" si="1"/>
        <v>1.6100000000000001</v>
      </c>
      <c r="J35" s="29">
        <f t="shared" si="1"/>
        <v>1.4299999999999999</v>
      </c>
      <c r="K35" s="29">
        <f t="shared" si="1"/>
        <v>356.02999999999997</v>
      </c>
      <c r="L35" s="29">
        <f t="shared" si="1"/>
        <v>18.75</v>
      </c>
      <c r="M35" s="29">
        <f t="shared" si="1"/>
        <v>100.09999999999999</v>
      </c>
      <c r="N35" s="29">
        <f t="shared" si="1"/>
        <v>256</v>
      </c>
      <c r="O35" s="29">
        <f t="shared" si="1"/>
        <v>0</v>
      </c>
      <c r="P35" s="29">
        <f t="shared" si="1"/>
        <v>1.1699999999999999</v>
      </c>
      <c r="Q35" s="29">
        <f t="shared" si="1"/>
        <v>11.550000000000001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33.460000000000001</v>
      </c>
      <c r="C36" s="28">
        <f t="shared" si="2"/>
        <v>51.13416666666668</v>
      </c>
      <c r="D36" s="28">
        <f t="shared" si="2"/>
        <v>55.383333333333333</v>
      </c>
      <c r="E36" s="28">
        <f t="shared" si="2"/>
        <v>0.22124999999999995</v>
      </c>
      <c r="F36" s="28">
        <f t="shared" si="2"/>
        <v>3.242083333333333</v>
      </c>
      <c r="G36" s="28">
        <f t="shared" si="2"/>
        <v>71.150416666666658</v>
      </c>
      <c r="H36" s="28">
        <f t="shared" si="2"/>
        <v>38.056666666666665</v>
      </c>
      <c r="I36" s="28">
        <f t="shared" si="2"/>
        <v>1.5520833333333333</v>
      </c>
      <c r="J36" s="28">
        <f t="shared" si="2"/>
        <v>0.8566666666666668</v>
      </c>
      <c r="K36" s="28">
        <f t="shared" si="2"/>
        <v>289.53041666666667</v>
      </c>
      <c r="L36" s="28">
        <f t="shared" si="2"/>
        <v>16.255833333333335</v>
      </c>
      <c r="M36" s="28">
        <f t="shared" si="2"/>
        <v>97.972500000000011</v>
      </c>
      <c r="N36" s="28">
        <f t="shared" si="2"/>
        <v>83.908333333333331</v>
      </c>
      <c r="O36" s="28">
        <f t="shared" si="2"/>
        <v>0</v>
      </c>
      <c r="P36" s="28">
        <f t="shared" si="2"/>
        <v>0.96708333333333341</v>
      </c>
      <c r="Q36" s="28">
        <f t="shared" si="2"/>
        <v>9.5929166666666692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17.322421760601884</v>
      </c>
      <c r="C37" s="28">
        <f t="shared" si="3" ref="C37:Q37">STDEV(C9:C32)</f>
        <v>3.2050299010565668</v>
      </c>
      <c r="D37" s="28">
        <f t="shared" si="3"/>
        <v>14.130015128662517</v>
      </c>
      <c r="E37" s="28">
        <f t="shared" si="3"/>
        <v>0.068035316915746796</v>
      </c>
      <c r="F37" s="28">
        <f t="shared" si="3"/>
        <v>0.1174726301764786</v>
      </c>
      <c r="G37" s="28">
        <f t="shared" si="3"/>
        <v>14.895250331147023</v>
      </c>
      <c r="H37" s="28">
        <f t="shared" si="3"/>
        <v>11.53525132749199</v>
      </c>
      <c r="I37" s="28">
        <f t="shared" si="3"/>
        <v>0.02570385974512588</v>
      </c>
      <c r="J37" s="28">
        <f t="shared" si="3"/>
        <v>0.3545072105315214</v>
      </c>
      <c r="K37" s="28">
        <f t="shared" si="3"/>
        <v>102.76286135434277</v>
      </c>
      <c r="L37" s="28">
        <f t="shared" si="3"/>
        <v>1.5631793595569665</v>
      </c>
      <c r="M37" s="28">
        <f t="shared" si="3"/>
        <v>3.7646447375549243</v>
      </c>
      <c r="N37" s="28">
        <f t="shared" si="3"/>
        <v>80.256008398486713</v>
      </c>
      <c r="O37" s="28">
        <f t="shared" si="3"/>
        <v>0</v>
      </c>
      <c r="P37" s="28">
        <f t="shared" si="3"/>
        <v>0.16731847182691109</v>
      </c>
      <c r="Q37" s="28">
        <f t="shared" si="3"/>
        <v>1.1474905670414894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dd5ebe-a709-4ba3-8729-91e98d980455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8" sqref="G5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614</v>
      </c>
      <c r="B9" s="54">
        <v>40.89</v>
      </c>
      <c r="C9" s="54">
        <v>44.24</v>
      </c>
      <c r="D9" s="54">
        <v>57.5</v>
      </c>
      <c r="E9" s="54">
        <v>0.16</v>
      </c>
      <c r="F9" s="54">
        <v>3.22</v>
      </c>
      <c r="G9" s="54">
        <v>68.31</v>
      </c>
      <c r="H9" s="54">
        <v>34.659999999999997</v>
      </c>
      <c r="I9" s="54">
        <v>1.51</v>
      </c>
      <c r="J9" s="54">
        <v>0.80</v>
      </c>
      <c r="K9" s="54">
        <v>344.92</v>
      </c>
      <c r="L9" s="54">
        <v>13.85</v>
      </c>
      <c r="M9" s="54">
        <v>99.58</v>
      </c>
      <c r="N9" s="54">
        <v>25.30</v>
      </c>
      <c r="O9" s="54">
        <v>0</v>
      </c>
      <c r="P9" s="54">
        <v>0.98</v>
      </c>
      <c r="Q9" s="54">
        <v>9.66</v>
      </c>
      <c r="R9" s="43"/>
      <c r="S9" s="43"/>
      <c r="T9" s="43"/>
      <c r="U9" s="43"/>
    </row>
    <row r="10" spans="1:21" s="11" customFormat="1" ht="15">
      <c r="A10" s="53" t="s">
        <v>615</v>
      </c>
      <c r="B10" s="54">
        <v>35.58</v>
      </c>
      <c r="C10" s="54">
        <v>41.30</v>
      </c>
      <c r="D10" s="54">
        <v>51.16</v>
      </c>
      <c r="E10" s="54">
        <v>0.19</v>
      </c>
      <c r="F10" s="54">
        <v>3.5</v>
      </c>
      <c r="G10" s="54">
        <v>57.66</v>
      </c>
      <c r="H10" s="54">
        <v>33.64</v>
      </c>
      <c r="I10" s="54">
        <v>1.53</v>
      </c>
      <c r="J10" s="54">
        <v>1.31</v>
      </c>
      <c r="K10" s="54">
        <v>349.5</v>
      </c>
      <c r="L10" s="54">
        <v>13.90</v>
      </c>
      <c r="M10" s="54">
        <v>99.62</v>
      </c>
      <c r="N10" s="54">
        <v>25.30</v>
      </c>
      <c r="O10" s="54">
        <v>0</v>
      </c>
      <c r="P10" s="54">
        <v>0.92</v>
      </c>
      <c r="Q10" s="54">
        <v>9.09</v>
      </c>
      <c r="R10" s="43"/>
      <c r="S10" s="43"/>
      <c r="T10" s="43"/>
      <c r="U10" s="43"/>
    </row>
    <row r="11" spans="1:21" s="11" customFormat="1" ht="15">
      <c r="A11" s="53" t="s">
        <v>616</v>
      </c>
      <c r="B11" s="54">
        <v>37.22</v>
      </c>
      <c r="C11" s="54">
        <v>39.19</v>
      </c>
      <c r="D11" s="54">
        <v>51.97</v>
      </c>
      <c r="E11" s="54">
        <v>0.16</v>
      </c>
      <c r="F11" s="54">
        <v>3.27</v>
      </c>
      <c r="G11" s="54">
        <v>78.33</v>
      </c>
      <c r="H11" s="54">
        <v>37.31</v>
      </c>
      <c r="I11" s="54">
        <v>1.57</v>
      </c>
      <c r="J11" s="54">
        <v>1.1499999999999999</v>
      </c>
      <c r="K11" s="54">
        <v>350.47</v>
      </c>
      <c r="L11" s="54">
        <v>13.75</v>
      </c>
      <c r="M11" s="54">
        <v>99.64</v>
      </c>
      <c r="N11" s="54">
        <v>26</v>
      </c>
      <c r="O11" s="54">
        <v>0.40</v>
      </c>
      <c r="P11" s="54">
        <v>1</v>
      </c>
      <c r="Q11" s="54">
        <v>9.26</v>
      </c>
      <c r="R11" s="43"/>
      <c r="S11" s="43"/>
      <c r="T11" s="43"/>
      <c r="U11" s="43"/>
    </row>
    <row r="12" spans="1:21" s="11" customFormat="1" ht="15">
      <c r="A12" s="53" t="s">
        <v>617</v>
      </c>
      <c r="B12" s="54">
        <v>51.55</v>
      </c>
      <c r="C12" s="54">
        <v>39.24</v>
      </c>
      <c r="D12" s="54">
        <v>57.78</v>
      </c>
      <c r="E12" s="54">
        <v>0.21</v>
      </c>
      <c r="F12" s="54">
        <v>3.20</v>
      </c>
      <c r="G12" s="54">
        <v>87.86</v>
      </c>
      <c r="H12" s="54">
        <v>42.51</v>
      </c>
      <c r="I12" s="54">
        <v>1.58</v>
      </c>
      <c r="J12" s="54">
        <v>1.35</v>
      </c>
      <c r="K12" s="54">
        <v>348.83</v>
      </c>
      <c r="L12" s="54">
        <v>13.59</v>
      </c>
      <c r="M12" s="54">
        <v>99.77</v>
      </c>
      <c r="N12" s="54">
        <v>26.70</v>
      </c>
      <c r="O12" s="54">
        <v>0.20</v>
      </c>
      <c r="P12" s="54">
        <v>1.04</v>
      </c>
      <c r="Q12" s="54">
        <v>9.65</v>
      </c>
      <c r="R12" s="43"/>
      <c r="S12" s="43"/>
      <c r="T12" s="43"/>
      <c r="U12" s="43"/>
    </row>
    <row r="13" spans="1:21" s="11" customFormat="1" ht="15">
      <c r="A13" s="53" t="s">
        <v>618</v>
      </c>
      <c r="B13" s="54">
        <v>68.77</v>
      </c>
      <c r="C13" s="54">
        <v>24.84</v>
      </c>
      <c r="D13" s="54">
        <v>64.47</v>
      </c>
      <c r="E13" s="54">
        <v>0.31</v>
      </c>
      <c r="F13" s="54">
        <v>3.15</v>
      </c>
      <c r="G13" s="54">
        <v>87.86</v>
      </c>
      <c r="H13" s="54">
        <v>42.51</v>
      </c>
      <c r="I13" s="54">
        <v>1.53</v>
      </c>
      <c r="J13" s="54">
        <v>1.1599999999999999</v>
      </c>
      <c r="K13" s="54">
        <v>359.71</v>
      </c>
      <c r="L13" s="54">
        <v>13</v>
      </c>
      <c r="M13" s="54">
        <v>99.78</v>
      </c>
      <c r="N13" s="54">
        <v>27.20</v>
      </c>
      <c r="O13" s="54">
        <v>0</v>
      </c>
      <c r="P13" s="54">
        <v>1</v>
      </c>
      <c r="Q13" s="54">
        <v>10.23</v>
      </c>
      <c r="R13" s="43"/>
      <c r="S13" s="43"/>
      <c r="T13" s="43"/>
      <c r="U13" s="43"/>
    </row>
    <row r="14" spans="1:21" s="11" customFormat="1" ht="15">
      <c r="A14" s="53" t="s">
        <v>619</v>
      </c>
      <c r="B14" s="54">
        <v>68.25</v>
      </c>
      <c r="C14" s="54">
        <v>27.68</v>
      </c>
      <c r="D14" s="54">
        <v>64.56</v>
      </c>
      <c r="E14" s="54">
        <v>0.28999999999999998</v>
      </c>
      <c r="F14" s="54">
        <v>3.02</v>
      </c>
      <c r="G14" s="54">
        <v>88.36</v>
      </c>
      <c r="H14" s="54">
        <v>40.96</v>
      </c>
      <c r="I14" s="54">
        <v>1.58</v>
      </c>
      <c r="J14" s="54">
        <v>0.69</v>
      </c>
      <c r="K14" s="54">
        <v>353.84</v>
      </c>
      <c r="L14" s="54">
        <v>12.77</v>
      </c>
      <c r="M14" s="54">
        <v>99.73</v>
      </c>
      <c r="N14" s="54">
        <v>27.70</v>
      </c>
      <c r="O14" s="54">
        <v>0</v>
      </c>
      <c r="P14" s="54">
        <v>0.99</v>
      </c>
      <c r="Q14" s="54">
        <v>10.24</v>
      </c>
      <c r="R14" s="43"/>
      <c r="S14" s="43"/>
      <c r="T14" s="43"/>
      <c r="U14" s="43"/>
    </row>
    <row r="15" spans="1:21" s="11" customFormat="1" ht="15">
      <c r="A15" s="53" t="s">
        <v>620</v>
      </c>
      <c r="B15" s="54">
        <v>54.77</v>
      </c>
      <c r="C15" s="54">
        <v>34.17</v>
      </c>
      <c r="D15" s="54">
        <v>61.83</v>
      </c>
      <c r="E15" s="54">
        <v>0.28999999999999998</v>
      </c>
      <c r="F15" s="54">
        <v>3.20</v>
      </c>
      <c r="G15" s="54">
        <v>88.36</v>
      </c>
      <c r="H15" s="54">
        <v>40.96</v>
      </c>
      <c r="I15" s="54">
        <v>1.52</v>
      </c>
      <c r="J15" s="54">
        <v>0.81</v>
      </c>
      <c r="K15" s="54">
        <v>346.41</v>
      </c>
      <c r="L15" s="54">
        <v>12.53</v>
      </c>
      <c r="M15" s="54">
        <v>99.73</v>
      </c>
      <c r="N15" s="54">
        <v>41.70</v>
      </c>
      <c r="O15" s="54">
        <v>0</v>
      </c>
      <c r="P15" s="54">
        <v>0.92</v>
      </c>
      <c r="Q15" s="54">
        <v>9.92</v>
      </c>
      <c r="R15" s="43"/>
      <c r="S15" s="43"/>
      <c r="T15" s="43"/>
      <c r="U15" s="43"/>
    </row>
    <row r="16" spans="1:21" s="11" customFormat="1" ht="15">
      <c r="A16" s="53" t="s">
        <v>621</v>
      </c>
      <c r="B16" s="54">
        <v>56.82</v>
      </c>
      <c r="C16" s="54">
        <v>38.82</v>
      </c>
      <c r="D16" s="54">
        <v>67.64</v>
      </c>
      <c r="E16" s="54">
        <v>0.30</v>
      </c>
      <c r="F16" s="54">
        <v>3.12</v>
      </c>
      <c r="G16" s="54">
        <v>73.53</v>
      </c>
      <c r="H16" s="54">
        <v>38.04</v>
      </c>
      <c r="I16" s="54">
        <v>1.54</v>
      </c>
      <c r="J16" s="54">
        <v>0.95</v>
      </c>
      <c r="K16" s="54">
        <v>344.65</v>
      </c>
      <c r="L16" s="54">
        <v>13.30</v>
      </c>
      <c r="M16" s="54">
        <v>99.57</v>
      </c>
      <c r="N16" s="54">
        <v>127.40</v>
      </c>
      <c r="O16" s="54">
        <v>0</v>
      </c>
      <c r="P16" s="54">
        <v>0.93</v>
      </c>
      <c r="Q16" s="54">
        <v>10.199999999999999</v>
      </c>
      <c r="R16" s="43"/>
      <c r="S16" s="43"/>
      <c r="T16" s="43"/>
      <c r="U16" s="43"/>
    </row>
    <row r="17" spans="1:21" s="11" customFormat="1" ht="15">
      <c r="A17" s="53" t="s">
        <v>622</v>
      </c>
      <c r="B17" s="54">
        <v>58.07</v>
      </c>
      <c r="C17" s="54">
        <v>40.07</v>
      </c>
      <c r="D17" s="54">
        <v>68.48</v>
      </c>
      <c r="E17" s="54">
        <v>0.31</v>
      </c>
      <c r="F17" s="54">
        <v>3.30</v>
      </c>
      <c r="G17" s="54">
        <v>66.790000000000006</v>
      </c>
      <c r="H17" s="54">
        <v>38.04</v>
      </c>
      <c r="I17" s="54">
        <v>1.48</v>
      </c>
      <c r="J17" s="54">
        <v>1.1200000000000001</v>
      </c>
      <c r="K17" s="54">
        <v>345.75</v>
      </c>
      <c r="L17" s="54">
        <v>15.26</v>
      </c>
      <c r="M17" s="54">
        <v>96.93</v>
      </c>
      <c r="N17" s="54">
        <v>226.5</v>
      </c>
      <c r="O17" s="54">
        <v>0</v>
      </c>
      <c r="P17" s="54">
        <v>0.96</v>
      </c>
      <c r="Q17" s="54">
        <v>10.36</v>
      </c>
      <c r="R17" s="43"/>
      <c r="S17" s="43"/>
      <c r="T17" s="43"/>
      <c r="U17" s="43"/>
    </row>
    <row r="18" spans="1:21" s="11" customFormat="1" ht="15">
      <c r="A18" s="53" t="s">
        <v>623</v>
      </c>
      <c r="B18" s="54">
        <v>58.27</v>
      </c>
      <c r="C18" s="54">
        <v>41.25</v>
      </c>
      <c r="D18" s="54">
        <v>70.14</v>
      </c>
      <c r="E18" s="54">
        <v>0.35</v>
      </c>
      <c r="F18" s="54">
        <v>3.36</v>
      </c>
      <c r="G18" s="54">
        <v>79.239999999999995</v>
      </c>
      <c r="H18" s="54">
        <v>37.950000000000003</v>
      </c>
      <c r="I18" s="54">
        <v>1.57</v>
      </c>
      <c r="J18" s="54">
        <v>0.69</v>
      </c>
      <c r="K18" s="54">
        <v>351.94</v>
      </c>
      <c r="L18" s="54">
        <v>16.399999999999999</v>
      </c>
      <c r="M18" s="54">
        <v>84.77</v>
      </c>
      <c r="N18" s="54">
        <v>327.20</v>
      </c>
      <c r="O18" s="54">
        <v>0</v>
      </c>
      <c r="P18" s="54">
        <v>1</v>
      </c>
      <c r="Q18" s="54">
        <v>10.46</v>
      </c>
      <c r="R18" s="43"/>
      <c r="S18" s="43"/>
      <c r="T18" s="43"/>
      <c r="U18" s="43"/>
    </row>
    <row r="19" spans="1:21" s="11" customFormat="1" ht="15">
      <c r="A19" s="53" t="s">
        <v>624</v>
      </c>
      <c r="B19" s="54">
        <v>58.85</v>
      </c>
      <c r="C19" s="54">
        <v>71.53</v>
      </c>
      <c r="D19" s="54">
        <v>71.41</v>
      </c>
      <c r="E19" s="54">
        <v>1.39</v>
      </c>
      <c r="F19" s="54">
        <v>3.90</v>
      </c>
      <c r="G19" s="54">
        <v>88.48</v>
      </c>
      <c r="H19" s="54">
        <v>41.52</v>
      </c>
      <c r="I19" s="54">
        <v>1.55</v>
      </c>
      <c r="J19" s="54">
        <v>0.64</v>
      </c>
      <c r="K19" s="54">
        <v>86.24</v>
      </c>
      <c r="L19" s="54">
        <v>18.18</v>
      </c>
      <c r="M19" s="54">
        <v>79.180000000000007</v>
      </c>
      <c r="N19" s="54">
        <v>491.20</v>
      </c>
      <c r="O19" s="54">
        <v>0</v>
      </c>
      <c r="P19" s="54">
        <v>1.02</v>
      </c>
      <c r="Q19" s="54">
        <v>10.79</v>
      </c>
      <c r="R19" s="43"/>
      <c r="S19" s="43"/>
      <c r="T19" s="43"/>
      <c r="U19" s="43"/>
    </row>
    <row r="20" spans="1:21" s="11" customFormat="1" ht="15">
      <c r="A20" s="53" t="s">
        <v>625</v>
      </c>
      <c r="B20" s="54">
        <v>33.67</v>
      </c>
      <c r="C20" s="54">
        <v>75.80</v>
      </c>
      <c r="D20" s="54">
        <v>69.48</v>
      </c>
      <c r="E20" s="54">
        <v>0.17</v>
      </c>
      <c r="F20" s="54">
        <v>4.49</v>
      </c>
      <c r="G20" s="55" t="s">
        <v>12</v>
      </c>
      <c r="H20" s="55" t="s">
        <v>12</v>
      </c>
      <c r="I20" s="54">
        <v>1.51</v>
      </c>
      <c r="J20" s="54">
        <v>0.67</v>
      </c>
      <c r="K20" s="54">
        <v>357.51</v>
      </c>
      <c r="L20" s="54">
        <v>20.65</v>
      </c>
      <c r="M20" s="54">
        <v>74.680000000000007</v>
      </c>
      <c r="N20" s="54">
        <v>603.29999999999995</v>
      </c>
      <c r="O20" s="54">
        <v>0</v>
      </c>
      <c r="P20" s="54">
        <v>1</v>
      </c>
      <c r="Q20" s="54">
        <v>10.36</v>
      </c>
      <c r="R20" s="43"/>
      <c r="S20" s="43"/>
      <c r="T20" s="43"/>
      <c r="U20" s="43"/>
    </row>
    <row r="21" spans="1:21" s="11" customFormat="1" ht="15">
      <c r="A21" s="53" t="s">
        <v>626</v>
      </c>
      <c r="B21" s="54">
        <v>30.08</v>
      </c>
      <c r="C21" s="54">
        <v>73.72</v>
      </c>
      <c r="D21" s="54">
        <v>61.96</v>
      </c>
      <c r="E21" s="54">
        <v>0.33</v>
      </c>
      <c r="F21" s="54">
        <v>3.56</v>
      </c>
      <c r="G21" s="54">
        <v>82.95</v>
      </c>
      <c r="H21" s="54">
        <v>30.88</v>
      </c>
      <c r="I21" s="54">
        <v>1.57</v>
      </c>
      <c r="J21" s="54">
        <v>0.97</v>
      </c>
      <c r="K21" s="54">
        <v>343.34</v>
      </c>
      <c r="L21" s="54">
        <v>19.989999999999998</v>
      </c>
      <c r="M21" s="54">
        <v>74.69</v>
      </c>
      <c r="N21" s="54">
        <v>439.80</v>
      </c>
      <c r="O21" s="54">
        <v>0</v>
      </c>
      <c r="P21" s="54">
        <v>0.98</v>
      </c>
      <c r="Q21" s="54">
        <v>9.8800000000000008</v>
      </c>
      <c r="R21" s="43"/>
      <c r="S21" s="43"/>
      <c r="T21" s="43"/>
      <c r="U21" s="43"/>
    </row>
    <row r="22" spans="1:21" s="11" customFormat="1" ht="15">
      <c r="A22" s="53" t="s">
        <v>627</v>
      </c>
      <c r="B22" s="54">
        <v>21.63</v>
      </c>
      <c r="C22" s="54">
        <v>74.849999999999994</v>
      </c>
      <c r="D22" s="54">
        <v>59.13</v>
      </c>
      <c r="E22" s="54">
        <v>0.60</v>
      </c>
      <c r="F22" s="54">
        <v>3.60</v>
      </c>
      <c r="G22" s="54">
        <v>82.95</v>
      </c>
      <c r="H22" s="54">
        <v>31.90</v>
      </c>
      <c r="I22" s="54">
        <v>1.64</v>
      </c>
      <c r="J22" s="54">
        <v>0.91</v>
      </c>
      <c r="K22" s="54">
        <v>109.26</v>
      </c>
      <c r="L22" s="54">
        <v>20.399999999999999</v>
      </c>
      <c r="M22" s="54">
        <v>73.33</v>
      </c>
      <c r="N22" s="54">
        <v>385.80</v>
      </c>
      <c r="O22" s="54">
        <v>0</v>
      </c>
      <c r="P22" s="54">
        <v>0.87</v>
      </c>
      <c r="Q22" s="54">
        <v>9.76</v>
      </c>
      <c r="R22" s="43"/>
      <c r="S22" s="43"/>
      <c r="T22" s="43"/>
      <c r="U22" s="43"/>
    </row>
    <row r="23" spans="1:21" s="11" customFormat="1" ht="15">
      <c r="A23" s="53" t="s">
        <v>628</v>
      </c>
      <c r="B23" s="54">
        <v>18.73</v>
      </c>
      <c r="C23" s="54">
        <v>74.22</v>
      </c>
      <c r="D23" s="54">
        <v>54.65</v>
      </c>
      <c r="E23" s="54">
        <v>0.28999999999999998</v>
      </c>
      <c r="F23" s="54">
        <v>3.52</v>
      </c>
      <c r="G23" s="54">
        <v>84.65</v>
      </c>
      <c r="H23" s="54">
        <v>35.729999999999997</v>
      </c>
      <c r="I23" s="54">
        <v>1.56</v>
      </c>
      <c r="J23" s="54">
        <v>0.73</v>
      </c>
      <c r="K23" s="54">
        <v>117.88</v>
      </c>
      <c r="L23" s="54">
        <v>20.43</v>
      </c>
      <c r="M23" s="54">
        <v>68.900000000000006</v>
      </c>
      <c r="N23" s="54">
        <v>369.80</v>
      </c>
      <c r="O23" s="54">
        <v>0</v>
      </c>
      <c r="P23" s="54">
        <v>0.86</v>
      </c>
      <c r="Q23" s="54">
        <v>9.36</v>
      </c>
      <c r="R23" s="43"/>
      <c r="S23" s="43"/>
      <c r="T23" s="43"/>
      <c r="U23" s="43"/>
    </row>
    <row r="24" spans="1:21" s="11" customFormat="1" ht="15">
      <c r="A24" s="53" t="s">
        <v>629</v>
      </c>
      <c r="B24" s="54">
        <v>11.05</v>
      </c>
      <c r="C24" s="54">
        <v>68.150000000000006</v>
      </c>
      <c r="D24" s="54">
        <v>45.75</v>
      </c>
      <c r="E24" s="54">
        <v>0.28999999999999998</v>
      </c>
      <c r="F24" s="54">
        <v>3.71</v>
      </c>
      <c r="G24" s="54">
        <v>84.65</v>
      </c>
      <c r="H24" s="54">
        <v>35.729999999999997</v>
      </c>
      <c r="I24" s="54">
        <v>1.57</v>
      </c>
      <c r="J24" s="54">
        <v>0.74</v>
      </c>
      <c r="K24" s="54">
        <v>110</v>
      </c>
      <c r="L24" s="54">
        <v>20.27</v>
      </c>
      <c r="M24" s="54">
        <v>68.53</v>
      </c>
      <c r="N24" s="54">
        <v>225.40</v>
      </c>
      <c r="O24" s="54">
        <v>0</v>
      </c>
      <c r="P24" s="54">
        <v>0.81</v>
      </c>
      <c r="Q24" s="54">
        <v>8.6999999999999993</v>
      </c>
      <c r="R24" s="43"/>
      <c r="S24" s="43"/>
      <c r="T24" s="43"/>
      <c r="U24" s="43"/>
    </row>
    <row r="25" spans="1:21" s="11" customFormat="1" ht="15">
      <c r="A25" s="53" t="s">
        <v>630</v>
      </c>
      <c r="B25" s="54">
        <v>14.12</v>
      </c>
      <c r="C25" s="54">
        <v>68.39</v>
      </c>
      <c r="D25" s="54">
        <v>48.90</v>
      </c>
      <c r="E25" s="54">
        <v>0.36</v>
      </c>
      <c r="F25" s="54">
        <v>3.67</v>
      </c>
      <c r="G25" s="54">
        <v>95.68</v>
      </c>
      <c r="H25" s="54">
        <v>38.54</v>
      </c>
      <c r="I25" s="54">
        <v>1.52</v>
      </c>
      <c r="J25" s="54">
        <v>0.53</v>
      </c>
      <c r="K25" s="54">
        <v>100.80</v>
      </c>
      <c r="L25" s="54">
        <v>19.70</v>
      </c>
      <c r="M25" s="54">
        <v>69.73</v>
      </c>
      <c r="N25" s="54">
        <v>130.19999999999999</v>
      </c>
      <c r="O25" s="54">
        <v>0</v>
      </c>
      <c r="P25" s="54">
        <v>0.84</v>
      </c>
      <c r="Q25" s="54">
        <v>9.1300000000000008</v>
      </c>
      <c r="R25" s="43"/>
      <c r="S25" s="43"/>
      <c r="T25" s="43"/>
      <c r="U25" s="43"/>
    </row>
    <row r="26" spans="1:21" s="11" customFormat="1" ht="15">
      <c r="A26" s="53" t="s">
        <v>631</v>
      </c>
      <c r="B26" s="54">
        <v>11.64</v>
      </c>
      <c r="C26" s="54">
        <v>70.83</v>
      </c>
      <c r="D26" s="54">
        <v>48.16</v>
      </c>
      <c r="E26" s="54">
        <v>0.38</v>
      </c>
      <c r="F26" s="54">
        <v>3.65</v>
      </c>
      <c r="G26" s="54">
        <v>95.68</v>
      </c>
      <c r="H26" s="54">
        <v>38.54</v>
      </c>
      <c r="I26" s="54">
        <v>1.53</v>
      </c>
      <c r="J26" s="54">
        <v>0.14000000000000001</v>
      </c>
      <c r="K26" s="54">
        <v>90.17</v>
      </c>
      <c r="L26" s="54">
        <v>18.82</v>
      </c>
      <c r="M26" s="54">
        <v>78.510000000000005</v>
      </c>
      <c r="N26" s="54">
        <v>63.10</v>
      </c>
      <c r="O26" s="54">
        <v>0</v>
      </c>
      <c r="P26" s="54">
        <v>0.81</v>
      </c>
      <c r="Q26" s="54">
        <v>9.15</v>
      </c>
      <c r="R26" s="43"/>
      <c r="S26" s="43"/>
      <c r="T26" s="43"/>
      <c r="U26" s="43"/>
    </row>
    <row r="27" spans="1:21" s="11" customFormat="1" ht="15">
      <c r="A27" s="53" t="s">
        <v>632</v>
      </c>
      <c r="B27" s="54">
        <v>26.17</v>
      </c>
      <c r="C27" s="54">
        <v>65.44</v>
      </c>
      <c r="D27" s="54">
        <v>53.5</v>
      </c>
      <c r="E27" s="54">
        <v>0.37</v>
      </c>
      <c r="F27" s="54">
        <v>3.56</v>
      </c>
      <c r="G27" s="54">
        <v>104.23</v>
      </c>
      <c r="H27" s="54">
        <v>40.22</v>
      </c>
      <c r="I27" s="54">
        <v>1.63</v>
      </c>
      <c r="J27" s="54">
        <v>0.11</v>
      </c>
      <c r="K27" s="54">
        <v>355.92</v>
      </c>
      <c r="L27" s="54">
        <v>17.829999999999998</v>
      </c>
      <c r="M27" s="54">
        <v>95.92</v>
      </c>
      <c r="N27" s="54">
        <v>52.10</v>
      </c>
      <c r="O27" s="54">
        <v>0</v>
      </c>
      <c r="P27" s="54">
        <v>1.06</v>
      </c>
      <c r="Q27" s="54">
        <v>9.14</v>
      </c>
      <c r="R27" s="43"/>
      <c r="S27" s="43"/>
      <c r="T27" s="43"/>
      <c r="U27" s="43"/>
    </row>
    <row r="28" spans="1:21" s="11" customFormat="1" ht="15">
      <c r="A28" s="53" t="s">
        <v>633</v>
      </c>
      <c r="B28" s="54">
        <v>61.27</v>
      </c>
      <c r="C28" s="54">
        <v>55.86</v>
      </c>
      <c r="D28" s="54">
        <v>79.19</v>
      </c>
      <c r="E28" s="54">
        <v>0.39</v>
      </c>
      <c r="F28" s="54">
        <v>3.39</v>
      </c>
      <c r="G28" s="54">
        <v>128.25</v>
      </c>
      <c r="H28" s="54">
        <v>47.06</v>
      </c>
      <c r="I28" s="54">
        <v>1.55</v>
      </c>
      <c r="J28" s="54">
        <v>0.09</v>
      </c>
      <c r="K28" s="54">
        <v>298.83999999999997</v>
      </c>
      <c r="L28" s="54">
        <v>16.20</v>
      </c>
      <c r="M28" s="54">
        <v>99.56</v>
      </c>
      <c r="N28" s="54">
        <v>53</v>
      </c>
      <c r="O28" s="54">
        <v>0</v>
      </c>
      <c r="P28" s="54">
        <v>1.65</v>
      </c>
      <c r="Q28" s="54">
        <v>11.12</v>
      </c>
      <c r="R28" s="43"/>
      <c r="S28" s="43"/>
      <c r="T28" s="43"/>
      <c r="U28" s="43"/>
    </row>
    <row r="29" spans="1:21" s="11" customFormat="1" ht="15">
      <c r="A29" s="53" t="s">
        <v>634</v>
      </c>
      <c r="B29" s="54">
        <v>104.94</v>
      </c>
      <c r="C29" s="54">
        <v>55.63</v>
      </c>
      <c r="D29" s="54">
        <v>115.5</v>
      </c>
      <c r="E29" s="54">
        <v>0.28999999999999998</v>
      </c>
      <c r="F29" s="54">
        <v>3.51</v>
      </c>
      <c r="G29" s="54">
        <v>159.06</v>
      </c>
      <c r="H29" s="54">
        <v>54.69</v>
      </c>
      <c r="I29" s="54">
        <v>1.51</v>
      </c>
      <c r="J29" s="54">
        <v>0.14000000000000001</v>
      </c>
      <c r="K29" s="54">
        <v>328.41</v>
      </c>
      <c r="L29" s="54">
        <v>15.58</v>
      </c>
      <c r="M29" s="54">
        <v>99.60</v>
      </c>
      <c r="N29" s="54">
        <v>52.90</v>
      </c>
      <c r="O29" s="54">
        <v>0</v>
      </c>
      <c r="P29" s="54">
        <v>2.29</v>
      </c>
      <c r="Q29" s="54">
        <v>14.15</v>
      </c>
      <c r="R29" s="43"/>
      <c r="S29" s="43"/>
      <c r="T29" s="43"/>
      <c r="U29" s="43"/>
    </row>
    <row r="30" spans="1:21" s="11" customFormat="1" ht="15">
      <c r="A30" s="53" t="s">
        <v>635</v>
      </c>
      <c r="B30" s="54">
        <v>122.92</v>
      </c>
      <c r="C30" s="54">
        <v>54.80</v>
      </c>
      <c r="D30" s="54">
        <v>128.81</v>
      </c>
      <c r="E30" s="54">
        <v>0.39</v>
      </c>
      <c r="F30" s="54">
        <v>3.33</v>
      </c>
      <c r="G30" s="54">
        <v>159.06</v>
      </c>
      <c r="H30" s="54">
        <v>64.33</v>
      </c>
      <c r="I30" s="54">
        <v>1.54</v>
      </c>
      <c r="J30" s="54">
        <v>0.09</v>
      </c>
      <c r="K30" s="54">
        <v>319.33999999999997</v>
      </c>
      <c r="L30" s="54">
        <v>15.41</v>
      </c>
      <c r="M30" s="54">
        <v>99.60</v>
      </c>
      <c r="N30" s="54">
        <v>52.90</v>
      </c>
      <c r="O30" s="54">
        <v>0</v>
      </c>
      <c r="P30" s="54">
        <v>2.4900000000000002</v>
      </c>
      <c r="Q30" s="54">
        <v>15.80</v>
      </c>
      <c r="R30" s="43"/>
      <c r="S30" s="43"/>
      <c r="T30" s="43"/>
      <c r="U30" s="43"/>
    </row>
    <row r="31" spans="1:21" s="11" customFormat="1" ht="15">
      <c r="A31" s="53" t="s">
        <v>636</v>
      </c>
      <c r="B31" s="54">
        <v>135.41999999999999</v>
      </c>
      <c r="C31" s="54">
        <v>54.63</v>
      </c>
      <c r="D31" s="54">
        <v>137.36000000000001</v>
      </c>
      <c r="E31" s="54">
        <v>0.41</v>
      </c>
      <c r="F31" s="54">
        <v>3.28</v>
      </c>
      <c r="G31" s="54">
        <v>154.02000000000001</v>
      </c>
      <c r="H31" s="54">
        <v>67.989999999999995</v>
      </c>
      <c r="I31" s="54">
        <v>1.54</v>
      </c>
      <c r="J31" s="54">
        <v>0.10</v>
      </c>
      <c r="K31" s="54">
        <v>305.55</v>
      </c>
      <c r="L31" s="54">
        <v>14.74</v>
      </c>
      <c r="M31" s="54">
        <v>99.64</v>
      </c>
      <c r="N31" s="54">
        <v>53</v>
      </c>
      <c r="O31" s="54">
        <v>0</v>
      </c>
      <c r="P31" s="54">
        <v>2.54</v>
      </c>
      <c r="Q31" s="54">
        <v>17.010000000000002</v>
      </c>
      <c r="R31" s="43"/>
      <c r="S31" s="43"/>
      <c r="T31" s="43"/>
      <c r="U31" s="43"/>
    </row>
    <row r="32" spans="1:21" s="11" customFormat="1" ht="15">
      <c r="A32" s="53" t="s">
        <v>637</v>
      </c>
      <c r="B32" s="54">
        <v>147.03</v>
      </c>
      <c r="C32" s="54">
        <v>48.87</v>
      </c>
      <c r="D32" s="54">
        <v>144.18</v>
      </c>
      <c r="E32" s="54">
        <v>0.44</v>
      </c>
      <c r="F32" s="54">
        <v>3.18</v>
      </c>
      <c r="G32" s="54">
        <v>149.71</v>
      </c>
      <c r="H32" s="54">
        <v>67.989999999999995</v>
      </c>
      <c r="I32" s="54">
        <v>1.55</v>
      </c>
      <c r="J32" s="54">
        <v>0.08</v>
      </c>
      <c r="K32" s="54">
        <v>315.27</v>
      </c>
      <c r="L32" s="54">
        <v>14.25</v>
      </c>
      <c r="M32" s="54">
        <v>99.65</v>
      </c>
      <c r="N32" s="54">
        <v>53.30</v>
      </c>
      <c r="O32" s="54">
        <v>0</v>
      </c>
      <c r="P32" s="54">
        <v>2.4500000000000002</v>
      </c>
      <c r="Q32" s="54">
        <v>17.66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11.050000000000001</v>
      </c>
      <c r="C34" s="28">
        <f t="shared" si="0"/>
        <v>24.84</v>
      </c>
      <c r="D34" s="28">
        <f t="shared" si="0"/>
        <v>45.75</v>
      </c>
      <c r="E34" s="28">
        <f t="shared" si="0"/>
        <v>0.16</v>
      </c>
      <c r="F34" s="28">
        <f t="shared" si="0"/>
        <v>3.02</v>
      </c>
      <c r="G34" s="28">
        <f t="shared" si="0"/>
        <v>57.659999999999997</v>
      </c>
      <c r="H34" s="28">
        <f t="shared" si="0"/>
        <v>30.879999999999999</v>
      </c>
      <c r="I34" s="28">
        <f t="shared" si="0"/>
        <v>1.48</v>
      </c>
      <c r="J34" s="28">
        <f t="shared" si="0"/>
        <v>0.080000000000000002</v>
      </c>
      <c r="K34" s="28">
        <f t="shared" si="0"/>
        <v>86.239999999999995</v>
      </c>
      <c r="L34" s="28">
        <f t="shared" si="0"/>
        <v>12.529999999999999</v>
      </c>
      <c r="M34" s="28">
        <f t="shared" si="0"/>
        <v>68.530000000000001</v>
      </c>
      <c r="N34" s="28">
        <f t="shared" si="0"/>
        <v>25.300000000000001</v>
      </c>
      <c r="O34" s="28">
        <f t="shared" si="0"/>
        <v>0</v>
      </c>
      <c r="P34" s="28">
        <f t="shared" si="0"/>
        <v>0.81000000000000005</v>
      </c>
      <c r="Q34" s="28">
        <f t="shared" si="0"/>
        <v>8.6999999999999993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147.03</v>
      </c>
      <c r="C35" s="29">
        <f t="shared" si="1"/>
        <v>75.799999999999997</v>
      </c>
      <c r="D35" s="29">
        <f t="shared" si="1"/>
        <v>144.18000000000001</v>
      </c>
      <c r="E35" s="29">
        <f t="shared" si="1"/>
        <v>1.3899999999999999</v>
      </c>
      <c r="F35" s="29">
        <f t="shared" si="1"/>
        <v>4.4900000000000002</v>
      </c>
      <c r="G35" s="29">
        <f t="shared" si="1"/>
        <v>159.06</v>
      </c>
      <c r="H35" s="29">
        <f t="shared" si="1"/>
        <v>67.989999999999995</v>
      </c>
      <c r="I35" s="29">
        <f t="shared" si="1"/>
        <v>1.6399999999999999</v>
      </c>
      <c r="J35" s="29">
        <f t="shared" si="1"/>
        <v>1.3500000000000001</v>
      </c>
      <c r="K35" s="29">
        <f t="shared" si="1"/>
        <v>359.70999999999998</v>
      </c>
      <c r="L35" s="29">
        <f t="shared" si="1"/>
        <v>20.649999999999999</v>
      </c>
      <c r="M35" s="29">
        <f t="shared" si="1"/>
        <v>99.780000000000001</v>
      </c>
      <c r="N35" s="29">
        <f t="shared" si="1"/>
        <v>603.29999999999995</v>
      </c>
      <c r="O35" s="29">
        <f t="shared" si="1"/>
        <v>0.40000000000000002</v>
      </c>
      <c r="P35" s="29">
        <f t="shared" si="1"/>
        <v>2.54</v>
      </c>
      <c r="Q35" s="29">
        <f t="shared" si="1"/>
        <v>17.66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55.321249999999999</v>
      </c>
      <c r="C36" s="28">
        <f t="shared" si="2"/>
        <v>53.479999999999997</v>
      </c>
      <c r="D36" s="28">
        <f t="shared" si="2"/>
        <v>72.229583333333338</v>
      </c>
      <c r="E36" s="28">
        <f t="shared" si="2"/>
        <v>0.3612499999999999</v>
      </c>
      <c r="F36" s="28">
        <f t="shared" si="2"/>
        <v>3.4454166666666679</v>
      </c>
      <c r="G36" s="28">
        <f t="shared" si="2"/>
        <v>97.637826086956551</v>
      </c>
      <c r="H36" s="28">
        <f t="shared" si="2"/>
        <v>42.682608695652178</v>
      </c>
      <c r="I36" s="28">
        <f t="shared" si="2"/>
        <v>1.5491666666666666</v>
      </c>
      <c r="J36" s="28">
        <f t="shared" si="2"/>
        <v>0.66541666666666666</v>
      </c>
      <c r="K36" s="28">
        <f t="shared" si="2"/>
        <v>280.60625000000005</v>
      </c>
      <c r="L36" s="28">
        <f t="shared" si="2"/>
        <v>16.283333333333335</v>
      </c>
      <c r="M36" s="28">
        <f t="shared" si="2"/>
        <v>90.026666666666685</v>
      </c>
      <c r="N36" s="28">
        <f t="shared" si="2"/>
        <v>162.78333333333336</v>
      </c>
      <c r="O36" s="28">
        <f t="shared" si="2"/>
        <v>0.025000000000000005</v>
      </c>
      <c r="P36" s="28">
        <f t="shared" si="2"/>
        <v>1.2254166666666664</v>
      </c>
      <c r="Q36" s="28">
        <f t="shared" si="2"/>
        <v>10.878333333333332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37.997530962407666</v>
      </c>
      <c r="C37" s="28">
        <f t="shared" si="3" ref="C37:Q37">STDEV(C9:C32)</f>
        <v>16.259373216434394</v>
      </c>
      <c r="D37" s="28">
        <f t="shared" si="3"/>
        <v>28.633876786401817</v>
      </c>
      <c r="E37" s="28">
        <f t="shared" si="3"/>
        <v>0.24058465923842609</v>
      </c>
      <c r="F37" s="28">
        <f t="shared" si="3"/>
        <v>0.31220087132801377</v>
      </c>
      <c r="G37" s="28">
        <f t="shared" si="3"/>
        <v>30.408220323476701</v>
      </c>
      <c r="H37" s="28">
        <f t="shared" si="3"/>
        <v>10.773187346957593</v>
      </c>
      <c r="I37" s="28">
        <f t="shared" si="3"/>
        <v>0.036702880667263182</v>
      </c>
      <c r="J37" s="28">
        <f t="shared" si="3"/>
        <v>0.42004119018171937</v>
      </c>
      <c r="K37" s="28">
        <f t="shared" si="3"/>
        <v>106.44176341253238</v>
      </c>
      <c r="L37" s="28">
        <f t="shared" si="3"/>
        <v>2.8526611019044705</v>
      </c>
      <c r="M37" s="28">
        <f t="shared" si="3"/>
        <v>12.570806299298852</v>
      </c>
      <c r="N37" s="28">
        <f t="shared" si="3"/>
        <v>176.6008756358878</v>
      </c>
      <c r="O37" s="28">
        <f t="shared" si="3"/>
        <v>0.089685440629288141</v>
      </c>
      <c r="P37" s="28">
        <f t="shared" si="3"/>
        <v>0.57940733712893333</v>
      </c>
      <c r="Q37" s="28">
        <f t="shared" si="3"/>
        <v>2.5424528838636631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cfeb03a-bc80-40a1-a6da-dc6809d94d21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6" sqref="G6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638</v>
      </c>
      <c r="B9" s="54">
        <v>146.06</v>
      </c>
      <c r="C9" s="54">
        <v>46.17</v>
      </c>
      <c r="D9" s="54">
        <v>143.15</v>
      </c>
      <c r="E9" s="54">
        <v>0.45</v>
      </c>
      <c r="F9" s="54">
        <v>3.36</v>
      </c>
      <c r="G9" s="54">
        <v>146.53</v>
      </c>
      <c r="H9" s="54">
        <v>63.24</v>
      </c>
      <c r="I9" s="54">
        <v>1.5</v>
      </c>
      <c r="J9" s="54">
        <v>0.11</v>
      </c>
      <c r="K9" s="54">
        <v>325.66000000000003</v>
      </c>
      <c r="L9" s="54">
        <v>14</v>
      </c>
      <c r="M9" s="54">
        <v>99.65</v>
      </c>
      <c r="N9" s="54">
        <v>53.40</v>
      </c>
      <c r="O9" s="54">
        <v>0</v>
      </c>
      <c r="P9" s="54">
        <v>2.31</v>
      </c>
      <c r="Q9" s="54">
        <v>17.68</v>
      </c>
      <c r="R9" s="43"/>
      <c r="S9" s="43"/>
      <c r="T9" s="43"/>
      <c r="U9" s="43"/>
    </row>
    <row r="10" spans="1:21" s="11" customFormat="1" ht="15">
      <c r="A10" s="53" t="s">
        <v>639</v>
      </c>
      <c r="B10" s="54">
        <v>130.37</v>
      </c>
      <c r="C10" s="54">
        <v>45.74</v>
      </c>
      <c r="D10" s="54">
        <v>130.43</v>
      </c>
      <c r="E10" s="54">
        <v>0.39</v>
      </c>
      <c r="F10" s="54">
        <v>3.32</v>
      </c>
      <c r="G10" s="54">
        <v>131.97999999999999</v>
      </c>
      <c r="H10" s="54">
        <v>59.29</v>
      </c>
      <c r="I10" s="54">
        <v>1.52</v>
      </c>
      <c r="J10" s="54">
        <v>0.14000000000000001</v>
      </c>
      <c r="K10" s="54">
        <v>335.71</v>
      </c>
      <c r="L10" s="54">
        <v>13.73</v>
      </c>
      <c r="M10" s="54">
        <v>99.65</v>
      </c>
      <c r="N10" s="54">
        <v>53.40</v>
      </c>
      <c r="O10" s="54">
        <v>0</v>
      </c>
      <c r="P10" s="54">
        <v>1.94</v>
      </c>
      <c r="Q10" s="54">
        <v>16.89</v>
      </c>
      <c r="R10" s="43"/>
      <c r="S10" s="43"/>
      <c r="T10" s="43"/>
      <c r="U10" s="43"/>
    </row>
    <row r="11" spans="1:21" s="11" customFormat="1" ht="15">
      <c r="A11" s="53" t="s">
        <v>640</v>
      </c>
      <c r="B11" s="54">
        <v>113.15</v>
      </c>
      <c r="C11" s="54">
        <v>48.97</v>
      </c>
      <c r="D11" s="54">
        <v>116.37</v>
      </c>
      <c r="E11" s="54">
        <v>0.38</v>
      </c>
      <c r="F11" s="54">
        <v>3.38</v>
      </c>
      <c r="G11" s="54">
        <v>113.76</v>
      </c>
      <c r="H11" s="54">
        <v>55.68</v>
      </c>
      <c r="I11" s="54">
        <v>1.49</v>
      </c>
      <c r="J11" s="54">
        <v>0.59</v>
      </c>
      <c r="K11" s="54">
        <v>349.08</v>
      </c>
      <c r="L11" s="54">
        <v>13.13</v>
      </c>
      <c r="M11" s="54">
        <v>99.63</v>
      </c>
      <c r="N11" s="54">
        <v>54.10</v>
      </c>
      <c r="O11" s="54">
        <v>0</v>
      </c>
      <c r="P11" s="54">
        <v>1.92</v>
      </c>
      <c r="Q11" s="54">
        <v>15.38</v>
      </c>
      <c r="R11" s="43"/>
      <c r="S11" s="43"/>
      <c r="T11" s="43"/>
      <c r="U11" s="43"/>
    </row>
    <row r="12" spans="1:21" s="11" customFormat="1" ht="15">
      <c r="A12" s="53" t="s">
        <v>641</v>
      </c>
      <c r="B12" s="54">
        <v>90.64</v>
      </c>
      <c r="C12" s="54">
        <v>49.25</v>
      </c>
      <c r="D12" s="54">
        <v>100.44</v>
      </c>
      <c r="E12" s="54">
        <v>0.32</v>
      </c>
      <c r="F12" s="54">
        <v>3.18</v>
      </c>
      <c r="G12" s="54">
        <v>112.43</v>
      </c>
      <c r="H12" s="54">
        <v>55.68</v>
      </c>
      <c r="I12" s="54">
        <v>1.56</v>
      </c>
      <c r="J12" s="54">
        <v>0.74</v>
      </c>
      <c r="K12" s="54">
        <v>342.10</v>
      </c>
      <c r="L12" s="54">
        <v>13.10</v>
      </c>
      <c r="M12" s="54">
        <v>97.79</v>
      </c>
      <c r="N12" s="54">
        <v>53.40</v>
      </c>
      <c r="O12" s="54">
        <v>0</v>
      </c>
      <c r="P12" s="54">
        <v>1.60</v>
      </c>
      <c r="Q12" s="54">
        <v>13.82</v>
      </c>
      <c r="R12" s="43"/>
      <c r="S12" s="43"/>
      <c r="T12" s="43"/>
      <c r="U12" s="43"/>
    </row>
    <row r="13" spans="1:21" s="11" customFormat="1" ht="15">
      <c r="A13" s="53" t="s">
        <v>642</v>
      </c>
      <c r="B13" s="54">
        <v>70.069999999999993</v>
      </c>
      <c r="C13" s="54">
        <v>47.75</v>
      </c>
      <c r="D13" s="54">
        <v>83.19</v>
      </c>
      <c r="E13" s="54">
        <v>0.36</v>
      </c>
      <c r="F13" s="54">
        <v>3.27</v>
      </c>
      <c r="G13" s="54">
        <v>97.85</v>
      </c>
      <c r="H13" s="54">
        <v>54.15</v>
      </c>
      <c r="I13" s="54">
        <v>1.53</v>
      </c>
      <c r="J13" s="54">
        <v>0.47</v>
      </c>
      <c r="K13" s="54">
        <v>343.26</v>
      </c>
      <c r="L13" s="54">
        <v>12.34</v>
      </c>
      <c r="M13" s="54">
        <v>99.65</v>
      </c>
      <c r="N13" s="54">
        <v>53.70</v>
      </c>
      <c r="O13" s="54">
        <v>0</v>
      </c>
      <c r="P13" s="54">
        <v>1.26</v>
      </c>
      <c r="Q13" s="54">
        <v>11.97</v>
      </c>
      <c r="R13" s="43"/>
      <c r="S13" s="43"/>
      <c r="T13" s="43"/>
      <c r="U13" s="43"/>
    </row>
    <row r="14" spans="1:21" s="11" customFormat="1" ht="15">
      <c r="A14" s="53" t="s">
        <v>643</v>
      </c>
      <c r="B14" s="54">
        <v>58.32</v>
      </c>
      <c r="C14" s="54">
        <v>44.43</v>
      </c>
      <c r="D14" s="54">
        <v>71.94</v>
      </c>
      <c r="E14" s="54">
        <v>0.28999999999999998</v>
      </c>
      <c r="F14" s="54">
        <v>3.34</v>
      </c>
      <c r="G14" s="54">
        <v>86.38</v>
      </c>
      <c r="H14" s="54">
        <v>44.75</v>
      </c>
      <c r="I14" s="54">
        <v>1.57</v>
      </c>
      <c r="J14" s="54">
        <v>1.0900000000000001</v>
      </c>
      <c r="K14" s="54">
        <v>358.81</v>
      </c>
      <c r="L14" s="54">
        <v>12.83</v>
      </c>
      <c r="M14" s="54">
        <v>99.65</v>
      </c>
      <c r="N14" s="54">
        <v>54.40</v>
      </c>
      <c r="O14" s="54">
        <v>0</v>
      </c>
      <c r="P14" s="54">
        <v>1.04</v>
      </c>
      <c r="Q14" s="54">
        <v>10.85</v>
      </c>
      <c r="R14" s="43"/>
      <c r="S14" s="43"/>
      <c r="T14" s="43"/>
      <c r="U14" s="43"/>
    </row>
    <row r="15" spans="1:21" s="11" customFormat="1" ht="15">
      <c r="A15" s="53" t="s">
        <v>644</v>
      </c>
      <c r="B15" s="54">
        <v>48.67</v>
      </c>
      <c r="C15" s="54">
        <v>45.52</v>
      </c>
      <c r="D15" s="54">
        <v>64.55</v>
      </c>
      <c r="E15" s="54">
        <v>0.25</v>
      </c>
      <c r="F15" s="54">
        <v>3.34</v>
      </c>
      <c r="G15" s="54">
        <v>63.73</v>
      </c>
      <c r="H15" s="54">
        <v>35.31</v>
      </c>
      <c r="I15" s="54">
        <v>1.53</v>
      </c>
      <c r="J15" s="54">
        <v>1.43</v>
      </c>
      <c r="K15" s="54">
        <v>110.26</v>
      </c>
      <c r="L15" s="54">
        <v>13.19</v>
      </c>
      <c r="M15" s="54">
        <v>99.65</v>
      </c>
      <c r="N15" s="54">
        <v>61.90</v>
      </c>
      <c r="O15" s="54">
        <v>0</v>
      </c>
      <c r="P15" s="54">
        <v>0.86</v>
      </c>
      <c r="Q15" s="54">
        <v>10.46</v>
      </c>
      <c r="R15" s="43"/>
      <c r="S15" s="43"/>
      <c r="T15" s="43"/>
      <c r="U15" s="43"/>
    </row>
    <row r="16" spans="1:21" s="11" customFormat="1" ht="15">
      <c r="A16" s="53" t="s">
        <v>645</v>
      </c>
      <c r="B16" s="54">
        <v>37.06</v>
      </c>
      <c r="C16" s="54">
        <v>45.93</v>
      </c>
      <c r="D16" s="54">
        <v>55.52</v>
      </c>
      <c r="E16" s="54">
        <v>0.27</v>
      </c>
      <c r="F16" s="54">
        <v>3.25</v>
      </c>
      <c r="G16" s="54">
        <v>55.93</v>
      </c>
      <c r="H16" s="54">
        <v>30.21</v>
      </c>
      <c r="I16" s="54">
        <v>1.5</v>
      </c>
      <c r="J16" s="54">
        <v>1.21</v>
      </c>
      <c r="K16" s="54">
        <v>111.75</v>
      </c>
      <c r="L16" s="54">
        <v>13.99</v>
      </c>
      <c r="M16" s="54">
        <v>99.65</v>
      </c>
      <c r="N16" s="54">
        <v>114.10</v>
      </c>
      <c r="O16" s="54">
        <v>0</v>
      </c>
      <c r="P16" s="54">
        <v>0.82</v>
      </c>
      <c r="Q16" s="54">
        <v>9.81</v>
      </c>
      <c r="R16" s="43"/>
      <c r="S16" s="43"/>
      <c r="T16" s="43"/>
      <c r="U16" s="43"/>
    </row>
    <row r="17" spans="1:21" s="11" customFormat="1" ht="15">
      <c r="A17" s="53" t="s">
        <v>646</v>
      </c>
      <c r="B17" s="54">
        <v>28.77</v>
      </c>
      <c r="C17" s="54">
        <v>45.80</v>
      </c>
      <c r="D17" s="54">
        <v>48.99</v>
      </c>
      <c r="E17" s="54">
        <v>0.18</v>
      </c>
      <c r="F17" s="54">
        <v>3.43</v>
      </c>
      <c r="G17" s="54">
        <v>49.81</v>
      </c>
      <c r="H17" s="54">
        <v>28.19</v>
      </c>
      <c r="I17" s="54">
        <v>1.58</v>
      </c>
      <c r="J17" s="54">
        <v>1</v>
      </c>
      <c r="K17" s="54">
        <v>110.15</v>
      </c>
      <c r="L17" s="54">
        <v>14.55</v>
      </c>
      <c r="M17" s="54">
        <v>99.61</v>
      </c>
      <c r="N17" s="54">
        <v>175.5</v>
      </c>
      <c r="O17" s="54">
        <v>0</v>
      </c>
      <c r="P17" s="54">
        <v>0.76</v>
      </c>
      <c r="Q17" s="54">
        <v>9.15</v>
      </c>
      <c r="R17" s="43"/>
      <c r="S17" s="43"/>
      <c r="T17" s="43"/>
      <c r="U17" s="43"/>
    </row>
    <row r="18" spans="1:21" s="11" customFormat="1" ht="15">
      <c r="A18" s="53" t="s">
        <v>647</v>
      </c>
      <c r="B18" s="54">
        <v>25.16</v>
      </c>
      <c r="C18" s="54">
        <v>46.93</v>
      </c>
      <c r="D18" s="54">
        <v>45.01</v>
      </c>
      <c r="E18" s="54">
        <v>0.17</v>
      </c>
      <c r="F18" s="54">
        <v>3.14</v>
      </c>
      <c r="G18" s="54">
        <v>53.58</v>
      </c>
      <c r="H18" s="54">
        <v>30.04</v>
      </c>
      <c r="I18" s="54">
        <v>1.53</v>
      </c>
      <c r="J18" s="54">
        <v>1.19</v>
      </c>
      <c r="K18" s="54">
        <v>117.60</v>
      </c>
      <c r="L18" s="54">
        <v>17.309999999999999</v>
      </c>
      <c r="M18" s="54">
        <v>97.63</v>
      </c>
      <c r="N18" s="54">
        <v>582</v>
      </c>
      <c r="O18" s="54">
        <v>0</v>
      </c>
      <c r="P18" s="54">
        <v>0.74</v>
      </c>
      <c r="Q18" s="54">
        <v>8.52</v>
      </c>
      <c r="R18" s="43"/>
      <c r="S18" s="43"/>
      <c r="T18" s="43"/>
      <c r="U18" s="43"/>
    </row>
    <row r="19" spans="1:21" s="11" customFormat="1" ht="15">
      <c r="A19" s="53" t="s">
        <v>648</v>
      </c>
      <c r="B19" s="54">
        <v>21.14</v>
      </c>
      <c r="C19" s="54">
        <v>49.58</v>
      </c>
      <c r="D19" s="54">
        <v>44.18</v>
      </c>
      <c r="E19" s="54">
        <v>0.13</v>
      </c>
      <c r="F19" s="54">
        <v>3.34</v>
      </c>
      <c r="G19" s="54">
        <v>55.89</v>
      </c>
      <c r="H19" s="54">
        <v>30.04</v>
      </c>
      <c r="I19" s="54">
        <v>1.56</v>
      </c>
      <c r="J19" s="54">
        <v>1.70</v>
      </c>
      <c r="K19" s="54">
        <v>112.20</v>
      </c>
      <c r="L19" s="54">
        <v>18.690000000000001</v>
      </c>
      <c r="M19" s="54">
        <v>82.62</v>
      </c>
      <c r="N19" s="54">
        <v>791</v>
      </c>
      <c r="O19" s="54">
        <v>0</v>
      </c>
      <c r="P19" s="54">
        <v>0.72</v>
      </c>
      <c r="Q19" s="54">
        <v>8.35</v>
      </c>
      <c r="R19" s="43"/>
      <c r="S19" s="43"/>
      <c r="T19" s="43"/>
      <c r="U19" s="43"/>
    </row>
    <row r="20" spans="1:21" s="11" customFormat="1" ht="15">
      <c r="A20" s="53" t="s">
        <v>649</v>
      </c>
      <c r="B20" s="54">
        <v>14.62</v>
      </c>
      <c r="C20" s="54">
        <v>51.18</v>
      </c>
      <c r="D20" s="54">
        <v>40.01</v>
      </c>
      <c r="E20" s="54">
        <v>0.14000000000000001</v>
      </c>
      <c r="F20" s="54">
        <v>3.43</v>
      </c>
      <c r="G20" s="54">
        <v>55.89</v>
      </c>
      <c r="H20" s="54">
        <v>29.02</v>
      </c>
      <c r="I20" s="54">
        <v>1.55</v>
      </c>
      <c r="J20" s="54">
        <v>1.76</v>
      </c>
      <c r="K20" s="54">
        <v>111.42</v>
      </c>
      <c r="L20" s="54">
        <v>21.36</v>
      </c>
      <c r="M20" s="54">
        <v>54.65</v>
      </c>
      <c r="N20" s="54">
        <v>815.40</v>
      </c>
      <c r="O20" s="54">
        <v>0</v>
      </c>
      <c r="P20" s="54">
        <v>0.66</v>
      </c>
      <c r="Q20" s="54">
        <v>7.95</v>
      </c>
      <c r="R20" s="43"/>
      <c r="S20" s="43"/>
      <c r="T20" s="43"/>
      <c r="U20" s="43"/>
    </row>
    <row r="21" spans="1:21" s="11" customFormat="1" ht="15">
      <c r="A21" s="53" t="s">
        <v>650</v>
      </c>
      <c r="B21" s="54">
        <v>8.90</v>
      </c>
      <c r="C21" s="54">
        <v>52.13</v>
      </c>
      <c r="D21" s="54">
        <v>36.21</v>
      </c>
      <c r="E21" s="54">
        <v>0.13</v>
      </c>
      <c r="F21" s="54">
        <v>3.59</v>
      </c>
      <c r="G21" s="54">
        <v>50.01</v>
      </c>
      <c r="H21" s="54">
        <v>29.02</v>
      </c>
      <c r="I21" s="54">
        <v>1.51</v>
      </c>
      <c r="J21" s="54">
        <v>1.53</v>
      </c>
      <c r="K21" s="54">
        <v>113.39</v>
      </c>
      <c r="L21" s="54">
        <v>22.51</v>
      </c>
      <c r="M21" s="54">
        <v>35.549999999999997</v>
      </c>
      <c r="N21" s="54">
        <v>856.70</v>
      </c>
      <c r="O21" s="54">
        <v>0</v>
      </c>
      <c r="P21" s="54">
        <v>0.60</v>
      </c>
      <c r="Q21" s="54">
        <v>7.30</v>
      </c>
      <c r="R21" s="43"/>
      <c r="S21" s="43"/>
      <c r="T21" s="43"/>
      <c r="U21" s="43"/>
    </row>
    <row r="22" spans="1:21" s="11" customFormat="1" ht="15">
      <c r="A22" s="53" t="s">
        <v>651</v>
      </c>
      <c r="B22" s="54">
        <v>7.07</v>
      </c>
      <c r="C22" s="54">
        <v>51.98</v>
      </c>
      <c r="D22" s="54">
        <v>34.83</v>
      </c>
      <c r="E22" s="54">
        <v>0.11</v>
      </c>
      <c r="F22" s="54">
        <v>3.76</v>
      </c>
      <c r="G22" s="54">
        <v>47.25</v>
      </c>
      <c r="H22" s="54">
        <v>26.49</v>
      </c>
      <c r="I22" s="54">
        <v>1.49</v>
      </c>
      <c r="J22" s="54">
        <v>0.71</v>
      </c>
      <c r="K22" s="54">
        <v>349.81</v>
      </c>
      <c r="L22" s="54">
        <v>23.59</v>
      </c>
      <c r="M22" s="54">
        <v>34.68</v>
      </c>
      <c r="N22" s="54">
        <v>777.20</v>
      </c>
      <c r="O22" s="54">
        <v>0</v>
      </c>
      <c r="P22" s="54">
        <v>0.53</v>
      </c>
      <c r="Q22" s="54">
        <v>6.81</v>
      </c>
      <c r="R22" s="43"/>
      <c r="S22" s="43"/>
      <c r="T22" s="43"/>
      <c r="U22" s="43"/>
    </row>
    <row r="23" spans="1:21" s="11" customFormat="1" ht="15">
      <c r="A23" s="53" t="s">
        <v>652</v>
      </c>
      <c r="B23" s="54">
        <v>6.68</v>
      </c>
      <c r="C23" s="54">
        <v>53</v>
      </c>
      <c r="D23" s="54">
        <v>35.26</v>
      </c>
      <c r="E23" s="54">
        <v>0.11</v>
      </c>
      <c r="F23" s="54">
        <v>3.81</v>
      </c>
      <c r="G23" s="54">
        <v>47.59</v>
      </c>
      <c r="H23" s="54">
        <v>26.49</v>
      </c>
      <c r="I23" s="54">
        <v>1.58</v>
      </c>
      <c r="J23" s="54">
        <v>0.67</v>
      </c>
      <c r="K23" s="54">
        <v>88.89</v>
      </c>
      <c r="L23" s="54">
        <v>23.61</v>
      </c>
      <c r="M23" s="54">
        <v>31.97</v>
      </c>
      <c r="N23" s="54">
        <v>616.79999999999995</v>
      </c>
      <c r="O23" s="54">
        <v>0</v>
      </c>
      <c r="P23" s="54">
        <v>0.51</v>
      </c>
      <c r="Q23" s="54">
        <v>6.70</v>
      </c>
      <c r="R23" s="43"/>
      <c r="S23" s="43"/>
      <c r="T23" s="43"/>
      <c r="U23" s="43"/>
    </row>
    <row r="24" spans="1:21" s="11" customFormat="1" ht="15">
      <c r="A24" s="53" t="s">
        <v>653</v>
      </c>
      <c r="B24" s="54">
        <v>6.84</v>
      </c>
      <c r="C24" s="54">
        <v>52.94</v>
      </c>
      <c r="D24" s="54">
        <v>35.35</v>
      </c>
      <c r="E24" s="54">
        <v>0.070000000000000007</v>
      </c>
      <c r="F24" s="54">
        <v>3.69</v>
      </c>
      <c r="G24" s="54">
        <v>47.59</v>
      </c>
      <c r="H24" s="54">
        <v>23.44</v>
      </c>
      <c r="I24" s="54">
        <v>1.52</v>
      </c>
      <c r="J24" s="54">
        <v>1.02</v>
      </c>
      <c r="K24" s="54">
        <v>344.02</v>
      </c>
      <c r="L24" s="54">
        <v>21.43</v>
      </c>
      <c r="M24" s="54">
        <v>32.93</v>
      </c>
      <c r="N24" s="54">
        <v>176.5</v>
      </c>
      <c r="O24" s="54">
        <v>0</v>
      </c>
      <c r="P24" s="54">
        <v>0.51</v>
      </c>
      <c r="Q24" s="54">
        <v>6.76</v>
      </c>
      <c r="R24" s="43"/>
      <c r="S24" s="43"/>
      <c r="T24" s="43"/>
      <c r="U24" s="43"/>
    </row>
    <row r="25" spans="1:21" s="11" customFormat="1" ht="15">
      <c r="A25" s="53" t="s">
        <v>654</v>
      </c>
      <c r="B25" s="54">
        <v>10.31</v>
      </c>
      <c r="C25" s="54">
        <v>58.11</v>
      </c>
      <c r="D25" s="54">
        <v>40.98</v>
      </c>
      <c r="E25" s="54">
        <v>0.20</v>
      </c>
      <c r="F25" s="54">
        <v>3.71</v>
      </c>
      <c r="G25" s="54">
        <v>46.83</v>
      </c>
      <c r="H25" s="54">
        <v>22.13</v>
      </c>
      <c r="I25" s="54">
        <v>1.48</v>
      </c>
      <c r="J25" s="54">
        <v>0.64</v>
      </c>
      <c r="K25" s="54">
        <v>355.07</v>
      </c>
      <c r="L25" s="54">
        <v>21.14</v>
      </c>
      <c r="M25" s="54">
        <v>45.54</v>
      </c>
      <c r="N25" s="54">
        <v>113</v>
      </c>
      <c r="O25" s="54">
        <v>0</v>
      </c>
      <c r="P25" s="54">
        <v>0.54</v>
      </c>
      <c r="Q25" s="54">
        <v>7.03</v>
      </c>
      <c r="R25" s="43"/>
      <c r="S25" s="43"/>
      <c r="T25" s="43"/>
      <c r="U25" s="43"/>
    </row>
    <row r="26" spans="1:21" s="11" customFormat="1" ht="15">
      <c r="A26" s="53" t="s">
        <v>655</v>
      </c>
      <c r="B26" s="54">
        <v>17.93</v>
      </c>
      <c r="C26" s="54">
        <v>62.16</v>
      </c>
      <c r="D26" s="54">
        <v>49.33</v>
      </c>
      <c r="E26" s="54">
        <v>0.21</v>
      </c>
      <c r="F26" s="54">
        <v>3.35</v>
      </c>
      <c r="G26" s="54">
        <v>51.54</v>
      </c>
      <c r="H26" s="54">
        <v>20.80</v>
      </c>
      <c r="I26" s="54">
        <v>1.62</v>
      </c>
      <c r="J26" s="54">
        <v>0.77</v>
      </c>
      <c r="K26" s="54">
        <v>343.81</v>
      </c>
      <c r="L26" s="54">
        <v>19.32</v>
      </c>
      <c r="M26" s="54">
        <v>54.81</v>
      </c>
      <c r="N26" s="54">
        <v>54.5</v>
      </c>
      <c r="O26" s="54">
        <v>0</v>
      </c>
      <c r="P26" s="54">
        <v>0.67</v>
      </c>
      <c r="Q26" s="54">
        <v>7.48</v>
      </c>
      <c r="R26" s="43"/>
      <c r="S26" s="43"/>
      <c r="T26" s="43"/>
      <c r="U26" s="43"/>
    </row>
    <row r="27" spans="1:21" s="11" customFormat="1" ht="15">
      <c r="A27" s="53" t="s">
        <v>656</v>
      </c>
      <c r="B27" s="54">
        <v>31.57</v>
      </c>
      <c r="C27" s="54">
        <v>63.40</v>
      </c>
      <c r="D27" s="54">
        <v>60.95</v>
      </c>
      <c r="E27" s="54">
        <v>0.21</v>
      </c>
      <c r="F27" s="54">
        <v>3.28</v>
      </c>
      <c r="G27" s="54">
        <v>71.430000000000007</v>
      </c>
      <c r="H27" s="54">
        <v>26.92</v>
      </c>
      <c r="I27" s="54">
        <v>1.52</v>
      </c>
      <c r="J27" s="54">
        <v>0.64</v>
      </c>
      <c r="K27" s="54">
        <v>355.72</v>
      </c>
      <c r="L27" s="54">
        <v>17.64</v>
      </c>
      <c r="M27" s="54">
        <v>58.60</v>
      </c>
      <c r="N27" s="54">
        <v>35.90</v>
      </c>
      <c r="O27" s="54">
        <v>0</v>
      </c>
      <c r="P27" s="54">
        <v>0.93</v>
      </c>
      <c r="Q27" s="54">
        <v>8.58</v>
      </c>
      <c r="R27" s="43"/>
      <c r="S27" s="43"/>
      <c r="T27" s="43"/>
      <c r="U27" s="43"/>
    </row>
    <row r="28" spans="1:21" s="11" customFormat="1" ht="15">
      <c r="A28" s="53" t="s">
        <v>657</v>
      </c>
      <c r="B28" s="54">
        <v>48.20</v>
      </c>
      <c r="C28" s="54">
        <v>61.98</v>
      </c>
      <c r="D28" s="54">
        <v>67.569999999999993</v>
      </c>
      <c r="E28" s="54">
        <v>0.24</v>
      </c>
      <c r="F28" s="54">
        <v>3.27</v>
      </c>
      <c r="G28" s="54">
        <v>83.81</v>
      </c>
      <c r="H28" s="54">
        <v>31.47</v>
      </c>
      <c r="I28" s="54">
        <v>1.56</v>
      </c>
      <c r="J28" s="54">
        <v>0.33</v>
      </c>
      <c r="K28" s="54">
        <v>356.89</v>
      </c>
      <c r="L28" s="54">
        <v>16.78</v>
      </c>
      <c r="M28" s="54">
        <v>53.5</v>
      </c>
      <c r="N28" s="54">
        <v>36.200000000000003</v>
      </c>
      <c r="O28" s="54">
        <v>0</v>
      </c>
      <c r="P28" s="54">
        <v>1.18</v>
      </c>
      <c r="Q28" s="54">
        <v>9.98</v>
      </c>
      <c r="R28" s="43"/>
      <c r="S28" s="43"/>
      <c r="T28" s="43"/>
      <c r="U28" s="43"/>
    </row>
    <row r="29" spans="1:21" s="11" customFormat="1" ht="15">
      <c r="A29" s="53" t="s">
        <v>658</v>
      </c>
      <c r="B29" s="54">
        <v>53.96</v>
      </c>
      <c r="C29" s="54">
        <v>51.06</v>
      </c>
      <c r="D29" s="54">
        <v>72</v>
      </c>
      <c r="E29" s="54">
        <v>0.26</v>
      </c>
      <c r="F29" s="54">
        <v>3.29</v>
      </c>
      <c r="G29" s="54">
        <v>115.87</v>
      </c>
      <c r="H29" s="54">
        <v>41.08</v>
      </c>
      <c r="I29" s="54">
        <v>1.47</v>
      </c>
      <c r="J29" s="54">
        <v>0.23</v>
      </c>
      <c r="K29" s="54">
        <v>77.239999999999995</v>
      </c>
      <c r="L29" s="54">
        <v>15.80</v>
      </c>
      <c r="M29" s="54">
        <v>53.83</v>
      </c>
      <c r="N29" s="54">
        <v>36.299999999999997</v>
      </c>
      <c r="O29" s="54">
        <v>0</v>
      </c>
      <c r="P29" s="54">
        <v>1.38</v>
      </c>
      <c r="Q29" s="54">
        <v>11.35</v>
      </c>
      <c r="R29" s="43"/>
      <c r="S29" s="43"/>
      <c r="T29" s="43"/>
      <c r="U29" s="43"/>
    </row>
    <row r="30" spans="1:21" s="11" customFormat="1" ht="15">
      <c r="A30" s="53" t="s">
        <v>659</v>
      </c>
      <c r="B30" s="54">
        <v>65.900000000000006</v>
      </c>
      <c r="C30" s="54">
        <v>52.57</v>
      </c>
      <c r="D30" s="54">
        <v>77.30</v>
      </c>
      <c r="E30" s="54">
        <v>0.28999999999999998</v>
      </c>
      <c r="F30" s="54">
        <v>3.08</v>
      </c>
      <c r="G30" s="54">
        <v>116.79</v>
      </c>
      <c r="H30" s="54">
        <v>41.36</v>
      </c>
      <c r="I30" s="54">
        <v>1.59</v>
      </c>
      <c r="J30" s="54">
        <v>0.13</v>
      </c>
      <c r="K30" s="54">
        <v>312.35000000000002</v>
      </c>
      <c r="L30" s="54">
        <v>15.02</v>
      </c>
      <c r="M30" s="54">
        <v>63.79</v>
      </c>
      <c r="N30" s="54">
        <v>36.700000000000003</v>
      </c>
      <c r="O30" s="54">
        <v>0</v>
      </c>
      <c r="P30" s="54">
        <v>1.47</v>
      </c>
      <c r="Q30" s="54">
        <v>12.11</v>
      </c>
      <c r="R30" s="43"/>
      <c r="S30" s="43"/>
      <c r="T30" s="43"/>
      <c r="U30" s="43"/>
    </row>
    <row r="31" spans="1:21" s="11" customFormat="1" ht="15">
      <c r="A31" s="53" t="s">
        <v>660</v>
      </c>
      <c r="B31" s="54">
        <v>89.34</v>
      </c>
      <c r="C31" s="54">
        <v>41.54</v>
      </c>
      <c r="D31" s="54">
        <v>95.22</v>
      </c>
      <c r="E31" s="54">
        <v>0.30</v>
      </c>
      <c r="F31" s="54">
        <v>3.27</v>
      </c>
      <c r="G31" s="54">
        <v>116.79</v>
      </c>
      <c r="H31" s="54">
        <v>41.36</v>
      </c>
      <c r="I31" s="54">
        <v>1.52</v>
      </c>
      <c r="J31" s="54">
        <v>0.14000000000000001</v>
      </c>
      <c r="K31" s="54">
        <v>314.23</v>
      </c>
      <c r="L31" s="54">
        <v>13.64</v>
      </c>
      <c r="M31" s="54">
        <v>79.349999999999994</v>
      </c>
      <c r="N31" s="54">
        <v>36.799999999999997</v>
      </c>
      <c r="O31" s="54">
        <v>0</v>
      </c>
      <c r="P31" s="54">
        <v>1.64</v>
      </c>
      <c r="Q31" s="54">
        <v>13.25</v>
      </c>
      <c r="R31" s="43"/>
      <c r="S31" s="43"/>
      <c r="T31" s="43"/>
      <c r="U31" s="43"/>
    </row>
    <row r="32" spans="1:21" s="11" customFormat="1" ht="15">
      <c r="A32" s="53" t="s">
        <v>661</v>
      </c>
      <c r="B32" s="54">
        <v>111.01</v>
      </c>
      <c r="C32" s="54">
        <v>42.36</v>
      </c>
      <c r="D32" s="54">
        <v>112.98</v>
      </c>
      <c r="E32" s="54">
        <v>0.31</v>
      </c>
      <c r="F32" s="54">
        <v>3.16</v>
      </c>
      <c r="G32" s="54">
        <v>132.87</v>
      </c>
      <c r="H32" s="54">
        <v>50.56</v>
      </c>
      <c r="I32" s="54">
        <v>1.58</v>
      </c>
      <c r="J32" s="54">
        <v>0.14000000000000001</v>
      </c>
      <c r="K32" s="54">
        <v>306.48</v>
      </c>
      <c r="L32" s="54">
        <v>12.32</v>
      </c>
      <c r="M32" s="54">
        <v>88.03</v>
      </c>
      <c r="N32" s="54">
        <v>36.60</v>
      </c>
      <c r="O32" s="54">
        <v>0</v>
      </c>
      <c r="P32" s="54">
        <v>1.76</v>
      </c>
      <c r="Q32" s="54">
        <v>15.21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6.6799999999999997</v>
      </c>
      <c r="C34" s="28">
        <f t="shared" si="0"/>
        <v>41.539999999999999</v>
      </c>
      <c r="D34" s="28">
        <f t="shared" si="0"/>
        <v>34.829999999999998</v>
      </c>
      <c r="E34" s="28">
        <f t="shared" si="0"/>
        <v>0.070000000000000007</v>
      </c>
      <c r="F34" s="28">
        <f t="shared" si="0"/>
        <v>3.0800000000000001</v>
      </c>
      <c r="G34" s="28">
        <f t="shared" si="0"/>
        <v>46.829999999999998</v>
      </c>
      <c r="H34" s="28">
        <f t="shared" si="0"/>
        <v>20.800000000000001</v>
      </c>
      <c r="I34" s="28">
        <f t="shared" si="0"/>
        <v>1.47</v>
      </c>
      <c r="J34" s="28">
        <f t="shared" si="0"/>
        <v>0.11</v>
      </c>
      <c r="K34" s="28">
        <f t="shared" si="0"/>
        <v>77.239999999999995</v>
      </c>
      <c r="L34" s="28">
        <f t="shared" si="0"/>
        <v>12.32</v>
      </c>
      <c r="M34" s="28">
        <f t="shared" si="0"/>
        <v>31.969999999999999</v>
      </c>
      <c r="N34" s="28">
        <f t="shared" si="0"/>
        <v>35.899999999999999</v>
      </c>
      <c r="O34" s="28">
        <f t="shared" si="0"/>
        <v>0</v>
      </c>
      <c r="P34" s="28">
        <f t="shared" si="0"/>
        <v>0.51000000000000001</v>
      </c>
      <c r="Q34" s="28">
        <f t="shared" si="0"/>
        <v>6.7000000000000002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146.06</v>
      </c>
      <c r="C35" s="29">
        <f t="shared" si="1"/>
        <v>63.399999999999999</v>
      </c>
      <c r="D35" s="29">
        <f t="shared" si="1"/>
        <v>143.15000000000001</v>
      </c>
      <c r="E35" s="29">
        <f t="shared" si="1"/>
        <v>0.45000000000000001</v>
      </c>
      <c r="F35" s="29">
        <f t="shared" si="1"/>
        <v>3.8100000000000001</v>
      </c>
      <c r="G35" s="29">
        <f t="shared" si="1"/>
        <v>146.53</v>
      </c>
      <c r="H35" s="29">
        <f t="shared" si="1"/>
        <v>63.240000000000002</v>
      </c>
      <c r="I35" s="29">
        <f t="shared" si="1"/>
        <v>1.6200000000000001</v>
      </c>
      <c r="J35" s="29">
        <f t="shared" si="1"/>
        <v>1.76</v>
      </c>
      <c r="K35" s="29">
        <f t="shared" si="1"/>
        <v>358.81</v>
      </c>
      <c r="L35" s="29">
        <f t="shared" si="1"/>
        <v>23.609999999999999</v>
      </c>
      <c r="M35" s="29">
        <f t="shared" si="1"/>
        <v>99.650000000000006</v>
      </c>
      <c r="N35" s="29">
        <f t="shared" si="1"/>
        <v>856.70000000000005</v>
      </c>
      <c r="O35" s="29">
        <f t="shared" si="1"/>
        <v>0</v>
      </c>
      <c r="P35" s="29">
        <f t="shared" si="1"/>
        <v>2.3100000000000001</v>
      </c>
      <c r="Q35" s="29">
        <f t="shared" si="1"/>
        <v>17.68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51.739166666666655</v>
      </c>
      <c r="C36" s="28">
        <f t="shared" si="2"/>
        <v>50.43666666666666</v>
      </c>
      <c r="D36" s="28">
        <f t="shared" si="2"/>
        <v>69.239999999999995</v>
      </c>
      <c r="E36" s="28">
        <f t="shared" si="2"/>
        <v>0.24041666666666664</v>
      </c>
      <c r="F36" s="28">
        <f t="shared" si="2"/>
        <v>3.3766666666666656</v>
      </c>
      <c r="G36" s="28">
        <f t="shared" si="2"/>
        <v>81.33874999999999</v>
      </c>
      <c r="H36" s="28">
        <f t="shared" si="2"/>
        <v>37.363333333333337</v>
      </c>
      <c r="I36" s="28">
        <f t="shared" si="2"/>
        <v>1.5358333333333336</v>
      </c>
      <c r="J36" s="28">
        <f t="shared" si="2"/>
        <v>0.76583333333333325</v>
      </c>
      <c r="K36" s="28">
        <f t="shared" si="2"/>
        <v>251.91250000000005</v>
      </c>
      <c r="L36" s="28">
        <f t="shared" si="2"/>
        <v>16.709166666666661</v>
      </c>
      <c r="M36" s="28">
        <f t="shared" si="2"/>
        <v>73.433749999999989</v>
      </c>
      <c r="N36" s="28">
        <f t="shared" si="2"/>
        <v>236.47916666666666</v>
      </c>
      <c r="O36" s="28">
        <f t="shared" si="2"/>
        <v>0</v>
      </c>
      <c r="P36" s="28">
        <f t="shared" si="2"/>
        <v>1.0979166666666667</v>
      </c>
      <c r="Q36" s="28">
        <f t="shared" si="2"/>
        <v>10.557916666666667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42.119941669378946</v>
      </c>
      <c r="C37" s="28">
        <f t="shared" si="3" ref="C37:Q37">STDEV(C9:C32)</f>
        <v>6.0134224261532845</v>
      </c>
      <c r="D37" s="28">
        <f t="shared" si="3"/>
        <v>32.16718514262633</v>
      </c>
      <c r="E37" s="28">
        <f t="shared" si="3"/>
        <v>0.10015115387846724</v>
      </c>
      <c r="F37" s="28">
        <f t="shared" si="3"/>
        <v>0.19782879437548509</v>
      </c>
      <c r="G37" s="28">
        <f t="shared" si="3"/>
        <v>33.694208935080709</v>
      </c>
      <c r="H37" s="28">
        <f t="shared" si="3"/>
        <v>12.928197583330139</v>
      </c>
      <c r="I37" s="28">
        <f t="shared" si="3"/>
        <v>0.039000185804091057</v>
      </c>
      <c r="J37" s="28">
        <f t="shared" si="3"/>
        <v>0.51656824682048397</v>
      </c>
      <c r="K37" s="28">
        <f t="shared" si="3"/>
        <v>116.59149805867138</v>
      </c>
      <c r="L37" s="28">
        <f t="shared" si="3"/>
        <v>3.828567579414679</v>
      </c>
      <c r="M37" s="28">
        <f t="shared" si="3"/>
        <v>26.272469772268941</v>
      </c>
      <c r="N37" s="28">
        <f t="shared" si="3"/>
        <v>303.98698195691759</v>
      </c>
      <c r="O37" s="28">
        <f t="shared" si="3"/>
        <v>0</v>
      </c>
      <c r="P37" s="28">
        <f t="shared" si="3"/>
        <v>0.53518772949041082</v>
      </c>
      <c r="Q37" s="28">
        <f t="shared" si="3"/>
        <v>3.3442539678453347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0795d0-93e4-4de9-a0d0-1d539b458613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4" sqref="G6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1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63"/>
      <c r="B8" s="64" t="s">
        <v>22</v>
      </c>
      <c r="C8" s="64" t="s">
        <v>22</v>
      </c>
      <c r="D8" s="29" t="s">
        <v>61</v>
      </c>
      <c r="E8" s="64" t="s">
        <v>22</v>
      </c>
      <c r="F8" s="64" t="s">
        <v>22</v>
      </c>
      <c r="G8" s="64" t="s">
        <v>23</v>
      </c>
      <c r="H8" s="64" t="s">
        <v>22</v>
      </c>
      <c r="I8" s="64" t="s">
        <v>22</v>
      </c>
      <c r="J8" s="64" t="s">
        <v>24</v>
      </c>
      <c r="K8" s="64" t="s">
        <v>25</v>
      </c>
      <c r="L8" s="63" t="s">
        <v>27</v>
      </c>
      <c r="M8" s="64" t="s">
        <v>26</v>
      </c>
      <c r="N8" s="64" t="s">
        <v>28</v>
      </c>
      <c r="O8" s="63" t="s">
        <v>29</v>
      </c>
      <c r="P8" s="64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662</v>
      </c>
      <c r="B9" s="54">
        <v>119.57</v>
      </c>
      <c r="C9" s="54">
        <v>43.81</v>
      </c>
      <c r="D9" s="54">
        <v>120.71</v>
      </c>
      <c r="E9" s="54">
        <v>0.49</v>
      </c>
      <c r="F9" s="54">
        <v>3.22</v>
      </c>
      <c r="G9" s="54">
        <v>141.87</v>
      </c>
      <c r="H9" s="54">
        <v>53.71</v>
      </c>
      <c r="I9" s="54">
        <v>1.51</v>
      </c>
      <c r="J9" s="54">
        <v>0.13</v>
      </c>
      <c r="K9" s="54">
        <v>291.30</v>
      </c>
      <c r="L9" s="54">
        <v>12.32</v>
      </c>
      <c r="M9" s="54">
        <v>88.23</v>
      </c>
      <c r="N9" s="54">
        <v>36.5</v>
      </c>
      <c r="O9" s="54">
        <v>0</v>
      </c>
      <c r="P9" s="54">
        <v>1.81</v>
      </c>
      <c r="Q9" s="54">
        <v>16.579999999999998</v>
      </c>
      <c r="R9" s="43"/>
      <c r="S9" s="43"/>
      <c r="T9" s="43"/>
      <c r="U9" s="43"/>
    </row>
    <row r="10" spans="1:21" s="11" customFormat="1" ht="15">
      <c r="A10" s="53" t="s">
        <v>663</v>
      </c>
      <c r="B10" s="54">
        <v>108.81</v>
      </c>
      <c r="C10" s="54">
        <v>46.83</v>
      </c>
      <c r="D10" s="54">
        <v>112.49</v>
      </c>
      <c r="E10" s="54">
        <v>0.49</v>
      </c>
      <c r="F10" s="54">
        <v>3.24</v>
      </c>
      <c r="G10" s="54">
        <v>141.87</v>
      </c>
      <c r="H10" s="54">
        <v>53.71</v>
      </c>
      <c r="I10" s="54">
        <v>1.56</v>
      </c>
      <c r="J10" s="54">
        <v>0.21</v>
      </c>
      <c r="K10" s="54">
        <v>314.97000000000003</v>
      </c>
      <c r="L10" s="54">
        <v>12.54</v>
      </c>
      <c r="M10" s="54">
        <v>86.18</v>
      </c>
      <c r="N10" s="54">
        <v>37.10</v>
      </c>
      <c r="O10" s="54">
        <v>0</v>
      </c>
      <c r="P10" s="54">
        <v>1.59</v>
      </c>
      <c r="Q10" s="54">
        <v>16.39</v>
      </c>
      <c r="R10" s="43"/>
      <c r="S10" s="43"/>
      <c r="T10" s="43"/>
      <c r="U10" s="43"/>
    </row>
    <row r="11" spans="1:21" s="11" customFormat="1" ht="15">
      <c r="A11" s="53" t="s">
        <v>664</v>
      </c>
      <c r="B11" s="54">
        <v>87.06</v>
      </c>
      <c r="C11" s="54">
        <v>46.14</v>
      </c>
      <c r="D11" s="54">
        <v>95.22</v>
      </c>
      <c r="E11" s="54">
        <v>0.43</v>
      </c>
      <c r="F11" s="54">
        <v>3.35</v>
      </c>
      <c r="G11" s="54">
        <v>119.56</v>
      </c>
      <c r="H11" s="54">
        <v>50.69</v>
      </c>
      <c r="I11" s="54">
        <v>1.53</v>
      </c>
      <c r="J11" s="54">
        <v>0.09</v>
      </c>
      <c r="K11" s="54">
        <v>307.51</v>
      </c>
      <c r="L11" s="54">
        <v>11.08</v>
      </c>
      <c r="M11" s="54">
        <v>85.45</v>
      </c>
      <c r="N11" s="54">
        <v>36.90</v>
      </c>
      <c r="O11" s="54">
        <v>0</v>
      </c>
      <c r="P11" s="54">
        <v>1.44</v>
      </c>
      <c r="Q11" s="54">
        <v>14.90</v>
      </c>
      <c r="R11" s="43"/>
      <c r="S11" s="43"/>
      <c r="T11" s="43"/>
      <c r="U11" s="43"/>
    </row>
    <row r="12" spans="1:21" s="11" customFormat="1" ht="15">
      <c r="A12" s="53" t="s">
        <v>665</v>
      </c>
      <c r="B12" s="54">
        <v>68.239999999999995</v>
      </c>
      <c r="C12" s="54">
        <v>44.23</v>
      </c>
      <c r="D12" s="54">
        <v>78.67</v>
      </c>
      <c r="E12" s="54">
        <v>0.39</v>
      </c>
      <c r="F12" s="54">
        <v>3.15</v>
      </c>
      <c r="G12" s="54">
        <v>102.88</v>
      </c>
      <c r="H12" s="54">
        <v>49.49</v>
      </c>
      <c r="I12" s="54">
        <v>1.54</v>
      </c>
      <c r="J12" s="54">
        <v>0.10</v>
      </c>
      <c r="K12" s="54">
        <v>320.73</v>
      </c>
      <c r="L12" s="54">
        <v>11.03</v>
      </c>
      <c r="M12" s="54">
        <v>84.45</v>
      </c>
      <c r="N12" s="54">
        <v>36.799999999999997</v>
      </c>
      <c r="O12" s="54">
        <v>0</v>
      </c>
      <c r="P12" s="54">
        <v>1.22</v>
      </c>
      <c r="Q12" s="54">
        <v>13.15</v>
      </c>
      <c r="R12" s="43"/>
      <c r="S12" s="43"/>
      <c r="T12" s="43"/>
      <c r="U12" s="43"/>
    </row>
    <row r="13" spans="1:21" s="11" customFormat="1" ht="15">
      <c r="A13" s="53" t="s">
        <v>666</v>
      </c>
      <c r="B13" s="54">
        <v>55.64</v>
      </c>
      <c r="C13" s="54">
        <v>42.42</v>
      </c>
      <c r="D13" s="54">
        <v>67.569999999999993</v>
      </c>
      <c r="E13" s="54">
        <v>0.39</v>
      </c>
      <c r="F13" s="54">
        <v>3.12</v>
      </c>
      <c r="G13" s="54">
        <v>127.05</v>
      </c>
      <c r="H13" s="54">
        <v>55.64</v>
      </c>
      <c r="I13" s="54">
        <v>1.56</v>
      </c>
      <c r="J13" s="54">
        <v>0.24</v>
      </c>
      <c r="K13" s="54">
        <v>350.40</v>
      </c>
      <c r="L13" s="54">
        <v>11.61</v>
      </c>
      <c r="M13" s="54">
        <v>80.48</v>
      </c>
      <c r="N13" s="54">
        <v>36.60</v>
      </c>
      <c r="O13" s="54">
        <v>0</v>
      </c>
      <c r="P13" s="54">
        <v>1.0900000000000001</v>
      </c>
      <c r="Q13" s="54">
        <v>11.57</v>
      </c>
      <c r="R13" s="43"/>
      <c r="S13" s="43"/>
      <c r="T13" s="43"/>
      <c r="U13" s="43"/>
    </row>
    <row r="14" spans="1:21" s="11" customFormat="1" ht="15">
      <c r="A14" s="53" t="s">
        <v>667</v>
      </c>
      <c r="B14" s="54">
        <v>45.43</v>
      </c>
      <c r="C14" s="54">
        <v>47.12</v>
      </c>
      <c r="D14" s="54">
        <v>61.76</v>
      </c>
      <c r="E14" s="54">
        <v>0.28999999999999998</v>
      </c>
      <c r="F14" s="54">
        <v>3.11</v>
      </c>
      <c r="G14" s="54">
        <v>134.06</v>
      </c>
      <c r="H14" s="54">
        <v>55.71</v>
      </c>
      <c r="I14" s="54">
        <v>1.48</v>
      </c>
      <c r="J14" s="54">
        <v>0.15</v>
      </c>
      <c r="K14" s="54">
        <v>97.66</v>
      </c>
      <c r="L14" s="54">
        <v>11.36</v>
      </c>
      <c r="M14" s="54">
        <v>70.239999999999995</v>
      </c>
      <c r="N14" s="54">
        <v>36.799999999999997</v>
      </c>
      <c r="O14" s="54">
        <v>0</v>
      </c>
      <c r="P14" s="54">
        <v>1.07</v>
      </c>
      <c r="Q14" s="54">
        <v>10.53</v>
      </c>
      <c r="R14" s="43"/>
      <c r="S14" s="43"/>
      <c r="T14" s="43"/>
      <c r="U14" s="43"/>
    </row>
    <row r="15" spans="1:21" s="11" customFormat="1" ht="15">
      <c r="A15" s="53" t="s">
        <v>668</v>
      </c>
      <c r="B15" s="54">
        <v>37.159999999999997</v>
      </c>
      <c r="C15" s="54">
        <v>46.70</v>
      </c>
      <c r="D15" s="54">
        <v>53.54</v>
      </c>
      <c r="E15" s="54">
        <v>0.34</v>
      </c>
      <c r="F15" s="54">
        <v>3.07</v>
      </c>
      <c r="G15" s="54">
        <v>134.06</v>
      </c>
      <c r="H15" s="54">
        <v>55.71</v>
      </c>
      <c r="I15" s="54">
        <v>1.56</v>
      </c>
      <c r="J15" s="54">
        <v>0.16</v>
      </c>
      <c r="K15" s="54">
        <v>173.57</v>
      </c>
      <c r="L15" s="54">
        <v>11.07</v>
      </c>
      <c r="M15" s="54">
        <v>70.64</v>
      </c>
      <c r="N15" s="54">
        <v>57.70</v>
      </c>
      <c r="O15" s="54">
        <v>0</v>
      </c>
      <c r="P15" s="54">
        <v>0.94</v>
      </c>
      <c r="Q15" s="54">
        <v>9.43</v>
      </c>
      <c r="R15" s="43"/>
      <c r="S15" s="43"/>
      <c r="T15" s="43"/>
      <c r="U15" s="43"/>
    </row>
    <row r="16" spans="1:21" s="11" customFormat="1" ht="15">
      <c r="A16" s="53" t="s">
        <v>669</v>
      </c>
      <c r="B16" s="54">
        <v>42.20</v>
      </c>
      <c r="C16" s="54">
        <v>40.49</v>
      </c>
      <c r="D16" s="54">
        <v>56.76</v>
      </c>
      <c r="E16" s="54">
        <v>0.31</v>
      </c>
      <c r="F16" s="54">
        <v>3.20</v>
      </c>
      <c r="G16" s="54">
        <v>115.31</v>
      </c>
      <c r="H16" s="54">
        <v>51.65</v>
      </c>
      <c r="I16" s="54">
        <v>1.57</v>
      </c>
      <c r="J16" s="54">
        <v>0.37</v>
      </c>
      <c r="K16" s="54">
        <v>110.74</v>
      </c>
      <c r="L16" s="54">
        <v>14.28</v>
      </c>
      <c r="M16" s="54">
        <v>69.30</v>
      </c>
      <c r="N16" s="54">
        <v>251.10</v>
      </c>
      <c r="O16" s="54">
        <v>0</v>
      </c>
      <c r="P16" s="54">
        <v>0.93</v>
      </c>
      <c r="Q16" s="54">
        <v>10.10</v>
      </c>
      <c r="R16" s="43"/>
      <c r="S16" s="43"/>
      <c r="T16" s="43"/>
      <c r="U16" s="43"/>
    </row>
    <row r="17" spans="1:21" s="11" customFormat="1" ht="15">
      <c r="A17" s="53" t="s">
        <v>670</v>
      </c>
      <c r="B17" s="54">
        <v>42.17</v>
      </c>
      <c r="C17" s="54">
        <v>50.95</v>
      </c>
      <c r="D17" s="54">
        <v>58.06</v>
      </c>
      <c r="E17" s="54">
        <v>0.18</v>
      </c>
      <c r="F17" s="54">
        <v>3.42</v>
      </c>
      <c r="G17" s="54">
        <v>110.45</v>
      </c>
      <c r="H17" s="54">
        <v>48.59</v>
      </c>
      <c r="I17" s="54">
        <v>1.51</v>
      </c>
      <c r="J17" s="54">
        <v>1.35</v>
      </c>
      <c r="K17" s="54">
        <v>110.60</v>
      </c>
      <c r="L17" s="54">
        <v>16.23</v>
      </c>
      <c r="M17" s="54">
        <v>50.45</v>
      </c>
      <c r="N17" s="54">
        <v>512.79999999999995</v>
      </c>
      <c r="O17" s="54">
        <v>0</v>
      </c>
      <c r="P17" s="54">
        <v>0.92</v>
      </c>
      <c r="Q17" s="54">
        <v>10.02</v>
      </c>
      <c r="R17" s="43"/>
      <c r="S17" s="43"/>
      <c r="T17" s="43"/>
      <c r="U17" s="43"/>
    </row>
    <row r="18" spans="1:21" s="11" customFormat="1" ht="15">
      <c r="A18" s="53" t="s">
        <v>671</v>
      </c>
      <c r="B18" s="54">
        <v>29.17</v>
      </c>
      <c r="C18" s="54">
        <v>53.80</v>
      </c>
      <c r="D18" s="54">
        <v>52.21</v>
      </c>
      <c r="E18" s="54">
        <v>0.18</v>
      </c>
      <c r="F18" s="54">
        <v>3.32</v>
      </c>
      <c r="G18" s="54">
        <v>102.35</v>
      </c>
      <c r="H18" s="54">
        <v>42.48</v>
      </c>
      <c r="I18" s="54">
        <v>1.52</v>
      </c>
      <c r="J18" s="54">
        <v>0.57999999999999996</v>
      </c>
      <c r="K18" s="54">
        <v>102.51</v>
      </c>
      <c r="L18" s="54">
        <v>20.010000000000002</v>
      </c>
      <c r="M18" s="54">
        <v>42.05</v>
      </c>
      <c r="N18" s="54">
        <v>753.90</v>
      </c>
      <c r="O18" s="54">
        <v>0</v>
      </c>
      <c r="P18" s="54">
        <v>0.81</v>
      </c>
      <c r="Q18" s="54">
        <v>7.53</v>
      </c>
      <c r="R18" s="43"/>
      <c r="S18" s="43"/>
      <c r="T18" s="43"/>
      <c r="U18" s="43"/>
    </row>
    <row r="19" spans="1:21" s="11" customFormat="1" ht="15">
      <c r="A19" s="53" t="s">
        <v>672</v>
      </c>
      <c r="B19" s="54">
        <v>21.84</v>
      </c>
      <c r="C19" s="54">
        <v>55.78</v>
      </c>
      <c r="D19" s="54">
        <v>48.12</v>
      </c>
      <c r="E19" s="54">
        <v>0.17</v>
      </c>
      <c r="F19" s="54">
        <v>3.51</v>
      </c>
      <c r="G19" s="54">
        <v>89.41</v>
      </c>
      <c r="H19" s="54">
        <v>37.54</v>
      </c>
      <c r="I19" s="54">
        <v>1.52</v>
      </c>
      <c r="J19" s="54">
        <v>1.37</v>
      </c>
      <c r="K19" s="54">
        <v>341.70</v>
      </c>
      <c r="L19" s="54">
        <v>21.82</v>
      </c>
      <c r="M19" s="54">
        <v>36.97</v>
      </c>
      <c r="N19" s="54">
        <v>863.60</v>
      </c>
      <c r="O19" s="54">
        <v>0</v>
      </c>
      <c r="P19" s="54">
        <v>0.74</v>
      </c>
      <c r="Q19" s="54">
        <v>6.99</v>
      </c>
      <c r="R19" s="43"/>
      <c r="S19" s="43"/>
      <c r="T19" s="43"/>
      <c r="U19" s="43"/>
    </row>
    <row r="20" spans="1:21" s="11" customFormat="1" ht="15">
      <c r="A20" s="53" t="s">
        <v>673</v>
      </c>
      <c r="B20" s="54">
        <v>12.97</v>
      </c>
      <c r="C20" s="54">
        <v>55.53</v>
      </c>
      <c r="D20" s="54">
        <v>41.60</v>
      </c>
      <c r="E20" s="54">
        <v>0.11</v>
      </c>
      <c r="F20" s="54">
        <v>3.76</v>
      </c>
      <c r="G20" s="54">
        <v>74.19</v>
      </c>
      <c r="H20" s="54">
        <v>33.979999999999997</v>
      </c>
      <c r="I20" s="54">
        <v>1.55</v>
      </c>
      <c r="J20" s="54">
        <v>1.07</v>
      </c>
      <c r="K20" s="54">
        <v>112.81</v>
      </c>
      <c r="L20" s="54">
        <v>23.25</v>
      </c>
      <c r="M20" s="54">
        <v>31.52</v>
      </c>
      <c r="N20" s="54">
        <v>925.70</v>
      </c>
      <c r="O20" s="54">
        <v>0</v>
      </c>
      <c r="P20" s="54">
        <v>0.63</v>
      </c>
      <c r="Q20" s="54">
        <v>7.02</v>
      </c>
      <c r="R20" s="43"/>
      <c r="S20" s="43"/>
      <c r="T20" s="43"/>
      <c r="U20" s="43"/>
    </row>
    <row r="21" spans="1:21" s="11" customFormat="1" ht="15">
      <c r="A21" s="53" t="s">
        <v>674</v>
      </c>
      <c r="B21" s="54">
        <v>8.14</v>
      </c>
      <c r="C21" s="54">
        <v>57.02</v>
      </c>
      <c r="D21" s="54">
        <v>37.46</v>
      </c>
      <c r="E21" s="54">
        <v>0.28999999999999998</v>
      </c>
      <c r="F21" s="54">
        <v>4.1399999999999997</v>
      </c>
      <c r="G21" s="54">
        <v>62.93</v>
      </c>
      <c r="H21" s="54">
        <v>25.84</v>
      </c>
      <c r="I21" s="54">
        <v>1.51</v>
      </c>
      <c r="J21" s="54">
        <v>0.79</v>
      </c>
      <c r="K21" s="54">
        <v>343.58</v>
      </c>
      <c r="L21" s="54">
        <v>27.5</v>
      </c>
      <c r="M21" s="54">
        <v>29.19</v>
      </c>
      <c r="N21" s="54">
        <v>939.80</v>
      </c>
      <c r="O21" s="54">
        <v>0</v>
      </c>
      <c r="P21" s="54">
        <v>0.55000000000000004</v>
      </c>
      <c r="Q21" s="54">
        <v>6.97</v>
      </c>
      <c r="R21" s="43"/>
      <c r="S21" s="43"/>
      <c r="T21" s="43"/>
      <c r="U21" s="43"/>
    </row>
    <row r="22" spans="1:21" s="11" customFormat="1" ht="15">
      <c r="A22" s="53" t="s">
        <v>675</v>
      </c>
      <c r="B22" s="54">
        <v>5.17</v>
      </c>
      <c r="C22" s="54">
        <v>57.48</v>
      </c>
      <c r="D22" s="54">
        <v>36.520000000000003</v>
      </c>
      <c r="E22" s="54">
        <v>0.38</v>
      </c>
      <c r="F22" s="54">
        <v>4.4800000000000004</v>
      </c>
      <c r="G22" s="54">
        <v>47.65</v>
      </c>
      <c r="H22" s="54">
        <v>23.18</v>
      </c>
      <c r="I22" s="54">
        <v>1.55</v>
      </c>
      <c r="J22" s="54">
        <v>0.74</v>
      </c>
      <c r="K22" s="54">
        <v>342.93</v>
      </c>
      <c r="L22" s="54">
        <v>26.94</v>
      </c>
      <c r="M22" s="54">
        <v>25.25</v>
      </c>
      <c r="N22" s="54">
        <v>878.90</v>
      </c>
      <c r="O22" s="54">
        <v>0</v>
      </c>
      <c r="P22" s="54">
        <v>0.63</v>
      </c>
      <c r="Q22" s="54">
        <v>6.85</v>
      </c>
      <c r="R22" s="43"/>
      <c r="S22" s="43"/>
      <c r="T22" s="43"/>
      <c r="U22" s="43"/>
    </row>
    <row r="23" spans="1:21" s="11" customFormat="1" ht="15">
      <c r="A23" s="53" t="s">
        <v>676</v>
      </c>
      <c r="B23" s="54">
        <v>4.08</v>
      </c>
      <c r="C23" s="54">
        <v>55.76</v>
      </c>
      <c r="D23" s="54">
        <v>34.700000000000003</v>
      </c>
      <c r="E23" s="54">
        <v>0.22</v>
      </c>
      <c r="F23" s="54">
        <v>4.6399999999999997</v>
      </c>
      <c r="G23" s="54">
        <v>48.83</v>
      </c>
      <c r="H23" s="54">
        <v>23.18</v>
      </c>
      <c r="I23" s="54">
        <v>1.54</v>
      </c>
      <c r="J23" s="54">
        <v>0.70</v>
      </c>
      <c r="K23" s="54">
        <v>354.03</v>
      </c>
      <c r="L23" s="54">
        <v>24.59</v>
      </c>
      <c r="M23" s="54">
        <v>25.61</v>
      </c>
      <c r="N23" s="54">
        <v>720.20</v>
      </c>
      <c r="O23" s="54">
        <v>0</v>
      </c>
      <c r="P23" s="54">
        <v>0.61</v>
      </c>
      <c r="Q23" s="54">
        <v>6.77</v>
      </c>
      <c r="R23" s="43"/>
      <c r="S23" s="43"/>
      <c r="T23" s="43"/>
      <c r="U23" s="43"/>
    </row>
    <row r="24" spans="1:21" s="11" customFormat="1" ht="15">
      <c r="A24" s="53" t="s">
        <v>677</v>
      </c>
      <c r="B24" s="54">
        <v>3.08</v>
      </c>
      <c r="C24" s="54">
        <v>50.45</v>
      </c>
      <c r="D24" s="54">
        <v>30.96</v>
      </c>
      <c r="E24" s="54">
        <v>0.19</v>
      </c>
      <c r="F24" s="54">
        <v>5.05</v>
      </c>
      <c r="G24" s="54">
        <v>48.83</v>
      </c>
      <c r="H24" s="54">
        <v>22.73</v>
      </c>
      <c r="I24" s="54">
        <v>1.57</v>
      </c>
      <c r="J24" s="54">
        <v>1.31</v>
      </c>
      <c r="K24" s="54">
        <v>112.78</v>
      </c>
      <c r="L24" s="54">
        <v>22.55</v>
      </c>
      <c r="M24" s="54">
        <v>25.57</v>
      </c>
      <c r="N24" s="54">
        <v>197.30</v>
      </c>
      <c r="O24" s="54">
        <v>0</v>
      </c>
      <c r="P24" s="54">
        <v>0.55000000000000004</v>
      </c>
      <c r="Q24" s="54">
        <v>6.5</v>
      </c>
      <c r="R24" s="43"/>
      <c r="S24" s="43"/>
      <c r="T24" s="43"/>
      <c r="U24" s="43"/>
    </row>
    <row r="25" spans="1:21" s="11" customFormat="1" ht="15">
      <c r="A25" s="53" t="s">
        <v>678</v>
      </c>
      <c r="B25" s="54">
        <v>5.39</v>
      </c>
      <c r="C25" s="54">
        <v>50.95</v>
      </c>
      <c r="D25" s="54">
        <v>33.090000000000003</v>
      </c>
      <c r="E25" s="54">
        <v>0.28999999999999998</v>
      </c>
      <c r="F25" s="54">
        <v>4.49</v>
      </c>
      <c r="G25" s="54">
        <v>38.130000000000003</v>
      </c>
      <c r="H25" s="54">
        <v>20.49</v>
      </c>
      <c r="I25" s="54">
        <v>1.53</v>
      </c>
      <c r="J25" s="54">
        <v>0.98</v>
      </c>
      <c r="K25" s="54">
        <v>345.48</v>
      </c>
      <c r="L25" s="54">
        <v>22.47</v>
      </c>
      <c r="M25" s="54">
        <v>29.72</v>
      </c>
      <c r="N25" s="54">
        <v>167.90</v>
      </c>
      <c r="O25" s="54">
        <v>0</v>
      </c>
      <c r="P25" s="54">
        <v>0.53</v>
      </c>
      <c r="Q25" s="54">
        <v>6.51</v>
      </c>
      <c r="R25" s="43"/>
      <c r="S25" s="43"/>
      <c r="T25" s="43"/>
      <c r="U25" s="43"/>
    </row>
    <row r="26" spans="1:21" s="11" customFormat="1" ht="15">
      <c r="A26" s="53" t="s">
        <v>679</v>
      </c>
      <c r="B26" s="54">
        <v>7.73</v>
      </c>
      <c r="C26" s="54">
        <v>57.42</v>
      </c>
      <c r="D26" s="54">
        <v>38.53</v>
      </c>
      <c r="E26" s="54">
        <v>0.24</v>
      </c>
      <c r="F26" s="54">
        <v>3.63</v>
      </c>
      <c r="G26" s="54">
        <v>54.66</v>
      </c>
      <c r="H26" s="54">
        <v>23.18</v>
      </c>
      <c r="I26" s="54">
        <v>1.58</v>
      </c>
      <c r="J26" s="54">
        <v>1.0900000000000001</v>
      </c>
      <c r="K26" s="54">
        <v>344.40</v>
      </c>
      <c r="L26" s="54">
        <v>21.20</v>
      </c>
      <c r="M26" s="54">
        <v>35.79</v>
      </c>
      <c r="N26" s="54">
        <v>103.30</v>
      </c>
      <c r="O26" s="54">
        <v>0</v>
      </c>
      <c r="P26" s="54">
        <v>0.61</v>
      </c>
      <c r="Q26" s="54">
        <v>6.93</v>
      </c>
      <c r="R26" s="43"/>
      <c r="S26" s="43"/>
      <c r="T26" s="43"/>
      <c r="U26" s="43"/>
    </row>
    <row r="27" spans="1:21" s="11" customFormat="1" ht="15">
      <c r="A27" s="53" t="s">
        <v>680</v>
      </c>
      <c r="B27" s="54">
        <v>12.34</v>
      </c>
      <c r="C27" s="54">
        <v>61.66</v>
      </c>
      <c r="D27" s="54">
        <v>44.57</v>
      </c>
      <c r="E27" s="54">
        <v>0.28999999999999998</v>
      </c>
      <c r="F27" s="54">
        <v>4.5999999999999996</v>
      </c>
      <c r="G27" s="54">
        <v>69.239999999999995</v>
      </c>
      <c r="H27" s="54">
        <v>24.49</v>
      </c>
      <c r="I27" s="54">
        <v>1.51</v>
      </c>
      <c r="J27" s="54">
        <v>0.98</v>
      </c>
      <c r="K27" s="54">
        <v>350.07</v>
      </c>
      <c r="L27" s="54">
        <v>18.84</v>
      </c>
      <c r="M27" s="54">
        <v>42.78</v>
      </c>
      <c r="N27" s="54">
        <v>68.400000000000006</v>
      </c>
      <c r="O27" s="54">
        <v>0</v>
      </c>
      <c r="P27" s="54">
        <v>0.76</v>
      </c>
      <c r="Q27" s="54">
        <v>7.37</v>
      </c>
      <c r="R27" s="43"/>
      <c r="S27" s="43"/>
      <c r="T27" s="43"/>
      <c r="U27" s="43"/>
    </row>
    <row r="28" spans="1:21" s="11" customFormat="1" ht="15">
      <c r="A28" s="53" t="s">
        <v>681</v>
      </c>
      <c r="B28" s="54">
        <v>13.18</v>
      </c>
      <c r="C28" s="54">
        <v>64.06</v>
      </c>
      <c r="D28" s="54">
        <v>46.54</v>
      </c>
      <c r="E28" s="54">
        <v>0.25</v>
      </c>
      <c r="F28" s="54">
        <v>3.65</v>
      </c>
      <c r="G28" s="54">
        <v>79.790000000000006</v>
      </c>
      <c r="H28" s="54">
        <v>29.10</v>
      </c>
      <c r="I28" s="54">
        <v>1.54</v>
      </c>
      <c r="J28" s="54">
        <v>0.5</v>
      </c>
      <c r="K28" s="54">
        <v>346.88</v>
      </c>
      <c r="L28" s="54">
        <v>17.71</v>
      </c>
      <c r="M28" s="54">
        <v>47.47</v>
      </c>
      <c r="N28" s="54">
        <v>69.30</v>
      </c>
      <c r="O28" s="54">
        <v>0</v>
      </c>
      <c r="P28" s="54">
        <v>0.88</v>
      </c>
      <c r="Q28" s="54">
        <v>7.64</v>
      </c>
      <c r="R28" s="43"/>
      <c r="S28" s="43"/>
      <c r="T28" s="43"/>
      <c r="U28" s="43"/>
    </row>
    <row r="29" spans="1:21" s="11" customFormat="1" ht="15">
      <c r="A29" s="53" t="s">
        <v>682</v>
      </c>
      <c r="B29" s="54">
        <v>51.39</v>
      </c>
      <c r="C29" s="54">
        <v>62.77</v>
      </c>
      <c r="D29" s="54">
        <v>71.14</v>
      </c>
      <c r="E29" s="54">
        <v>0.23</v>
      </c>
      <c r="F29" s="54">
        <v>3.06</v>
      </c>
      <c r="G29" s="54">
        <v>114.67</v>
      </c>
      <c r="H29" s="54">
        <v>37.04</v>
      </c>
      <c r="I29" s="54">
        <v>1.48</v>
      </c>
      <c r="J29" s="54">
        <v>0.19</v>
      </c>
      <c r="K29" s="54">
        <v>332.77</v>
      </c>
      <c r="L29" s="54">
        <v>16.309999999999999</v>
      </c>
      <c r="M29" s="54">
        <v>67.55</v>
      </c>
      <c r="N29" s="54">
        <v>69.80</v>
      </c>
      <c r="O29" s="54">
        <v>0</v>
      </c>
      <c r="P29" s="54">
        <v>1.19</v>
      </c>
      <c r="Q29" s="54">
        <v>9.06</v>
      </c>
      <c r="R29" s="43"/>
      <c r="S29" s="43"/>
      <c r="T29" s="43"/>
      <c r="U29" s="43"/>
    </row>
    <row r="30" spans="1:21" s="11" customFormat="1" ht="15">
      <c r="A30" s="53" t="s">
        <v>683</v>
      </c>
      <c r="B30" s="54">
        <v>119.49</v>
      </c>
      <c r="C30" s="54">
        <v>59.18</v>
      </c>
      <c r="D30" s="54">
        <v>129.13</v>
      </c>
      <c r="E30" s="54">
        <v>0.31</v>
      </c>
      <c r="F30" s="54">
        <v>3.24</v>
      </c>
      <c r="G30" s="54">
        <v>204.89</v>
      </c>
      <c r="H30" s="54">
        <v>49.33</v>
      </c>
      <c r="I30" s="54">
        <v>1.58</v>
      </c>
      <c r="J30" s="54">
        <v>0.09</v>
      </c>
      <c r="K30" s="54">
        <v>339.18</v>
      </c>
      <c r="L30" s="54">
        <v>14.14</v>
      </c>
      <c r="M30" s="54">
        <v>79.790000000000006</v>
      </c>
      <c r="N30" s="54">
        <v>69.80</v>
      </c>
      <c r="O30" s="54">
        <v>0</v>
      </c>
      <c r="P30" s="54">
        <v>1.72</v>
      </c>
      <c r="Q30" s="54">
        <v>13.48</v>
      </c>
      <c r="R30" s="43"/>
      <c r="S30" s="43"/>
      <c r="T30" s="43"/>
      <c r="U30" s="43"/>
    </row>
    <row r="31" spans="1:21" s="11" customFormat="1" ht="15">
      <c r="A31" s="53" t="s">
        <v>684</v>
      </c>
      <c r="B31" s="54">
        <v>161.16999999999999</v>
      </c>
      <c r="C31" s="54">
        <v>65.45</v>
      </c>
      <c r="D31" s="54">
        <v>165.54</v>
      </c>
      <c r="E31" s="54">
        <v>0.48</v>
      </c>
      <c r="F31" s="54">
        <v>3.33</v>
      </c>
      <c r="G31" s="54">
        <v>233.51</v>
      </c>
      <c r="H31" s="54">
        <v>68.42</v>
      </c>
      <c r="I31" s="54">
        <v>1.51</v>
      </c>
      <c r="J31" s="54">
        <v>0.16</v>
      </c>
      <c r="K31" s="54">
        <v>331.65</v>
      </c>
      <c r="L31" s="54">
        <v>13.47</v>
      </c>
      <c r="M31" s="54">
        <v>92.59</v>
      </c>
      <c r="N31" s="54">
        <v>70.20</v>
      </c>
      <c r="O31" s="54">
        <v>0</v>
      </c>
      <c r="P31" s="54">
        <v>2.2599999999999998</v>
      </c>
      <c r="Q31" s="54">
        <v>17.70</v>
      </c>
      <c r="R31" s="43"/>
      <c r="S31" s="43"/>
      <c r="T31" s="43"/>
      <c r="U31" s="43"/>
    </row>
    <row r="32" spans="1:21" s="11" customFormat="1" ht="15">
      <c r="A32" s="53" t="s">
        <v>685</v>
      </c>
      <c r="B32" s="54">
        <v>165.03</v>
      </c>
      <c r="C32" s="54">
        <v>62.43</v>
      </c>
      <c r="D32" s="54">
        <v>166.57</v>
      </c>
      <c r="E32" s="54">
        <v>0.53</v>
      </c>
      <c r="F32" s="54">
        <v>3.25</v>
      </c>
      <c r="G32" s="54">
        <v>233.51</v>
      </c>
      <c r="H32" s="54">
        <v>75.180000000000007</v>
      </c>
      <c r="I32" s="54">
        <v>1.49</v>
      </c>
      <c r="J32" s="54">
        <v>0.18</v>
      </c>
      <c r="K32" s="54">
        <v>289.38</v>
      </c>
      <c r="L32" s="54">
        <v>13.40</v>
      </c>
      <c r="M32" s="54">
        <v>91.25</v>
      </c>
      <c r="N32" s="54">
        <v>70.70</v>
      </c>
      <c r="O32" s="54">
        <v>0</v>
      </c>
      <c r="P32" s="54">
        <v>2.5299999999999998</v>
      </c>
      <c r="Q32" s="54">
        <v>18.23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3.0800000000000001</v>
      </c>
      <c r="C34" s="28">
        <f t="shared" si="0"/>
        <v>40.490000000000002</v>
      </c>
      <c r="D34" s="28">
        <f t="shared" si="0"/>
        <v>30.960000000000001</v>
      </c>
      <c r="E34" s="28">
        <f t="shared" si="0"/>
        <v>0.11</v>
      </c>
      <c r="F34" s="28">
        <f t="shared" si="0"/>
        <v>3.0600000000000001</v>
      </c>
      <c r="G34" s="28">
        <f t="shared" si="0"/>
        <v>38.130000000000003</v>
      </c>
      <c r="H34" s="28">
        <f t="shared" si="0"/>
        <v>20.489999999999998</v>
      </c>
      <c r="I34" s="28">
        <f t="shared" si="0"/>
        <v>1.48</v>
      </c>
      <c r="J34" s="28">
        <f t="shared" si="0"/>
        <v>0.089999999999999997</v>
      </c>
      <c r="K34" s="28">
        <f t="shared" si="0"/>
        <v>97.659999999999997</v>
      </c>
      <c r="L34" s="28">
        <f t="shared" si="0"/>
        <v>11.029999999999999</v>
      </c>
      <c r="M34" s="28">
        <f t="shared" si="0"/>
        <v>25.25</v>
      </c>
      <c r="N34" s="28">
        <f t="shared" si="0"/>
        <v>36.5</v>
      </c>
      <c r="O34" s="28">
        <f t="shared" si="0"/>
        <v>0</v>
      </c>
      <c r="P34" s="28">
        <f t="shared" si="0"/>
        <v>0.53000000000000003</v>
      </c>
      <c r="Q34" s="28">
        <f t="shared" si="0"/>
        <v>6.5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165.03</v>
      </c>
      <c r="C35" s="29">
        <f t="shared" si="1"/>
        <v>65.450000000000003</v>
      </c>
      <c r="D35" s="29">
        <f t="shared" si="1"/>
        <v>166.56999999999999</v>
      </c>
      <c r="E35" s="29">
        <f t="shared" si="1"/>
        <v>0.53000000000000003</v>
      </c>
      <c r="F35" s="29">
        <f t="shared" si="1"/>
        <v>5.0499999999999998</v>
      </c>
      <c r="G35" s="29">
        <f t="shared" si="1"/>
        <v>233.50999999999999</v>
      </c>
      <c r="H35" s="29">
        <f t="shared" si="1"/>
        <v>75.180000000000007</v>
      </c>
      <c r="I35" s="29">
        <f t="shared" si="1"/>
        <v>1.5800000000000001</v>
      </c>
      <c r="J35" s="29">
        <f t="shared" si="1"/>
        <v>1.3700000000000001</v>
      </c>
      <c r="K35" s="29">
        <f t="shared" si="1"/>
        <v>354.02999999999997</v>
      </c>
      <c r="L35" s="29">
        <f t="shared" si="1"/>
        <v>27.5</v>
      </c>
      <c r="M35" s="29">
        <f t="shared" si="1"/>
        <v>92.590000000000003</v>
      </c>
      <c r="N35" s="29">
        <f t="shared" si="1"/>
        <v>939.79999999999995</v>
      </c>
      <c r="O35" s="29">
        <f t="shared" si="1"/>
        <v>0</v>
      </c>
      <c r="P35" s="29">
        <f t="shared" si="1"/>
        <v>2.5299999999999998</v>
      </c>
      <c r="Q35" s="29">
        <f t="shared" si="1"/>
        <v>18.23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51.102083333333333</v>
      </c>
      <c r="C36" s="28">
        <f t="shared" si="2"/>
        <v>53.267916666666672</v>
      </c>
      <c r="D36" s="28">
        <f t="shared" si="2"/>
        <v>70.060833333333349</v>
      </c>
      <c r="E36" s="28">
        <f t="shared" si="2"/>
        <v>0.31124999999999997</v>
      </c>
      <c r="F36" s="28">
        <f t="shared" si="2"/>
        <v>3.6262500000000002</v>
      </c>
      <c r="G36" s="28">
        <f t="shared" si="2"/>
        <v>109.57083333333337</v>
      </c>
      <c r="H36" s="28">
        <f t="shared" si="2"/>
        <v>42.127499999999998</v>
      </c>
      <c r="I36" s="28">
        <f t="shared" si="2"/>
        <v>1.5333333333333334</v>
      </c>
      <c r="J36" s="28">
        <f t="shared" si="2"/>
        <v>0.56375000000000008</v>
      </c>
      <c r="K36" s="28">
        <f t="shared" si="2"/>
        <v>269.48458333333332</v>
      </c>
      <c r="L36" s="28">
        <f t="shared" si="2"/>
        <v>17.321666666666662</v>
      </c>
      <c r="M36" s="28">
        <f t="shared" si="2"/>
        <v>57.854999999999997</v>
      </c>
      <c r="N36" s="28">
        <f t="shared" si="2"/>
        <v>292.12916666666666</v>
      </c>
      <c r="O36" s="28">
        <f t="shared" si="2"/>
        <v>0</v>
      </c>
      <c r="P36" s="28">
        <f t="shared" si="2"/>
        <v>1.0837500000000002</v>
      </c>
      <c r="Q36" s="28">
        <f t="shared" si="2"/>
        <v>10.342499999999999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50.198637083453079</v>
      </c>
      <c r="C37" s="28">
        <f t="shared" si="3" ref="C37:Q37">STDEV(C9:C32)</f>
        <v>7.388090286380562</v>
      </c>
      <c r="D37" s="28">
        <f t="shared" si="3"/>
        <v>40.541690074020927</v>
      </c>
      <c r="E37" s="28">
        <f t="shared" si="3"/>
        <v>0.11561978542882997</v>
      </c>
      <c r="F37" s="28">
        <f t="shared" si="3"/>
        <v>0.59856939955777644</v>
      </c>
      <c r="G37" s="28">
        <f t="shared" si="3"/>
        <v>54.904896821026121</v>
      </c>
      <c r="H37" s="28">
        <f t="shared" si="3"/>
        <v>15.737590349224392</v>
      </c>
      <c r="I37" s="28">
        <f t="shared" si="3"/>
        <v>0.029878982967771969</v>
      </c>
      <c r="J37" s="28">
        <f t="shared" si="3"/>
        <v>0.45270983604531273</v>
      </c>
      <c r="K37" s="28">
        <f t="shared" si="3"/>
        <v>102.0565220623895</v>
      </c>
      <c r="L37" s="28">
        <f t="shared" si="3"/>
        <v>5.3906615441945585</v>
      </c>
      <c r="M37" s="28">
        <f t="shared" si="3"/>
        <v>24.72901323652389</v>
      </c>
      <c r="N37" s="28">
        <f t="shared" si="3"/>
        <v>345.26134081322363</v>
      </c>
      <c r="O37" s="28">
        <f t="shared" si="3"/>
        <v>0</v>
      </c>
      <c r="P37" s="28">
        <f t="shared" si="3"/>
        <v>0.55042918037536381</v>
      </c>
      <c r="Q37" s="28">
        <f t="shared" si="3"/>
        <v>3.9467259408494422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ca296c-f7e0-4f2b-89bd-93e3712157b5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686</v>
      </c>
      <c r="B9" s="54">
        <v>149.71</v>
      </c>
      <c r="C9" s="54">
        <v>56.61</v>
      </c>
      <c r="D9" s="54">
        <v>151.94999999999999</v>
      </c>
      <c r="E9" s="54">
        <v>0.52</v>
      </c>
      <c r="F9" s="54">
        <v>3.19</v>
      </c>
      <c r="G9" s="54">
        <v>199.43</v>
      </c>
      <c r="H9" s="54">
        <v>78.099999999999994</v>
      </c>
      <c r="I9" s="54">
        <v>1.53</v>
      </c>
      <c r="J9" s="54">
        <v>0.15</v>
      </c>
      <c r="K9" s="54">
        <v>291.60000000000002</v>
      </c>
      <c r="L9" s="54">
        <v>12.85</v>
      </c>
      <c r="M9" s="54">
        <v>94.86</v>
      </c>
      <c r="N9" s="54">
        <v>71.5</v>
      </c>
      <c r="O9" s="54">
        <v>0</v>
      </c>
      <c r="P9" s="54">
        <v>2.5099999999999998</v>
      </c>
      <c r="Q9" s="54">
        <v>17.57</v>
      </c>
      <c r="R9" s="43"/>
      <c r="S9" s="43"/>
      <c r="T9" s="43"/>
      <c r="U9" s="43"/>
    </row>
    <row r="10" spans="1:21" s="11" customFormat="1" ht="15">
      <c r="A10" s="53" t="s">
        <v>687</v>
      </c>
      <c r="B10" s="54">
        <v>136.87</v>
      </c>
      <c r="C10" s="54">
        <v>45.80</v>
      </c>
      <c r="D10" s="54">
        <v>135.68</v>
      </c>
      <c r="E10" s="54">
        <v>0.51</v>
      </c>
      <c r="F10" s="54">
        <v>3.20</v>
      </c>
      <c r="G10" s="54">
        <v>186.93</v>
      </c>
      <c r="H10" s="54">
        <v>78.099999999999994</v>
      </c>
      <c r="I10" s="54">
        <v>1.59</v>
      </c>
      <c r="J10" s="54">
        <v>0.17</v>
      </c>
      <c r="K10" s="54">
        <v>296.05</v>
      </c>
      <c r="L10" s="54">
        <v>11.94</v>
      </c>
      <c r="M10" s="54">
        <v>95.36</v>
      </c>
      <c r="N10" s="54">
        <v>71.70</v>
      </c>
      <c r="O10" s="54">
        <v>0</v>
      </c>
      <c r="P10" s="54">
        <v>2.0699999999999998</v>
      </c>
      <c r="Q10" s="54">
        <v>16.170000000000002</v>
      </c>
      <c r="R10" s="43"/>
      <c r="S10" s="43"/>
      <c r="T10" s="43"/>
      <c r="U10" s="43"/>
    </row>
    <row r="11" spans="1:21" s="11" customFormat="1" ht="15">
      <c r="A11" s="53" t="s">
        <v>688</v>
      </c>
      <c r="B11" s="54">
        <v>109.81</v>
      </c>
      <c r="C11" s="54">
        <v>43.18</v>
      </c>
      <c r="D11" s="54">
        <v>112.54</v>
      </c>
      <c r="E11" s="54">
        <v>0.40</v>
      </c>
      <c r="F11" s="54">
        <v>3.55</v>
      </c>
      <c r="G11" s="54">
        <v>122.97</v>
      </c>
      <c r="H11" s="54">
        <v>69.08</v>
      </c>
      <c r="I11" s="54">
        <v>1.54</v>
      </c>
      <c r="J11" s="54">
        <v>0.22</v>
      </c>
      <c r="K11" s="54">
        <v>315.25</v>
      </c>
      <c r="L11" s="54">
        <v>10.94</v>
      </c>
      <c r="M11" s="54">
        <v>98.16</v>
      </c>
      <c r="N11" s="54">
        <v>71.80</v>
      </c>
      <c r="O11" s="54">
        <v>0</v>
      </c>
      <c r="P11" s="54">
        <v>1.76</v>
      </c>
      <c r="Q11" s="54">
        <v>14.49</v>
      </c>
      <c r="R11" s="43"/>
      <c r="S11" s="43"/>
      <c r="T11" s="43"/>
      <c r="U11" s="43"/>
    </row>
    <row r="12" spans="1:21" s="11" customFormat="1" ht="15">
      <c r="A12" s="53" t="s">
        <v>689</v>
      </c>
      <c r="B12" s="54">
        <v>90.03</v>
      </c>
      <c r="C12" s="54">
        <v>43.07</v>
      </c>
      <c r="D12" s="54">
        <v>95.94</v>
      </c>
      <c r="E12" s="54">
        <v>0.46</v>
      </c>
      <c r="F12" s="54">
        <v>3.25</v>
      </c>
      <c r="G12" s="54">
        <v>109.19</v>
      </c>
      <c r="H12" s="54">
        <v>59.98</v>
      </c>
      <c r="I12" s="54">
        <v>1.57</v>
      </c>
      <c r="J12" s="54">
        <v>0.15</v>
      </c>
      <c r="K12" s="54">
        <v>358.43</v>
      </c>
      <c r="L12" s="54">
        <v>10.97</v>
      </c>
      <c r="M12" s="54">
        <v>97.56</v>
      </c>
      <c r="N12" s="54">
        <v>72.30</v>
      </c>
      <c r="O12" s="54">
        <v>0</v>
      </c>
      <c r="P12" s="54">
        <v>1.47</v>
      </c>
      <c r="Q12" s="54">
        <v>12.81</v>
      </c>
      <c r="R12" s="43"/>
      <c r="S12" s="43"/>
      <c r="T12" s="43"/>
      <c r="U12" s="43"/>
    </row>
    <row r="13" spans="1:21" s="11" customFormat="1" ht="15">
      <c r="A13" s="53" t="s">
        <v>690</v>
      </c>
      <c r="B13" s="54">
        <v>84.54</v>
      </c>
      <c r="C13" s="54">
        <v>40.729999999999997</v>
      </c>
      <c r="D13" s="54">
        <v>89.59</v>
      </c>
      <c r="E13" s="54">
        <v>0.40</v>
      </c>
      <c r="F13" s="54">
        <v>3.21</v>
      </c>
      <c r="G13" s="54">
        <v>107.24</v>
      </c>
      <c r="H13" s="54">
        <v>47.70</v>
      </c>
      <c r="I13" s="54">
        <v>1.56</v>
      </c>
      <c r="J13" s="54">
        <v>0.11</v>
      </c>
      <c r="K13" s="54">
        <v>314.80</v>
      </c>
      <c r="L13" s="54">
        <v>10.59</v>
      </c>
      <c r="M13" s="54">
        <v>99.58</v>
      </c>
      <c r="N13" s="54">
        <v>72.400000000000006</v>
      </c>
      <c r="O13" s="54">
        <v>0</v>
      </c>
      <c r="P13" s="54">
        <v>1.23</v>
      </c>
      <c r="Q13" s="54">
        <v>11.74</v>
      </c>
      <c r="R13" s="43"/>
      <c r="S13" s="43"/>
      <c r="T13" s="43"/>
      <c r="U13" s="43"/>
    </row>
    <row r="14" spans="1:21" s="11" customFormat="1" ht="15">
      <c r="A14" s="53" t="s">
        <v>691</v>
      </c>
      <c r="B14" s="54">
        <v>95.37</v>
      </c>
      <c r="C14" s="54">
        <v>39.619999999999997</v>
      </c>
      <c r="D14" s="54">
        <v>98.99</v>
      </c>
      <c r="E14" s="54">
        <v>0.40</v>
      </c>
      <c r="F14" s="54">
        <v>2.98</v>
      </c>
      <c r="G14" s="54">
        <v>123.42</v>
      </c>
      <c r="H14" s="54">
        <v>46.98</v>
      </c>
      <c r="I14" s="54">
        <v>1.58</v>
      </c>
      <c r="J14" s="54">
        <v>0.18</v>
      </c>
      <c r="K14" s="54">
        <v>292.47000000000003</v>
      </c>
      <c r="L14" s="54">
        <v>10.82</v>
      </c>
      <c r="M14" s="54">
        <v>99.58</v>
      </c>
      <c r="N14" s="54">
        <v>71.70</v>
      </c>
      <c r="O14" s="54">
        <v>0</v>
      </c>
      <c r="P14" s="54">
        <v>1.1299999999999999</v>
      </c>
      <c r="Q14" s="54">
        <v>12.56</v>
      </c>
      <c r="R14" s="43"/>
      <c r="S14" s="43"/>
      <c r="T14" s="43"/>
      <c r="U14" s="43"/>
    </row>
    <row r="15" spans="1:21" s="11" customFormat="1" ht="15">
      <c r="A15" s="53" t="s">
        <v>692</v>
      </c>
      <c r="B15" s="54">
        <v>117.29</v>
      </c>
      <c r="C15" s="54">
        <v>40.06</v>
      </c>
      <c r="D15" s="54">
        <v>116.82</v>
      </c>
      <c r="E15" s="54">
        <v>0.44</v>
      </c>
      <c r="F15" s="54">
        <v>3.20</v>
      </c>
      <c r="G15" s="54">
        <v>158.10</v>
      </c>
      <c r="H15" s="54">
        <v>57.68</v>
      </c>
      <c r="I15" s="54">
        <v>1.53</v>
      </c>
      <c r="J15" s="54">
        <v>0.19</v>
      </c>
      <c r="K15" s="54">
        <v>294.36</v>
      </c>
      <c r="L15" s="54">
        <v>10.66</v>
      </c>
      <c r="M15" s="54">
        <v>99.59</v>
      </c>
      <c r="N15" s="54">
        <v>96.30</v>
      </c>
      <c r="O15" s="54">
        <v>0</v>
      </c>
      <c r="P15" s="54">
        <v>1.1399999999999999</v>
      </c>
      <c r="Q15" s="54">
        <v>13.86</v>
      </c>
      <c r="R15" s="43"/>
      <c r="S15" s="43"/>
      <c r="T15" s="43"/>
      <c r="U15" s="43"/>
    </row>
    <row r="16" spans="1:21" s="11" customFormat="1" ht="15">
      <c r="A16" s="53" t="s">
        <v>693</v>
      </c>
      <c r="B16" s="54">
        <v>158.65</v>
      </c>
      <c r="C16" s="54">
        <v>49.31</v>
      </c>
      <c r="D16" s="54">
        <v>155.08000000000001</v>
      </c>
      <c r="E16" s="54">
        <v>0.55000000000000004</v>
      </c>
      <c r="F16" s="54">
        <v>3.34</v>
      </c>
      <c r="G16" s="54">
        <v>189.91</v>
      </c>
      <c r="H16" s="54">
        <v>67.44</v>
      </c>
      <c r="I16" s="54">
        <v>1.55</v>
      </c>
      <c r="J16" s="54">
        <v>0.25</v>
      </c>
      <c r="K16" s="54">
        <v>317.54000000000002</v>
      </c>
      <c r="L16" s="54">
        <v>15.68</v>
      </c>
      <c r="M16" s="54">
        <v>99.59</v>
      </c>
      <c r="N16" s="54">
        <v>284.89999999999998</v>
      </c>
      <c r="O16" s="54">
        <v>0</v>
      </c>
      <c r="P16" s="54">
        <v>1.33</v>
      </c>
      <c r="Q16" s="54">
        <v>17.18</v>
      </c>
      <c r="R16" s="43"/>
      <c r="S16" s="43"/>
      <c r="T16" s="43"/>
      <c r="U16" s="43"/>
    </row>
    <row r="17" spans="1:21" s="11" customFormat="1" ht="15">
      <c r="A17" s="53" t="s">
        <v>694</v>
      </c>
      <c r="B17" s="54">
        <v>153.56</v>
      </c>
      <c r="C17" s="54">
        <v>62.17</v>
      </c>
      <c r="D17" s="54">
        <v>152.49</v>
      </c>
      <c r="E17" s="54">
        <v>0.47</v>
      </c>
      <c r="F17" s="54">
        <v>3.33</v>
      </c>
      <c r="G17" s="54">
        <v>189.91</v>
      </c>
      <c r="H17" s="54">
        <v>67.44</v>
      </c>
      <c r="I17" s="54">
        <v>1.49</v>
      </c>
      <c r="J17" s="54">
        <v>0.55000000000000004</v>
      </c>
      <c r="K17" s="54">
        <v>185.11</v>
      </c>
      <c r="L17" s="54">
        <v>19.21</v>
      </c>
      <c r="M17" s="54">
        <v>66.12</v>
      </c>
      <c r="N17" s="54">
        <v>554.90</v>
      </c>
      <c r="O17" s="54">
        <v>0</v>
      </c>
      <c r="P17" s="54">
        <v>1.33</v>
      </c>
      <c r="Q17" s="54">
        <v>17.399999999999999</v>
      </c>
      <c r="R17" s="43"/>
      <c r="S17" s="43"/>
      <c r="T17" s="43"/>
      <c r="U17" s="43"/>
    </row>
    <row r="18" spans="1:21" s="11" customFormat="1" ht="15">
      <c r="A18" s="53" t="s">
        <v>695</v>
      </c>
      <c r="B18" s="54">
        <v>116.41</v>
      </c>
      <c r="C18" s="54">
        <v>70.040000000000006</v>
      </c>
      <c r="D18" s="54">
        <v>128.91</v>
      </c>
      <c r="E18" s="54">
        <v>0.42</v>
      </c>
      <c r="F18" s="54">
        <v>3.31</v>
      </c>
      <c r="G18" s="54">
        <v>161.80000000000001</v>
      </c>
      <c r="H18" s="54">
        <v>65.87</v>
      </c>
      <c r="I18" s="54">
        <v>1.49</v>
      </c>
      <c r="J18" s="54">
        <v>0.67</v>
      </c>
      <c r="K18" s="54">
        <v>177.86</v>
      </c>
      <c r="L18" s="54">
        <v>21.82</v>
      </c>
      <c r="M18" s="54">
        <v>39.36</v>
      </c>
      <c r="N18" s="54">
        <v>744.20</v>
      </c>
      <c r="O18" s="54">
        <v>0</v>
      </c>
      <c r="P18" s="54">
        <v>1.27</v>
      </c>
      <c r="Q18" s="54">
        <v>15.81</v>
      </c>
      <c r="R18" s="43"/>
      <c r="S18" s="43"/>
      <c r="T18" s="43"/>
      <c r="U18" s="43"/>
    </row>
    <row r="19" spans="1:21" s="11" customFormat="1" ht="15">
      <c r="A19" s="53" t="s">
        <v>696</v>
      </c>
      <c r="B19" s="54">
        <v>77.680000000000007</v>
      </c>
      <c r="C19" s="54">
        <v>90.13</v>
      </c>
      <c r="D19" s="54">
        <v>102.26</v>
      </c>
      <c r="E19" s="54">
        <v>0.45</v>
      </c>
      <c r="F19" s="54">
        <v>3.58</v>
      </c>
      <c r="G19" s="54">
        <v>125.14</v>
      </c>
      <c r="H19" s="54">
        <v>64.22</v>
      </c>
      <c r="I19" s="54">
        <v>1.51</v>
      </c>
      <c r="J19" s="54">
        <v>0.86</v>
      </c>
      <c r="K19" s="54">
        <v>119.16</v>
      </c>
      <c r="L19" s="54">
        <v>23.82</v>
      </c>
      <c r="M19" s="54">
        <v>33.020000000000003</v>
      </c>
      <c r="N19" s="54">
        <v>848.5</v>
      </c>
      <c r="O19" s="54">
        <v>0</v>
      </c>
      <c r="P19" s="54">
        <v>1.1100000000000001</v>
      </c>
      <c r="Q19" s="54">
        <v>13.19</v>
      </c>
      <c r="R19" s="43"/>
      <c r="S19" s="43"/>
      <c r="T19" s="43"/>
      <c r="U19" s="43"/>
    </row>
    <row r="20" spans="1:21" s="11" customFormat="1" ht="15">
      <c r="A20" s="53" t="s">
        <v>697</v>
      </c>
      <c r="B20" s="54">
        <v>20.170000000000002</v>
      </c>
      <c r="C20" s="54">
        <v>90.35</v>
      </c>
      <c r="D20" s="54">
        <v>66.69</v>
      </c>
      <c r="E20" s="54">
        <v>0.34</v>
      </c>
      <c r="F20" s="54">
        <v>4.49</v>
      </c>
      <c r="G20" s="54">
        <v>78.03</v>
      </c>
      <c r="H20" s="54">
        <v>53.58</v>
      </c>
      <c r="I20" s="54">
        <v>1.61</v>
      </c>
      <c r="J20" s="54">
        <v>0.89</v>
      </c>
      <c r="K20" s="54">
        <v>354.09</v>
      </c>
      <c r="L20" s="54">
        <v>26.38</v>
      </c>
      <c r="M20" s="54">
        <v>26.66</v>
      </c>
      <c r="N20" s="54">
        <v>816.5</v>
      </c>
      <c r="O20" s="54">
        <v>0</v>
      </c>
      <c r="P20" s="54">
        <v>0.78</v>
      </c>
      <c r="Q20" s="54">
        <v>10</v>
      </c>
      <c r="R20" s="43"/>
      <c r="S20" s="43"/>
      <c r="T20" s="43"/>
      <c r="U20" s="43"/>
    </row>
    <row r="21" spans="1:21" s="11" customFormat="1" ht="15">
      <c r="A21" s="53" t="s">
        <v>698</v>
      </c>
      <c r="B21" s="54">
        <v>5.0599999999999996</v>
      </c>
      <c r="C21" s="54">
        <v>83.32</v>
      </c>
      <c r="D21" s="54">
        <v>50.68</v>
      </c>
      <c r="E21" s="54">
        <v>0.52</v>
      </c>
      <c r="F21" s="54">
        <v>11.09</v>
      </c>
      <c r="G21" s="54">
        <v>78.87</v>
      </c>
      <c r="H21" s="54">
        <v>39.200000000000003</v>
      </c>
      <c r="I21" s="54">
        <v>1.52</v>
      </c>
      <c r="J21" s="54">
        <v>0.87</v>
      </c>
      <c r="K21" s="54">
        <v>284.69</v>
      </c>
      <c r="L21" s="54">
        <v>24.06</v>
      </c>
      <c r="M21" s="54">
        <v>28.62</v>
      </c>
      <c r="N21" s="54">
        <v>651.40</v>
      </c>
      <c r="O21" s="54">
        <v>0</v>
      </c>
      <c r="P21" s="54">
        <v>0.69</v>
      </c>
      <c r="Q21" s="54">
        <v>8.42</v>
      </c>
      <c r="R21" s="43"/>
      <c r="S21" s="43"/>
      <c r="T21" s="43"/>
      <c r="U21" s="43"/>
    </row>
    <row r="22" spans="1:21" s="11" customFormat="1" ht="15">
      <c r="A22" s="53" t="s">
        <v>699</v>
      </c>
      <c r="B22" s="54">
        <v>2.62</v>
      </c>
      <c r="C22" s="54">
        <v>66.33</v>
      </c>
      <c r="D22" s="54">
        <v>39.36</v>
      </c>
      <c r="E22" s="54">
        <v>1.1100000000000001</v>
      </c>
      <c r="F22" s="54">
        <v>17.989999999999998</v>
      </c>
      <c r="G22" s="54">
        <v>78.87</v>
      </c>
      <c r="H22" s="54">
        <v>38.93</v>
      </c>
      <c r="I22" s="54">
        <v>1.53</v>
      </c>
      <c r="J22" s="54">
        <v>0.49</v>
      </c>
      <c r="K22" s="54">
        <v>354.56</v>
      </c>
      <c r="L22" s="54">
        <v>24.99</v>
      </c>
      <c r="M22" s="54">
        <v>28.58</v>
      </c>
      <c r="N22" s="54">
        <v>457</v>
      </c>
      <c r="O22" s="54">
        <v>0</v>
      </c>
      <c r="P22" s="54">
        <v>0.69</v>
      </c>
      <c r="Q22" s="54">
        <v>7.52</v>
      </c>
      <c r="R22" s="43"/>
      <c r="S22" s="43"/>
      <c r="T22" s="43"/>
      <c r="U22" s="43"/>
    </row>
    <row r="23" spans="1:21" s="11" customFormat="1" ht="15">
      <c r="A23" s="53" t="s">
        <v>700</v>
      </c>
      <c r="B23" s="54">
        <v>11.75</v>
      </c>
      <c r="C23" s="54">
        <v>66.959999999999994</v>
      </c>
      <c r="D23" s="54">
        <v>41.73</v>
      </c>
      <c r="E23" s="54">
        <v>0.43</v>
      </c>
      <c r="F23" s="54">
        <v>4.38</v>
      </c>
      <c r="G23" s="54">
        <v>111.54</v>
      </c>
      <c r="H23" s="54">
        <v>43.41</v>
      </c>
      <c r="I23" s="54">
        <v>1.53</v>
      </c>
      <c r="J23" s="54">
        <v>0.75</v>
      </c>
      <c r="K23" s="54">
        <v>343.91</v>
      </c>
      <c r="L23" s="54">
        <v>25.62</v>
      </c>
      <c r="M23" s="54">
        <v>28.07</v>
      </c>
      <c r="N23" s="54">
        <v>381.90</v>
      </c>
      <c r="O23" s="54">
        <v>0</v>
      </c>
      <c r="P23" s="54">
        <v>0.70</v>
      </c>
      <c r="Q23" s="54">
        <v>7.69</v>
      </c>
      <c r="R23" s="43"/>
      <c r="S23" s="43"/>
      <c r="T23" s="43"/>
      <c r="U23" s="43"/>
    </row>
    <row r="24" spans="1:21" s="11" customFormat="1" ht="15">
      <c r="A24" s="53" t="s">
        <v>701</v>
      </c>
      <c r="B24" s="54">
        <v>22.63</v>
      </c>
      <c r="C24" s="54">
        <v>48.18</v>
      </c>
      <c r="D24" s="54">
        <v>44.25</v>
      </c>
      <c r="E24" s="54">
        <v>0.59</v>
      </c>
      <c r="F24" s="54">
        <v>4.22</v>
      </c>
      <c r="G24" s="54">
        <v>111.54</v>
      </c>
      <c r="H24" s="54">
        <v>43.41</v>
      </c>
      <c r="I24" s="54">
        <v>1.54</v>
      </c>
      <c r="J24" s="54">
        <v>1.01</v>
      </c>
      <c r="K24" s="54">
        <v>346.56</v>
      </c>
      <c r="L24" s="54">
        <v>25.01</v>
      </c>
      <c r="M24" s="54">
        <v>27.28</v>
      </c>
      <c r="N24" s="54">
        <v>251.60</v>
      </c>
      <c r="O24" s="54">
        <v>0</v>
      </c>
      <c r="P24" s="54">
        <v>0.70</v>
      </c>
      <c r="Q24" s="54">
        <v>7.93</v>
      </c>
      <c r="R24" s="43"/>
      <c r="S24" s="43"/>
      <c r="T24" s="43"/>
      <c r="U24" s="43"/>
    </row>
    <row r="25" spans="1:21" s="11" customFormat="1" ht="15">
      <c r="A25" s="53" t="s">
        <v>702</v>
      </c>
      <c r="B25" s="54">
        <v>18.309999999999999</v>
      </c>
      <c r="C25" s="54">
        <v>58.90</v>
      </c>
      <c r="D25" s="54">
        <v>44.56</v>
      </c>
      <c r="E25" s="54">
        <v>0.28999999999999998</v>
      </c>
      <c r="F25" s="54">
        <v>4.24</v>
      </c>
      <c r="G25" s="54">
        <v>91.82</v>
      </c>
      <c r="H25" s="54">
        <v>34.76</v>
      </c>
      <c r="I25" s="54">
        <v>1.52</v>
      </c>
      <c r="J25" s="54">
        <v>0.82</v>
      </c>
      <c r="K25" s="54">
        <v>345.23</v>
      </c>
      <c r="L25" s="54">
        <v>23.33</v>
      </c>
      <c r="M25" s="54">
        <v>32.14</v>
      </c>
      <c r="N25" s="54">
        <v>143.90</v>
      </c>
      <c r="O25" s="54">
        <v>0</v>
      </c>
      <c r="P25" s="54">
        <v>0.70</v>
      </c>
      <c r="Q25" s="54">
        <v>8.07</v>
      </c>
      <c r="R25" s="43"/>
      <c r="S25" s="43"/>
      <c r="T25" s="43"/>
      <c r="U25" s="43"/>
    </row>
    <row r="26" spans="1:21" s="11" customFormat="1" ht="15">
      <c r="A26" s="53" t="s">
        <v>703</v>
      </c>
      <c r="B26" s="54">
        <v>18.02</v>
      </c>
      <c r="C26" s="54">
        <v>71.37</v>
      </c>
      <c r="D26" s="54">
        <v>54.49</v>
      </c>
      <c r="E26" s="54">
        <v>0.26</v>
      </c>
      <c r="F26" s="54">
        <v>4.07</v>
      </c>
      <c r="G26" s="54">
        <v>70.180000000000007</v>
      </c>
      <c r="H26" s="54">
        <v>31.15</v>
      </c>
      <c r="I26" s="54">
        <v>1.56</v>
      </c>
      <c r="J26" s="54">
        <v>0.49</v>
      </c>
      <c r="K26" s="54">
        <v>352.41</v>
      </c>
      <c r="L26" s="54">
        <v>21.44</v>
      </c>
      <c r="M26" s="54">
        <v>58.16</v>
      </c>
      <c r="N26" s="54">
        <v>99.90</v>
      </c>
      <c r="O26" s="54">
        <v>0</v>
      </c>
      <c r="P26" s="54">
        <v>0.86</v>
      </c>
      <c r="Q26" s="54">
        <v>8.65</v>
      </c>
      <c r="R26" s="43"/>
      <c r="S26" s="43"/>
      <c r="T26" s="43"/>
      <c r="U26" s="43"/>
    </row>
    <row r="27" spans="1:21" s="11" customFormat="1" ht="15">
      <c r="A27" s="53" t="s">
        <v>704</v>
      </c>
      <c r="B27" s="54">
        <v>50.87</v>
      </c>
      <c r="C27" s="54">
        <v>75.790000000000006</v>
      </c>
      <c r="D27" s="54">
        <v>83.27</v>
      </c>
      <c r="E27" s="54">
        <v>0.30</v>
      </c>
      <c r="F27" s="54">
        <v>3.26</v>
      </c>
      <c r="G27" s="54">
        <v>104.97</v>
      </c>
      <c r="H27" s="54">
        <v>35.659999999999997</v>
      </c>
      <c r="I27" s="54">
        <v>1.57</v>
      </c>
      <c r="J27" s="54">
        <v>0.10</v>
      </c>
      <c r="K27" s="54">
        <v>327.99</v>
      </c>
      <c r="L27" s="54">
        <v>17.89</v>
      </c>
      <c r="M27" s="54">
        <v>68.70</v>
      </c>
      <c r="N27" s="54">
        <v>76.30</v>
      </c>
      <c r="O27" s="54">
        <v>0</v>
      </c>
      <c r="P27" s="54">
        <v>1.1100000000000001</v>
      </c>
      <c r="Q27" s="54">
        <v>10.75</v>
      </c>
      <c r="R27" s="43"/>
      <c r="S27" s="43"/>
      <c r="T27" s="43"/>
      <c r="U27" s="43"/>
    </row>
    <row r="28" spans="1:21" s="11" customFormat="1" ht="15">
      <c r="A28" s="53" t="s">
        <v>705</v>
      </c>
      <c r="B28" s="54">
        <v>85.33</v>
      </c>
      <c r="C28" s="54">
        <v>74.989999999999995</v>
      </c>
      <c r="D28" s="54">
        <v>109.91</v>
      </c>
      <c r="E28" s="54">
        <v>0.35</v>
      </c>
      <c r="F28" s="54">
        <v>3.51</v>
      </c>
      <c r="G28" s="54">
        <v>183.24</v>
      </c>
      <c r="H28" s="54">
        <v>43.44</v>
      </c>
      <c r="I28" s="54">
        <v>1.53</v>
      </c>
      <c r="J28" s="54">
        <v>0.09</v>
      </c>
      <c r="K28" s="54">
        <v>334.15</v>
      </c>
      <c r="L28" s="54">
        <v>15.99</v>
      </c>
      <c r="M28" s="54">
        <v>74.56</v>
      </c>
      <c r="N28" s="54">
        <v>78.20</v>
      </c>
      <c r="O28" s="54">
        <v>0</v>
      </c>
      <c r="P28" s="54">
        <v>1.68</v>
      </c>
      <c r="Q28" s="54">
        <v>12.79</v>
      </c>
      <c r="R28" s="43"/>
      <c r="S28" s="43"/>
      <c r="T28" s="43"/>
      <c r="U28" s="43"/>
    </row>
    <row r="29" spans="1:21" s="11" customFormat="1" ht="15">
      <c r="A29" s="53" t="s">
        <v>706</v>
      </c>
      <c r="B29" s="54">
        <v>147.19</v>
      </c>
      <c r="C29" s="54">
        <v>75.849999999999994</v>
      </c>
      <c r="D29" s="54">
        <v>160.40</v>
      </c>
      <c r="E29" s="54">
        <v>0.46</v>
      </c>
      <c r="F29" s="54">
        <v>3.38</v>
      </c>
      <c r="G29" s="54">
        <v>234.72</v>
      </c>
      <c r="H29" s="54">
        <v>59.61</v>
      </c>
      <c r="I29" s="54">
        <v>1.57</v>
      </c>
      <c r="J29" s="54">
        <v>0.10</v>
      </c>
      <c r="K29" s="54">
        <v>337.92</v>
      </c>
      <c r="L29" s="54">
        <v>15.04</v>
      </c>
      <c r="M29" s="54">
        <v>82.73</v>
      </c>
      <c r="N29" s="54">
        <v>77.599999999999994</v>
      </c>
      <c r="O29" s="54">
        <v>0</v>
      </c>
      <c r="P29" s="54">
        <v>2.33</v>
      </c>
      <c r="Q29" s="54">
        <v>17.260000000000002</v>
      </c>
      <c r="R29" s="43"/>
      <c r="S29" s="43"/>
      <c r="T29" s="43"/>
      <c r="U29" s="43"/>
    </row>
    <row r="30" spans="1:21" s="11" customFormat="1" ht="15">
      <c r="A30" s="53" t="s">
        <v>707</v>
      </c>
      <c r="B30" s="54">
        <v>201.05</v>
      </c>
      <c r="C30" s="54">
        <v>74.95</v>
      </c>
      <c r="D30" s="54">
        <v>203.09</v>
      </c>
      <c r="E30" s="54">
        <v>0.62</v>
      </c>
      <c r="F30" s="54">
        <v>3.33</v>
      </c>
      <c r="G30" s="54">
        <v>244.26</v>
      </c>
      <c r="H30" s="54">
        <v>70.94</v>
      </c>
      <c r="I30" s="54">
        <v>1.55</v>
      </c>
      <c r="J30" s="54">
        <v>0.15</v>
      </c>
      <c r="K30" s="54">
        <v>291.01</v>
      </c>
      <c r="L30" s="54">
        <v>14.33</v>
      </c>
      <c r="M30" s="54">
        <v>81.30</v>
      </c>
      <c r="N30" s="54">
        <v>76.599999999999994</v>
      </c>
      <c r="O30" s="54">
        <v>0</v>
      </c>
      <c r="P30" s="54">
        <v>3.05</v>
      </c>
      <c r="Q30" s="54">
        <v>21.11</v>
      </c>
      <c r="R30" s="43"/>
      <c r="S30" s="43"/>
      <c r="T30" s="43"/>
      <c r="U30" s="43"/>
    </row>
    <row r="31" spans="1:21" s="11" customFormat="1" ht="15">
      <c r="A31" s="53" t="s">
        <v>708</v>
      </c>
      <c r="B31" s="54">
        <v>207.20</v>
      </c>
      <c r="C31" s="54">
        <v>73.28</v>
      </c>
      <c r="D31" s="54">
        <v>205.44</v>
      </c>
      <c r="E31" s="54">
        <v>0.66</v>
      </c>
      <c r="F31" s="54">
        <v>3.27</v>
      </c>
      <c r="G31" s="54">
        <v>244.26</v>
      </c>
      <c r="H31" s="54">
        <v>82.96</v>
      </c>
      <c r="I31" s="54">
        <v>1.51</v>
      </c>
      <c r="J31" s="54">
        <v>0.16</v>
      </c>
      <c r="K31" s="54">
        <v>352.72</v>
      </c>
      <c r="L31" s="54">
        <v>13.73</v>
      </c>
      <c r="M31" s="54">
        <v>82.76</v>
      </c>
      <c r="N31" s="54">
        <v>81</v>
      </c>
      <c r="O31" s="54">
        <v>0</v>
      </c>
      <c r="P31" s="54">
        <v>3.16</v>
      </c>
      <c r="Q31" s="54">
        <v>22.17</v>
      </c>
      <c r="R31" s="43"/>
      <c r="S31" s="43"/>
      <c r="T31" s="43"/>
      <c r="U31" s="43"/>
    </row>
    <row r="32" spans="1:21" s="11" customFormat="1" ht="15">
      <c r="A32" s="53" t="s">
        <v>709</v>
      </c>
      <c r="B32" s="54">
        <v>208.41</v>
      </c>
      <c r="C32" s="54">
        <v>64.81</v>
      </c>
      <c r="D32" s="54">
        <v>203.54</v>
      </c>
      <c r="E32" s="54">
        <v>0.64</v>
      </c>
      <c r="F32" s="54">
        <v>3.43</v>
      </c>
      <c r="G32" s="54">
        <v>223.30</v>
      </c>
      <c r="H32" s="54">
        <v>82.96</v>
      </c>
      <c r="I32" s="54">
        <v>1.51</v>
      </c>
      <c r="J32" s="54">
        <v>0.12</v>
      </c>
      <c r="K32" s="54">
        <v>322.14999999999998</v>
      </c>
      <c r="L32" s="54">
        <v>13.36</v>
      </c>
      <c r="M32" s="54">
        <v>89.31</v>
      </c>
      <c r="N32" s="54">
        <v>82.80</v>
      </c>
      <c r="O32" s="54">
        <v>0</v>
      </c>
      <c r="P32" s="54">
        <v>3.13</v>
      </c>
      <c r="Q32" s="54">
        <v>22.05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2.6200000000000001</v>
      </c>
      <c r="C34" s="28">
        <f t="shared" si="0"/>
        <v>39.619999999999997</v>
      </c>
      <c r="D34" s="28">
        <f t="shared" si="0"/>
        <v>39.359999999999999</v>
      </c>
      <c r="E34" s="28">
        <f t="shared" si="0"/>
        <v>0.26000000000000001</v>
      </c>
      <c r="F34" s="28">
        <f t="shared" si="0"/>
        <v>2.98</v>
      </c>
      <c r="G34" s="28">
        <f t="shared" si="0"/>
        <v>70.180000000000007</v>
      </c>
      <c r="H34" s="28">
        <f t="shared" si="0"/>
        <v>31.149999999999999</v>
      </c>
      <c r="I34" s="28">
        <f t="shared" si="0"/>
        <v>1.49</v>
      </c>
      <c r="J34" s="28">
        <f t="shared" si="0"/>
        <v>0.089999999999999997</v>
      </c>
      <c r="K34" s="28">
        <f t="shared" si="0"/>
        <v>119.16</v>
      </c>
      <c r="L34" s="28">
        <f t="shared" si="0"/>
        <v>10.59</v>
      </c>
      <c r="M34" s="28">
        <f t="shared" si="0"/>
        <v>26.66</v>
      </c>
      <c r="N34" s="28">
        <f t="shared" si="0"/>
        <v>71.5</v>
      </c>
      <c r="O34" s="28">
        <f t="shared" si="0"/>
        <v>0</v>
      </c>
      <c r="P34" s="28">
        <f t="shared" si="0"/>
        <v>0.68999999999999995</v>
      </c>
      <c r="Q34" s="28">
        <f t="shared" si="0"/>
        <v>7.5199999999999996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208.41</v>
      </c>
      <c r="C35" s="29">
        <f t="shared" si="1"/>
        <v>90.349999999999994</v>
      </c>
      <c r="D35" s="29">
        <f t="shared" si="1"/>
        <v>205.44</v>
      </c>
      <c r="E35" s="29">
        <f t="shared" si="1"/>
        <v>1.1100000000000001</v>
      </c>
      <c r="F35" s="29">
        <f t="shared" si="1"/>
        <v>17.989999999999998</v>
      </c>
      <c r="G35" s="29">
        <f t="shared" si="1"/>
        <v>244.25999999999999</v>
      </c>
      <c r="H35" s="29">
        <f t="shared" si="1"/>
        <v>82.959999999999994</v>
      </c>
      <c r="I35" s="29">
        <f t="shared" si="1"/>
        <v>1.6100000000000001</v>
      </c>
      <c r="J35" s="29">
        <f t="shared" si="1"/>
        <v>1.01</v>
      </c>
      <c r="K35" s="29">
        <f t="shared" si="1"/>
        <v>358.43000000000001</v>
      </c>
      <c r="L35" s="29">
        <f t="shared" si="1"/>
        <v>26.379999999999999</v>
      </c>
      <c r="M35" s="29">
        <f t="shared" si="1"/>
        <v>99.590000000000003</v>
      </c>
      <c r="N35" s="29">
        <f t="shared" si="1"/>
        <v>848.5</v>
      </c>
      <c r="O35" s="29">
        <f t="shared" si="1"/>
        <v>0</v>
      </c>
      <c r="P35" s="29">
        <f t="shared" si="1"/>
        <v>3.1600000000000001</v>
      </c>
      <c r="Q35" s="29">
        <f t="shared" si="1"/>
        <v>22.170000000000002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95.355416666666656</v>
      </c>
      <c r="C36" s="28">
        <f t="shared" si="2"/>
        <v>62.741666666666667</v>
      </c>
      <c r="D36" s="28">
        <f t="shared" si="2"/>
        <v>110.31916666666667</v>
      </c>
      <c r="E36" s="28">
        <f t="shared" si="2"/>
        <v>0.48291666666666666</v>
      </c>
      <c r="F36" s="28">
        <f t="shared" si="2"/>
        <v>4.4499999999999993</v>
      </c>
      <c r="G36" s="28">
        <f t="shared" si="2"/>
        <v>147.0683333333333</v>
      </c>
      <c r="H36" s="28">
        <f t="shared" si="2"/>
        <v>56.774999999999999</v>
      </c>
      <c r="I36" s="28">
        <f t="shared" si="2"/>
        <v>1.5412499999999998</v>
      </c>
      <c r="J36" s="28">
        <f t="shared" si="2"/>
        <v>0.39749999999999996</v>
      </c>
      <c r="K36" s="28">
        <f t="shared" si="2"/>
        <v>304.58416666666665</v>
      </c>
      <c r="L36" s="28">
        <f t="shared" si="2"/>
        <v>17.519583333333333</v>
      </c>
      <c r="M36" s="28">
        <f t="shared" si="2"/>
        <v>67.985416666666666</v>
      </c>
      <c r="N36" s="28">
        <f t="shared" si="2"/>
        <v>259.78749999999997</v>
      </c>
      <c r="O36" s="28">
        <f t="shared" si="2"/>
        <v>0</v>
      </c>
      <c r="P36" s="28">
        <f t="shared" si="2"/>
        <v>1.4970833333333333</v>
      </c>
      <c r="Q36" s="28">
        <f t="shared" si="2"/>
        <v>13.632916666666668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66.428363113250057</v>
      </c>
      <c r="C37" s="28">
        <f t="shared" si="3" ref="C37:Q37">STDEV(C9:C32)</f>
        <v>15.997351048836528</v>
      </c>
      <c r="D37" s="28">
        <f t="shared" si="3"/>
        <v>52.738703543500897</v>
      </c>
      <c r="E37" s="28">
        <f t="shared" si="3"/>
        <v>0.17162849582662582</v>
      </c>
      <c r="F37" s="28">
        <f t="shared" si="3"/>
        <v>3.2969353358377624</v>
      </c>
      <c r="G37" s="28">
        <f t="shared" si="3"/>
        <v>56.724482611445971</v>
      </c>
      <c r="H37" s="28">
        <f t="shared" si="3"/>
        <v>16.091697562245663</v>
      </c>
      <c r="I37" s="28">
        <f t="shared" si="3"/>
        <v>0.030689539359315225</v>
      </c>
      <c r="J37" s="28">
        <f t="shared" si="3"/>
        <v>0.31890096595488154</v>
      </c>
      <c r="K37" s="28">
        <f t="shared" si="3"/>
        <v>61.300567336665921</v>
      </c>
      <c r="L37" s="28">
        <f t="shared" si="3"/>
        <v>5.6795556157813651</v>
      </c>
      <c r="M37" s="28">
        <f t="shared" si="3"/>
        <v>29.377336573737701</v>
      </c>
      <c r="N37" s="28">
        <f t="shared" si="3"/>
        <v>268.67909792732939</v>
      </c>
      <c r="O37" s="28">
        <f t="shared" si="3"/>
        <v>0</v>
      </c>
      <c r="P37" s="28">
        <f t="shared" si="3"/>
        <v>0.80390611157764147</v>
      </c>
      <c r="Q37" s="28">
        <f t="shared" si="3"/>
        <v>4.5826435119885751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bbdb0c-5960-4c69-b3f8-21a6597cb464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710</v>
      </c>
      <c r="B9" s="54">
        <v>205.31</v>
      </c>
      <c r="C9" s="54">
        <v>64.92</v>
      </c>
      <c r="D9" s="54">
        <v>200.15</v>
      </c>
      <c r="E9" s="54">
        <v>0.56999999999999995</v>
      </c>
      <c r="F9" s="54">
        <v>3.07</v>
      </c>
      <c r="G9" s="54">
        <v>182.51</v>
      </c>
      <c r="H9" s="54">
        <v>79.47</v>
      </c>
      <c r="I9" s="54">
        <v>1.58</v>
      </c>
      <c r="J9" s="54">
        <v>0.11</v>
      </c>
      <c r="K9" s="54">
        <v>335.38</v>
      </c>
      <c r="L9" s="54">
        <v>12.79</v>
      </c>
      <c r="M9" s="54">
        <v>90.31</v>
      </c>
      <c r="N9" s="54">
        <v>83.90</v>
      </c>
      <c r="O9" s="54">
        <v>0</v>
      </c>
      <c r="P9" s="54">
        <v>2.97</v>
      </c>
      <c r="Q9" s="54">
        <v>21.79</v>
      </c>
      <c r="R9" s="43"/>
      <c r="S9" s="43"/>
      <c r="T9" s="43"/>
      <c r="U9" s="43"/>
    </row>
    <row r="10" spans="1:21" s="11" customFormat="1" ht="15">
      <c r="A10" s="53" t="s">
        <v>711</v>
      </c>
      <c r="B10" s="54">
        <v>183.62</v>
      </c>
      <c r="C10" s="54">
        <v>61.46</v>
      </c>
      <c r="D10" s="54">
        <v>181.81</v>
      </c>
      <c r="E10" s="54">
        <v>0.56000000000000005</v>
      </c>
      <c r="F10" s="54">
        <v>3.24</v>
      </c>
      <c r="G10" s="54">
        <v>181.18</v>
      </c>
      <c r="H10" s="54">
        <v>72.52</v>
      </c>
      <c r="I10" s="54">
        <v>1.53</v>
      </c>
      <c r="J10" s="54">
        <v>0.12</v>
      </c>
      <c r="K10" s="54">
        <v>297.45</v>
      </c>
      <c r="L10" s="54">
        <v>12.63</v>
      </c>
      <c r="M10" s="54">
        <v>93.18</v>
      </c>
      <c r="N10" s="54">
        <v>83.80</v>
      </c>
      <c r="O10" s="54">
        <v>0</v>
      </c>
      <c r="P10" s="54">
        <v>2.44</v>
      </c>
      <c r="Q10" s="54">
        <v>20.77</v>
      </c>
      <c r="R10" s="43"/>
      <c r="S10" s="43"/>
      <c r="T10" s="43"/>
      <c r="U10" s="43"/>
    </row>
    <row r="11" spans="1:21" s="11" customFormat="1" ht="15">
      <c r="A11" s="53" t="s">
        <v>712</v>
      </c>
      <c r="B11" s="54">
        <v>154.72999999999999</v>
      </c>
      <c r="C11" s="54">
        <v>57.79</v>
      </c>
      <c r="D11" s="54">
        <v>156.62</v>
      </c>
      <c r="E11" s="54">
        <v>0.5</v>
      </c>
      <c r="F11" s="54">
        <v>3.35</v>
      </c>
      <c r="G11" s="54">
        <v>127.09</v>
      </c>
      <c r="H11" s="54">
        <v>67.05</v>
      </c>
      <c r="I11" s="54">
        <v>1.58</v>
      </c>
      <c r="J11" s="54">
        <v>0.34</v>
      </c>
      <c r="K11" s="54">
        <v>312.22000000000003</v>
      </c>
      <c r="L11" s="54">
        <v>12.74</v>
      </c>
      <c r="M11" s="54">
        <v>91.05</v>
      </c>
      <c r="N11" s="54">
        <v>82.5</v>
      </c>
      <c r="O11" s="54">
        <v>0</v>
      </c>
      <c r="P11" s="54">
        <v>2.2799999999999998</v>
      </c>
      <c r="Q11" s="54">
        <v>18.399999999999999</v>
      </c>
      <c r="R11" s="43"/>
      <c r="S11" s="43"/>
      <c r="T11" s="43"/>
      <c r="U11" s="43"/>
    </row>
    <row r="12" spans="1:21" s="11" customFormat="1" ht="15">
      <c r="A12" s="53" t="s">
        <v>713</v>
      </c>
      <c r="B12" s="54">
        <v>127.21</v>
      </c>
      <c r="C12" s="54">
        <v>49.93</v>
      </c>
      <c r="D12" s="54">
        <v>130.21</v>
      </c>
      <c r="E12" s="54">
        <v>0.5</v>
      </c>
      <c r="F12" s="54">
        <v>3.17</v>
      </c>
      <c r="G12" s="54">
        <v>127.09</v>
      </c>
      <c r="H12" s="54">
        <v>63.74</v>
      </c>
      <c r="I12" s="54">
        <v>1.58</v>
      </c>
      <c r="J12" s="54">
        <v>0.28999999999999998</v>
      </c>
      <c r="K12" s="54">
        <v>315.33</v>
      </c>
      <c r="L12" s="54">
        <v>12.46</v>
      </c>
      <c r="M12" s="54">
        <v>99.34</v>
      </c>
      <c r="N12" s="54">
        <v>82.40</v>
      </c>
      <c r="O12" s="54">
        <v>0</v>
      </c>
      <c r="P12" s="54">
        <v>1.98</v>
      </c>
      <c r="Q12" s="54">
        <v>16.29</v>
      </c>
      <c r="R12" s="43"/>
      <c r="S12" s="43"/>
      <c r="T12" s="43"/>
      <c r="U12" s="43"/>
    </row>
    <row r="13" spans="1:21" s="11" customFormat="1" ht="15">
      <c r="A13" s="53" t="s">
        <v>714</v>
      </c>
      <c r="B13" s="54">
        <v>106.07</v>
      </c>
      <c r="C13" s="54">
        <v>44.21</v>
      </c>
      <c r="D13" s="54">
        <v>109.82</v>
      </c>
      <c r="E13" s="54">
        <v>0.35</v>
      </c>
      <c r="F13" s="54">
        <v>3.5</v>
      </c>
      <c r="G13" s="54">
        <v>118.17</v>
      </c>
      <c r="H13" s="54">
        <v>61.70</v>
      </c>
      <c r="I13" s="54">
        <v>1.55</v>
      </c>
      <c r="J13" s="54">
        <v>0.19</v>
      </c>
      <c r="K13" s="54">
        <v>291.95</v>
      </c>
      <c r="L13" s="54">
        <v>10.94</v>
      </c>
      <c r="M13" s="54">
        <v>99.58</v>
      </c>
      <c r="N13" s="54">
        <v>82.30</v>
      </c>
      <c r="O13" s="54">
        <v>0</v>
      </c>
      <c r="P13" s="54">
        <v>1.66</v>
      </c>
      <c r="Q13" s="54">
        <v>14.34</v>
      </c>
      <c r="R13" s="43"/>
      <c r="S13" s="43"/>
      <c r="T13" s="43"/>
      <c r="U13" s="43"/>
    </row>
    <row r="14" spans="1:21" s="11" customFormat="1" ht="15">
      <c r="A14" s="53" t="s">
        <v>715</v>
      </c>
      <c r="B14" s="54">
        <v>109.68</v>
      </c>
      <c r="C14" s="54">
        <v>45.60</v>
      </c>
      <c r="D14" s="54">
        <v>113.77</v>
      </c>
      <c r="E14" s="54">
        <v>0.40</v>
      </c>
      <c r="F14" s="54">
        <v>3.38</v>
      </c>
      <c r="G14" s="54">
        <v>117.84</v>
      </c>
      <c r="H14" s="54">
        <v>57.41</v>
      </c>
      <c r="I14" s="54">
        <v>1.61</v>
      </c>
      <c r="J14" s="54">
        <v>0.17</v>
      </c>
      <c r="K14" s="54">
        <v>313.14999999999998</v>
      </c>
      <c r="L14" s="54">
        <v>10.76</v>
      </c>
      <c r="M14" s="54">
        <v>99.58</v>
      </c>
      <c r="N14" s="54">
        <v>82.10</v>
      </c>
      <c r="O14" s="54">
        <v>0</v>
      </c>
      <c r="P14" s="54">
        <v>1.46</v>
      </c>
      <c r="Q14" s="54">
        <v>14.19</v>
      </c>
      <c r="R14" s="43"/>
      <c r="S14" s="43"/>
      <c r="T14" s="43"/>
      <c r="U14" s="43"/>
    </row>
    <row r="15" spans="1:21" s="11" customFormat="1" ht="15">
      <c r="A15" s="53" t="s">
        <v>716</v>
      </c>
      <c r="B15" s="54">
        <v>139.31</v>
      </c>
      <c r="C15" s="54">
        <v>48.90</v>
      </c>
      <c r="D15" s="54">
        <v>139.35</v>
      </c>
      <c r="E15" s="54">
        <v>0.44</v>
      </c>
      <c r="F15" s="54">
        <v>3.15</v>
      </c>
      <c r="G15" s="54">
        <v>119.63</v>
      </c>
      <c r="H15" s="54">
        <v>53.93</v>
      </c>
      <c r="I15" s="54">
        <v>1.53</v>
      </c>
      <c r="J15" s="54">
        <v>0.14000000000000001</v>
      </c>
      <c r="K15" s="54">
        <v>321.04000000000002</v>
      </c>
      <c r="L15" s="54">
        <v>10.88</v>
      </c>
      <c r="M15" s="54">
        <v>99.57</v>
      </c>
      <c r="N15" s="54">
        <v>108.10</v>
      </c>
      <c r="O15" s="54">
        <v>0</v>
      </c>
      <c r="P15" s="54">
        <v>1.41</v>
      </c>
      <c r="Q15" s="54">
        <v>15.69</v>
      </c>
      <c r="R15" s="43"/>
      <c r="S15" s="43"/>
      <c r="T15" s="43"/>
      <c r="U15" s="43"/>
    </row>
    <row r="16" spans="1:21" s="11" customFormat="1" ht="15">
      <c r="A16" s="53" t="s">
        <v>717</v>
      </c>
      <c r="B16" s="54">
        <v>168.46</v>
      </c>
      <c r="C16" s="54">
        <v>55.65</v>
      </c>
      <c r="D16" s="54">
        <v>166.45</v>
      </c>
      <c r="E16" s="54">
        <v>0.48</v>
      </c>
      <c r="F16" s="54">
        <v>3.28</v>
      </c>
      <c r="G16" s="54">
        <v>170.16</v>
      </c>
      <c r="H16" s="54">
        <v>60.83</v>
      </c>
      <c r="I16" s="54">
        <v>1.57</v>
      </c>
      <c r="J16" s="54">
        <v>0.08</v>
      </c>
      <c r="K16" s="54">
        <v>347.96</v>
      </c>
      <c r="L16" s="54">
        <v>15.22</v>
      </c>
      <c r="M16" s="54">
        <v>99.53</v>
      </c>
      <c r="N16" s="54">
        <v>240.5</v>
      </c>
      <c r="O16" s="54">
        <v>0</v>
      </c>
      <c r="P16" s="54">
        <v>1.66</v>
      </c>
      <c r="Q16" s="54">
        <v>18.43</v>
      </c>
      <c r="R16" s="43"/>
      <c r="S16" s="43"/>
      <c r="T16" s="43"/>
      <c r="U16" s="43"/>
    </row>
    <row r="17" spans="1:21" s="11" customFormat="1" ht="15">
      <c r="A17" s="53" t="s">
        <v>718</v>
      </c>
      <c r="B17" s="54">
        <v>169.87</v>
      </c>
      <c r="C17" s="54">
        <v>65.349999999999994</v>
      </c>
      <c r="D17" s="54">
        <v>168.90</v>
      </c>
      <c r="E17" s="54">
        <v>0.53</v>
      </c>
      <c r="F17" s="54">
        <v>3.28</v>
      </c>
      <c r="G17" s="54">
        <v>189.99</v>
      </c>
      <c r="H17" s="54">
        <v>64</v>
      </c>
      <c r="I17" s="54">
        <v>1.51</v>
      </c>
      <c r="J17" s="54">
        <v>0.64</v>
      </c>
      <c r="K17" s="54">
        <v>146.87</v>
      </c>
      <c r="L17" s="54">
        <v>19.55</v>
      </c>
      <c r="M17" s="54">
        <v>63.11</v>
      </c>
      <c r="N17" s="54">
        <v>454.5</v>
      </c>
      <c r="O17" s="54">
        <v>0</v>
      </c>
      <c r="P17" s="54">
        <v>1.71</v>
      </c>
      <c r="Q17" s="54">
        <v>18.77</v>
      </c>
      <c r="R17" s="43"/>
      <c r="S17" s="43"/>
      <c r="T17" s="43"/>
      <c r="U17" s="43"/>
    </row>
    <row r="18" spans="1:21" s="11" customFormat="1" ht="15">
      <c r="A18" s="53" t="s">
        <v>719</v>
      </c>
      <c r="B18" s="54">
        <v>133</v>
      </c>
      <c r="C18" s="54">
        <v>77.36</v>
      </c>
      <c r="D18" s="54">
        <v>144.58000000000001</v>
      </c>
      <c r="E18" s="54">
        <v>0.49</v>
      </c>
      <c r="F18" s="54">
        <v>3.34</v>
      </c>
      <c r="G18" s="54">
        <v>189.99</v>
      </c>
      <c r="H18" s="54">
        <v>73.739999999999995</v>
      </c>
      <c r="I18" s="54">
        <v>1.5</v>
      </c>
      <c r="J18" s="54">
        <v>1.25</v>
      </c>
      <c r="K18" s="54">
        <v>156.86000000000001</v>
      </c>
      <c r="L18" s="54">
        <v>19.88</v>
      </c>
      <c r="M18" s="54">
        <v>55.30</v>
      </c>
      <c r="N18" s="54">
        <v>565.29999999999995</v>
      </c>
      <c r="O18" s="54">
        <v>0</v>
      </c>
      <c r="P18" s="54">
        <v>1.69</v>
      </c>
      <c r="Q18" s="54">
        <v>17.25</v>
      </c>
      <c r="R18" s="43"/>
      <c r="S18" s="43"/>
      <c r="T18" s="43"/>
      <c r="U18" s="43"/>
    </row>
    <row r="19" spans="1:21" s="11" customFormat="1" ht="15">
      <c r="A19" s="53" t="s">
        <v>720</v>
      </c>
      <c r="B19" s="54">
        <v>87.69</v>
      </c>
      <c r="C19" s="54">
        <v>83.13</v>
      </c>
      <c r="D19" s="54">
        <v>114.97</v>
      </c>
      <c r="E19" s="54">
        <v>0.37</v>
      </c>
      <c r="F19" s="54">
        <v>3.15</v>
      </c>
      <c r="G19" s="54">
        <v>187.15</v>
      </c>
      <c r="H19" s="54">
        <v>73.739999999999995</v>
      </c>
      <c r="I19" s="54">
        <v>1.54</v>
      </c>
      <c r="J19" s="54">
        <v>0.81</v>
      </c>
      <c r="K19" s="54">
        <v>149.65</v>
      </c>
      <c r="L19" s="54">
        <v>22.43</v>
      </c>
      <c r="M19" s="54">
        <v>44.64</v>
      </c>
      <c r="N19" s="54">
        <v>800.60</v>
      </c>
      <c r="O19" s="54">
        <v>0</v>
      </c>
      <c r="P19" s="54">
        <v>1.5</v>
      </c>
      <c r="Q19" s="54">
        <v>14.61</v>
      </c>
      <c r="R19" s="43"/>
      <c r="S19" s="43"/>
      <c r="T19" s="43"/>
      <c r="U19" s="43"/>
    </row>
    <row r="20" spans="1:21" s="11" customFormat="1" ht="15">
      <c r="A20" s="53" t="s">
        <v>721</v>
      </c>
      <c r="B20" s="54">
        <v>51.84</v>
      </c>
      <c r="C20" s="54">
        <v>82.99</v>
      </c>
      <c r="D20" s="54">
        <v>88.02</v>
      </c>
      <c r="E20" s="54">
        <v>0.32</v>
      </c>
      <c r="F20" s="54">
        <v>3.42</v>
      </c>
      <c r="G20" s="54">
        <v>87.52</v>
      </c>
      <c r="H20" s="54">
        <v>63.01</v>
      </c>
      <c r="I20" s="54">
        <v>1.51</v>
      </c>
      <c r="J20" s="54">
        <v>0.48</v>
      </c>
      <c r="K20" s="54">
        <v>337.24</v>
      </c>
      <c r="L20" s="54">
        <v>25.71</v>
      </c>
      <c r="M20" s="54">
        <v>36.090000000000003</v>
      </c>
      <c r="N20" s="54">
        <v>845</v>
      </c>
      <c r="O20" s="54">
        <v>0</v>
      </c>
      <c r="P20" s="54">
        <v>1.26</v>
      </c>
      <c r="Q20" s="54">
        <v>12.22</v>
      </c>
      <c r="R20" s="43"/>
      <c r="S20" s="43"/>
      <c r="T20" s="43"/>
      <c r="U20" s="43"/>
    </row>
    <row r="21" spans="1:21" s="11" customFormat="1" ht="15">
      <c r="A21" s="53" t="s">
        <v>722</v>
      </c>
      <c r="B21" s="54">
        <v>28.10</v>
      </c>
      <c r="C21" s="54">
        <v>82.53</v>
      </c>
      <c r="D21" s="54">
        <v>68.73</v>
      </c>
      <c r="E21" s="54">
        <v>0.28000000000000003</v>
      </c>
      <c r="F21" s="54">
        <v>3.54</v>
      </c>
      <c r="G21" s="54">
        <v>69.25</v>
      </c>
      <c r="H21" s="54">
        <v>47.64</v>
      </c>
      <c r="I21" s="54">
        <v>1.54</v>
      </c>
      <c r="J21" s="54">
        <v>0.87</v>
      </c>
      <c r="K21" s="54">
        <v>143</v>
      </c>
      <c r="L21" s="54">
        <v>24.49</v>
      </c>
      <c r="M21" s="54">
        <v>32.840000000000003</v>
      </c>
      <c r="N21" s="54">
        <v>803.70</v>
      </c>
      <c r="O21" s="54">
        <v>0</v>
      </c>
      <c r="P21" s="54">
        <v>1.06</v>
      </c>
      <c r="Q21" s="54">
        <v>10.35</v>
      </c>
      <c r="R21" s="43"/>
      <c r="S21" s="43"/>
      <c r="T21" s="43"/>
      <c r="U21" s="43"/>
    </row>
    <row r="22" spans="1:21" s="11" customFormat="1" ht="15">
      <c r="A22" s="53" t="s">
        <v>723</v>
      </c>
      <c r="B22" s="54">
        <v>12.34</v>
      </c>
      <c r="C22" s="54">
        <v>77.069999999999993</v>
      </c>
      <c r="D22" s="54">
        <v>53.08</v>
      </c>
      <c r="E22" s="54">
        <v>0.27</v>
      </c>
      <c r="F22" s="54">
        <v>4.2699999999999996</v>
      </c>
      <c r="G22" s="54">
        <v>69.25</v>
      </c>
      <c r="H22" s="54">
        <v>38.68</v>
      </c>
      <c r="I22" s="54">
        <v>1.55</v>
      </c>
      <c r="J22" s="54">
        <v>0.72</v>
      </c>
      <c r="K22" s="54">
        <v>352.87</v>
      </c>
      <c r="L22" s="54">
        <v>26.28</v>
      </c>
      <c r="M22" s="54">
        <v>30.28</v>
      </c>
      <c r="N22" s="54">
        <v>708.60</v>
      </c>
      <c r="O22" s="54">
        <v>0</v>
      </c>
      <c r="P22" s="54">
        <v>0.90</v>
      </c>
      <c r="Q22" s="54">
        <v>8.92</v>
      </c>
      <c r="R22" s="43"/>
      <c r="S22" s="43"/>
      <c r="T22" s="43"/>
      <c r="U22" s="43"/>
    </row>
    <row r="23" spans="1:21" s="11" customFormat="1" ht="15">
      <c r="A23" s="53" t="s">
        <v>724</v>
      </c>
      <c r="B23" s="54">
        <v>4.62</v>
      </c>
      <c r="C23" s="54">
        <v>70.91</v>
      </c>
      <c r="D23" s="54">
        <v>43.48</v>
      </c>
      <c r="E23" s="54">
        <v>0.18</v>
      </c>
      <c r="F23" s="54">
        <v>4.87</v>
      </c>
      <c r="G23" s="54">
        <v>51.34</v>
      </c>
      <c r="H23" s="54">
        <v>30.12</v>
      </c>
      <c r="I23" s="54">
        <v>1.56</v>
      </c>
      <c r="J23" s="54">
        <v>0.55000000000000004</v>
      </c>
      <c r="K23" s="54">
        <v>132.87</v>
      </c>
      <c r="L23" s="54">
        <v>24.99</v>
      </c>
      <c r="M23" s="54">
        <v>29.78</v>
      </c>
      <c r="N23" s="54">
        <v>591.5</v>
      </c>
      <c r="O23" s="54">
        <v>0</v>
      </c>
      <c r="P23" s="54">
        <v>0.80</v>
      </c>
      <c r="Q23" s="54">
        <v>7.90</v>
      </c>
      <c r="R23" s="43"/>
      <c r="S23" s="43"/>
      <c r="T23" s="43"/>
      <c r="U23" s="43"/>
    </row>
    <row r="24" spans="1:21" s="11" customFormat="1" ht="15">
      <c r="A24" s="53" t="s">
        <v>725</v>
      </c>
      <c r="B24" s="54">
        <v>3.94</v>
      </c>
      <c r="C24" s="54">
        <v>60.97</v>
      </c>
      <c r="D24" s="54">
        <v>37.44</v>
      </c>
      <c r="E24" s="54">
        <v>0.16</v>
      </c>
      <c r="F24" s="54">
        <v>4.53</v>
      </c>
      <c r="G24" s="54">
        <v>49.16</v>
      </c>
      <c r="H24" s="54">
        <v>23.63</v>
      </c>
      <c r="I24" s="54">
        <v>1.52</v>
      </c>
      <c r="J24" s="54">
        <v>0.65</v>
      </c>
      <c r="K24" s="54">
        <v>344.53</v>
      </c>
      <c r="L24" s="54">
        <v>25.70</v>
      </c>
      <c r="M24" s="54">
        <v>29.53</v>
      </c>
      <c r="N24" s="54">
        <v>206.80</v>
      </c>
      <c r="O24" s="54">
        <v>0</v>
      </c>
      <c r="P24" s="54">
        <v>0.69</v>
      </c>
      <c r="Q24" s="54">
        <v>7.28</v>
      </c>
      <c r="R24" s="43"/>
      <c r="S24" s="43"/>
      <c r="T24" s="43"/>
      <c r="U24" s="43"/>
    </row>
    <row r="25" spans="1:21" s="11" customFormat="1" ht="15">
      <c r="A25" s="53" t="s">
        <v>726</v>
      </c>
      <c r="B25" s="54">
        <v>4.26</v>
      </c>
      <c r="C25" s="54">
        <v>60.97</v>
      </c>
      <c r="D25" s="54">
        <v>37.71</v>
      </c>
      <c r="E25" s="54">
        <v>0.19</v>
      </c>
      <c r="F25" s="54">
        <v>4.4800000000000004</v>
      </c>
      <c r="G25" s="54">
        <v>49.16</v>
      </c>
      <c r="H25" s="54">
        <v>21.51</v>
      </c>
      <c r="I25" s="54">
        <v>1.51</v>
      </c>
      <c r="J25" s="54">
        <v>0.27</v>
      </c>
      <c r="K25" s="54">
        <v>320.98</v>
      </c>
      <c r="L25" s="54">
        <v>24.5</v>
      </c>
      <c r="M25" s="54">
        <v>30.44</v>
      </c>
      <c r="N25" s="54">
        <v>143.40</v>
      </c>
      <c r="O25" s="54">
        <v>0</v>
      </c>
      <c r="P25" s="54">
        <v>0.66</v>
      </c>
      <c r="Q25" s="54">
        <v>7.13</v>
      </c>
      <c r="R25" s="43"/>
      <c r="S25" s="43"/>
      <c r="T25" s="43"/>
      <c r="U25" s="43"/>
    </row>
    <row r="26" spans="1:21" s="11" customFormat="1" ht="15">
      <c r="A26" s="53" t="s">
        <v>727</v>
      </c>
      <c r="B26" s="54">
        <v>9.3000000000000007</v>
      </c>
      <c r="C26" s="54">
        <v>60.65</v>
      </c>
      <c r="D26" s="54">
        <v>41.58</v>
      </c>
      <c r="E26" s="54">
        <v>0.20</v>
      </c>
      <c r="F26" s="54">
        <v>3.63</v>
      </c>
      <c r="G26" s="54">
        <v>58.14</v>
      </c>
      <c r="H26" s="54">
        <v>23.97</v>
      </c>
      <c r="I26" s="54">
        <v>1.52</v>
      </c>
      <c r="J26" s="54">
        <v>0.09</v>
      </c>
      <c r="K26" s="54">
        <v>160.86000000000001</v>
      </c>
      <c r="L26" s="54">
        <v>22.30</v>
      </c>
      <c r="M26" s="54">
        <v>58.25</v>
      </c>
      <c r="N26" s="54">
        <v>78</v>
      </c>
      <c r="O26" s="54">
        <v>0</v>
      </c>
      <c r="P26" s="54">
        <v>0.69</v>
      </c>
      <c r="Q26" s="54">
        <v>7.30</v>
      </c>
      <c r="R26" s="43"/>
      <c r="S26" s="43"/>
      <c r="T26" s="43"/>
      <c r="U26" s="43"/>
    </row>
    <row r="27" spans="1:21" s="11" customFormat="1" ht="15">
      <c r="A27" s="53" t="s">
        <v>728</v>
      </c>
      <c r="B27" s="54">
        <v>27.74</v>
      </c>
      <c r="C27" s="54">
        <v>61.20</v>
      </c>
      <c r="D27" s="54">
        <v>56.55</v>
      </c>
      <c r="E27" s="54">
        <v>0.25</v>
      </c>
      <c r="F27" s="54">
        <v>3.25</v>
      </c>
      <c r="G27" s="54">
        <v>101</v>
      </c>
      <c r="H27" s="54">
        <v>23.97</v>
      </c>
      <c r="I27" s="54">
        <v>1.56</v>
      </c>
      <c r="J27" s="54">
        <v>0.24</v>
      </c>
      <c r="K27" s="54">
        <v>99.87</v>
      </c>
      <c r="L27" s="54">
        <v>18.899999999999999</v>
      </c>
      <c r="M27" s="54">
        <v>65.180000000000007</v>
      </c>
      <c r="N27" s="54">
        <v>49.60</v>
      </c>
      <c r="O27" s="54">
        <v>0</v>
      </c>
      <c r="P27" s="54">
        <v>0.96</v>
      </c>
      <c r="Q27" s="54">
        <v>8.5299999999999994</v>
      </c>
      <c r="R27" s="43"/>
      <c r="S27" s="43"/>
      <c r="T27" s="43"/>
      <c r="U27" s="43"/>
    </row>
    <row r="28" spans="1:21" s="11" customFormat="1" ht="15">
      <c r="A28" s="53" t="s">
        <v>729</v>
      </c>
      <c r="B28" s="54">
        <v>30.59</v>
      </c>
      <c r="C28" s="54">
        <v>66.27</v>
      </c>
      <c r="D28" s="54">
        <v>61.17</v>
      </c>
      <c r="E28" s="54">
        <v>0.28999999999999998</v>
      </c>
      <c r="F28" s="54">
        <v>3.34</v>
      </c>
      <c r="G28" s="54">
        <v>128.83000000000001</v>
      </c>
      <c r="H28" s="54">
        <v>35.270000000000003</v>
      </c>
      <c r="I28" s="54">
        <v>1.55</v>
      </c>
      <c r="J28" s="54">
        <v>0.19</v>
      </c>
      <c r="K28" s="54">
        <v>102.71</v>
      </c>
      <c r="L28" s="54">
        <v>18.57</v>
      </c>
      <c r="M28" s="54">
        <v>58.82</v>
      </c>
      <c r="N28" s="54">
        <v>49.10</v>
      </c>
      <c r="O28" s="54">
        <v>0</v>
      </c>
      <c r="P28" s="54">
        <v>1.1299999999999999</v>
      </c>
      <c r="Q28" s="54">
        <v>9.31</v>
      </c>
      <c r="R28" s="43"/>
      <c r="S28" s="43"/>
      <c r="T28" s="43"/>
      <c r="U28" s="43"/>
    </row>
    <row r="29" spans="1:21" s="11" customFormat="1" ht="15">
      <c r="A29" s="53" t="s">
        <v>730</v>
      </c>
      <c r="B29" s="54">
        <v>27.17</v>
      </c>
      <c r="C29" s="54">
        <v>69.709999999999994</v>
      </c>
      <c r="D29" s="54">
        <v>59.99</v>
      </c>
      <c r="E29" s="54">
        <v>0.24</v>
      </c>
      <c r="F29" s="54">
        <v>3.27</v>
      </c>
      <c r="G29" s="54">
        <v>131.07</v>
      </c>
      <c r="H29" s="54">
        <v>44.09</v>
      </c>
      <c r="I29" s="54">
        <v>1.53</v>
      </c>
      <c r="J29" s="54">
        <v>0.16</v>
      </c>
      <c r="K29" s="54">
        <v>71.400000000000006</v>
      </c>
      <c r="L29" s="54">
        <v>17.82</v>
      </c>
      <c r="M29" s="54">
        <v>60.40</v>
      </c>
      <c r="N29" s="54">
        <v>49.20</v>
      </c>
      <c r="O29" s="54">
        <v>0</v>
      </c>
      <c r="P29" s="54">
        <v>1.30</v>
      </c>
      <c r="Q29" s="54">
        <v>9.3000000000000007</v>
      </c>
      <c r="R29" s="43"/>
      <c r="S29" s="43"/>
      <c r="T29" s="43"/>
      <c r="U29" s="43"/>
    </row>
    <row r="30" spans="1:21" s="11" customFormat="1" ht="15">
      <c r="A30" s="53" t="s">
        <v>731</v>
      </c>
      <c r="B30" s="54">
        <v>25.28</v>
      </c>
      <c r="C30" s="54">
        <v>71.17</v>
      </c>
      <c r="D30" s="54">
        <v>59.62</v>
      </c>
      <c r="E30" s="54">
        <v>0.25</v>
      </c>
      <c r="F30" s="54">
        <v>2.97</v>
      </c>
      <c r="G30" s="54">
        <v>131.07</v>
      </c>
      <c r="H30" s="54">
        <v>44.09</v>
      </c>
      <c r="I30" s="54">
        <v>1.51</v>
      </c>
      <c r="J30" s="54">
        <v>0.15</v>
      </c>
      <c r="K30" s="54">
        <v>136.72</v>
      </c>
      <c r="L30" s="54">
        <v>17.18</v>
      </c>
      <c r="M30" s="54">
        <v>62.46</v>
      </c>
      <c r="N30" s="54">
        <v>49.10</v>
      </c>
      <c r="O30" s="54">
        <v>0</v>
      </c>
      <c r="P30" s="54">
        <v>1.33</v>
      </c>
      <c r="Q30" s="54">
        <v>9.19</v>
      </c>
      <c r="R30" s="43"/>
      <c r="S30" s="43"/>
      <c r="T30" s="43"/>
      <c r="U30" s="43"/>
    </row>
    <row r="31" spans="1:21" s="11" customFormat="1" ht="15">
      <c r="A31" s="53" t="s">
        <v>732</v>
      </c>
      <c r="B31" s="54">
        <v>18.41</v>
      </c>
      <c r="C31" s="54">
        <v>70.08</v>
      </c>
      <c r="D31" s="54">
        <v>54.09</v>
      </c>
      <c r="E31" s="54">
        <v>0.21</v>
      </c>
      <c r="F31" s="54">
        <v>3.24</v>
      </c>
      <c r="G31" s="54">
        <v>112</v>
      </c>
      <c r="H31" s="54">
        <v>39.659999999999997</v>
      </c>
      <c r="I31" s="54">
        <v>1.53</v>
      </c>
      <c r="J31" s="54">
        <v>0.28999999999999998</v>
      </c>
      <c r="K31" s="54">
        <v>341.63</v>
      </c>
      <c r="L31" s="54">
        <v>17.23</v>
      </c>
      <c r="M31" s="54">
        <v>70</v>
      </c>
      <c r="N31" s="54">
        <v>49.5</v>
      </c>
      <c r="O31" s="54">
        <v>0</v>
      </c>
      <c r="P31" s="54">
        <v>1.26</v>
      </c>
      <c r="Q31" s="54">
        <v>8.81</v>
      </c>
      <c r="R31" s="43"/>
      <c r="S31" s="43"/>
      <c r="T31" s="43"/>
      <c r="U31" s="43"/>
    </row>
    <row r="32" spans="1:21" s="11" customFormat="1" ht="15">
      <c r="A32" s="53" t="s">
        <v>733</v>
      </c>
      <c r="B32" s="54">
        <v>31.58</v>
      </c>
      <c r="C32" s="54">
        <v>68.14</v>
      </c>
      <c r="D32" s="54">
        <v>61.30</v>
      </c>
      <c r="E32" s="54">
        <v>0.19</v>
      </c>
      <c r="F32" s="54">
        <v>3.06</v>
      </c>
      <c r="G32" s="54">
        <v>88.07</v>
      </c>
      <c r="H32" s="54">
        <v>39.659999999999997</v>
      </c>
      <c r="I32" s="54">
        <v>1.56</v>
      </c>
      <c r="J32" s="54">
        <v>0.15</v>
      </c>
      <c r="K32" s="54">
        <v>330.03</v>
      </c>
      <c r="L32" s="54">
        <v>15.93</v>
      </c>
      <c r="M32" s="54">
        <v>79.86</v>
      </c>
      <c r="N32" s="54">
        <v>49.60</v>
      </c>
      <c r="O32" s="54">
        <v>0</v>
      </c>
      <c r="P32" s="54">
        <v>1.21</v>
      </c>
      <c r="Q32" s="54">
        <v>9.14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3.9399999999999999</v>
      </c>
      <c r="C34" s="28">
        <f t="shared" si="0"/>
        <v>44.210000000000001</v>
      </c>
      <c r="D34" s="28">
        <f t="shared" si="0"/>
        <v>37.439999999999998</v>
      </c>
      <c r="E34" s="28">
        <f t="shared" si="0"/>
        <v>0.16</v>
      </c>
      <c r="F34" s="28">
        <f t="shared" si="0"/>
        <v>2.9700000000000002</v>
      </c>
      <c r="G34" s="28">
        <f t="shared" si="0"/>
        <v>49.159999999999997</v>
      </c>
      <c r="H34" s="28">
        <f t="shared" si="0"/>
        <v>21.510000000000002</v>
      </c>
      <c r="I34" s="28">
        <f t="shared" si="0"/>
        <v>1.5</v>
      </c>
      <c r="J34" s="28">
        <f t="shared" si="0"/>
        <v>0.080000000000000002</v>
      </c>
      <c r="K34" s="28">
        <f t="shared" si="0"/>
        <v>71.400000000000006</v>
      </c>
      <c r="L34" s="28">
        <f t="shared" si="0"/>
        <v>10.76</v>
      </c>
      <c r="M34" s="28">
        <f t="shared" si="0"/>
        <v>29.530000000000001</v>
      </c>
      <c r="N34" s="28">
        <f t="shared" si="0"/>
        <v>49.100000000000001</v>
      </c>
      <c r="O34" s="28">
        <f t="shared" si="0"/>
        <v>0</v>
      </c>
      <c r="P34" s="28">
        <f t="shared" si="0"/>
        <v>0.66000000000000003</v>
      </c>
      <c r="Q34" s="28">
        <f t="shared" si="0"/>
        <v>7.1299999999999999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205.31</v>
      </c>
      <c r="C35" s="29">
        <f t="shared" si="1"/>
        <v>83.129999999999995</v>
      </c>
      <c r="D35" s="29">
        <f t="shared" si="1"/>
        <v>200.15000000000001</v>
      </c>
      <c r="E35" s="29">
        <f t="shared" si="1"/>
        <v>0.56999999999999995</v>
      </c>
      <c r="F35" s="29">
        <f t="shared" si="1"/>
        <v>4.8700000000000001</v>
      </c>
      <c r="G35" s="29">
        <f t="shared" si="1"/>
        <v>189.99000000000001</v>
      </c>
      <c r="H35" s="29">
        <f t="shared" si="1"/>
        <v>79.469999999999999</v>
      </c>
      <c r="I35" s="29">
        <f t="shared" si="1"/>
        <v>1.6100000000000001</v>
      </c>
      <c r="J35" s="29">
        <f t="shared" si="1"/>
        <v>1.25</v>
      </c>
      <c r="K35" s="29">
        <f t="shared" si="1"/>
        <v>352.87</v>
      </c>
      <c r="L35" s="29">
        <f t="shared" si="1"/>
        <v>26.280000000000001</v>
      </c>
      <c r="M35" s="29">
        <f t="shared" si="1"/>
        <v>99.579999999999998</v>
      </c>
      <c r="N35" s="29">
        <f t="shared" si="1"/>
        <v>845</v>
      </c>
      <c r="O35" s="29">
        <f t="shared" si="1"/>
        <v>0</v>
      </c>
      <c r="P35" s="29">
        <f t="shared" si="1"/>
        <v>2.9700000000000002</v>
      </c>
      <c r="Q35" s="29">
        <f t="shared" si="1"/>
        <v>21.789999999999999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77.504999999999995</v>
      </c>
      <c r="C36" s="28">
        <f t="shared" si="2"/>
        <v>64.873333333333335</v>
      </c>
      <c r="D36" s="28">
        <f t="shared" si="2"/>
        <v>97.891250000000014</v>
      </c>
      <c r="E36" s="28">
        <f t="shared" si="2"/>
        <v>0.34250000000000003</v>
      </c>
      <c r="F36" s="28">
        <f t="shared" si="2"/>
        <v>3.4908333333333328</v>
      </c>
      <c r="G36" s="28">
        <f t="shared" si="2"/>
        <v>118.19416666666667</v>
      </c>
      <c r="H36" s="28">
        <f t="shared" si="2"/>
        <v>50.142916666666672</v>
      </c>
      <c r="I36" s="28">
        <f t="shared" si="2"/>
        <v>1.5429166666666667</v>
      </c>
      <c r="J36" s="28">
        <f t="shared" si="2"/>
        <v>0.37291666666666673</v>
      </c>
      <c r="K36" s="28">
        <f t="shared" si="2"/>
        <v>244.27374999999998</v>
      </c>
      <c r="L36" s="28">
        <f t="shared" si="2"/>
        <v>18.328333333333333</v>
      </c>
      <c r="M36" s="28">
        <f t="shared" si="2"/>
        <v>65.796666666666667</v>
      </c>
      <c r="N36" s="28">
        <f t="shared" si="2"/>
        <v>264.12916666666672</v>
      </c>
      <c r="O36" s="28">
        <f t="shared" si="2"/>
        <v>0</v>
      </c>
      <c r="P36" s="28">
        <f t="shared" si="2"/>
        <v>1.4170833333333335</v>
      </c>
      <c r="Q36" s="28">
        <f t="shared" si="2"/>
        <v>12.746250000000002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67.667392828258954</v>
      </c>
      <c r="C37" s="28">
        <f t="shared" si="3" ref="C37:Q37">STDEV(C9:C32)</f>
        <v>11.234608279259458</v>
      </c>
      <c r="D37" s="28">
        <f t="shared" si="3"/>
        <v>51.877723736770648</v>
      </c>
      <c r="E37" s="28">
        <f t="shared" si="3"/>
        <v>0.13549426427776873</v>
      </c>
      <c r="F37" s="28">
        <f t="shared" si="3"/>
        <v>0.5091674079076226</v>
      </c>
      <c r="G37" s="28">
        <f t="shared" si="3"/>
        <v>47.114287034334069</v>
      </c>
      <c r="H37" s="28">
        <f t="shared" si="3"/>
        <v>18.133998690705013</v>
      </c>
      <c r="I37" s="28">
        <f t="shared" si="3"/>
        <v>0.028204095704219185</v>
      </c>
      <c r="J37" s="28">
        <f t="shared" si="3"/>
        <v>0.30701195510877116</v>
      </c>
      <c r="K37" s="28">
        <f t="shared" si="3"/>
        <v>101.23395683149442</v>
      </c>
      <c r="L37" s="28">
        <f t="shared" si="3"/>
        <v>5.2903888791613047</v>
      </c>
      <c r="M37" s="28">
        <f t="shared" si="3"/>
        <v>26.121936586219906</v>
      </c>
      <c r="N37" s="28">
        <f t="shared" si="3"/>
        <v>287.37358276090822</v>
      </c>
      <c r="O37" s="28">
        <f t="shared" si="3"/>
        <v>0</v>
      </c>
      <c r="P37" s="28">
        <f t="shared" si="3"/>
        <v>0.57549584795591091</v>
      </c>
      <c r="Q37" s="28">
        <f t="shared" si="3"/>
        <v>4.7281183061965883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25b918-ba8d-40af-8f15-536dae2bdbc7}">
  <sheetPr codeName=""/>
  <dimension ref="A1:U119"/>
  <sheetViews>
    <sheetView zoomScale="85" zoomScaleNormal="85" workbookViewId="0" topLeftCell="A1">
      <selection pane="topLeft" activeCell="H47" sqref="H4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734</v>
      </c>
      <c r="B9" s="54">
        <v>43.99</v>
      </c>
      <c r="C9" s="54">
        <v>61.52</v>
      </c>
      <c r="D9" s="54">
        <v>68.430000000000007</v>
      </c>
      <c r="E9" s="54">
        <v>0.37</v>
      </c>
      <c r="F9" s="54">
        <v>3.12</v>
      </c>
      <c r="G9" s="54">
        <v>119.40</v>
      </c>
      <c r="H9" s="54">
        <v>37.68</v>
      </c>
      <c r="I9" s="54">
        <v>1.55</v>
      </c>
      <c r="J9" s="54">
        <v>0.14000000000000001</v>
      </c>
      <c r="K9" s="54">
        <v>304.04000000000002</v>
      </c>
      <c r="L9" s="54">
        <v>14.12</v>
      </c>
      <c r="M9" s="54">
        <v>91.98</v>
      </c>
      <c r="N9" s="54">
        <v>49.20</v>
      </c>
      <c r="O9" s="54">
        <v>0</v>
      </c>
      <c r="P9" s="54">
        <v>1.20</v>
      </c>
      <c r="Q9" s="54">
        <v>10.050000000000001</v>
      </c>
      <c r="R9" s="43"/>
      <c r="S9" s="43"/>
      <c r="T9" s="43"/>
      <c r="U9" s="43"/>
    </row>
    <row r="10" spans="1:21" s="11" customFormat="1" ht="15">
      <c r="A10" s="53" t="s">
        <v>735</v>
      </c>
      <c r="B10" s="54">
        <v>46.17</v>
      </c>
      <c r="C10" s="54">
        <v>58.05</v>
      </c>
      <c r="D10" s="54">
        <v>66.900000000000006</v>
      </c>
      <c r="E10" s="54">
        <v>0.33</v>
      </c>
      <c r="F10" s="54">
        <v>3.34</v>
      </c>
      <c r="G10" s="54">
        <v>119.40</v>
      </c>
      <c r="H10" s="54">
        <v>39.24</v>
      </c>
      <c r="I10" s="54">
        <v>1.53</v>
      </c>
      <c r="J10" s="54">
        <v>0.13</v>
      </c>
      <c r="K10" s="54">
        <v>311.39</v>
      </c>
      <c r="L10" s="54">
        <v>13.79</v>
      </c>
      <c r="M10" s="54">
        <v>93.31</v>
      </c>
      <c r="N10" s="54">
        <v>49.10</v>
      </c>
      <c r="O10" s="54">
        <v>0</v>
      </c>
      <c r="P10" s="54">
        <v>1.18</v>
      </c>
      <c r="Q10" s="54">
        <v>10.07</v>
      </c>
      <c r="R10" s="43"/>
      <c r="S10" s="43"/>
      <c r="T10" s="43"/>
      <c r="U10" s="43"/>
    </row>
    <row r="11" spans="1:21" s="11" customFormat="1" ht="15">
      <c r="A11" s="53" t="s">
        <v>736</v>
      </c>
      <c r="B11" s="54">
        <v>45.15</v>
      </c>
      <c r="C11" s="54">
        <v>54.13</v>
      </c>
      <c r="D11" s="54">
        <v>66.099999999999994</v>
      </c>
      <c r="E11" s="54">
        <v>0.31</v>
      </c>
      <c r="F11" s="54">
        <v>3.07</v>
      </c>
      <c r="G11" s="54">
        <v>105.31</v>
      </c>
      <c r="H11" s="54">
        <v>40.74</v>
      </c>
      <c r="I11" s="54">
        <v>1.58</v>
      </c>
      <c r="J11" s="54">
        <v>0.09</v>
      </c>
      <c r="K11" s="54">
        <v>297.19</v>
      </c>
      <c r="L11" s="54">
        <v>13.29</v>
      </c>
      <c r="M11" s="54">
        <v>92.73</v>
      </c>
      <c r="N11" s="54">
        <v>48.90</v>
      </c>
      <c r="O11" s="54">
        <v>0</v>
      </c>
      <c r="P11" s="54">
        <v>1.18</v>
      </c>
      <c r="Q11" s="54">
        <v>10.07</v>
      </c>
      <c r="R11" s="43"/>
      <c r="S11" s="43"/>
      <c r="T11" s="43"/>
      <c r="U11" s="43"/>
    </row>
    <row r="12" spans="1:21" s="11" customFormat="1" ht="15">
      <c r="A12" s="53" t="s">
        <v>737</v>
      </c>
      <c r="B12" s="54">
        <v>38.950000000000003</v>
      </c>
      <c r="C12" s="54">
        <v>53.78</v>
      </c>
      <c r="D12" s="54">
        <v>60.19</v>
      </c>
      <c r="E12" s="54">
        <v>0.40</v>
      </c>
      <c r="F12" s="54">
        <v>2.98</v>
      </c>
      <c r="G12" s="54">
        <v>151.34</v>
      </c>
      <c r="H12" s="54">
        <v>58.09</v>
      </c>
      <c r="I12" s="54">
        <v>1.58</v>
      </c>
      <c r="J12" s="54">
        <v>0.20</v>
      </c>
      <c r="K12" s="54">
        <v>280.20999999999998</v>
      </c>
      <c r="L12" s="54">
        <v>13.20</v>
      </c>
      <c r="M12" s="54">
        <v>99.47</v>
      </c>
      <c r="N12" s="54">
        <v>49.20</v>
      </c>
      <c r="O12" s="54">
        <v>0</v>
      </c>
      <c r="P12" s="54">
        <v>1.1399999999999999</v>
      </c>
      <c r="Q12" s="54">
        <v>9.69</v>
      </c>
      <c r="R12" s="43"/>
      <c r="S12" s="43"/>
      <c r="T12" s="43"/>
      <c r="U12" s="43"/>
    </row>
    <row r="13" spans="1:21" s="11" customFormat="1" ht="15">
      <c r="A13" s="53" t="s">
        <v>738</v>
      </c>
      <c r="B13" s="54">
        <v>41.39</v>
      </c>
      <c r="C13" s="54">
        <v>49.47</v>
      </c>
      <c r="D13" s="54">
        <v>60.88</v>
      </c>
      <c r="E13" s="54">
        <v>0.22</v>
      </c>
      <c r="F13" s="54">
        <v>3.21</v>
      </c>
      <c r="G13" s="54">
        <v>151.34</v>
      </c>
      <c r="H13" s="54">
        <v>58.09</v>
      </c>
      <c r="I13" s="54">
        <v>1.5</v>
      </c>
      <c r="J13" s="54">
        <v>0.16</v>
      </c>
      <c r="K13" s="54">
        <v>289.26</v>
      </c>
      <c r="L13" s="54">
        <v>11.66</v>
      </c>
      <c r="M13" s="54">
        <v>99.5</v>
      </c>
      <c r="N13" s="54">
        <v>48.90</v>
      </c>
      <c r="O13" s="54">
        <v>0</v>
      </c>
      <c r="P13" s="54">
        <v>1.06</v>
      </c>
      <c r="Q13" s="54">
        <v>9.5299999999999994</v>
      </c>
      <c r="R13" s="43"/>
      <c r="S13" s="43"/>
      <c r="T13" s="43"/>
      <c r="U13" s="43"/>
    </row>
    <row r="14" spans="1:21" s="11" customFormat="1" ht="15">
      <c r="A14" s="53" t="s">
        <v>739</v>
      </c>
      <c r="B14" s="54">
        <v>50.26</v>
      </c>
      <c r="C14" s="54">
        <v>48.15</v>
      </c>
      <c r="D14" s="54">
        <v>66.80</v>
      </c>
      <c r="E14" s="54">
        <v>0.22</v>
      </c>
      <c r="F14" s="54">
        <v>3.26</v>
      </c>
      <c r="G14" s="54">
        <v>111.37</v>
      </c>
      <c r="H14" s="54">
        <v>49.65</v>
      </c>
      <c r="I14" s="54">
        <v>1.59</v>
      </c>
      <c r="J14" s="54">
        <v>0.15</v>
      </c>
      <c r="K14" s="54">
        <v>311.58</v>
      </c>
      <c r="L14" s="54">
        <v>11.56</v>
      </c>
      <c r="M14" s="54">
        <v>99.53</v>
      </c>
      <c r="N14" s="54">
        <v>48.90</v>
      </c>
      <c r="O14" s="54">
        <v>0</v>
      </c>
      <c r="P14" s="54">
        <v>0.98</v>
      </c>
      <c r="Q14" s="54">
        <v>9.82</v>
      </c>
      <c r="R14" s="43"/>
      <c r="S14" s="43"/>
      <c r="T14" s="43"/>
      <c r="U14" s="43"/>
    </row>
    <row r="15" spans="1:21" s="11" customFormat="1" ht="15">
      <c r="A15" s="53" t="s">
        <v>740</v>
      </c>
      <c r="B15" s="54">
        <v>63.12</v>
      </c>
      <c r="C15" s="54">
        <v>46.5</v>
      </c>
      <c r="D15" s="54">
        <v>76.48</v>
      </c>
      <c r="E15" s="54">
        <v>0.22</v>
      </c>
      <c r="F15" s="54">
        <v>3.30</v>
      </c>
      <c r="G15" s="54">
        <v>119.69</v>
      </c>
      <c r="H15" s="54">
        <v>56.23</v>
      </c>
      <c r="I15" s="54">
        <v>1.61</v>
      </c>
      <c r="J15" s="54">
        <v>0.17</v>
      </c>
      <c r="K15" s="54">
        <v>355.62</v>
      </c>
      <c r="L15" s="54">
        <v>11.16</v>
      </c>
      <c r="M15" s="54">
        <v>99.53</v>
      </c>
      <c r="N15" s="54">
        <v>68.400000000000006</v>
      </c>
      <c r="O15" s="54">
        <v>0</v>
      </c>
      <c r="P15" s="54">
        <v>1</v>
      </c>
      <c r="Q15" s="54">
        <v>10.67</v>
      </c>
      <c r="R15" s="43"/>
      <c r="S15" s="43"/>
      <c r="T15" s="43"/>
      <c r="U15" s="43"/>
    </row>
    <row r="16" spans="1:21" s="11" customFormat="1" ht="15">
      <c r="A16" s="53" t="s">
        <v>741</v>
      </c>
      <c r="B16" s="54">
        <v>71.959999999999994</v>
      </c>
      <c r="C16" s="54">
        <v>49.11</v>
      </c>
      <c r="D16" s="54">
        <v>85.45</v>
      </c>
      <c r="E16" s="54">
        <v>0.28999999999999998</v>
      </c>
      <c r="F16" s="54">
        <v>3.27</v>
      </c>
      <c r="G16" s="54">
        <v>144.66999999999999</v>
      </c>
      <c r="H16" s="54">
        <v>56.78</v>
      </c>
      <c r="I16" s="54">
        <v>1.56</v>
      </c>
      <c r="J16" s="54">
        <v>0.72</v>
      </c>
      <c r="K16" s="54">
        <v>337.72</v>
      </c>
      <c r="L16" s="54">
        <v>14.49</v>
      </c>
      <c r="M16" s="54">
        <v>99.5</v>
      </c>
      <c r="N16" s="54">
        <v>204.5</v>
      </c>
      <c r="O16" s="54">
        <v>0</v>
      </c>
      <c r="P16" s="54">
        <v>1.08</v>
      </c>
      <c r="Q16" s="54">
        <v>11.52</v>
      </c>
      <c r="R16" s="43"/>
      <c r="S16" s="43"/>
      <c r="T16" s="43"/>
      <c r="U16" s="43"/>
    </row>
    <row r="17" spans="1:21" s="11" customFormat="1" ht="15">
      <c r="A17" s="53" t="s">
        <v>742</v>
      </c>
      <c r="B17" s="54">
        <v>69.39</v>
      </c>
      <c r="C17" s="54">
        <v>59.26</v>
      </c>
      <c r="D17" s="54">
        <v>84.69</v>
      </c>
      <c r="E17" s="54">
        <v>0.23</v>
      </c>
      <c r="F17" s="54">
        <v>3.14</v>
      </c>
      <c r="G17" s="54">
        <v>181.56</v>
      </c>
      <c r="H17" s="54">
        <v>68.53</v>
      </c>
      <c r="I17" s="54">
        <v>1.53</v>
      </c>
      <c r="J17" s="54">
        <v>0.5</v>
      </c>
      <c r="K17" s="54">
        <v>347.02</v>
      </c>
      <c r="L17" s="54">
        <v>22.24</v>
      </c>
      <c r="M17" s="54">
        <v>76.849999999999994</v>
      </c>
      <c r="N17" s="54">
        <v>403.60</v>
      </c>
      <c r="O17" s="54">
        <v>0</v>
      </c>
      <c r="P17" s="54">
        <v>1.29</v>
      </c>
      <c r="Q17" s="54">
        <v>11.63</v>
      </c>
      <c r="R17" s="43"/>
      <c r="S17" s="43"/>
      <c r="T17" s="43"/>
      <c r="U17" s="43"/>
    </row>
    <row r="18" spans="1:21" s="11" customFormat="1" ht="15">
      <c r="A18" s="53" t="s">
        <v>743</v>
      </c>
      <c r="B18" s="54">
        <v>62.02</v>
      </c>
      <c r="C18" s="54">
        <v>68.94</v>
      </c>
      <c r="D18" s="54">
        <v>84.49</v>
      </c>
      <c r="E18" s="54">
        <v>0.28000000000000003</v>
      </c>
      <c r="F18" s="54">
        <v>3.23</v>
      </c>
      <c r="G18" s="54">
        <v>198.04</v>
      </c>
      <c r="H18" s="54">
        <v>72.30</v>
      </c>
      <c r="I18" s="54">
        <v>1.59</v>
      </c>
      <c r="J18" s="54">
        <v>0.34</v>
      </c>
      <c r="K18" s="54">
        <v>337.07</v>
      </c>
      <c r="L18" s="54">
        <v>24.31</v>
      </c>
      <c r="M18" s="54">
        <v>46.38</v>
      </c>
      <c r="N18" s="54">
        <v>582.29999999999995</v>
      </c>
      <c r="O18" s="54">
        <v>0</v>
      </c>
      <c r="P18" s="54">
        <v>1.49</v>
      </c>
      <c r="Q18" s="54">
        <v>11.54</v>
      </c>
      <c r="R18" s="43"/>
      <c r="S18" s="43"/>
      <c r="T18" s="43"/>
      <c r="U18" s="43"/>
    </row>
    <row r="19" spans="1:21" s="11" customFormat="1" ht="15">
      <c r="A19" s="53" t="s">
        <v>744</v>
      </c>
      <c r="B19" s="54">
        <v>48.04</v>
      </c>
      <c r="C19" s="54">
        <v>88.41</v>
      </c>
      <c r="D19" s="54">
        <v>79.56</v>
      </c>
      <c r="E19" s="54">
        <v>0.34</v>
      </c>
      <c r="F19" s="54">
        <v>6.21</v>
      </c>
      <c r="G19" s="54">
        <v>198.04</v>
      </c>
      <c r="H19" s="54">
        <v>75.010000000000005</v>
      </c>
      <c r="I19" s="54">
        <v>1.58</v>
      </c>
      <c r="J19" s="54">
        <v>1.1399999999999999</v>
      </c>
      <c r="K19" s="54">
        <v>146.13</v>
      </c>
      <c r="L19" s="54">
        <v>23.01</v>
      </c>
      <c r="M19" s="54">
        <v>47.33</v>
      </c>
      <c r="N19" s="54">
        <v>705.70</v>
      </c>
      <c r="O19" s="54">
        <v>0</v>
      </c>
      <c r="P19" s="54">
        <v>1.49</v>
      </c>
      <c r="Q19" s="54">
        <v>11.23</v>
      </c>
      <c r="R19" s="43"/>
      <c r="S19" s="43"/>
      <c r="T19" s="43"/>
      <c r="U19" s="43"/>
    </row>
    <row r="20" spans="1:21" s="11" customFormat="1" ht="15">
      <c r="A20" s="53" t="s">
        <v>745</v>
      </c>
      <c r="B20" s="54">
        <v>4.3099999999999996</v>
      </c>
      <c r="C20" s="54">
        <v>82.77</v>
      </c>
      <c r="D20" s="54">
        <v>49.78</v>
      </c>
      <c r="E20" s="54">
        <v>0.17</v>
      </c>
      <c r="F20" s="54">
        <v>7.23</v>
      </c>
      <c r="G20" s="54">
        <v>170.93</v>
      </c>
      <c r="H20" s="54">
        <v>75.010000000000005</v>
      </c>
      <c r="I20" s="54">
        <v>1.58</v>
      </c>
      <c r="J20" s="54">
        <v>1.1200000000000001</v>
      </c>
      <c r="K20" s="54">
        <v>153.38</v>
      </c>
      <c r="L20" s="54">
        <v>24.71</v>
      </c>
      <c r="M20" s="54">
        <v>39.56</v>
      </c>
      <c r="N20" s="54">
        <v>769.90</v>
      </c>
      <c r="O20" s="54">
        <v>0</v>
      </c>
      <c r="P20" s="54">
        <v>0.98</v>
      </c>
      <c r="Q20" s="54">
        <v>8.74</v>
      </c>
      <c r="R20" s="43"/>
      <c r="S20" s="43"/>
      <c r="T20" s="43"/>
      <c r="U20" s="43"/>
    </row>
    <row r="21" spans="1:21" s="11" customFormat="1" ht="15">
      <c r="A21" s="53" t="s">
        <v>746</v>
      </c>
      <c r="B21" s="54">
        <v>2.66</v>
      </c>
      <c r="C21" s="54">
        <v>65.239999999999995</v>
      </c>
      <c r="D21" s="54">
        <v>38.78</v>
      </c>
      <c r="E21" s="54">
        <v>0.28999999999999998</v>
      </c>
      <c r="F21" s="54">
        <v>8.74</v>
      </c>
      <c r="G21" s="54">
        <v>93.31</v>
      </c>
      <c r="H21" s="54">
        <v>61.19</v>
      </c>
      <c r="I21" s="54">
        <v>1.53</v>
      </c>
      <c r="J21" s="54">
        <v>0.47</v>
      </c>
      <c r="K21" s="54">
        <v>303.94</v>
      </c>
      <c r="L21" s="54">
        <v>27.10</v>
      </c>
      <c r="M21" s="54">
        <v>34.380000000000003</v>
      </c>
      <c r="N21" s="54">
        <v>776.90</v>
      </c>
      <c r="O21" s="54">
        <v>0</v>
      </c>
      <c r="P21" s="54">
        <v>0.84</v>
      </c>
      <c r="Q21" s="54">
        <v>7.76</v>
      </c>
      <c r="R21" s="43"/>
      <c r="S21" s="43"/>
      <c r="T21" s="43"/>
      <c r="U21" s="43"/>
    </row>
    <row r="22" spans="1:21" s="11" customFormat="1" ht="15">
      <c r="A22" s="53" t="s">
        <v>747</v>
      </c>
      <c r="B22" s="54">
        <v>7.74</v>
      </c>
      <c r="C22" s="54">
        <v>57.72</v>
      </c>
      <c r="D22" s="54">
        <v>35.97</v>
      </c>
      <c r="E22" s="54">
        <v>0.99</v>
      </c>
      <c r="F22" s="54">
        <v>17.12</v>
      </c>
      <c r="G22" s="54">
        <v>93.31</v>
      </c>
      <c r="H22" s="54">
        <v>50.37</v>
      </c>
      <c r="I22" s="54">
        <v>1.59</v>
      </c>
      <c r="J22" s="54">
        <v>0.39</v>
      </c>
      <c r="K22" s="54">
        <v>352.99</v>
      </c>
      <c r="L22" s="54">
        <v>29.55</v>
      </c>
      <c r="M22" s="54">
        <v>27.99</v>
      </c>
      <c r="N22" s="54">
        <v>750.5</v>
      </c>
      <c r="O22" s="54">
        <v>0</v>
      </c>
      <c r="P22" s="54">
        <v>0.69</v>
      </c>
      <c r="Q22" s="54">
        <v>7.43</v>
      </c>
      <c r="R22" s="43"/>
      <c r="S22" s="43"/>
      <c r="T22" s="43"/>
      <c r="U22" s="43"/>
    </row>
    <row r="23" spans="1:21" s="11" customFormat="1" ht="15">
      <c r="A23" s="53" t="s">
        <v>748</v>
      </c>
      <c r="B23" s="54">
        <v>5.62</v>
      </c>
      <c r="C23" s="54">
        <v>55.31</v>
      </c>
      <c r="D23" s="54">
        <v>35.61</v>
      </c>
      <c r="E23" s="54">
        <v>0.28000000000000003</v>
      </c>
      <c r="F23" s="54">
        <v>5.86</v>
      </c>
      <c r="G23" s="54">
        <v>64.739999999999995</v>
      </c>
      <c r="H23" s="54">
        <v>45.31</v>
      </c>
      <c r="I23" s="54">
        <v>1.56</v>
      </c>
      <c r="J23" s="54">
        <v>0.90</v>
      </c>
      <c r="K23" s="54">
        <v>335.36</v>
      </c>
      <c r="L23" s="54">
        <v>27.47</v>
      </c>
      <c r="M23" s="54">
        <v>29.05</v>
      </c>
      <c r="N23" s="54">
        <v>507.40</v>
      </c>
      <c r="O23" s="54">
        <v>0</v>
      </c>
      <c r="P23" s="54">
        <v>0.65</v>
      </c>
      <c r="Q23" s="54">
        <v>7.21</v>
      </c>
      <c r="R23" s="43"/>
      <c r="S23" s="43"/>
      <c r="T23" s="43"/>
      <c r="U23" s="43"/>
    </row>
    <row r="24" spans="1:21" s="11" customFormat="1" ht="15">
      <c r="A24" s="53" t="s">
        <v>749</v>
      </c>
      <c r="B24" s="54">
        <v>4.83</v>
      </c>
      <c r="C24" s="54">
        <v>56.52</v>
      </c>
      <c r="D24" s="54">
        <v>35.40</v>
      </c>
      <c r="E24" s="54">
        <v>0.34</v>
      </c>
      <c r="F24" s="54">
        <v>5.25</v>
      </c>
      <c r="G24" s="54">
        <v>60.31</v>
      </c>
      <c r="H24" s="54">
        <v>33.840000000000003</v>
      </c>
      <c r="I24" s="54">
        <v>1.5</v>
      </c>
      <c r="J24" s="54">
        <v>0.20</v>
      </c>
      <c r="K24" s="54">
        <v>312.24</v>
      </c>
      <c r="L24" s="54">
        <v>26</v>
      </c>
      <c r="M24" s="54">
        <v>26.97</v>
      </c>
      <c r="N24" s="54">
        <v>194.60</v>
      </c>
      <c r="O24" s="54">
        <v>0</v>
      </c>
      <c r="P24" s="54">
        <v>0.65</v>
      </c>
      <c r="Q24" s="54">
        <v>7.18</v>
      </c>
      <c r="R24" s="43"/>
      <c r="S24" s="43"/>
      <c r="T24" s="43"/>
      <c r="U24" s="43"/>
    </row>
    <row r="25" spans="1:21" s="11" customFormat="1" ht="15">
      <c r="A25" s="53" t="s">
        <v>750</v>
      </c>
      <c r="B25" s="54">
        <v>5.65</v>
      </c>
      <c r="C25" s="54">
        <v>62.05</v>
      </c>
      <c r="D25" s="54">
        <v>39.42</v>
      </c>
      <c r="E25" s="54">
        <v>0.27</v>
      </c>
      <c r="F25" s="54">
        <v>4.42</v>
      </c>
      <c r="G25" s="54">
        <v>60.31</v>
      </c>
      <c r="H25" s="54">
        <v>31.24</v>
      </c>
      <c r="I25" s="54">
        <v>1.52</v>
      </c>
      <c r="J25" s="54">
        <v>0.25</v>
      </c>
      <c r="K25" s="54">
        <v>343.46</v>
      </c>
      <c r="L25" s="54">
        <v>25.30</v>
      </c>
      <c r="M25" s="54">
        <v>31.07</v>
      </c>
      <c r="N25" s="54">
        <v>125.80</v>
      </c>
      <c r="O25" s="54">
        <v>0</v>
      </c>
      <c r="P25" s="54">
        <v>0.75</v>
      </c>
      <c r="Q25" s="54">
        <v>7.30</v>
      </c>
      <c r="R25" s="43"/>
      <c r="S25" s="43"/>
      <c r="T25" s="43"/>
      <c r="U25" s="43"/>
    </row>
    <row r="26" spans="1:21" s="11" customFormat="1" ht="15">
      <c r="A26" s="53" t="s">
        <v>751</v>
      </c>
      <c r="B26" s="54">
        <v>23.35</v>
      </c>
      <c r="C26" s="54">
        <v>77.33</v>
      </c>
      <c r="D26" s="54">
        <v>62.05</v>
      </c>
      <c r="E26" s="54">
        <v>0.26</v>
      </c>
      <c r="F26" s="54">
        <v>3.68</v>
      </c>
      <c r="G26" s="54">
        <v>121.04</v>
      </c>
      <c r="H26" s="54">
        <v>25.67</v>
      </c>
      <c r="I26" s="54">
        <v>1.57</v>
      </c>
      <c r="J26" s="54">
        <v>0.08</v>
      </c>
      <c r="K26" s="54">
        <v>279.80</v>
      </c>
      <c r="L26" s="54">
        <v>23.25</v>
      </c>
      <c r="M26" s="54">
        <v>58.83</v>
      </c>
      <c r="N26" s="54">
        <v>73.599999999999994</v>
      </c>
      <c r="O26" s="54">
        <v>0</v>
      </c>
      <c r="P26" s="54">
        <v>0.92</v>
      </c>
      <c r="Q26" s="54">
        <v>8.9700000000000006</v>
      </c>
      <c r="R26" s="43"/>
      <c r="S26" s="43"/>
      <c r="T26" s="43"/>
      <c r="U26" s="43"/>
    </row>
    <row r="27" spans="1:21" s="11" customFormat="1" ht="15">
      <c r="A27" s="53" t="s">
        <v>752</v>
      </c>
      <c r="B27" s="54">
        <v>68.33</v>
      </c>
      <c r="C27" s="54">
        <v>84.33</v>
      </c>
      <c r="D27" s="54">
        <v>101.98</v>
      </c>
      <c r="E27" s="54">
        <v>0.32</v>
      </c>
      <c r="F27" s="54">
        <v>3.48</v>
      </c>
      <c r="G27" s="54">
        <v>162.58000000000001</v>
      </c>
      <c r="H27" s="54">
        <v>38.17</v>
      </c>
      <c r="I27" s="54">
        <v>1.47</v>
      </c>
      <c r="J27" s="54">
        <v>0.13</v>
      </c>
      <c r="K27" s="54">
        <v>339.60</v>
      </c>
      <c r="L27" s="54">
        <v>19.75</v>
      </c>
      <c r="M27" s="54">
        <v>62.81</v>
      </c>
      <c r="N27" s="54">
        <v>51.40</v>
      </c>
      <c r="O27" s="54">
        <v>0</v>
      </c>
      <c r="P27" s="54">
        <v>1.26</v>
      </c>
      <c r="Q27" s="54">
        <v>12.19</v>
      </c>
      <c r="R27" s="43"/>
      <c r="S27" s="43"/>
      <c r="T27" s="43"/>
      <c r="U27" s="43"/>
    </row>
    <row r="28" spans="1:21" s="11" customFormat="1" ht="15">
      <c r="A28" s="53" t="s">
        <v>753</v>
      </c>
      <c r="B28" s="54">
        <v>95.94</v>
      </c>
      <c r="C28" s="54">
        <v>85.70</v>
      </c>
      <c r="D28" s="54">
        <v>124.32</v>
      </c>
      <c r="E28" s="54">
        <v>0.39</v>
      </c>
      <c r="F28" s="54">
        <v>3.25</v>
      </c>
      <c r="G28" s="54">
        <v>182.30</v>
      </c>
      <c r="H28" s="54">
        <v>47.83</v>
      </c>
      <c r="I28" s="54">
        <v>1.56</v>
      </c>
      <c r="J28" s="54">
        <v>0.08</v>
      </c>
      <c r="K28" s="54">
        <v>323.66000000000003</v>
      </c>
      <c r="L28" s="54">
        <v>18.23</v>
      </c>
      <c r="M28" s="54">
        <v>67.459999999999994</v>
      </c>
      <c r="N28" s="54">
        <v>51.10</v>
      </c>
      <c r="O28" s="54">
        <v>0</v>
      </c>
      <c r="P28" s="54">
        <v>1.63</v>
      </c>
      <c r="Q28" s="54">
        <v>14.62</v>
      </c>
      <c r="R28" s="43"/>
      <c r="S28" s="43"/>
      <c r="T28" s="43"/>
      <c r="U28" s="43"/>
    </row>
    <row r="29" spans="1:21" s="11" customFormat="1" ht="15">
      <c r="A29" s="53" t="s">
        <v>754</v>
      </c>
      <c r="B29" s="54">
        <v>118</v>
      </c>
      <c r="C29" s="54">
        <v>84.30</v>
      </c>
      <c r="D29" s="54">
        <v>140.11000000000001</v>
      </c>
      <c r="E29" s="54">
        <v>0.53</v>
      </c>
      <c r="F29" s="54">
        <v>3.20</v>
      </c>
      <c r="G29" s="54">
        <v>191.5</v>
      </c>
      <c r="H29" s="54">
        <v>61.80</v>
      </c>
      <c r="I29" s="54">
        <v>1.55</v>
      </c>
      <c r="J29" s="54">
        <v>0.15</v>
      </c>
      <c r="K29" s="54">
        <v>317.36</v>
      </c>
      <c r="L29" s="54">
        <v>17.52</v>
      </c>
      <c r="M29" s="54">
        <v>72.08</v>
      </c>
      <c r="N29" s="54">
        <v>50.90</v>
      </c>
      <c r="O29" s="54">
        <v>0</v>
      </c>
      <c r="P29" s="54">
        <v>2.08</v>
      </c>
      <c r="Q29" s="54">
        <v>16.16</v>
      </c>
      <c r="R29" s="43"/>
      <c r="S29" s="43"/>
      <c r="T29" s="43"/>
      <c r="U29" s="43"/>
    </row>
    <row r="30" spans="1:21" s="11" customFormat="1" ht="15">
      <c r="A30" s="53" t="s">
        <v>755</v>
      </c>
      <c r="B30" s="54">
        <v>128.85</v>
      </c>
      <c r="C30" s="54">
        <v>79.47</v>
      </c>
      <c r="D30" s="54">
        <v>145.36000000000001</v>
      </c>
      <c r="E30" s="54">
        <v>0.61</v>
      </c>
      <c r="F30" s="54">
        <v>3.54</v>
      </c>
      <c r="G30" s="54">
        <v>191.5</v>
      </c>
      <c r="H30" s="54">
        <v>61.80</v>
      </c>
      <c r="I30" s="54">
        <v>1.58</v>
      </c>
      <c r="J30" s="54">
        <v>0.09</v>
      </c>
      <c r="K30" s="54">
        <v>341.92</v>
      </c>
      <c r="L30" s="54">
        <v>16.95</v>
      </c>
      <c r="M30" s="54">
        <v>72.739999999999995</v>
      </c>
      <c r="N30" s="54">
        <v>50.90</v>
      </c>
      <c r="O30" s="54">
        <v>0</v>
      </c>
      <c r="P30" s="54">
        <v>2.2999999999999998</v>
      </c>
      <c r="Q30" s="54">
        <v>16.95</v>
      </c>
      <c r="R30" s="43"/>
      <c r="S30" s="43"/>
      <c r="T30" s="43"/>
      <c r="U30" s="43"/>
    </row>
    <row r="31" spans="1:21" s="11" customFormat="1" ht="15">
      <c r="A31" s="53" t="s">
        <v>756</v>
      </c>
      <c r="B31" s="54">
        <v>127.39</v>
      </c>
      <c r="C31" s="54">
        <v>73.42</v>
      </c>
      <c r="D31" s="54">
        <v>143.32</v>
      </c>
      <c r="E31" s="54">
        <v>0.61</v>
      </c>
      <c r="F31" s="54">
        <v>3.23</v>
      </c>
      <c r="G31" s="54">
        <v>155.88</v>
      </c>
      <c r="H31" s="54">
        <v>58.02</v>
      </c>
      <c r="I31" s="54">
        <v>1.51</v>
      </c>
      <c r="J31" s="54">
        <v>0.19</v>
      </c>
      <c r="K31" s="54">
        <v>318.82</v>
      </c>
      <c r="L31" s="54">
        <v>16.55</v>
      </c>
      <c r="M31" s="54">
        <v>75.73</v>
      </c>
      <c r="N31" s="54">
        <v>50.90</v>
      </c>
      <c r="O31" s="54">
        <v>0</v>
      </c>
      <c r="P31" s="54">
        <v>2.29</v>
      </c>
      <c r="Q31" s="54">
        <v>17.010000000000002</v>
      </c>
      <c r="R31" s="43"/>
      <c r="S31" s="43"/>
      <c r="T31" s="43"/>
      <c r="U31" s="43"/>
    </row>
    <row r="32" spans="1:21" s="11" customFormat="1" ht="15">
      <c r="A32" s="53" t="s">
        <v>757</v>
      </c>
      <c r="B32" s="54">
        <v>124.62</v>
      </c>
      <c r="C32" s="54">
        <v>68.430000000000007</v>
      </c>
      <c r="D32" s="54">
        <v>138.35</v>
      </c>
      <c r="E32" s="54">
        <v>0.57999999999999996</v>
      </c>
      <c r="F32" s="54">
        <v>3.20</v>
      </c>
      <c r="G32" s="54">
        <v>136.01</v>
      </c>
      <c r="H32" s="54">
        <v>56.02</v>
      </c>
      <c r="I32" s="54">
        <v>1.54</v>
      </c>
      <c r="J32" s="54">
        <v>0.16</v>
      </c>
      <c r="K32" s="54">
        <v>335.54</v>
      </c>
      <c r="L32" s="54">
        <v>15.57</v>
      </c>
      <c r="M32" s="54">
        <v>83.85</v>
      </c>
      <c r="N32" s="54">
        <v>51</v>
      </c>
      <c r="O32" s="54">
        <v>0</v>
      </c>
      <c r="P32" s="54">
        <v>2.2000000000000002</v>
      </c>
      <c r="Q32" s="54">
        <v>16.63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2.6600000000000001</v>
      </c>
      <c r="C34" s="28">
        <f t="shared" si="0"/>
        <v>46.5</v>
      </c>
      <c r="D34" s="28">
        <f t="shared" si="0"/>
        <v>35.399999999999999</v>
      </c>
      <c r="E34" s="28">
        <f t="shared" si="0"/>
        <v>0.17000000000000001</v>
      </c>
      <c r="F34" s="28">
        <f t="shared" si="0"/>
        <v>2.98</v>
      </c>
      <c r="G34" s="28">
        <f t="shared" si="0"/>
        <v>60.310000000000002</v>
      </c>
      <c r="H34" s="28">
        <f t="shared" si="0"/>
        <v>25.670000000000002</v>
      </c>
      <c r="I34" s="28">
        <f t="shared" si="0"/>
        <v>1.47</v>
      </c>
      <c r="J34" s="28">
        <f t="shared" si="0"/>
        <v>0.080000000000000002</v>
      </c>
      <c r="K34" s="28">
        <f t="shared" si="0"/>
        <v>146.13</v>
      </c>
      <c r="L34" s="28">
        <f t="shared" si="0"/>
        <v>11.16</v>
      </c>
      <c r="M34" s="28">
        <f t="shared" si="0"/>
        <v>26.969999999999999</v>
      </c>
      <c r="N34" s="28">
        <f t="shared" si="0"/>
        <v>48.899999999999999</v>
      </c>
      <c r="O34" s="28">
        <f t="shared" si="0"/>
        <v>0</v>
      </c>
      <c r="P34" s="28">
        <f t="shared" si="0"/>
        <v>0.65000000000000002</v>
      </c>
      <c r="Q34" s="28">
        <f t="shared" si="0"/>
        <v>7.1799999999999997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128.84999999999999</v>
      </c>
      <c r="C35" s="29">
        <f t="shared" si="1"/>
        <v>88.409999999999997</v>
      </c>
      <c r="D35" s="29">
        <f t="shared" si="1"/>
        <v>145.36000000000001</v>
      </c>
      <c r="E35" s="29">
        <f t="shared" si="1"/>
        <v>0.98999999999999999</v>
      </c>
      <c r="F35" s="29">
        <f t="shared" si="1"/>
        <v>17.120000000000001</v>
      </c>
      <c r="G35" s="29">
        <f t="shared" si="1"/>
        <v>198.03999999999999</v>
      </c>
      <c r="H35" s="29">
        <f t="shared" si="1"/>
        <v>75.010000000000005</v>
      </c>
      <c r="I35" s="29">
        <f t="shared" si="1"/>
        <v>1.6100000000000001</v>
      </c>
      <c r="J35" s="29">
        <f t="shared" si="1"/>
        <v>1.1399999999999999</v>
      </c>
      <c r="K35" s="29">
        <f t="shared" si="1"/>
        <v>355.62</v>
      </c>
      <c r="L35" s="29">
        <f t="shared" si="1"/>
        <v>29.550000000000001</v>
      </c>
      <c r="M35" s="29">
        <f t="shared" si="1"/>
        <v>99.530000000000001</v>
      </c>
      <c r="N35" s="29">
        <f t="shared" si="1"/>
        <v>776.89999999999998</v>
      </c>
      <c r="O35" s="29">
        <f t="shared" si="1"/>
        <v>0</v>
      </c>
      <c r="P35" s="29">
        <f t="shared" si="1"/>
        <v>2.2999999999999998</v>
      </c>
      <c r="Q35" s="29">
        <f t="shared" si="1"/>
        <v>17.010000000000002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54.072083333333332</v>
      </c>
      <c r="C36" s="28">
        <f t="shared" si="2"/>
        <v>65.412916666666661</v>
      </c>
      <c r="D36" s="28">
        <f t="shared" si="2"/>
        <v>78.767499999999998</v>
      </c>
      <c r="E36" s="28">
        <f t="shared" si="2"/>
        <v>0.36875000000000008</v>
      </c>
      <c r="F36" s="28">
        <f t="shared" si="2"/>
        <v>4.5970833333333347</v>
      </c>
      <c r="G36" s="28">
        <f t="shared" si="2"/>
        <v>136.82833333333335</v>
      </c>
      <c r="H36" s="28">
        <f t="shared" si="2"/>
        <v>52.442083333333329</v>
      </c>
      <c r="I36" s="28">
        <f t="shared" si="2"/>
        <v>1.5524999999999995</v>
      </c>
      <c r="J36" s="28">
        <f t="shared" si="2"/>
        <v>0.33124999999999999</v>
      </c>
      <c r="K36" s="28">
        <f t="shared" si="2"/>
        <v>307.30416666666667</v>
      </c>
      <c r="L36" s="28">
        <f t="shared" si="2"/>
        <v>19.199166666666667</v>
      </c>
      <c r="M36" s="28">
        <f t="shared" si="2"/>
        <v>67.859583333333319</v>
      </c>
      <c r="N36" s="28">
        <f t="shared" si="2"/>
        <v>240.14999999999998</v>
      </c>
      <c r="O36" s="28">
        <f t="shared" si="2"/>
        <v>0</v>
      </c>
      <c r="P36" s="28">
        <f t="shared" si="2"/>
        <v>1.2637499999999999</v>
      </c>
      <c r="Q36" s="28">
        <f t="shared" si="2"/>
        <v>10.998750000000001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41.018600338527925</v>
      </c>
      <c r="C37" s="28">
        <f t="shared" si="3" ref="C37:Q37">STDEV(C9:C32)</f>
        <v>13.479047985724002</v>
      </c>
      <c r="D37" s="28">
        <f t="shared" si="3"/>
        <v>35.937832100544945</v>
      </c>
      <c r="E37" s="28">
        <f t="shared" si="3"/>
        <v>0.18157074319010943</v>
      </c>
      <c r="F37" s="28">
        <f t="shared" si="3"/>
        <v>3.0661085365608001</v>
      </c>
      <c r="G37" s="28">
        <f t="shared" si="3"/>
        <v>43.58860946809741</v>
      </c>
      <c r="H37" s="28">
        <f t="shared" si="3"/>
        <v>13.8213885853606</v>
      </c>
      <c r="I37" s="28">
        <f t="shared" si="3"/>
        <v>0.035293797952516325</v>
      </c>
      <c r="J37" s="28">
        <f t="shared" si="3"/>
        <v>0.32125179749116478</v>
      </c>
      <c r="K37" s="28">
        <f t="shared" si="3"/>
        <v>53.207463101619112</v>
      </c>
      <c r="L37" s="28">
        <f t="shared" si="3"/>
        <v>5.8062372135239313</v>
      </c>
      <c r="M37" s="28">
        <f t="shared" si="3"/>
        <v>26.64468875684754</v>
      </c>
      <c r="N37" s="28">
        <f t="shared" si="3"/>
        <v>277.29577051918068</v>
      </c>
      <c r="O37" s="28">
        <f t="shared" si="3"/>
        <v>0</v>
      </c>
      <c r="P37" s="28">
        <f t="shared" si="3"/>
        <v>0.50607451333126685</v>
      </c>
      <c r="Q37" s="28">
        <f t="shared" si="3"/>
        <v>3.1519866923411342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b0598be-facc-4688-91bb-60544d32cf17}">
  <sheetPr codeName=""/>
  <dimension ref="A1:U119"/>
  <sheetViews>
    <sheetView zoomScale="85" zoomScaleNormal="85" workbookViewId="0" topLeftCell="A1">
      <selection pane="topLeft" activeCell="I51" sqref="I5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758</v>
      </c>
      <c r="B9" s="54">
        <v>116.75</v>
      </c>
      <c r="C9" s="54">
        <v>64.680000000000007</v>
      </c>
      <c r="D9" s="54">
        <v>129.91</v>
      </c>
      <c r="E9" s="54">
        <v>0.35</v>
      </c>
      <c r="F9" s="54">
        <v>3.22</v>
      </c>
      <c r="G9" s="54">
        <v>121.25</v>
      </c>
      <c r="H9" s="54">
        <v>56.02</v>
      </c>
      <c r="I9" s="54">
        <v>1.61</v>
      </c>
      <c r="J9" s="54">
        <v>0.12</v>
      </c>
      <c r="K9" s="54">
        <v>308.02999999999997</v>
      </c>
      <c r="L9" s="54">
        <v>15.03</v>
      </c>
      <c r="M9" s="54">
        <v>82.97</v>
      </c>
      <c r="N9" s="54">
        <v>50.90</v>
      </c>
      <c r="O9" s="54">
        <v>0</v>
      </c>
      <c r="P9" s="54">
        <v>2</v>
      </c>
      <c r="Q9" s="54">
        <v>15.96</v>
      </c>
      <c r="R9" s="43"/>
      <c r="S9" s="43"/>
      <c r="T9" s="43"/>
      <c r="U9" s="43"/>
    </row>
    <row r="10" spans="1:21" s="11" customFormat="1" ht="15">
      <c r="A10" s="53" t="s">
        <v>759</v>
      </c>
      <c r="B10" s="54">
        <v>106.73</v>
      </c>
      <c r="C10" s="54">
        <v>63.14</v>
      </c>
      <c r="D10" s="54">
        <v>121.08</v>
      </c>
      <c r="E10" s="54">
        <v>0.33</v>
      </c>
      <c r="F10" s="54">
        <v>3.43</v>
      </c>
      <c r="G10" s="54">
        <v>121.25</v>
      </c>
      <c r="H10" s="54">
        <v>48.65</v>
      </c>
      <c r="I10" s="54">
        <v>1.52</v>
      </c>
      <c r="J10" s="54">
        <v>0.10</v>
      </c>
      <c r="K10" s="54">
        <v>311.22000000000003</v>
      </c>
      <c r="L10" s="54">
        <v>14.36</v>
      </c>
      <c r="M10" s="54">
        <v>91.36</v>
      </c>
      <c r="N10" s="54">
        <v>50.80</v>
      </c>
      <c r="O10" s="54">
        <v>0</v>
      </c>
      <c r="P10" s="54">
        <v>1.67</v>
      </c>
      <c r="Q10" s="54">
        <v>15.09</v>
      </c>
      <c r="R10" s="43"/>
      <c r="S10" s="43"/>
      <c r="T10" s="43"/>
      <c r="U10" s="43"/>
    </row>
    <row r="11" spans="1:21" s="11" customFormat="1" ht="15">
      <c r="A11" s="53" t="s">
        <v>760</v>
      </c>
      <c r="B11" s="54">
        <v>85.66</v>
      </c>
      <c r="C11" s="54">
        <v>58.99</v>
      </c>
      <c r="D11" s="54">
        <v>101.90</v>
      </c>
      <c r="E11" s="54">
        <v>0.32</v>
      </c>
      <c r="F11" s="54">
        <v>3.14</v>
      </c>
      <c r="G11" s="54">
        <v>101.70</v>
      </c>
      <c r="H11" s="54">
        <v>50.63</v>
      </c>
      <c r="I11" s="54">
        <v>1.54</v>
      </c>
      <c r="J11" s="54">
        <v>0.10</v>
      </c>
      <c r="K11" s="54">
        <v>293.44</v>
      </c>
      <c r="L11" s="54">
        <v>14.02</v>
      </c>
      <c r="M11" s="54">
        <v>93.66</v>
      </c>
      <c r="N11" s="54">
        <v>50.70</v>
      </c>
      <c r="O11" s="54">
        <v>0</v>
      </c>
      <c r="P11" s="54">
        <v>1.47</v>
      </c>
      <c r="Q11" s="54">
        <v>13.49</v>
      </c>
      <c r="R11" s="43"/>
      <c r="S11" s="43"/>
      <c r="T11" s="43"/>
      <c r="U11" s="43"/>
    </row>
    <row r="12" spans="1:21" s="11" customFormat="1" ht="15">
      <c r="A12" s="53" t="s">
        <v>761</v>
      </c>
      <c r="B12" s="54">
        <v>69.84</v>
      </c>
      <c r="C12" s="54">
        <v>55.5</v>
      </c>
      <c r="D12" s="54">
        <v>87.28</v>
      </c>
      <c r="E12" s="54">
        <v>0.25</v>
      </c>
      <c r="F12" s="54">
        <v>3.26</v>
      </c>
      <c r="G12" s="54">
        <v>101.70</v>
      </c>
      <c r="H12" s="54">
        <v>50.63</v>
      </c>
      <c r="I12" s="54">
        <v>1.52</v>
      </c>
      <c r="J12" s="54">
        <v>0.56999999999999995</v>
      </c>
      <c r="K12" s="54">
        <v>332.23</v>
      </c>
      <c r="L12" s="54">
        <v>13.84</v>
      </c>
      <c r="M12" s="54">
        <v>96.38</v>
      </c>
      <c r="N12" s="54">
        <v>50.70</v>
      </c>
      <c r="O12" s="54">
        <v>0</v>
      </c>
      <c r="P12" s="54">
        <v>1.25</v>
      </c>
      <c r="Q12" s="54">
        <v>12.19</v>
      </c>
      <c r="R12" s="43"/>
      <c r="S12" s="43"/>
      <c r="T12" s="43"/>
      <c r="U12" s="43"/>
    </row>
    <row r="13" spans="1:21" s="11" customFormat="1" ht="15">
      <c r="A13" s="53" t="s">
        <v>762</v>
      </c>
      <c r="B13" s="54">
        <v>55.92</v>
      </c>
      <c r="C13" s="54">
        <v>54.94</v>
      </c>
      <c r="D13" s="54">
        <v>75.569999999999993</v>
      </c>
      <c r="E13" s="54">
        <v>0.27</v>
      </c>
      <c r="F13" s="54">
        <v>3.19</v>
      </c>
      <c r="G13" s="54">
        <v>87.31</v>
      </c>
      <c r="H13" s="54">
        <v>49.68</v>
      </c>
      <c r="I13" s="54">
        <v>1.51</v>
      </c>
      <c r="J13" s="54">
        <v>0.45</v>
      </c>
      <c r="K13" s="54">
        <v>354.80</v>
      </c>
      <c r="L13" s="54">
        <v>14.23</v>
      </c>
      <c r="M13" s="54">
        <v>87.88</v>
      </c>
      <c r="N13" s="54">
        <v>50.80</v>
      </c>
      <c r="O13" s="54">
        <v>0</v>
      </c>
      <c r="P13" s="54">
        <v>1.04</v>
      </c>
      <c r="Q13" s="54">
        <v>11.21</v>
      </c>
      <c r="R13" s="43"/>
      <c r="S13" s="43"/>
      <c r="T13" s="43"/>
      <c r="U13" s="43"/>
    </row>
    <row r="14" spans="1:21" s="11" customFormat="1" ht="15">
      <c r="A14" s="53" t="s">
        <v>763</v>
      </c>
      <c r="B14" s="54">
        <v>47.08</v>
      </c>
      <c r="C14" s="54">
        <v>54.82</v>
      </c>
      <c r="D14" s="54">
        <v>68.650000000000006</v>
      </c>
      <c r="E14" s="54">
        <v>0.31</v>
      </c>
      <c r="F14" s="54">
        <v>3.35</v>
      </c>
      <c r="G14" s="54">
        <v>63.87</v>
      </c>
      <c r="H14" s="54">
        <v>41.39</v>
      </c>
      <c r="I14" s="54">
        <v>1.56</v>
      </c>
      <c r="J14" s="54">
        <v>0.18</v>
      </c>
      <c r="K14" s="54">
        <v>302.42</v>
      </c>
      <c r="L14" s="54">
        <v>14.27</v>
      </c>
      <c r="M14" s="54">
        <v>84.97</v>
      </c>
      <c r="N14" s="54">
        <v>50.80</v>
      </c>
      <c r="O14" s="54">
        <v>0</v>
      </c>
      <c r="P14" s="54">
        <v>0.89</v>
      </c>
      <c r="Q14" s="54">
        <v>10.40</v>
      </c>
      <c r="R14" s="43"/>
      <c r="S14" s="43"/>
      <c r="T14" s="43"/>
      <c r="U14" s="43"/>
    </row>
    <row r="15" spans="1:21" s="11" customFormat="1" ht="15">
      <c r="A15" s="53" t="s">
        <v>764</v>
      </c>
      <c r="B15" s="54">
        <v>51.90</v>
      </c>
      <c r="C15" s="54">
        <v>54.13</v>
      </c>
      <c r="D15" s="54">
        <v>71.09</v>
      </c>
      <c r="E15" s="54">
        <v>0.30</v>
      </c>
      <c r="F15" s="54">
        <v>3.12</v>
      </c>
      <c r="G15" s="54">
        <v>125.19</v>
      </c>
      <c r="H15" s="54">
        <v>42.28</v>
      </c>
      <c r="I15" s="54">
        <v>1.55</v>
      </c>
      <c r="J15" s="54">
        <v>0.15</v>
      </c>
      <c r="K15" s="54">
        <v>302.41000000000003</v>
      </c>
      <c r="L15" s="54">
        <v>14.24</v>
      </c>
      <c r="M15" s="54">
        <v>91.48</v>
      </c>
      <c r="N15" s="54">
        <v>73.099999999999994</v>
      </c>
      <c r="O15" s="54">
        <v>0</v>
      </c>
      <c r="P15" s="54">
        <v>0.81</v>
      </c>
      <c r="Q15" s="54">
        <v>10.30</v>
      </c>
      <c r="R15" s="43"/>
      <c r="S15" s="43"/>
      <c r="T15" s="43"/>
      <c r="U15" s="43"/>
    </row>
    <row r="16" spans="1:21" s="11" customFormat="1" ht="15">
      <c r="A16" s="53" t="s">
        <v>765</v>
      </c>
      <c r="B16" s="54">
        <v>76.16</v>
      </c>
      <c r="C16" s="54">
        <v>55.75</v>
      </c>
      <c r="D16" s="54">
        <v>92.49</v>
      </c>
      <c r="E16" s="54">
        <v>0.28000000000000003</v>
      </c>
      <c r="F16" s="54">
        <v>3.51</v>
      </c>
      <c r="G16" s="54">
        <v>125.19</v>
      </c>
      <c r="H16" s="54">
        <v>42.28</v>
      </c>
      <c r="I16" s="54">
        <v>1.58</v>
      </c>
      <c r="J16" s="54">
        <v>0.19</v>
      </c>
      <c r="K16" s="54">
        <v>350.81</v>
      </c>
      <c r="L16" s="54">
        <v>18.16</v>
      </c>
      <c r="M16" s="54">
        <v>89.88</v>
      </c>
      <c r="N16" s="54">
        <v>227.30</v>
      </c>
      <c r="O16" s="54">
        <v>0</v>
      </c>
      <c r="P16" s="54">
        <v>0.97</v>
      </c>
      <c r="Q16" s="54">
        <v>11.91</v>
      </c>
      <c r="R16" s="43"/>
      <c r="S16" s="43"/>
      <c r="T16" s="43"/>
      <c r="U16" s="43"/>
    </row>
    <row r="17" spans="1:21" s="11" customFormat="1" ht="15">
      <c r="A17" s="53" t="s">
        <v>766</v>
      </c>
      <c r="B17" s="54">
        <v>79.73</v>
      </c>
      <c r="C17" s="54">
        <v>64.84</v>
      </c>
      <c r="D17" s="54">
        <v>98.16</v>
      </c>
      <c r="E17" s="54">
        <v>0.28999999999999998</v>
      </c>
      <c r="F17" s="54">
        <v>3.14</v>
      </c>
      <c r="G17" s="54">
        <v>128.61000000000001</v>
      </c>
      <c r="H17" s="54">
        <v>44.64</v>
      </c>
      <c r="I17" s="54">
        <v>1.60</v>
      </c>
      <c r="J17" s="54">
        <v>0.30</v>
      </c>
      <c r="K17" s="54">
        <v>351.5</v>
      </c>
      <c r="L17" s="54">
        <v>22.87</v>
      </c>
      <c r="M17" s="54">
        <v>61.45</v>
      </c>
      <c r="N17" s="54">
        <v>389</v>
      </c>
      <c r="O17" s="54">
        <v>0</v>
      </c>
      <c r="P17" s="54">
        <v>1.1200000000000001</v>
      </c>
      <c r="Q17" s="54">
        <v>12.52</v>
      </c>
      <c r="R17" s="43"/>
      <c r="S17" s="43"/>
      <c r="T17" s="43"/>
      <c r="U17" s="43"/>
    </row>
    <row r="18" spans="1:21" s="11" customFormat="1" ht="15">
      <c r="A18" s="53" t="s">
        <v>767</v>
      </c>
      <c r="B18" s="54">
        <v>72.47</v>
      </c>
      <c r="C18" s="54">
        <v>77.17</v>
      </c>
      <c r="D18" s="54">
        <v>96.17</v>
      </c>
      <c r="E18" s="54">
        <v>0.31</v>
      </c>
      <c r="F18" s="54">
        <v>3.44</v>
      </c>
      <c r="G18" s="54">
        <v>156.32</v>
      </c>
      <c r="H18" s="54">
        <v>49.04</v>
      </c>
      <c r="I18" s="54">
        <v>1.60</v>
      </c>
      <c r="J18" s="54">
        <v>0.33</v>
      </c>
      <c r="K18" s="54">
        <v>354.27</v>
      </c>
      <c r="L18" s="54">
        <v>25.23</v>
      </c>
      <c r="M18" s="54">
        <v>48.09</v>
      </c>
      <c r="N18" s="54">
        <v>563.20000000000005</v>
      </c>
      <c r="O18" s="54">
        <v>0</v>
      </c>
      <c r="P18" s="54">
        <v>1.23</v>
      </c>
      <c r="Q18" s="54">
        <v>12.51</v>
      </c>
      <c r="R18" s="43"/>
      <c r="S18" s="43"/>
      <c r="T18" s="43"/>
      <c r="U18" s="43"/>
    </row>
    <row r="19" spans="1:21" s="11" customFormat="1" ht="15">
      <c r="A19" s="53" t="s">
        <v>768</v>
      </c>
      <c r="B19" s="54">
        <v>53.94</v>
      </c>
      <c r="C19" s="54">
        <v>84.85</v>
      </c>
      <c r="D19" s="54">
        <v>88.02</v>
      </c>
      <c r="E19" s="54">
        <v>0.35</v>
      </c>
      <c r="F19" s="54">
        <v>3.44</v>
      </c>
      <c r="G19" s="54">
        <v>156.32</v>
      </c>
      <c r="H19" s="54">
        <v>53.58</v>
      </c>
      <c r="I19" s="54">
        <v>1.55</v>
      </c>
      <c r="J19" s="54">
        <v>0.61</v>
      </c>
      <c r="K19" s="54">
        <v>164</v>
      </c>
      <c r="L19" s="54">
        <v>25.18</v>
      </c>
      <c r="M19" s="54">
        <v>42.87</v>
      </c>
      <c r="N19" s="54">
        <v>687.30</v>
      </c>
      <c r="O19" s="54">
        <v>0</v>
      </c>
      <c r="P19" s="54">
        <v>1.27</v>
      </c>
      <c r="Q19" s="54">
        <v>11.79</v>
      </c>
      <c r="R19" s="43"/>
      <c r="S19" s="43"/>
      <c r="T19" s="43"/>
      <c r="U19" s="43"/>
    </row>
    <row r="20" spans="1:21" s="11" customFormat="1" ht="15">
      <c r="A20" s="53" t="s">
        <v>769</v>
      </c>
      <c r="B20" s="54">
        <v>34.520000000000003</v>
      </c>
      <c r="C20" s="54">
        <v>84.69</v>
      </c>
      <c r="D20" s="54">
        <v>75.069999999999993</v>
      </c>
      <c r="E20" s="54">
        <v>0.28999999999999998</v>
      </c>
      <c r="F20" s="54">
        <v>3.39</v>
      </c>
      <c r="G20" s="54">
        <v>144.21</v>
      </c>
      <c r="H20" s="54">
        <v>53.58</v>
      </c>
      <c r="I20" s="54">
        <v>1.52</v>
      </c>
      <c r="J20" s="54">
        <v>0.86</v>
      </c>
      <c r="K20" s="54">
        <v>326.76</v>
      </c>
      <c r="L20" s="54">
        <v>30.49</v>
      </c>
      <c r="M20" s="54">
        <v>39.630000000000003</v>
      </c>
      <c r="N20" s="54">
        <v>741.60</v>
      </c>
      <c r="O20" s="54">
        <v>0</v>
      </c>
      <c r="P20" s="54">
        <v>1.20</v>
      </c>
      <c r="Q20" s="54">
        <v>10.84</v>
      </c>
      <c r="R20" s="43"/>
      <c r="S20" s="43"/>
      <c r="T20" s="43"/>
      <c r="U20" s="43"/>
    </row>
    <row r="21" spans="1:21" s="11" customFormat="1" ht="15">
      <c r="A21" s="53" t="s">
        <v>770</v>
      </c>
      <c r="B21" s="54">
        <v>18.57</v>
      </c>
      <c r="C21" s="54">
        <v>83</v>
      </c>
      <c r="D21" s="54">
        <v>61.24</v>
      </c>
      <c r="E21" s="54">
        <v>0.41</v>
      </c>
      <c r="F21" s="54">
        <v>3.76</v>
      </c>
      <c r="G21" s="54">
        <v>104.84</v>
      </c>
      <c r="H21" s="54">
        <v>47.59</v>
      </c>
      <c r="I21" s="54">
        <v>1.56</v>
      </c>
      <c r="J21" s="54">
        <v>0.39</v>
      </c>
      <c r="K21" s="54">
        <v>336.22</v>
      </c>
      <c r="L21" s="54">
        <v>30.24</v>
      </c>
      <c r="M21" s="54">
        <v>32.31</v>
      </c>
      <c r="N21" s="54">
        <v>728.90</v>
      </c>
      <c r="O21" s="54">
        <v>0</v>
      </c>
      <c r="P21" s="54">
        <v>1.07</v>
      </c>
      <c r="Q21" s="54">
        <v>9.7100000000000009</v>
      </c>
      <c r="R21" s="43"/>
      <c r="S21" s="43"/>
      <c r="T21" s="43"/>
      <c r="U21" s="43"/>
    </row>
    <row r="22" spans="1:21" s="11" customFormat="1" ht="15">
      <c r="A22" s="53" t="s">
        <v>771</v>
      </c>
      <c r="B22" s="54">
        <v>6.68</v>
      </c>
      <c r="C22" s="54">
        <v>80.680000000000007</v>
      </c>
      <c r="D22" s="54">
        <v>50.53</v>
      </c>
      <c r="E22" s="54">
        <v>0.41</v>
      </c>
      <c r="F22" s="54">
        <v>5.97</v>
      </c>
      <c r="G22" s="54">
        <v>82.33</v>
      </c>
      <c r="H22" s="54">
        <v>38.47</v>
      </c>
      <c r="I22" s="54">
        <v>1.49</v>
      </c>
      <c r="J22" s="54">
        <v>0.23</v>
      </c>
      <c r="K22" s="54">
        <v>358.55</v>
      </c>
      <c r="L22" s="54">
        <v>27.47</v>
      </c>
      <c r="M22" s="54">
        <v>33.770000000000003</v>
      </c>
      <c r="N22" s="54">
        <v>718.30</v>
      </c>
      <c r="O22" s="54">
        <v>0</v>
      </c>
      <c r="P22" s="54">
        <v>1</v>
      </c>
      <c r="Q22" s="54">
        <v>8.67</v>
      </c>
      <c r="R22" s="43"/>
      <c r="S22" s="43"/>
      <c r="T22" s="43"/>
      <c r="U22" s="43"/>
    </row>
    <row r="23" spans="1:21" s="11" customFormat="1" ht="15">
      <c r="A23" s="53" t="s">
        <v>772</v>
      </c>
      <c r="B23" s="54">
        <v>2.52</v>
      </c>
      <c r="C23" s="54">
        <v>66.13</v>
      </c>
      <c r="D23" s="54">
        <v>39.090000000000003</v>
      </c>
      <c r="E23" s="54">
        <v>0.30</v>
      </c>
      <c r="F23" s="54">
        <v>6.20</v>
      </c>
      <c r="G23" s="54">
        <v>75.70</v>
      </c>
      <c r="H23" s="54">
        <v>37.270000000000003</v>
      </c>
      <c r="I23" s="54">
        <v>1.54</v>
      </c>
      <c r="J23" s="54">
        <v>0.22</v>
      </c>
      <c r="K23" s="54">
        <v>340.01</v>
      </c>
      <c r="L23" s="54">
        <v>27.14</v>
      </c>
      <c r="M23" s="54">
        <v>35.49</v>
      </c>
      <c r="N23" s="54">
        <v>559.10</v>
      </c>
      <c r="O23" s="54">
        <v>0</v>
      </c>
      <c r="P23" s="54">
        <v>0.82</v>
      </c>
      <c r="Q23" s="54">
        <v>7.68</v>
      </c>
      <c r="R23" s="43"/>
      <c r="S23" s="43"/>
      <c r="T23" s="43"/>
      <c r="U23" s="43"/>
    </row>
    <row r="24" spans="1:21" s="11" customFormat="1" ht="15">
      <c r="A24" s="53" t="s">
        <v>773</v>
      </c>
      <c r="B24" s="54">
        <v>2.14</v>
      </c>
      <c r="C24" s="54">
        <v>59.86</v>
      </c>
      <c r="D24" s="54">
        <v>35.40</v>
      </c>
      <c r="E24" s="54">
        <v>0.28999999999999998</v>
      </c>
      <c r="F24" s="54">
        <v>6.32</v>
      </c>
      <c r="G24" s="54">
        <v>61.71</v>
      </c>
      <c r="H24" s="54">
        <v>32.270000000000003</v>
      </c>
      <c r="I24" s="54">
        <v>1.62</v>
      </c>
      <c r="J24" s="54">
        <v>0.33</v>
      </c>
      <c r="K24" s="54">
        <v>355.84</v>
      </c>
      <c r="L24" s="54">
        <v>26.11</v>
      </c>
      <c r="M24" s="54">
        <v>38.979999999999997</v>
      </c>
      <c r="N24" s="54">
        <v>233.5</v>
      </c>
      <c r="O24" s="54">
        <v>0</v>
      </c>
      <c r="P24" s="54">
        <v>0.72</v>
      </c>
      <c r="Q24" s="54">
        <v>7.18</v>
      </c>
      <c r="R24" s="43"/>
      <c r="S24" s="43"/>
      <c r="T24" s="43"/>
      <c r="U24" s="43"/>
    </row>
    <row r="25" spans="1:21" s="11" customFormat="1" ht="15">
      <c r="A25" s="53" t="s">
        <v>774</v>
      </c>
      <c r="B25" s="54">
        <v>2.54</v>
      </c>
      <c r="C25" s="54">
        <v>56.33</v>
      </c>
      <c r="D25" s="54">
        <v>33.770000000000003</v>
      </c>
      <c r="E25" s="54">
        <v>0.25</v>
      </c>
      <c r="F25" s="54">
        <v>5.46</v>
      </c>
      <c r="G25" s="54">
        <v>61.71</v>
      </c>
      <c r="H25" s="54">
        <v>29.72</v>
      </c>
      <c r="I25" s="54">
        <v>1.58</v>
      </c>
      <c r="J25" s="54">
        <v>0.15</v>
      </c>
      <c r="K25" s="54">
        <v>354.20</v>
      </c>
      <c r="L25" s="54">
        <v>25.15</v>
      </c>
      <c r="M25" s="54">
        <v>42.80</v>
      </c>
      <c r="N25" s="54">
        <v>155.40</v>
      </c>
      <c r="O25" s="54">
        <v>0</v>
      </c>
      <c r="P25" s="54">
        <v>0.68</v>
      </c>
      <c r="Q25" s="54">
        <v>6.92</v>
      </c>
      <c r="R25" s="43"/>
      <c r="S25" s="43"/>
      <c r="T25" s="43"/>
      <c r="U25" s="43"/>
    </row>
    <row r="26" spans="1:21" s="11" customFormat="1" ht="15">
      <c r="A26" s="53" t="s">
        <v>775</v>
      </c>
      <c r="B26" s="54">
        <v>5.04</v>
      </c>
      <c r="C26" s="54">
        <v>59.78</v>
      </c>
      <c r="D26" s="54">
        <v>37.68</v>
      </c>
      <c r="E26" s="54">
        <v>0.28000000000000003</v>
      </c>
      <c r="F26" s="54">
        <v>4.46</v>
      </c>
      <c r="G26" s="54">
        <v>56.84</v>
      </c>
      <c r="H26" s="54">
        <v>26.76</v>
      </c>
      <c r="I26" s="54">
        <v>1.58</v>
      </c>
      <c r="J26" s="54">
        <v>0.12</v>
      </c>
      <c r="K26" s="54">
        <v>335.53</v>
      </c>
      <c r="L26" s="54">
        <v>24</v>
      </c>
      <c r="M26" s="54">
        <v>63.97</v>
      </c>
      <c r="N26" s="54">
        <v>83.30</v>
      </c>
      <c r="O26" s="54">
        <v>0</v>
      </c>
      <c r="P26" s="54">
        <v>0.68</v>
      </c>
      <c r="Q26" s="54">
        <v>7.21</v>
      </c>
      <c r="R26" s="43"/>
      <c r="S26" s="43"/>
      <c r="T26" s="43"/>
      <c r="U26" s="43"/>
    </row>
    <row r="27" spans="1:21" s="11" customFormat="1" ht="15">
      <c r="A27" s="53" t="s">
        <v>776</v>
      </c>
      <c r="B27" s="54">
        <v>15.16</v>
      </c>
      <c r="C27" s="54">
        <v>62.27</v>
      </c>
      <c r="D27" s="54">
        <v>47.17</v>
      </c>
      <c r="E27" s="54">
        <v>0.24</v>
      </c>
      <c r="F27" s="54">
        <v>3.27</v>
      </c>
      <c r="G27" s="54">
        <v>68.14</v>
      </c>
      <c r="H27" s="54">
        <v>27.75</v>
      </c>
      <c r="I27" s="54">
        <v>1.55</v>
      </c>
      <c r="J27" s="54">
        <v>0.06</v>
      </c>
      <c r="K27" s="54">
        <v>304.83999999999997</v>
      </c>
      <c r="L27" s="54">
        <v>21.46</v>
      </c>
      <c r="M27" s="54">
        <v>65.92</v>
      </c>
      <c r="N27" s="54">
        <v>57.70</v>
      </c>
      <c r="O27" s="54">
        <v>0</v>
      </c>
      <c r="P27" s="54">
        <v>0.88</v>
      </c>
      <c r="Q27" s="54">
        <v>7.99</v>
      </c>
      <c r="R27" s="43"/>
      <c r="S27" s="43"/>
      <c r="T27" s="43"/>
      <c r="U27" s="43"/>
    </row>
    <row r="28" spans="1:21" s="11" customFormat="1" ht="15">
      <c r="A28" s="53" t="s">
        <v>777</v>
      </c>
      <c r="B28" s="54">
        <v>23.86</v>
      </c>
      <c r="C28" s="54">
        <v>65.59</v>
      </c>
      <c r="D28" s="54">
        <v>55.96</v>
      </c>
      <c r="E28" s="54">
        <v>0.34</v>
      </c>
      <c r="F28" s="54">
        <v>3.28</v>
      </c>
      <c r="G28" s="54">
        <v>89.27</v>
      </c>
      <c r="H28" s="54">
        <v>36.19</v>
      </c>
      <c r="I28" s="54">
        <v>1.56</v>
      </c>
      <c r="J28" s="54">
        <v>0.11</v>
      </c>
      <c r="K28" s="54">
        <v>289.12</v>
      </c>
      <c r="L28" s="54">
        <v>20.70</v>
      </c>
      <c r="M28" s="54">
        <v>65.260000000000005</v>
      </c>
      <c r="N28" s="54">
        <v>57.20</v>
      </c>
      <c r="O28" s="54">
        <v>0</v>
      </c>
      <c r="P28" s="54">
        <v>0.95</v>
      </c>
      <c r="Q28" s="54">
        <v>8.8800000000000008</v>
      </c>
      <c r="R28" s="43"/>
      <c r="S28" s="43"/>
      <c r="T28" s="43"/>
      <c r="U28" s="43"/>
    </row>
    <row r="29" spans="1:21" s="11" customFormat="1" ht="15">
      <c r="A29" s="53" t="s">
        <v>778</v>
      </c>
      <c r="B29" s="54">
        <v>27.04</v>
      </c>
      <c r="C29" s="54">
        <v>67.20</v>
      </c>
      <c r="D29" s="54">
        <v>59.01</v>
      </c>
      <c r="E29" s="54">
        <v>0.22</v>
      </c>
      <c r="F29" s="54">
        <v>3.39</v>
      </c>
      <c r="G29" s="54">
        <v>92.47</v>
      </c>
      <c r="H29" s="54">
        <v>36.19</v>
      </c>
      <c r="I29" s="54">
        <v>1.55</v>
      </c>
      <c r="J29" s="54">
        <v>0.13</v>
      </c>
      <c r="K29" s="54">
        <v>278.16000000000003</v>
      </c>
      <c r="L29" s="54">
        <v>20.170000000000002</v>
      </c>
      <c r="M29" s="54">
        <v>70.16</v>
      </c>
      <c r="N29" s="54">
        <v>57.40</v>
      </c>
      <c r="O29" s="54">
        <v>0</v>
      </c>
      <c r="P29" s="54">
        <v>0.98</v>
      </c>
      <c r="Q29" s="54">
        <v>9.0399999999999991</v>
      </c>
      <c r="R29" s="43"/>
      <c r="S29" s="43"/>
      <c r="T29" s="43"/>
      <c r="U29" s="43"/>
    </row>
    <row r="30" spans="1:21" s="11" customFormat="1" ht="15">
      <c r="A30" s="53" t="s">
        <v>779</v>
      </c>
      <c r="B30" s="54">
        <v>37.369999999999997</v>
      </c>
      <c r="C30" s="54">
        <v>68.17</v>
      </c>
      <c r="D30" s="54">
        <v>68.239999999999995</v>
      </c>
      <c r="E30" s="54">
        <v>0.31</v>
      </c>
      <c r="F30" s="54">
        <v>3.39</v>
      </c>
      <c r="G30" s="54">
        <v>95.74</v>
      </c>
      <c r="H30" s="54">
        <v>35.229999999999997</v>
      </c>
      <c r="I30" s="54">
        <v>1.52</v>
      </c>
      <c r="J30" s="54">
        <v>0.15</v>
      </c>
      <c r="K30" s="54">
        <v>322.17</v>
      </c>
      <c r="L30" s="54">
        <v>18.829999999999998</v>
      </c>
      <c r="M30" s="54">
        <v>75.66</v>
      </c>
      <c r="N30" s="54">
        <v>57.20</v>
      </c>
      <c r="O30" s="54">
        <v>0</v>
      </c>
      <c r="P30" s="54">
        <v>1.1499999999999999</v>
      </c>
      <c r="Q30" s="54">
        <v>10.15</v>
      </c>
      <c r="R30" s="43"/>
      <c r="S30" s="43"/>
      <c r="T30" s="43"/>
      <c r="U30" s="43"/>
    </row>
    <row r="31" spans="1:21" s="11" customFormat="1" ht="15">
      <c r="A31" s="53" t="s">
        <v>780</v>
      </c>
      <c r="B31" s="54">
        <v>36.450000000000003</v>
      </c>
      <c r="C31" s="54">
        <v>70.349999999999994</v>
      </c>
      <c r="D31" s="54">
        <v>68.12</v>
      </c>
      <c r="E31" s="54">
        <v>0.25</v>
      </c>
      <c r="F31" s="54">
        <v>3.26</v>
      </c>
      <c r="G31" s="54">
        <v>95.74</v>
      </c>
      <c r="H31" s="54">
        <v>36.64</v>
      </c>
      <c r="I31" s="54">
        <v>1.54</v>
      </c>
      <c r="J31" s="54">
        <v>0.14000000000000001</v>
      </c>
      <c r="K31" s="54">
        <v>311.98</v>
      </c>
      <c r="L31" s="54">
        <v>18.80</v>
      </c>
      <c r="M31" s="54">
        <v>72.55</v>
      </c>
      <c r="N31" s="54">
        <v>57.20</v>
      </c>
      <c r="O31" s="54">
        <v>0</v>
      </c>
      <c r="P31" s="54">
        <v>1.1499999999999999</v>
      </c>
      <c r="Q31" s="54">
        <v>10.28</v>
      </c>
      <c r="R31" s="43"/>
      <c r="S31" s="43"/>
      <c r="T31" s="43"/>
      <c r="U31" s="43"/>
    </row>
    <row r="32" spans="1:21" s="11" customFormat="1" ht="15">
      <c r="A32" s="53" t="s">
        <v>781</v>
      </c>
      <c r="B32" s="54">
        <v>28.60</v>
      </c>
      <c r="C32" s="54">
        <v>69.41</v>
      </c>
      <c r="D32" s="54">
        <v>61.89</v>
      </c>
      <c r="E32" s="54">
        <v>0.27</v>
      </c>
      <c r="F32" s="54">
        <v>3.17</v>
      </c>
      <c r="G32" s="54">
        <v>86.87</v>
      </c>
      <c r="H32" s="54">
        <v>36.64</v>
      </c>
      <c r="I32" s="54">
        <v>1.58</v>
      </c>
      <c r="J32" s="54">
        <v>0.11</v>
      </c>
      <c r="K32" s="54">
        <v>275.91000000000003</v>
      </c>
      <c r="L32" s="54">
        <v>18.05</v>
      </c>
      <c r="M32" s="54">
        <v>85.47</v>
      </c>
      <c r="N32" s="54">
        <v>57.20</v>
      </c>
      <c r="O32" s="54">
        <v>0</v>
      </c>
      <c r="P32" s="54">
        <v>1.06</v>
      </c>
      <c r="Q32" s="54">
        <v>9.84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2.1400000000000001</v>
      </c>
      <c r="C34" s="28">
        <f t="shared" si="0"/>
        <v>54.130000000000003</v>
      </c>
      <c r="D34" s="28">
        <f t="shared" si="0"/>
        <v>33.770000000000003</v>
      </c>
      <c r="E34" s="28">
        <f t="shared" si="0"/>
        <v>0.22</v>
      </c>
      <c r="F34" s="28">
        <f t="shared" si="0"/>
        <v>3.1200000000000001</v>
      </c>
      <c r="G34" s="28">
        <f t="shared" si="0"/>
        <v>56.840000000000003</v>
      </c>
      <c r="H34" s="28">
        <f t="shared" si="0"/>
        <v>26.760000000000002</v>
      </c>
      <c r="I34" s="28">
        <f t="shared" si="0"/>
        <v>1.49</v>
      </c>
      <c r="J34" s="28">
        <f t="shared" si="0"/>
        <v>0.059999999999999998</v>
      </c>
      <c r="K34" s="28">
        <f t="shared" si="0"/>
        <v>164</v>
      </c>
      <c r="L34" s="28">
        <f t="shared" si="0"/>
        <v>13.84</v>
      </c>
      <c r="M34" s="28">
        <f t="shared" si="0"/>
        <v>32.310000000000002</v>
      </c>
      <c r="N34" s="28">
        <f t="shared" si="0"/>
        <v>50.700000000000003</v>
      </c>
      <c r="O34" s="28">
        <f t="shared" si="0"/>
        <v>0</v>
      </c>
      <c r="P34" s="28">
        <f t="shared" si="0"/>
        <v>0.68000000000000005</v>
      </c>
      <c r="Q34" s="28">
        <f t="shared" si="0"/>
        <v>6.9199999999999999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116.75</v>
      </c>
      <c r="C35" s="29">
        <f t="shared" si="1"/>
        <v>84.849999999999994</v>
      </c>
      <c r="D35" s="29">
        <f t="shared" si="1"/>
        <v>129.91</v>
      </c>
      <c r="E35" s="29">
        <f t="shared" si="1"/>
        <v>0.40999999999999998</v>
      </c>
      <c r="F35" s="29">
        <f t="shared" si="1"/>
        <v>6.3200000000000003</v>
      </c>
      <c r="G35" s="29">
        <f t="shared" si="1"/>
        <v>156.31999999999999</v>
      </c>
      <c r="H35" s="29">
        <f t="shared" si="1"/>
        <v>56.020000000000003</v>
      </c>
      <c r="I35" s="29">
        <f t="shared" si="1"/>
        <v>1.6200000000000001</v>
      </c>
      <c r="J35" s="29">
        <f t="shared" si="1"/>
        <v>0.85999999999999999</v>
      </c>
      <c r="K35" s="29">
        <f t="shared" si="1"/>
        <v>358.55000000000001</v>
      </c>
      <c r="L35" s="29">
        <f t="shared" si="1"/>
        <v>30.489999999999998</v>
      </c>
      <c r="M35" s="29">
        <f t="shared" si="1"/>
        <v>96.379999999999995</v>
      </c>
      <c r="N35" s="29">
        <f t="shared" si="1"/>
        <v>741.60000000000002</v>
      </c>
      <c r="O35" s="29">
        <f t="shared" si="1"/>
        <v>0</v>
      </c>
      <c r="P35" s="29">
        <f t="shared" si="1"/>
        <v>2</v>
      </c>
      <c r="Q35" s="29">
        <f t="shared" si="1"/>
        <v>15.960000000000001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44.027916666666663</v>
      </c>
      <c r="C36" s="28">
        <f t="shared" si="2"/>
        <v>65.927916666666661</v>
      </c>
      <c r="D36" s="28">
        <f t="shared" si="2"/>
        <v>71.812083333333334</v>
      </c>
      <c r="E36" s="28">
        <f t="shared" si="2"/>
        <v>0.30083333333333334</v>
      </c>
      <c r="F36" s="28">
        <f t="shared" si="2"/>
        <v>3.8149999999999999</v>
      </c>
      <c r="G36" s="28">
        <f t="shared" si="2"/>
        <v>100.1783333333333</v>
      </c>
      <c r="H36" s="28">
        <f t="shared" si="2"/>
        <v>41.796666666666674</v>
      </c>
      <c r="I36" s="28">
        <f t="shared" si="2"/>
        <v>1.5554166666666662</v>
      </c>
      <c r="J36" s="28">
        <f t="shared" si="2"/>
        <v>0.25416666666666671</v>
      </c>
      <c r="K36" s="28">
        <f t="shared" si="2"/>
        <v>317.26749999999998</v>
      </c>
      <c r="L36" s="28">
        <f t="shared" si="2"/>
        <v>20.834999999999997</v>
      </c>
      <c r="M36" s="28">
        <f t="shared" si="2"/>
        <v>66.373333333333349</v>
      </c>
      <c r="N36" s="28">
        <f t="shared" si="2"/>
        <v>242.02499999999995</v>
      </c>
      <c r="O36" s="28">
        <f t="shared" si="2"/>
        <v>0</v>
      </c>
      <c r="P36" s="28">
        <f t="shared" si="2"/>
        <v>1.0858333333333332</v>
      </c>
      <c r="Q36" s="28">
        <f t="shared" si="2"/>
        <v>10.49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33.471084727900859</v>
      </c>
      <c r="C37" s="28">
        <f t="shared" si="3" ref="C37:Q37">STDEV(C9:C32)</f>
        <v>9.8210346480383777</v>
      </c>
      <c r="D37" s="28">
        <f t="shared" si="3"/>
        <v>26.110973368559474</v>
      </c>
      <c r="E37" s="28">
        <f t="shared" si="3"/>
        <v>0.047905401952513429</v>
      </c>
      <c r="F37" s="28">
        <f t="shared" si="3"/>
        <v>1.0377065011884108</v>
      </c>
      <c r="G37" s="28">
        <f t="shared" si="3"/>
        <v>29.397819893535594</v>
      </c>
      <c r="H37" s="28">
        <f t="shared" si="3"/>
        <v>8.5736130411693967</v>
      </c>
      <c r="I37" s="28">
        <f t="shared" si="3"/>
        <v>0.033489669616383125</v>
      </c>
      <c r="J37" s="28">
        <f t="shared" si="3"/>
        <v>0.19770238208999402</v>
      </c>
      <c r="K37" s="28">
        <f t="shared" si="3"/>
        <v>41.710795208872064</v>
      </c>
      <c r="L37" s="28">
        <f t="shared" si="3"/>
        <v>5.474799976493097</v>
      </c>
      <c r="M37" s="28">
        <f t="shared" si="3"/>
        <v>22.023662110412559</v>
      </c>
      <c r="N37" s="28">
        <f t="shared" si="3"/>
        <v>265.6156020332358</v>
      </c>
      <c r="O37" s="28">
        <f t="shared" si="3"/>
        <v>0</v>
      </c>
      <c r="P37" s="28">
        <f t="shared" si="3"/>
        <v>0.30735783799947314</v>
      </c>
      <c r="Q37" s="28">
        <f t="shared" si="3"/>
        <v>2.4080192112479297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f033203-4719-4ea8-a13a-1e162afd851b}">
  <sheetPr codeName=""/>
  <dimension ref="A1:U119"/>
  <sheetViews>
    <sheetView zoomScale="80" zoomScaleNormal="80" workbookViewId="0" topLeftCell="A1">
      <selection pane="topLeft" activeCell="H53" sqref="H5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31-01-2024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782</v>
      </c>
      <c r="B9" s="54">
        <v>31.52</v>
      </c>
      <c r="C9" s="54">
        <v>65.64</v>
      </c>
      <c r="D9" s="54">
        <v>61.02</v>
      </c>
      <c r="E9" s="54">
        <v>0.20</v>
      </c>
      <c r="F9" s="54">
        <v>3.16</v>
      </c>
      <c r="G9" s="54">
        <v>191.71</v>
      </c>
      <c r="H9" s="54">
        <v>41.15</v>
      </c>
      <c r="I9" s="54">
        <v>1.53</v>
      </c>
      <c r="J9" s="54">
        <v>0.12</v>
      </c>
      <c r="K9" s="54">
        <v>306.27</v>
      </c>
      <c r="L9" s="54">
        <v>16.54</v>
      </c>
      <c r="M9" s="54">
        <v>89.94</v>
      </c>
      <c r="N9" s="54">
        <v>57.10</v>
      </c>
      <c r="O9" s="54">
        <v>0</v>
      </c>
      <c r="P9" s="54">
        <v>0.96</v>
      </c>
      <c r="Q9" s="54">
        <v>9.7100000000000009</v>
      </c>
      <c r="R9" s="43"/>
      <c r="S9" s="43"/>
      <c r="T9" s="43"/>
      <c r="U9" s="43"/>
    </row>
    <row r="10" spans="1:21" s="11" customFormat="1" ht="15">
      <c r="A10" s="53" t="s">
        <v>783</v>
      </c>
      <c r="B10" s="54">
        <v>32.74</v>
      </c>
      <c r="C10" s="54">
        <v>63.04</v>
      </c>
      <c r="D10" s="54">
        <v>61.33</v>
      </c>
      <c r="E10" s="54">
        <v>0.20</v>
      </c>
      <c r="F10" s="54">
        <v>3.27</v>
      </c>
      <c r="G10" s="54">
        <v>194.16</v>
      </c>
      <c r="H10" s="54">
        <v>50.59</v>
      </c>
      <c r="I10" s="54">
        <v>1.57</v>
      </c>
      <c r="J10" s="54">
        <v>0.10</v>
      </c>
      <c r="K10" s="54">
        <v>313.51</v>
      </c>
      <c r="L10" s="54">
        <v>16.170000000000002</v>
      </c>
      <c r="M10" s="54">
        <v>96.5</v>
      </c>
      <c r="N10" s="54">
        <v>57.30</v>
      </c>
      <c r="O10" s="54">
        <v>0</v>
      </c>
      <c r="P10" s="54">
        <v>0.94</v>
      </c>
      <c r="Q10" s="54">
        <v>9.77</v>
      </c>
      <c r="R10" s="43"/>
      <c r="S10" s="43"/>
      <c r="T10" s="43"/>
      <c r="U10" s="43"/>
    </row>
    <row r="11" spans="1:21" s="11" customFormat="1" ht="15">
      <c r="A11" s="53" t="s">
        <v>784</v>
      </c>
      <c r="B11" s="54">
        <v>37.729999999999997</v>
      </c>
      <c r="C11" s="54">
        <v>60.46</v>
      </c>
      <c r="D11" s="54">
        <v>62.89</v>
      </c>
      <c r="E11" s="54">
        <v>0.20</v>
      </c>
      <c r="F11" s="54">
        <v>3.15</v>
      </c>
      <c r="G11" s="54">
        <v>194.16</v>
      </c>
      <c r="H11" s="54">
        <v>50.59</v>
      </c>
      <c r="I11" s="54">
        <v>1.49</v>
      </c>
      <c r="J11" s="54">
        <v>0.17</v>
      </c>
      <c r="K11" s="54">
        <v>323.20999999999998</v>
      </c>
      <c r="L11" s="54">
        <v>15.82</v>
      </c>
      <c r="M11" s="54">
        <v>99.37</v>
      </c>
      <c r="N11" s="54">
        <v>57.20</v>
      </c>
      <c r="O11" s="54">
        <v>0</v>
      </c>
      <c r="P11" s="54">
        <v>0.89</v>
      </c>
      <c r="Q11" s="54">
        <v>9.4700000000000006</v>
      </c>
      <c r="R11" s="43"/>
      <c r="S11" s="43"/>
      <c r="T11" s="43"/>
      <c r="U11" s="43"/>
    </row>
    <row r="12" spans="1:21" s="11" customFormat="1" ht="15">
      <c r="A12" s="53" t="s">
        <v>785</v>
      </c>
      <c r="B12" s="54">
        <v>45.37</v>
      </c>
      <c r="C12" s="54">
        <v>57.54</v>
      </c>
      <c r="D12" s="54">
        <v>67.38</v>
      </c>
      <c r="E12" s="54">
        <v>0.30</v>
      </c>
      <c r="F12" s="54">
        <v>2.97</v>
      </c>
      <c r="G12" s="54">
        <v>99.92</v>
      </c>
      <c r="H12" s="54">
        <v>46.30</v>
      </c>
      <c r="I12" s="54">
        <v>1.5</v>
      </c>
      <c r="J12" s="54">
        <v>0.21</v>
      </c>
      <c r="K12" s="54">
        <v>325.97000000000003</v>
      </c>
      <c r="L12" s="54">
        <v>15.76</v>
      </c>
      <c r="M12" s="54">
        <v>98.72</v>
      </c>
      <c r="N12" s="54">
        <v>57.30</v>
      </c>
      <c r="O12" s="54">
        <v>0</v>
      </c>
      <c r="P12" s="54">
        <v>0.85</v>
      </c>
      <c r="Q12" s="54">
        <v>9.92</v>
      </c>
      <c r="R12" s="43"/>
      <c r="S12" s="43"/>
      <c r="T12" s="43"/>
      <c r="U12" s="43"/>
    </row>
    <row r="13" spans="1:21" s="11" customFormat="1" ht="15">
      <c r="A13" s="53" t="s">
        <v>786</v>
      </c>
      <c r="B13" s="54">
        <v>44.43</v>
      </c>
      <c r="C13" s="54">
        <v>54.72</v>
      </c>
      <c r="D13" s="54">
        <v>65.819999999999993</v>
      </c>
      <c r="E13" s="54">
        <v>0.34</v>
      </c>
      <c r="F13" s="54">
        <v>3.15</v>
      </c>
      <c r="G13" s="54">
        <v>99.92</v>
      </c>
      <c r="H13" s="54">
        <v>44.16</v>
      </c>
      <c r="I13" s="54">
        <v>1.49</v>
      </c>
      <c r="J13" s="54">
        <v>0.13</v>
      </c>
      <c r="K13" s="54">
        <v>291.13</v>
      </c>
      <c r="L13" s="54">
        <v>15.43</v>
      </c>
      <c r="M13" s="54">
        <v>99.35</v>
      </c>
      <c r="N13" s="54">
        <v>57.10</v>
      </c>
      <c r="O13" s="54">
        <v>0</v>
      </c>
      <c r="P13" s="54">
        <v>0.82</v>
      </c>
      <c r="Q13" s="54">
        <v>9.83</v>
      </c>
      <c r="R13" s="43"/>
      <c r="S13" s="43"/>
      <c r="T13" s="43"/>
      <c r="U13" s="43"/>
    </row>
    <row r="14" spans="1:21" s="11" customFormat="1" ht="15">
      <c r="A14" s="53" t="s">
        <v>787</v>
      </c>
      <c r="B14" s="54">
        <v>46.19</v>
      </c>
      <c r="C14" s="54">
        <v>53.81</v>
      </c>
      <c r="D14" s="54">
        <v>66.89</v>
      </c>
      <c r="E14" s="54">
        <v>0.42</v>
      </c>
      <c r="F14" s="54">
        <v>3.18</v>
      </c>
      <c r="G14" s="54">
        <v>103.30</v>
      </c>
      <c r="H14" s="54">
        <v>40.520000000000003</v>
      </c>
      <c r="I14" s="54">
        <v>1.55</v>
      </c>
      <c r="J14" s="54">
        <v>0.10</v>
      </c>
      <c r="K14" s="54">
        <v>341.28</v>
      </c>
      <c r="L14" s="54">
        <v>15.02</v>
      </c>
      <c r="M14" s="54">
        <v>99.35</v>
      </c>
      <c r="N14" s="54">
        <v>57.20</v>
      </c>
      <c r="O14" s="54">
        <v>0</v>
      </c>
      <c r="P14" s="54">
        <v>0.84</v>
      </c>
      <c r="Q14" s="54">
        <v>9.94</v>
      </c>
      <c r="R14" s="43"/>
      <c r="S14" s="43"/>
      <c r="T14" s="43"/>
      <c r="U14" s="43"/>
    </row>
    <row r="15" spans="1:21" s="11" customFormat="1" ht="15">
      <c r="A15" s="53" t="s">
        <v>788</v>
      </c>
      <c r="B15" s="54">
        <v>49.08</v>
      </c>
      <c r="C15" s="54">
        <v>52.92</v>
      </c>
      <c r="D15" s="54">
        <v>69.03</v>
      </c>
      <c r="E15" s="54">
        <v>0.36</v>
      </c>
      <c r="F15" s="54">
        <v>3.14</v>
      </c>
      <c r="G15" s="54">
        <v>103.30</v>
      </c>
      <c r="H15" s="54">
        <v>41.24</v>
      </c>
      <c r="I15" s="54">
        <v>1.56</v>
      </c>
      <c r="J15" s="54">
        <v>0.09</v>
      </c>
      <c r="K15" s="54">
        <v>317.19</v>
      </c>
      <c r="L15" s="54">
        <v>14.88</v>
      </c>
      <c r="M15" s="54">
        <v>99.39</v>
      </c>
      <c r="N15" s="54">
        <v>81.70</v>
      </c>
      <c r="O15" s="54">
        <v>0</v>
      </c>
      <c r="P15" s="54">
        <v>0.86</v>
      </c>
      <c r="Q15" s="54">
        <v>10.25</v>
      </c>
      <c r="R15" s="43"/>
      <c r="S15" s="43"/>
      <c r="T15" s="43"/>
      <c r="U15" s="43"/>
    </row>
    <row r="16" spans="1:21" s="11" customFormat="1" ht="15">
      <c r="A16" s="53" t="s">
        <v>789</v>
      </c>
      <c r="B16" s="54">
        <v>65.77</v>
      </c>
      <c r="C16" s="54">
        <v>55.23</v>
      </c>
      <c r="D16" s="54">
        <v>83.87</v>
      </c>
      <c r="E16" s="54">
        <v>0.43</v>
      </c>
      <c r="F16" s="54">
        <v>2.99</v>
      </c>
      <c r="G16" s="54">
        <v>101.01</v>
      </c>
      <c r="H16" s="54">
        <v>42.08</v>
      </c>
      <c r="I16" s="54">
        <v>1.54</v>
      </c>
      <c r="J16" s="54">
        <v>0.16</v>
      </c>
      <c r="K16" s="54">
        <v>237.87</v>
      </c>
      <c r="L16" s="54">
        <v>17.61</v>
      </c>
      <c r="M16" s="54">
        <v>99.35</v>
      </c>
      <c r="N16" s="54">
        <v>198.40</v>
      </c>
      <c r="O16" s="54">
        <v>0</v>
      </c>
      <c r="P16" s="54">
        <v>0.94</v>
      </c>
      <c r="Q16" s="54">
        <v>11.53</v>
      </c>
      <c r="R16" s="43"/>
      <c r="S16" s="43"/>
      <c r="T16" s="43"/>
      <c r="U16" s="43"/>
    </row>
    <row r="17" spans="1:21" s="11" customFormat="1" ht="15">
      <c r="A17" s="53" t="s">
        <v>790</v>
      </c>
      <c r="B17" s="54">
        <v>66.25</v>
      </c>
      <c r="C17" s="54">
        <v>60.10</v>
      </c>
      <c r="D17" s="54">
        <v>85.53</v>
      </c>
      <c r="E17" s="54">
        <v>0.25</v>
      </c>
      <c r="F17" s="54">
        <v>3.10</v>
      </c>
      <c r="G17" s="54">
        <v>132.65</v>
      </c>
      <c r="H17" s="54">
        <v>45.28</v>
      </c>
      <c r="I17" s="54">
        <v>1.56</v>
      </c>
      <c r="J17" s="54">
        <v>0.38</v>
      </c>
      <c r="K17" s="54">
        <v>345.29</v>
      </c>
      <c r="L17" s="54">
        <v>22.57</v>
      </c>
      <c r="M17" s="54">
        <v>79.19</v>
      </c>
      <c r="N17" s="54">
        <v>334.10</v>
      </c>
      <c r="O17" s="54">
        <v>0</v>
      </c>
      <c r="P17" s="54">
        <v>1.03</v>
      </c>
      <c r="Q17" s="54">
        <v>12.28</v>
      </c>
      <c r="R17" s="43"/>
      <c r="S17" s="43"/>
      <c r="T17" s="43"/>
      <c r="U17" s="43"/>
    </row>
    <row r="18" spans="1:21" s="11" customFormat="1" ht="15">
      <c r="A18" s="53" t="s">
        <v>791</v>
      </c>
      <c r="B18" s="54">
        <v>59.96</v>
      </c>
      <c r="C18" s="54">
        <v>66.75</v>
      </c>
      <c r="D18" s="54">
        <v>82.52</v>
      </c>
      <c r="E18" s="54">
        <v>0.28000000000000003</v>
      </c>
      <c r="F18" s="54">
        <v>3.31</v>
      </c>
      <c r="G18" s="54">
        <v>133.55000000000001</v>
      </c>
      <c r="H18" s="54">
        <v>47.56</v>
      </c>
      <c r="I18" s="54">
        <v>1.54</v>
      </c>
      <c r="J18" s="54">
        <v>0.47</v>
      </c>
      <c r="K18" s="54">
        <v>349.52</v>
      </c>
      <c r="L18" s="54">
        <v>25.59</v>
      </c>
      <c r="M18" s="54">
        <v>57.62</v>
      </c>
      <c r="N18" s="54">
        <v>505.60</v>
      </c>
      <c r="O18" s="54">
        <v>0</v>
      </c>
      <c r="P18" s="54">
        <v>1.1000000000000001</v>
      </c>
      <c r="Q18" s="54">
        <v>12.17</v>
      </c>
      <c r="R18" s="43"/>
      <c r="S18" s="43"/>
      <c r="T18" s="43"/>
      <c r="U18" s="43"/>
    </row>
    <row r="19" spans="1:21" s="11" customFormat="1" ht="15">
      <c r="A19" s="53" t="s">
        <v>792</v>
      </c>
      <c r="B19" s="54">
        <v>47.41</v>
      </c>
      <c r="C19" s="54">
        <v>103.13</v>
      </c>
      <c r="D19" s="54">
        <v>77.02</v>
      </c>
      <c r="E19" s="54">
        <v>0.39</v>
      </c>
      <c r="F19" s="54">
        <v>4.75</v>
      </c>
      <c r="G19" s="54">
        <v>133.55000000000001</v>
      </c>
      <c r="H19" s="54">
        <v>49.55</v>
      </c>
      <c r="I19" s="54">
        <v>1.56</v>
      </c>
      <c r="J19" s="54">
        <v>0.48</v>
      </c>
      <c r="K19" s="54">
        <v>357.13</v>
      </c>
      <c r="L19" s="54">
        <v>27.13</v>
      </c>
      <c r="M19" s="54">
        <v>50.15</v>
      </c>
      <c r="N19" s="54">
        <v>581.29999999999995</v>
      </c>
      <c r="O19" s="54">
        <v>0</v>
      </c>
      <c r="P19" s="54">
        <v>1.22</v>
      </c>
      <c r="Q19" s="54">
        <v>11.11</v>
      </c>
      <c r="R19" s="43"/>
      <c r="S19" s="43"/>
      <c r="T19" s="43"/>
      <c r="U19" s="43"/>
    </row>
    <row r="20" spans="1:21" s="11" customFormat="1" ht="15">
      <c r="A20" s="53" t="s">
        <v>793</v>
      </c>
      <c r="B20" s="54">
        <v>8.7799999999999994</v>
      </c>
      <c r="C20" s="54">
        <v>100.88</v>
      </c>
      <c r="D20" s="54">
        <v>63.36</v>
      </c>
      <c r="E20" s="54">
        <v>0.22</v>
      </c>
      <c r="F20" s="54">
        <v>6.20</v>
      </c>
      <c r="G20" s="54">
        <v>123.32</v>
      </c>
      <c r="H20" s="54">
        <v>52.45</v>
      </c>
      <c r="I20" s="54">
        <v>1.52</v>
      </c>
      <c r="J20" s="54">
        <v>0.51</v>
      </c>
      <c r="K20" s="54">
        <v>334.85</v>
      </c>
      <c r="L20" s="54">
        <v>28.24</v>
      </c>
      <c r="M20" s="54">
        <v>49.52</v>
      </c>
      <c r="N20" s="54">
        <v>612</v>
      </c>
      <c r="O20" s="54">
        <v>0</v>
      </c>
      <c r="P20" s="54">
        <v>1.1499999999999999</v>
      </c>
      <c r="Q20" s="54">
        <v>9.6300000000000008</v>
      </c>
      <c r="R20" s="43"/>
      <c r="S20" s="43"/>
      <c r="T20" s="43"/>
      <c r="U20" s="43"/>
    </row>
    <row r="21" spans="1:21" s="11" customFormat="1" ht="15">
      <c r="A21" s="53" t="s">
        <v>794</v>
      </c>
      <c r="B21" s="54">
        <v>3.18</v>
      </c>
      <c r="C21" s="54">
        <v>75.5</v>
      </c>
      <c r="D21" s="54">
        <v>44.86</v>
      </c>
      <c r="E21" s="54">
        <v>0.33</v>
      </c>
      <c r="F21" s="54">
        <v>12.38</v>
      </c>
      <c r="G21" s="54">
        <v>114.76</v>
      </c>
      <c r="H21" s="54">
        <v>52.45</v>
      </c>
      <c r="I21" s="54">
        <v>1.60</v>
      </c>
      <c r="J21" s="54">
        <v>0.34</v>
      </c>
      <c r="K21" s="54">
        <v>332.27</v>
      </c>
      <c r="L21" s="54">
        <v>27.99</v>
      </c>
      <c r="M21" s="54">
        <v>42.16</v>
      </c>
      <c r="N21" s="54">
        <v>652</v>
      </c>
      <c r="O21" s="54">
        <v>0</v>
      </c>
      <c r="P21" s="54">
        <v>0.93</v>
      </c>
      <c r="Q21" s="54">
        <v>7.48</v>
      </c>
      <c r="R21" s="43"/>
      <c r="S21" s="43"/>
      <c r="T21" s="43"/>
      <c r="U21" s="43"/>
    </row>
    <row r="22" spans="1:21" s="11" customFormat="1" ht="15">
      <c r="A22" s="53" t="s">
        <v>795</v>
      </c>
      <c r="B22" s="54">
        <v>2.09</v>
      </c>
      <c r="C22" s="54">
        <v>63.34</v>
      </c>
      <c r="D22" s="54">
        <v>37.08</v>
      </c>
      <c r="E22" s="54">
        <v>0.43</v>
      </c>
      <c r="F22" s="54">
        <v>8.5399999999999991</v>
      </c>
      <c r="G22" s="54">
        <v>82.17</v>
      </c>
      <c r="H22" s="54">
        <v>47.12</v>
      </c>
      <c r="I22" s="54">
        <v>1.55</v>
      </c>
      <c r="J22" s="54">
        <v>0.36</v>
      </c>
      <c r="K22" s="54">
        <v>330.63</v>
      </c>
      <c r="L22" s="54">
        <v>26.97</v>
      </c>
      <c r="M22" s="54">
        <v>40.880000000000003</v>
      </c>
      <c r="N22" s="54">
        <v>561</v>
      </c>
      <c r="O22" s="54">
        <v>0</v>
      </c>
      <c r="P22" s="54">
        <v>0.81</v>
      </c>
      <c r="Q22" s="54">
        <v>6.58</v>
      </c>
      <c r="R22" s="43"/>
      <c r="S22" s="43"/>
      <c r="T22" s="43"/>
      <c r="U22" s="43"/>
    </row>
    <row r="23" spans="1:21" s="11" customFormat="1" ht="15">
      <c r="A23" s="53" t="s">
        <v>796</v>
      </c>
      <c r="B23" s="54">
        <v>2.44</v>
      </c>
      <c r="C23" s="54">
        <v>61.14</v>
      </c>
      <c r="D23" s="54">
        <v>36.35</v>
      </c>
      <c r="E23" s="54">
        <v>0.30</v>
      </c>
      <c r="F23" s="54">
        <v>6.72</v>
      </c>
      <c r="G23" s="54">
        <v>82.17</v>
      </c>
      <c r="H23" s="54">
        <v>44.85</v>
      </c>
      <c r="I23" s="54">
        <v>1.59</v>
      </c>
      <c r="J23" s="54">
        <v>0.25</v>
      </c>
      <c r="K23" s="54">
        <v>359.75</v>
      </c>
      <c r="L23" s="54">
        <v>26.71</v>
      </c>
      <c r="M23" s="54">
        <v>40.26</v>
      </c>
      <c r="N23" s="54">
        <v>406.10</v>
      </c>
      <c r="O23" s="54">
        <v>0</v>
      </c>
      <c r="P23" s="54">
        <v>0.73</v>
      </c>
      <c r="Q23" s="54">
        <v>6.42</v>
      </c>
      <c r="R23" s="43"/>
      <c r="S23" s="43"/>
      <c r="T23" s="43"/>
      <c r="U23" s="43"/>
    </row>
    <row r="24" spans="1:21" s="11" customFormat="1" ht="15">
      <c r="A24" s="53" t="s">
        <v>797</v>
      </c>
      <c r="B24" s="54">
        <v>3.28</v>
      </c>
      <c r="C24" s="54">
        <v>62.54</v>
      </c>
      <c r="D24" s="54">
        <v>37.18</v>
      </c>
      <c r="E24" s="54">
        <v>0.32</v>
      </c>
      <c r="F24" s="54">
        <v>5.51</v>
      </c>
      <c r="G24" s="54">
        <v>65.430000000000007</v>
      </c>
      <c r="H24" s="54">
        <v>38.89</v>
      </c>
      <c r="I24" s="54">
        <v>1.53</v>
      </c>
      <c r="J24" s="54">
        <v>0.56000000000000005</v>
      </c>
      <c r="K24" s="54">
        <v>326.72000000000003</v>
      </c>
      <c r="L24" s="54">
        <v>26.67</v>
      </c>
      <c r="M24" s="54">
        <v>41.89</v>
      </c>
      <c r="N24" s="54">
        <v>294.10000000000002</v>
      </c>
      <c r="O24" s="54">
        <v>0</v>
      </c>
      <c r="P24" s="54">
        <v>0.69</v>
      </c>
      <c r="Q24" s="54">
        <v>6.74</v>
      </c>
      <c r="R24" s="43"/>
      <c r="S24" s="43"/>
      <c r="T24" s="43"/>
      <c r="U24" s="43"/>
    </row>
    <row r="25" spans="1:21" s="11" customFormat="1" ht="15">
      <c r="A25" s="53" t="s">
        <v>798</v>
      </c>
      <c r="B25" s="54">
        <v>4.38</v>
      </c>
      <c r="C25" s="54">
        <v>68.05</v>
      </c>
      <c r="D25" s="54">
        <v>41.71</v>
      </c>
      <c r="E25" s="54">
        <v>0.26</v>
      </c>
      <c r="F25" s="54">
        <v>5.36</v>
      </c>
      <c r="G25" s="54">
        <v>92.09</v>
      </c>
      <c r="H25" s="54">
        <v>32.82</v>
      </c>
      <c r="I25" s="54">
        <v>1.49</v>
      </c>
      <c r="J25" s="54">
        <v>0.92</v>
      </c>
      <c r="K25" s="54">
        <v>351.90</v>
      </c>
      <c r="L25" s="54">
        <v>25.81</v>
      </c>
      <c r="M25" s="54">
        <v>47.21</v>
      </c>
      <c r="N25" s="54">
        <v>168.70</v>
      </c>
      <c r="O25" s="54">
        <v>0</v>
      </c>
      <c r="P25" s="54">
        <v>0.80</v>
      </c>
      <c r="Q25" s="54">
        <v>7.22</v>
      </c>
      <c r="R25" s="43"/>
      <c r="S25" s="43"/>
      <c r="T25" s="43"/>
      <c r="U25" s="43"/>
    </row>
    <row r="26" spans="1:21" s="11" customFormat="1" ht="15">
      <c r="A26" s="53" t="s">
        <v>799</v>
      </c>
      <c r="B26" s="54">
        <v>7.80</v>
      </c>
      <c r="C26" s="54">
        <v>72.27</v>
      </c>
      <c r="D26" s="54">
        <v>46.79</v>
      </c>
      <c r="E26" s="54">
        <v>0.26</v>
      </c>
      <c r="F26" s="54">
        <v>3.76</v>
      </c>
      <c r="G26" s="54">
        <v>92.09</v>
      </c>
      <c r="H26" s="54">
        <v>36.75</v>
      </c>
      <c r="I26" s="54">
        <v>1.54</v>
      </c>
      <c r="J26" s="54">
        <v>0.60</v>
      </c>
      <c r="K26" s="54">
        <v>349.35</v>
      </c>
      <c r="L26" s="54">
        <v>23.77</v>
      </c>
      <c r="M26" s="54">
        <v>56.25</v>
      </c>
      <c r="N26" s="54">
        <v>85.90</v>
      </c>
      <c r="O26" s="54">
        <v>0</v>
      </c>
      <c r="P26" s="54">
        <v>0.96</v>
      </c>
      <c r="Q26" s="54">
        <v>7.56</v>
      </c>
      <c r="R26" s="43"/>
      <c r="S26" s="43"/>
      <c r="T26" s="43"/>
      <c r="U26" s="43"/>
    </row>
    <row r="27" spans="1:21" s="11" customFormat="1" ht="15">
      <c r="A27" s="53" t="s">
        <v>800</v>
      </c>
      <c r="B27" s="54">
        <v>10.07</v>
      </c>
      <c r="C27" s="54">
        <v>74.02</v>
      </c>
      <c r="D27" s="54">
        <v>49.57</v>
      </c>
      <c r="E27" s="54">
        <v>0.23</v>
      </c>
      <c r="F27" s="54">
        <v>3.33</v>
      </c>
      <c r="G27" s="54">
        <v>108.06</v>
      </c>
      <c r="H27" s="54">
        <v>37.08</v>
      </c>
      <c r="I27" s="54">
        <v>1.5</v>
      </c>
      <c r="J27" s="54">
        <v>0.32</v>
      </c>
      <c r="K27" s="54">
        <v>344.70</v>
      </c>
      <c r="L27" s="54">
        <v>21.44</v>
      </c>
      <c r="M27" s="54">
        <v>62.25</v>
      </c>
      <c r="N27" s="54">
        <v>59.30</v>
      </c>
      <c r="O27" s="54">
        <v>0</v>
      </c>
      <c r="P27" s="54">
        <v>1.06</v>
      </c>
      <c r="Q27" s="54">
        <v>7.75</v>
      </c>
      <c r="R27" s="43"/>
      <c r="S27" s="43"/>
      <c r="T27" s="43"/>
      <c r="U27" s="43"/>
    </row>
    <row r="28" spans="1:21" s="11" customFormat="1" ht="15">
      <c r="A28" s="53" t="s">
        <v>801</v>
      </c>
      <c r="B28" s="54">
        <v>8.58</v>
      </c>
      <c r="C28" s="54">
        <v>70.95</v>
      </c>
      <c r="D28" s="54">
        <v>46.69</v>
      </c>
      <c r="E28" s="54">
        <v>0.23</v>
      </c>
      <c r="F28" s="54">
        <v>3.51</v>
      </c>
      <c r="G28" s="54">
        <v>108.06</v>
      </c>
      <c r="H28" s="54">
        <v>37.08</v>
      </c>
      <c r="I28" s="54">
        <v>1.53</v>
      </c>
      <c r="J28" s="54">
        <v>0.73</v>
      </c>
      <c r="K28" s="54">
        <v>108.80</v>
      </c>
      <c r="L28" s="54">
        <v>20.67</v>
      </c>
      <c r="M28" s="54">
        <v>62.49</v>
      </c>
      <c r="N28" s="54">
        <v>59</v>
      </c>
      <c r="O28" s="54">
        <v>0</v>
      </c>
      <c r="P28" s="54">
        <v>1.04</v>
      </c>
      <c r="Q28" s="54">
        <v>7.64</v>
      </c>
      <c r="R28" s="43"/>
      <c r="S28" s="43"/>
      <c r="T28" s="43"/>
      <c r="U28" s="43"/>
    </row>
    <row r="29" spans="1:21" s="11" customFormat="1" ht="15">
      <c r="A29" s="53" t="s">
        <v>802</v>
      </c>
      <c r="B29" s="54">
        <v>9.66</v>
      </c>
      <c r="C29" s="54">
        <v>67.83</v>
      </c>
      <c r="D29" s="54">
        <v>45.72</v>
      </c>
      <c r="E29" s="54">
        <v>0.28999999999999998</v>
      </c>
      <c r="F29" s="54">
        <v>3.43</v>
      </c>
      <c r="G29" s="54">
        <v>93.99</v>
      </c>
      <c r="H29" s="54">
        <v>37.33</v>
      </c>
      <c r="I29" s="54">
        <v>1.49</v>
      </c>
      <c r="J29" s="54">
        <v>0.31</v>
      </c>
      <c r="K29" s="54">
        <v>349.63</v>
      </c>
      <c r="L29" s="54">
        <v>20.329999999999998</v>
      </c>
      <c r="M29" s="54">
        <v>66.33</v>
      </c>
      <c r="N29" s="54">
        <v>59.60</v>
      </c>
      <c r="O29" s="54">
        <v>0</v>
      </c>
      <c r="P29" s="54">
        <v>1.17</v>
      </c>
      <c r="Q29" s="54">
        <v>7.58</v>
      </c>
      <c r="R29" s="43"/>
      <c r="S29" s="43"/>
      <c r="T29" s="43"/>
      <c r="U29" s="43"/>
    </row>
    <row r="30" spans="1:21" s="11" customFormat="1" ht="15">
      <c r="A30" s="53" t="s">
        <v>803</v>
      </c>
      <c r="B30" s="54">
        <v>9.51</v>
      </c>
      <c r="C30" s="54">
        <v>68.599999999999994</v>
      </c>
      <c r="D30" s="54">
        <v>46.01</v>
      </c>
      <c r="E30" s="54">
        <v>0.26</v>
      </c>
      <c r="F30" s="54">
        <v>3.30</v>
      </c>
      <c r="G30" s="54">
        <v>93.99</v>
      </c>
      <c r="H30" s="54">
        <v>37.33</v>
      </c>
      <c r="I30" s="54">
        <v>1.5</v>
      </c>
      <c r="J30" s="54">
        <v>1.06</v>
      </c>
      <c r="K30" s="54">
        <v>113.12</v>
      </c>
      <c r="L30" s="54">
        <v>19.989999999999998</v>
      </c>
      <c r="M30" s="54">
        <v>64.92</v>
      </c>
      <c r="N30" s="54">
        <v>58.90</v>
      </c>
      <c r="O30" s="54">
        <v>0</v>
      </c>
      <c r="P30" s="54">
        <v>1.18</v>
      </c>
      <c r="Q30" s="54">
        <v>7.59</v>
      </c>
      <c r="R30" s="43"/>
      <c r="S30" s="43"/>
      <c r="T30" s="43"/>
      <c r="U30" s="43"/>
    </row>
    <row r="31" spans="1:21" s="11" customFormat="1" ht="15">
      <c r="A31" s="53" t="s">
        <v>804</v>
      </c>
      <c r="B31" s="54">
        <v>9.57</v>
      </c>
      <c r="C31" s="54">
        <v>65.319999999999993</v>
      </c>
      <c r="D31" s="54">
        <v>43.79</v>
      </c>
      <c r="E31" s="54">
        <v>0.27</v>
      </c>
      <c r="F31" s="54">
        <v>3.30</v>
      </c>
      <c r="G31" s="54">
        <v>92.59</v>
      </c>
      <c r="H31" s="54">
        <v>40</v>
      </c>
      <c r="I31" s="54">
        <v>1.51</v>
      </c>
      <c r="J31" s="54">
        <v>0.43</v>
      </c>
      <c r="K31" s="54">
        <v>106</v>
      </c>
      <c r="L31" s="54">
        <v>19.78</v>
      </c>
      <c r="M31" s="54">
        <v>68.849999999999994</v>
      </c>
      <c r="N31" s="54">
        <v>59.5</v>
      </c>
      <c r="O31" s="54">
        <v>0</v>
      </c>
      <c r="P31" s="54">
        <v>1.1200000000000001</v>
      </c>
      <c r="Q31" s="54">
        <v>7.66</v>
      </c>
      <c r="R31" s="43"/>
      <c r="S31" s="43"/>
      <c r="T31" s="43"/>
      <c r="U31" s="43"/>
    </row>
    <row r="32" spans="1:21" s="11" customFormat="1" ht="15">
      <c r="A32" s="53" t="s">
        <v>805</v>
      </c>
      <c r="B32" s="54">
        <v>13.36</v>
      </c>
      <c r="C32" s="54">
        <v>63.23</v>
      </c>
      <c r="D32" s="54">
        <v>45.59</v>
      </c>
      <c r="E32" s="54">
        <v>0.26</v>
      </c>
      <c r="F32" s="54">
        <v>3.42</v>
      </c>
      <c r="G32" s="54">
        <v>88.12</v>
      </c>
      <c r="H32" s="54">
        <v>40</v>
      </c>
      <c r="I32" s="54">
        <v>1.51</v>
      </c>
      <c r="J32" s="54">
        <v>0.17</v>
      </c>
      <c r="K32" s="54">
        <v>323.62</v>
      </c>
      <c r="L32" s="54">
        <v>19</v>
      </c>
      <c r="M32" s="54">
        <v>82.40</v>
      </c>
      <c r="N32" s="54">
        <v>60</v>
      </c>
      <c r="O32" s="54">
        <v>0</v>
      </c>
      <c r="P32" s="54">
        <v>1.05</v>
      </c>
      <c r="Q32" s="54">
        <v>7.76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2.0899999999999999</v>
      </c>
      <c r="C34" s="28">
        <f t="shared" si="0"/>
        <v>52.920000000000002</v>
      </c>
      <c r="D34" s="28">
        <f t="shared" si="0"/>
        <v>36.350000000000001</v>
      </c>
      <c r="E34" s="28">
        <f t="shared" si="0"/>
        <v>0.20000000000000001</v>
      </c>
      <c r="F34" s="28">
        <f t="shared" si="0"/>
        <v>2.9700000000000002</v>
      </c>
      <c r="G34" s="28">
        <f t="shared" si="0"/>
        <v>65.430000000000007</v>
      </c>
      <c r="H34" s="28">
        <f t="shared" si="0"/>
        <v>32.82</v>
      </c>
      <c r="I34" s="28">
        <f t="shared" si="0"/>
        <v>1.49</v>
      </c>
      <c r="J34" s="28">
        <f t="shared" si="0"/>
        <v>0.089999999999999997</v>
      </c>
      <c r="K34" s="28">
        <f t="shared" si="0"/>
        <v>106</v>
      </c>
      <c r="L34" s="28">
        <f t="shared" si="0"/>
        <v>14.880000000000001</v>
      </c>
      <c r="M34" s="28">
        <f t="shared" si="0"/>
        <v>40.259999999999998</v>
      </c>
      <c r="N34" s="28">
        <f t="shared" si="0"/>
        <v>57.100000000000001</v>
      </c>
      <c r="O34" s="28">
        <f t="shared" si="0"/>
        <v>0</v>
      </c>
      <c r="P34" s="28">
        <f t="shared" si="0"/>
        <v>0.68999999999999995</v>
      </c>
      <c r="Q34" s="28">
        <f t="shared" si="0"/>
        <v>6.4199999999999999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66.25</v>
      </c>
      <c r="C35" s="29">
        <f t="shared" si="1"/>
        <v>103.13</v>
      </c>
      <c r="D35" s="29">
        <f t="shared" si="1"/>
        <v>85.530000000000001</v>
      </c>
      <c r="E35" s="29">
        <f t="shared" si="1"/>
        <v>0.42999999999999999</v>
      </c>
      <c r="F35" s="29">
        <f t="shared" si="1"/>
        <v>12.380000000000001</v>
      </c>
      <c r="G35" s="29">
        <f t="shared" si="1"/>
        <v>194.16</v>
      </c>
      <c r="H35" s="29">
        <f t="shared" si="1"/>
        <v>52.450000000000003</v>
      </c>
      <c r="I35" s="29">
        <f t="shared" si="1"/>
        <v>1.6000000000000001</v>
      </c>
      <c r="J35" s="29">
        <f t="shared" si="1"/>
        <v>1.0600000000000001</v>
      </c>
      <c r="K35" s="29">
        <f t="shared" si="1"/>
        <v>359.75</v>
      </c>
      <c r="L35" s="29">
        <f t="shared" si="1"/>
        <v>28.239999999999998</v>
      </c>
      <c r="M35" s="29">
        <f t="shared" si="1"/>
        <v>99.390000000000001</v>
      </c>
      <c r="N35" s="29">
        <f t="shared" si="1"/>
        <v>652</v>
      </c>
      <c r="O35" s="29">
        <f t="shared" si="1"/>
        <v>0</v>
      </c>
      <c r="P35" s="29">
        <f t="shared" si="1"/>
        <v>1.22</v>
      </c>
      <c r="Q35" s="29">
        <f t="shared" si="1"/>
        <v>12.279999999999999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25.797916666666666</v>
      </c>
      <c r="C36" s="28">
        <f t="shared" si="2"/>
        <v>66.958749999999995</v>
      </c>
      <c r="D36" s="28">
        <f t="shared" si="2"/>
        <v>56.999999999999993</v>
      </c>
      <c r="E36" s="28">
        <f t="shared" si="2"/>
        <v>0.29291666666666671</v>
      </c>
      <c r="F36" s="28">
        <f t="shared" si="2"/>
        <v>4.3720833333333342</v>
      </c>
      <c r="G36" s="28">
        <f t="shared" si="2"/>
        <v>113.50291666666664</v>
      </c>
      <c r="H36" s="28">
        <f t="shared" si="2"/>
        <v>43.048750000000013</v>
      </c>
      <c r="I36" s="28">
        <f t="shared" si="2"/>
        <v>1.53125</v>
      </c>
      <c r="J36" s="28">
        <f t="shared" si="2"/>
        <v>0.37374999999999997</v>
      </c>
      <c r="K36" s="28">
        <f t="shared" si="2"/>
        <v>301.65458333333333</v>
      </c>
      <c r="L36" s="28">
        <f t="shared" si="2"/>
        <v>21.245416666666667</v>
      </c>
      <c r="M36" s="28">
        <f t="shared" si="2"/>
        <v>70.597500000000011</v>
      </c>
      <c r="N36" s="28">
        <f t="shared" si="2"/>
        <v>215.85000000000002</v>
      </c>
      <c r="O36" s="28">
        <f t="shared" si="2"/>
        <v>0</v>
      </c>
      <c r="P36" s="28">
        <f t="shared" si="2"/>
        <v>0.96416666666666673</v>
      </c>
      <c r="Q36" s="28">
        <f t="shared" si="2"/>
        <v>8.8995833333333341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22.327441680424425</v>
      </c>
      <c r="C37" s="28">
        <f t="shared" si="3" ref="C37:Q37">STDEV(C9:C32)</f>
        <v>12.45187337485731</v>
      </c>
      <c r="D37" s="28">
        <f t="shared" si="3"/>
        <v>15.5225364915157</v>
      </c>
      <c r="E37" s="28">
        <f t="shared" si="3"/>
        <v>0.071656133368158792</v>
      </c>
      <c r="F37" s="28">
        <f t="shared" si="3"/>
        <v>2.2291975143470375</v>
      </c>
      <c r="G37" s="28">
        <f t="shared" si="3"/>
        <v>35.029809849322888</v>
      </c>
      <c r="H37" s="28">
        <f t="shared" si="3"/>
        <v>5.5980806590487271</v>
      </c>
      <c r="I37" s="28">
        <f t="shared" si="3"/>
        <v>0.032210246816812838</v>
      </c>
      <c r="J37" s="28">
        <f t="shared" si="3"/>
        <v>0.26024758278959315</v>
      </c>
      <c r="K37" s="28">
        <f t="shared" si="3"/>
        <v>78.524077059712752</v>
      </c>
      <c r="L37" s="28">
        <f t="shared" si="3"/>
        <v>4.7211236495661524</v>
      </c>
      <c r="M37" s="28">
        <f t="shared" si="3"/>
        <v>22.452733396103934</v>
      </c>
      <c r="N37" s="28">
        <f t="shared" si="3"/>
        <v>216.23474361865649</v>
      </c>
      <c r="O37" s="28">
        <f t="shared" si="3"/>
        <v>0</v>
      </c>
      <c r="P37" s="28">
        <f t="shared" si="3"/>
        <v>0.1484680222242771</v>
      </c>
      <c r="Q37" s="28">
        <f t="shared" si="3"/>
        <v>1.7820005347353602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bb98f07-c4f6-4c0e-adfd-b68065e4275a}">
  <sheetPr codeName=""/>
  <dimension ref="A1:X55"/>
  <sheetViews>
    <sheetView tabSelected="1" zoomScale="85" zoomScaleNormal="85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P18" sqref="P18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5" width="8.85714285714286" style="11"/>
    <col min="16" max="16" width="11" style="11" customWidth="1"/>
    <col min="17" max="17" width="15.8571428571429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01-01-2024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01-01-2024 01:00</v>
      </c>
      <c r="B9" s="24">
        <f>'01'!B36</f>
        <v>27.911666666666665</v>
      </c>
      <c r="C9" s="24">
        <f>'01'!C36</f>
        <v>87.335833333333326</v>
      </c>
      <c r="D9" s="24">
        <f>'01'!D36</f>
        <v>70.759999999999991</v>
      </c>
      <c r="E9" s="24">
        <f>'01'!E36</f>
        <v>0.19708333333333336</v>
      </c>
      <c r="F9" s="24">
        <f>'01'!F36</f>
        <v>3.714166666666666</v>
      </c>
      <c r="G9" s="24">
        <f>'01'!G36</f>
        <v>120.64958333333334</v>
      </c>
      <c r="H9" s="24">
        <f>'01'!H36</f>
        <v>69.182916666666685</v>
      </c>
      <c r="I9" s="24">
        <f>'01'!I36</f>
        <v>1.5358333333333334</v>
      </c>
      <c r="J9" s="24">
        <f>'01'!J36</f>
        <v>0.39041666666666663</v>
      </c>
      <c r="K9" s="24">
        <f>'01'!K36</f>
        <v>239.23625000000001</v>
      </c>
      <c r="L9" s="24">
        <f>'01'!L36</f>
        <v>18.852083333333333</v>
      </c>
      <c r="M9" s="24">
        <f>'01'!M36</f>
        <v>75.71041666666666</v>
      </c>
      <c r="N9" s="24">
        <f>'01'!N36</f>
        <v>177.80000000000004</v>
      </c>
      <c r="O9" s="24">
        <f>'01'!O36</f>
        <v>0</v>
      </c>
      <c r="P9" s="30">
        <f>'01'!$P$36</f>
        <v>1.2929166666666667</v>
      </c>
      <c r="Q9" s="24">
        <f>'01'!Q36</f>
        <v>8.7183333333333355</v>
      </c>
      <c r="R9" s="45"/>
      <c r="S9" s="45"/>
      <c r="T9" s="45"/>
      <c r="U9" s="46"/>
    </row>
    <row r="10" spans="1:21" s="34" customFormat="1" ht="15">
      <c r="A10" s="36" t="str">
        <f>'02'!$B$2</f>
        <v>02-01-2024 01:00</v>
      </c>
      <c r="B10" s="33">
        <f>'02'!B36</f>
        <v>25.224583333333339</v>
      </c>
      <c r="C10" s="33">
        <f>'02'!C36</f>
        <v>85.350416666666661</v>
      </c>
      <c r="D10" s="33">
        <f>'02'!D36</f>
        <v>67.203750000000014</v>
      </c>
      <c r="E10" s="33">
        <f>'02'!E36</f>
        <v>0.19500000000000003</v>
      </c>
      <c r="F10" s="33">
        <f>'02'!F36</f>
        <v>3.6816666666666666</v>
      </c>
      <c r="G10" s="33">
        <f>'02'!G36</f>
        <v>98.817083333333315</v>
      </c>
      <c r="H10" s="33">
        <f>'02'!H36</f>
        <v>71.518750000000011</v>
      </c>
      <c r="I10" s="33">
        <f>'02'!I36</f>
        <v>1.5383333333333331</v>
      </c>
      <c r="J10" s="33">
        <f>'02'!J36</f>
        <v>0.47791666666666655</v>
      </c>
      <c r="K10" s="33">
        <f>'02'!K36</f>
        <v>229.5079166666666</v>
      </c>
      <c r="L10" s="33">
        <f>'02'!L36</f>
        <v>18.830416666666668</v>
      </c>
      <c r="M10" s="33">
        <f>'02'!M36</f>
        <v>73.859166666666667</v>
      </c>
      <c r="N10" s="33">
        <f>'02'!N36</f>
        <v>172.35416666666671</v>
      </c>
      <c r="O10" s="33">
        <f>'02'!O36</f>
        <v>0</v>
      </c>
      <c r="P10" s="30">
        <f>'02'!$P$36</f>
        <v>1.1095833333333334</v>
      </c>
      <c r="Q10" s="33">
        <f>'02'!Q36</f>
        <v>8.4708333333333332</v>
      </c>
      <c r="R10" s="47"/>
      <c r="S10" s="47"/>
      <c r="T10" s="47"/>
      <c r="U10" s="47"/>
    </row>
    <row r="11" spans="1:21" s="34" customFormat="1" ht="15">
      <c r="A11" s="36" t="str">
        <f>'03'!$B$2</f>
        <v>03-01-2024 01:00</v>
      </c>
      <c r="B11" s="33">
        <f>'03'!B36</f>
        <v>22.180454545454545</v>
      </c>
      <c r="C11" s="33">
        <f>'03'!C36</f>
        <v>75.128636363636375</v>
      </c>
      <c r="D11" s="33">
        <f>'03'!D36</f>
        <v>59.463636363636354</v>
      </c>
      <c r="E11" s="33">
        <f>'03'!E36</f>
        <v>0.2847826086956522</v>
      </c>
      <c r="F11" s="33">
        <f>'03'!F36</f>
        <v>4.7687499999999989</v>
      </c>
      <c r="G11" s="33">
        <f>'03'!G36</f>
        <v>83.185454545454547</v>
      </c>
      <c r="H11" s="33">
        <f>'03'!H36</f>
        <v>47.131363636363631</v>
      </c>
      <c r="I11" s="33">
        <f>'03'!I36</f>
        <v>1.5420833333333335</v>
      </c>
      <c r="J11" s="33">
        <f>'03'!J36</f>
        <v>0.51375000000000004</v>
      </c>
      <c r="K11" s="33">
        <f>'03'!K36</f>
        <v>219.38</v>
      </c>
      <c r="L11" s="33">
        <f>'03'!L36</f>
        <v>18.957916666666666</v>
      </c>
      <c r="M11" s="33">
        <f>'03'!M36</f>
        <v>71.564166666666665</v>
      </c>
      <c r="N11" s="33">
        <f>'03'!N36</f>
        <v>161.84583333333333</v>
      </c>
      <c r="O11" s="33">
        <f>'03'!O36</f>
        <v>0</v>
      </c>
      <c r="P11" s="30">
        <f>'03'!$P$36</f>
        <v>0.75458333333333327</v>
      </c>
      <c r="Q11" s="33">
        <f>'03'!Q36</f>
        <v>8.4287499999999991</v>
      </c>
      <c r="R11" s="47"/>
      <c r="S11" s="47"/>
      <c r="T11" s="47"/>
      <c r="U11" s="47"/>
    </row>
    <row r="12" spans="1:21" s="34" customFormat="1" ht="15">
      <c r="A12" s="36" t="str">
        <f>'04'!$B$2</f>
        <v>04-01-2024 01:00</v>
      </c>
      <c r="B12" s="33">
        <f>'04'!B36</f>
        <v>60.887916666666683</v>
      </c>
      <c r="C12" s="33">
        <f>'04'!C36</f>
        <v>63.303333333333327</v>
      </c>
      <c r="D12" s="33">
        <f>'04'!D36</f>
        <v>74.509166666666687</v>
      </c>
      <c r="E12" s="33">
        <f>'04'!E36</f>
        <v>0.26708333333333339</v>
      </c>
      <c r="F12" s="33">
        <f>'04'!F36</f>
        <v>3.4229166666666671</v>
      </c>
      <c r="G12" s="33">
        <f>'04'!G36</f>
        <v>116.10833333333335</v>
      </c>
      <c r="H12" s="33">
        <f>'04'!H36</f>
        <v>51.575555555555553</v>
      </c>
      <c r="I12" s="33">
        <f>'04'!I36</f>
        <v>1.5587500000000005</v>
      </c>
      <c r="J12" s="33">
        <f>'04'!J36</f>
        <v>0.50291666666666657</v>
      </c>
      <c r="K12" s="33">
        <f>'04'!K36</f>
        <v>273.95208333333329</v>
      </c>
      <c r="L12" s="33">
        <f>'04'!L36</f>
        <v>19.541249999999994</v>
      </c>
      <c r="M12" s="33">
        <f>'04'!M36</f>
        <v>71.756250000000023</v>
      </c>
      <c r="N12" s="33">
        <f>'04'!N36</f>
        <v>122.51666666666665</v>
      </c>
      <c r="O12" s="33">
        <f>'04'!O36</f>
        <v>0</v>
      </c>
      <c r="P12" s="30">
        <f>'04'!$P$36</f>
        <v>1.2625</v>
      </c>
      <c r="Q12" s="33">
        <f>'04'!Q36</f>
        <v>10.148750000000001</v>
      </c>
      <c r="R12" s="47"/>
      <c r="S12" s="47"/>
      <c r="T12" s="47"/>
      <c r="U12" s="47"/>
    </row>
    <row r="13" spans="1:21" s="34" customFormat="1" ht="15">
      <c r="A13" s="36" t="str">
        <f>'05'!$B$2</f>
        <v>05-01-2024 01:00</v>
      </c>
      <c r="B13" s="33">
        <f>'05'!B36</f>
        <v>42.032499999999999</v>
      </c>
      <c r="C13" s="33">
        <f>'05'!C36</f>
        <v>66.646249999999995</v>
      </c>
      <c r="D13" s="33">
        <f>'05'!D36</f>
        <v>70.388333333333335</v>
      </c>
      <c r="E13" s="33">
        <f>'05'!E36</f>
        <v>0.2429166666666667</v>
      </c>
      <c r="F13" s="33">
        <f>'05'!F36</f>
        <v>4.3945833333333333</v>
      </c>
      <c r="G13" s="33">
        <f>'05'!G36</f>
        <v>87</v>
      </c>
      <c r="H13" s="33">
        <f>'05'!H36</f>
        <v>32.100000000000001</v>
      </c>
      <c r="I13" s="33">
        <f>'05'!I36</f>
        <v>1.5416666666666667</v>
      </c>
      <c r="J13" s="33">
        <f>'05'!J36</f>
        <v>0.65000000000000002</v>
      </c>
      <c r="K13" s="33">
        <f>'05'!K36</f>
        <v>228.2245833333333</v>
      </c>
      <c r="L13" s="33">
        <f>'05'!L36</f>
        <v>20.139166666666672</v>
      </c>
      <c r="M13" s="33">
        <f>'05'!M36</f>
        <v>70.92416666666665</v>
      </c>
      <c r="N13" s="33">
        <f>'05'!N36</f>
        <v>124.0625</v>
      </c>
      <c r="O13" s="33">
        <f>'05'!O36</f>
        <v>0</v>
      </c>
      <c r="P13" s="30">
        <f>'05'!$P$36</f>
        <v>1.1308333333333338</v>
      </c>
      <c r="Q13" s="33">
        <f>'05'!Q36</f>
        <v>10.127500000000001</v>
      </c>
      <c r="R13" s="47"/>
      <c r="S13" s="47"/>
      <c r="T13" s="47"/>
      <c r="U13" s="47"/>
    </row>
    <row r="14" spans="1:21" s="34" customFormat="1" ht="15">
      <c r="A14" s="36" t="str">
        <f>'06'!$B$2</f>
        <v>06-01-2024 01:00</v>
      </c>
      <c r="B14" s="33">
        <f>'06'!B36</f>
        <v>16.512083333333329</v>
      </c>
      <c r="C14" s="33">
        <f>'06'!C36</f>
        <v>63.352499999999999</v>
      </c>
      <c r="D14" s="33">
        <f>'06'!D36</f>
        <v>48.136666666666663</v>
      </c>
      <c r="E14" s="33">
        <f>'06'!E36</f>
        <v>0.19624999999999995</v>
      </c>
      <c r="F14" s="33">
        <f>'06'!F36</f>
        <v>3.4437499999999996</v>
      </c>
      <c r="G14" s="33">
        <f>'06'!G36</f>
        <v>104.46666666666665</v>
      </c>
      <c r="H14" s="33">
        <f>'06'!H36</f>
        <v>42.603749999999991</v>
      </c>
      <c r="I14" s="33">
        <f>'06'!I36</f>
        <v>1.5466666666666669</v>
      </c>
      <c r="J14" s="33">
        <f>'06'!J36</f>
        <v>0.87208333333333332</v>
      </c>
      <c r="K14" s="33">
        <f>'06'!K36</f>
        <v>315.22166666666664</v>
      </c>
      <c r="L14" s="33">
        <f>'06'!L36</f>
        <v>19.512500000000003</v>
      </c>
      <c r="M14" s="33">
        <f>'06'!M36</f>
        <v>74.139583333333363</v>
      </c>
      <c r="N14" s="33">
        <f>'06'!N36</f>
        <v>118.74583333333335</v>
      </c>
      <c r="O14" s="33">
        <f>'06'!O36</f>
        <v>0</v>
      </c>
      <c r="P14" s="30">
        <f>'06'!$P$36</f>
        <v>0.90958333333333341</v>
      </c>
      <c r="Q14" s="33">
        <f>'06'!Q36</f>
        <v>7.3058333333333332</v>
      </c>
      <c r="R14" s="47"/>
      <c r="S14" s="47"/>
      <c r="T14" s="47"/>
      <c r="U14" s="47"/>
    </row>
    <row r="15" spans="1:21" s="34" customFormat="1" ht="15">
      <c r="A15" s="36" t="str">
        <f>'07'!$B$2</f>
        <v>07-01-2024 01:00</v>
      </c>
      <c r="B15" s="33">
        <f>'07'!B36</f>
        <v>16.209999999999997</v>
      </c>
      <c r="C15" s="33">
        <f>'07'!C36</f>
        <v>58.405416666666667</v>
      </c>
      <c r="D15" s="33">
        <f>'07'!D36</f>
        <v>45.399166666666673</v>
      </c>
      <c r="E15" s="33">
        <f>'07'!E36</f>
        <v>0.21750000000000005</v>
      </c>
      <c r="F15" s="33">
        <f>'07'!F36</f>
        <v>3.5283333333333329</v>
      </c>
      <c r="G15" s="33">
        <f>'07'!G36</f>
        <v>104.07749999999999</v>
      </c>
      <c r="H15" s="33">
        <f>'07'!H36</f>
        <v>48.541666666666664</v>
      </c>
      <c r="I15" s="33">
        <f>'07'!I36</f>
        <v>1.5362500000000001</v>
      </c>
      <c r="J15" s="33">
        <f>'07'!J36</f>
        <v>0.66583333333333339</v>
      </c>
      <c r="K15" s="33">
        <f>'07'!K36</f>
        <v>263.66041666666666</v>
      </c>
      <c r="L15" s="33">
        <f>'07'!L36</f>
        <v>19.511249999999997</v>
      </c>
      <c r="M15" s="33">
        <f>'07'!M36</f>
        <v>73.595416666666665</v>
      </c>
      <c r="N15" s="33">
        <f>'07'!N37</f>
        <v>176.07176073276554</v>
      </c>
      <c r="O15" s="33">
        <f>'07'!O37</f>
        <v>0</v>
      </c>
      <c r="P15" s="30">
        <f>'07'!$P$36</f>
        <v>0.96750000000000014</v>
      </c>
      <c r="Q15" s="33">
        <f>'07'!Q36</f>
        <v>6.9408333333333312</v>
      </c>
      <c r="R15" s="47"/>
      <c r="S15" s="47"/>
      <c r="T15" s="47"/>
      <c r="U15" s="47"/>
    </row>
    <row r="16" spans="1:21" s="34" customFormat="1" ht="15">
      <c r="A16" s="36" t="str">
        <f>'08'!$B$2</f>
        <v>08-01-2024 01:00</v>
      </c>
      <c r="B16" s="33">
        <f>'08'!B36</f>
        <v>21.874583333333334</v>
      </c>
      <c r="C16" s="33">
        <f>'08'!C36</f>
        <v>63.094583333333333</v>
      </c>
      <c r="D16" s="33">
        <f>'08'!D36</f>
        <v>52.559999999999995</v>
      </c>
      <c r="E16" s="33">
        <f>'08'!E36</f>
        <v>0.23291666666666674</v>
      </c>
      <c r="F16" s="33">
        <f>'08'!F36</f>
        <v>4.1591666666666667</v>
      </c>
      <c r="G16" s="33">
        <f>'08'!G36</f>
        <v>114.73333333333333</v>
      </c>
      <c r="H16" s="33">
        <f>'08'!H36</f>
        <v>44.651666666666671</v>
      </c>
      <c r="I16" s="33">
        <f>'08'!I36</f>
        <v>1.5466666666666669</v>
      </c>
      <c r="J16" s="33">
        <f>'08'!J36</f>
        <v>0.56375000000000008</v>
      </c>
      <c r="K16" s="33">
        <f>'08'!K36</f>
        <v>274.10624999999999</v>
      </c>
      <c r="L16" s="33">
        <f>'08'!L36</f>
        <v>20.270833333333332</v>
      </c>
      <c r="M16" s="33">
        <f>'08'!M36</f>
        <v>71.42291666666668</v>
      </c>
      <c r="N16" s="33">
        <f>'08'!N36</f>
        <v>134.76666666666665</v>
      </c>
      <c r="O16" s="33">
        <f>'08'!O36</f>
        <v>0</v>
      </c>
      <c r="P16" s="30">
        <f>'08'!$P$36</f>
        <v>1.0833333333333333</v>
      </c>
      <c r="Q16" s="33">
        <f>'08'!Q36</f>
        <v>7.6774999999999975</v>
      </c>
      <c r="R16" s="47"/>
      <c r="S16" s="47"/>
      <c r="T16" s="47"/>
      <c r="U16" s="47"/>
    </row>
    <row r="17" spans="1:24" s="34" customFormat="1" ht="15">
      <c r="A17" s="36" t="str">
        <f>'09'!$B$2</f>
        <v>09-01-2024 01:00</v>
      </c>
      <c r="B17" s="33">
        <f>'09'!B36</f>
        <v>38.947499999999998</v>
      </c>
      <c r="C17" s="33">
        <f>'09'!C36</f>
        <v>62.091249999999995</v>
      </c>
      <c r="D17" s="33">
        <f>'09'!D36</f>
        <v>65.849583333333328</v>
      </c>
      <c r="E17" s="33">
        <f>'09'!E36</f>
        <v>0.27291666666666664</v>
      </c>
      <c r="F17" s="33">
        <f>'09'!F36</f>
        <v>3.6574999999999993</v>
      </c>
      <c r="G17" s="33">
        <f>'09'!G36</f>
        <v>130.50624999999997</v>
      </c>
      <c r="H17" s="33">
        <f>'09'!H36</f>
        <v>49.768333333333324</v>
      </c>
      <c r="I17" s="33">
        <f>'09'!I36</f>
        <v>1.5458333333333336</v>
      </c>
      <c r="J17" s="33">
        <f>'09'!J36</f>
        <v>0.42583333333333334</v>
      </c>
      <c r="K17" s="33">
        <f>'09'!K36</f>
        <v>238.19083333333333</v>
      </c>
      <c r="L17" s="33">
        <f>'09'!L36</f>
        <v>20.163749999999997</v>
      </c>
      <c r="M17" s="33">
        <f>'09'!M36</f>
        <v>72.737083333333345</v>
      </c>
      <c r="N17" s="33">
        <f>'09'!N37</f>
        <v>181.83395674649699</v>
      </c>
      <c r="O17" s="33">
        <f>'09'!O37</f>
        <v>0</v>
      </c>
      <c r="P17" s="30">
        <f>'09'!$P$36</f>
        <v>1.4070833333333332</v>
      </c>
      <c r="Q17" s="33">
        <f>'09'!Q36</f>
        <v>8.7204166666666652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10-01-2024 01:00</v>
      </c>
      <c r="B18" s="33">
        <f>'10'!B36</f>
        <v>59.225833333333348</v>
      </c>
      <c r="C18" s="33">
        <f>'10'!C36</f>
        <v>71.875</v>
      </c>
      <c r="D18" s="33">
        <f>'10'!D36</f>
        <v>86.718749999999986</v>
      </c>
      <c r="E18" s="33">
        <f>'10'!E36</f>
        <v>0.3345833333333334</v>
      </c>
      <c r="F18" s="33">
        <f>'10'!F36</f>
        <v>4.5520833333333348</v>
      </c>
      <c r="G18" s="33">
        <f>'10'!G36</f>
        <v>140.70708333333332</v>
      </c>
      <c r="H18" s="33">
        <f>'10'!H36</f>
        <v>59.133333333333326</v>
      </c>
      <c r="I18" s="33">
        <f>'10'!I36</f>
        <v>1.5395833333333337</v>
      </c>
      <c r="J18" s="33">
        <f>'10'!J36</f>
        <v>0.40500000000000003</v>
      </c>
      <c r="K18" s="33">
        <f>'10'!K36</f>
        <v>331.41124999999994</v>
      </c>
      <c r="L18" s="33">
        <f>'10'!L36</f>
        <v>21.977083333333329</v>
      </c>
      <c r="M18" s="33">
        <f>'10'!M36</f>
        <v>72.306666666666672</v>
      </c>
      <c r="N18" s="33">
        <f>'10'!N36</f>
        <v>110.925</v>
      </c>
      <c r="O18" s="33">
        <f>'10'!O36</f>
        <v>0</v>
      </c>
      <c r="P18" s="30">
        <f>'10'!$P$36</f>
        <v>1.9183333333333341</v>
      </c>
      <c r="Q18" s="33">
        <f>'10'!Q36</f>
        <v>11.822916666666666</v>
      </c>
      <c r="R18" s="47"/>
      <c r="S18" s="47"/>
      <c r="T18" s="47"/>
      <c r="U18" s="47"/>
    </row>
    <row r="19" spans="1:21" s="34" customFormat="1" ht="15">
      <c r="A19" s="36" t="str">
        <f>'11'!$B$2</f>
        <v>11-01-2024 01:00</v>
      </c>
      <c r="B19" s="33">
        <f>'11'!B36</f>
        <v>34.166818181818186</v>
      </c>
      <c r="C19" s="33">
        <f>'11'!C36</f>
        <v>62.390454545454539</v>
      </c>
      <c r="D19" s="33">
        <f>'11'!D36</f>
        <v>62.088636363636368</v>
      </c>
      <c r="E19" s="33">
        <f>'11'!E36</f>
        <v>0.22136363636363637</v>
      </c>
      <c r="F19" s="33">
        <f>'11'!F36</f>
        <v>3.574782608695652</v>
      </c>
      <c r="G19" s="33">
        <f>'11'!G36</f>
        <v>107.50217391304349</v>
      </c>
      <c r="H19" s="33">
        <f>'11'!H36</f>
        <v>53.224347826086948</v>
      </c>
      <c r="I19" s="33">
        <f>'11'!I36</f>
        <v>1.5426086956521741</v>
      </c>
      <c r="J19" s="33">
        <f>'11'!J36</f>
        <v>0.56565217391304345</v>
      </c>
      <c r="K19" s="33">
        <f>'11'!K36</f>
        <v>316.78869565217389</v>
      </c>
      <c r="L19" s="33">
        <f>'11'!L36</f>
        <v>21.927826086956529</v>
      </c>
      <c r="M19" s="33">
        <f>'11'!M36</f>
        <v>72.533043478260865</v>
      </c>
      <c r="N19" s="33">
        <f>'11'!N36</f>
        <v>122.36086956521736</v>
      </c>
      <c r="O19" s="33">
        <f>'11'!O36</f>
        <v>0</v>
      </c>
      <c r="P19" s="33">
        <f>'11'!P36</f>
        <v>1.2581818181818181</v>
      </c>
      <c r="Q19" s="33">
        <f>'11'!Q36</f>
        <v>9.8495454545454528</v>
      </c>
      <c r="R19" s="47"/>
      <c r="S19" s="47"/>
      <c r="T19" s="47"/>
      <c r="U19" s="47"/>
    </row>
    <row r="20" spans="1:21" s="34" customFormat="1" ht="15">
      <c r="A20" s="36" t="str">
        <f>'12'!$B$2</f>
        <v>12-01-2024 01:00</v>
      </c>
      <c r="B20" s="33">
        <f>'12'!B36</f>
        <v>39.788333333333334</v>
      </c>
      <c r="C20" s="33">
        <f>'12'!C36</f>
        <v>65.311666666666653</v>
      </c>
      <c r="D20" s="33">
        <f>'12'!D36</f>
        <v>67.732500000000002</v>
      </c>
      <c r="E20" s="33">
        <f>'12'!E36</f>
        <v>0.28750000000000003</v>
      </c>
      <c r="F20" s="33">
        <f>'12'!F36</f>
        <v>3.8779166666666671</v>
      </c>
      <c r="G20" s="33">
        <f>'12'!G36</f>
        <v>102.46666666666665</v>
      </c>
      <c r="H20" s="33">
        <f>'12'!H36</f>
        <v>30.871666666666666</v>
      </c>
      <c r="I20" s="33">
        <f>'12'!I36</f>
        <v>1.5475000000000005</v>
      </c>
      <c r="J20" s="33">
        <f>'12'!J36</f>
        <v>0.49458333333333337</v>
      </c>
      <c r="K20" s="33">
        <f>'12'!K36</f>
        <v>274.08750000000003</v>
      </c>
      <c r="L20" s="33">
        <f>'12'!L36</f>
        <v>21.463333333333335</v>
      </c>
      <c r="M20" s="33">
        <f>'12'!M36</f>
        <v>63.796250000000008</v>
      </c>
      <c r="N20" s="33">
        <f>'12'!N36</f>
        <v>139.65833333333333</v>
      </c>
      <c r="O20" s="33">
        <f>'12'!O36</f>
        <v>0</v>
      </c>
      <c r="P20" s="33">
        <f>'12'!P36</f>
        <v>1.1941666666666668</v>
      </c>
      <c r="Q20" s="33">
        <f>'12'!Q36</f>
        <v>10.921250000000001</v>
      </c>
      <c r="R20" s="47"/>
      <c r="S20" s="47"/>
      <c r="T20" s="47"/>
      <c r="U20" s="47"/>
    </row>
    <row r="21" spans="1:21" s="34" customFormat="1" ht="15">
      <c r="A21" s="36" t="str">
        <f>'13'!$B$2</f>
        <v>13-01-2024 01:00</v>
      </c>
      <c r="B21" s="33">
        <f>'13'!B36</f>
        <v>46.784999999999997</v>
      </c>
      <c r="C21" s="33">
        <f>'13'!C36</f>
        <v>60.009583333333353</v>
      </c>
      <c r="D21" s="33">
        <f>'13'!D36</f>
        <v>71.070416666666659</v>
      </c>
      <c r="E21" s="33">
        <f>'13'!E36</f>
        <v>0.26124999999999998</v>
      </c>
      <c r="F21" s="33">
        <f>'13'!F36</f>
        <v>3.6537500000000005</v>
      </c>
      <c r="G21" s="33">
        <f>'13'!G36</f>
        <v>86.293750000000003</v>
      </c>
      <c r="H21" s="33">
        <f>'13'!H36</f>
        <v>28.128333333333334</v>
      </c>
      <c r="I21" s="33">
        <f>'13'!I36</f>
        <v>1.5445833333333334</v>
      </c>
      <c r="J21" s="33">
        <f>'13'!J36</f>
        <v>0.57916666666666672</v>
      </c>
      <c r="K21" s="33">
        <f>'13'!K36</f>
        <v>272.37458333333342</v>
      </c>
      <c r="L21" s="33">
        <f>'13'!L36</f>
        <v>21.777083333333337</v>
      </c>
      <c r="M21" s="33">
        <f>'13'!M36</f>
        <v>58.354583333333345</v>
      </c>
      <c r="N21" s="33">
        <f>'13'!N36</f>
        <v>150.51666666666665</v>
      </c>
      <c r="O21" s="33">
        <f>'13'!O36</f>
        <v>0</v>
      </c>
      <c r="P21" s="33">
        <f>'13'!P36</f>
        <v>1.1445833333333333</v>
      </c>
      <c r="Q21" s="33">
        <f>'13'!Q36</f>
        <v>10.92416666666667</v>
      </c>
      <c r="R21" s="47"/>
      <c r="S21" s="47"/>
      <c r="T21" s="47"/>
      <c r="U21" s="47"/>
    </row>
    <row r="22" spans="1:21" s="34" customFormat="1" ht="15">
      <c r="A22" s="36" t="str">
        <f>'14'!$B$2</f>
        <v>14-01-2024 01:00</v>
      </c>
      <c r="B22" s="30">
        <f>'14'!B36</f>
        <v>46.00333333333333</v>
      </c>
      <c r="C22" s="30">
        <f>'14'!C36</f>
        <v>64.834999999999994</v>
      </c>
      <c r="D22" s="30">
        <f>'14'!D36</f>
        <v>72.928333333333327</v>
      </c>
      <c r="E22" s="30">
        <f>'14'!E36</f>
        <v>0.21749999999999994</v>
      </c>
      <c r="F22" s="30">
        <f>'14'!F36</f>
        <v>3.5520833333333335</v>
      </c>
      <c r="G22" s="30">
        <f>'14'!G36</f>
        <v>103.78208333333333</v>
      </c>
      <c r="H22" s="30">
        <f>'14'!H36</f>
        <v>32.057083333333331</v>
      </c>
      <c r="I22" s="30">
        <f>'14'!I36</f>
        <v>1.5441666666666665</v>
      </c>
      <c r="J22" s="30">
        <f>'14'!J36</f>
        <v>0.37499999999999994</v>
      </c>
      <c r="K22" s="30">
        <f>'14'!K36</f>
        <v>302.18458333333336</v>
      </c>
      <c r="L22" s="30">
        <f>'14'!L36</f>
        <v>21.590416666666666</v>
      </c>
      <c r="M22" s="30">
        <f>'14'!M36</f>
        <v>60.915416666666651</v>
      </c>
      <c r="N22" s="30">
        <f>'14'!N36</f>
        <v>139.44583333333335</v>
      </c>
      <c r="O22" s="30">
        <f>'14'!O36</f>
        <v>0</v>
      </c>
      <c r="P22" s="30">
        <f>'14'!P36</f>
        <v>1.1274999999999999</v>
      </c>
      <c r="Q22" s="30">
        <f>'14'!Q36</f>
        <v>11.105833333333335</v>
      </c>
      <c r="R22" s="48"/>
      <c r="S22" s="48"/>
      <c r="T22" s="48"/>
      <c r="U22" s="48"/>
    </row>
    <row r="23" spans="1:21" s="34" customFormat="1" ht="15">
      <c r="A23" s="36" t="str">
        <f>'15'!$B$2</f>
        <v>15-01-2024 01:00</v>
      </c>
      <c r="B23" s="33">
        <f>'15'!B36</f>
        <v>21.27</v>
      </c>
      <c r="C23" s="33">
        <f>'15'!C36</f>
        <v>69.184090909090912</v>
      </c>
      <c r="D23" s="33">
        <f>'15'!D36</f>
        <v>55.349090909090911</v>
      </c>
      <c r="E23" s="33">
        <f>'15'!E36</f>
        <v>0.62434782608695649</v>
      </c>
      <c r="F23" s="33">
        <f>'15'!F36</f>
        <v>4.229166666666667</v>
      </c>
      <c r="G23" s="33">
        <f>'15'!G36</f>
        <v>85.335909090909084</v>
      </c>
      <c r="H23" s="33">
        <f>'15'!H36</f>
        <v>27.056818181818183</v>
      </c>
      <c r="I23" s="33">
        <f>'15'!I36</f>
        <v>1.5345833333333332</v>
      </c>
      <c r="J23" s="33">
        <f>'15'!J36</f>
        <v>0.72708333333333341</v>
      </c>
      <c r="K23" s="33">
        <f>'15'!K36</f>
        <v>262.35541666666666</v>
      </c>
      <c r="L23" s="33">
        <f>'15'!L36</f>
        <v>20.730000000000004</v>
      </c>
      <c r="M23" s="33">
        <f>'15'!M36</f>
        <v>48.76583333333334</v>
      </c>
      <c r="N23" s="33">
        <f>'15'!N36</f>
        <v>133.92083333333332</v>
      </c>
      <c r="O23" s="33">
        <f>'15'!O36</f>
        <v>0</v>
      </c>
      <c r="P23" s="30">
        <f>'15'!P36</f>
        <v>0.90833333333333321</v>
      </c>
      <c r="Q23" s="30">
        <f>'15'!Q36</f>
        <v>10.025833333333335</v>
      </c>
      <c r="R23" s="48"/>
      <c r="S23" s="48"/>
      <c r="T23" s="48"/>
      <c r="U23" s="47"/>
    </row>
    <row r="24" spans="1:21" s="34" customFormat="1" ht="15">
      <c r="A24" s="36" t="str">
        <f>'16'!$B$2</f>
        <v>16-01-2024 01:00</v>
      </c>
      <c r="B24" s="33">
        <f>'16'!B36</f>
        <v>16.313750000000002</v>
      </c>
      <c r="C24" s="33">
        <f>'16'!C36</f>
        <v>66.307500000000005</v>
      </c>
      <c r="D24" s="33">
        <f>'16'!D36</f>
        <v>50.002083333333339</v>
      </c>
      <c r="E24" s="33">
        <f>'16'!E36</f>
        <v>0.29541666666666672</v>
      </c>
      <c r="F24" s="33">
        <f>'16'!F36</f>
        <v>4.6512500000000001</v>
      </c>
      <c r="G24" s="33">
        <f>'16'!G36</f>
        <v>87.087916666666672</v>
      </c>
      <c r="H24" s="33">
        <f>'16'!H36</f>
        <v>43.544583333333343</v>
      </c>
      <c r="I24" s="33">
        <f>'16'!I36</f>
        <v>1.5450000000000006</v>
      </c>
      <c r="J24" s="33">
        <f>'16'!J36</f>
        <v>0.56666666666666654</v>
      </c>
      <c r="K24" s="33">
        <f>'16'!K36</f>
        <v>245.16499999999994</v>
      </c>
      <c r="L24" s="33">
        <f>'16'!L36</f>
        <v>20.408750000000001</v>
      </c>
      <c r="M24" s="33">
        <f>'16'!M36</f>
        <v>54.079166666666659</v>
      </c>
      <c r="N24" s="33">
        <f>'16'!N36</f>
        <v>148.55000000000001</v>
      </c>
      <c r="O24" s="33">
        <f>'16'!O36</f>
        <v>0</v>
      </c>
      <c r="P24" s="30">
        <f>'16'!P36</f>
        <v>0.88750000000000018</v>
      </c>
      <c r="Q24" s="30">
        <f>'16'!Q36</f>
        <v>8.4745833333333334</v>
      </c>
      <c r="R24" s="48"/>
      <c r="S24" s="48"/>
      <c r="T24" s="48"/>
      <c r="U24" s="47"/>
    </row>
    <row r="25" spans="1:21" s="34" customFormat="1" ht="15">
      <c r="A25" s="36" t="str">
        <f>'17'!$B$2</f>
        <v>17-01-2024 01:00</v>
      </c>
      <c r="B25" s="33">
        <f>'17'!B36</f>
        <v>37.744583333333331</v>
      </c>
      <c r="C25" s="33">
        <f>'17'!C36</f>
        <v>68.133333333333326</v>
      </c>
      <c r="D25" s="33">
        <f>'17'!D36</f>
        <v>68.075000000000003</v>
      </c>
      <c r="E25" s="33">
        <f>'17'!E36</f>
        <v>0.29333333333333333</v>
      </c>
      <c r="F25" s="33">
        <f>'17'!F36</f>
        <v>3.6125000000000003</v>
      </c>
      <c r="G25" s="33">
        <f>'17'!G36</f>
        <v>135.90083333333337</v>
      </c>
      <c r="H25" s="33">
        <f>'17'!H36</f>
        <v>53.369583333333345</v>
      </c>
      <c r="I25" s="33">
        <f>'17'!I36</f>
        <v>1.551666666666667</v>
      </c>
      <c r="J25" s="33">
        <f>'17'!J36</f>
        <v>0.35125000000000006</v>
      </c>
      <c r="K25" s="33">
        <f>'17'!K36</f>
        <v>289.60333333333335</v>
      </c>
      <c r="L25" s="33">
        <f>'17'!L36</f>
        <v>20.70291666666667</v>
      </c>
      <c r="M25" s="33">
        <f>'17'!M36</f>
        <v>75.197500000000005</v>
      </c>
      <c r="N25" s="33">
        <f>'17'!N36</f>
        <v>101.3416666666667</v>
      </c>
      <c r="O25" s="33">
        <f>'17'!O36</f>
        <v>0</v>
      </c>
      <c r="P25" s="30">
        <f>'17'!P36</f>
        <v>1.3129166666666665</v>
      </c>
      <c r="Q25" s="30">
        <f>'17'!Q36</f>
        <v>10.369166666666667</v>
      </c>
      <c r="R25" s="48"/>
      <c r="S25" s="48"/>
      <c r="T25" s="48"/>
      <c r="U25" s="47"/>
    </row>
    <row r="26" spans="1:21" s="34" customFormat="1" ht="15">
      <c r="A26" s="36" t="str">
        <f>'18'!$B$2</f>
        <v>18-01-2024 01:00</v>
      </c>
      <c r="B26" s="33">
        <f>'18'!B36</f>
        <v>34.654583333333328</v>
      </c>
      <c r="C26" s="33">
        <f>'18'!C36</f>
        <v>63.531666666666659</v>
      </c>
      <c r="D26" s="33">
        <f>'18'!D36</f>
        <v>63.152916666666663</v>
      </c>
      <c r="E26" s="33">
        <f>'18'!E36</f>
        <v>0.255</v>
      </c>
      <c r="F26" s="33">
        <f>'18'!F36</f>
        <v>3.430000000000001</v>
      </c>
      <c r="G26" s="33">
        <f>'18'!G36</f>
        <v>99.40666666666668</v>
      </c>
      <c r="H26" s="33">
        <f>'18'!H36</f>
        <v>42.50416666666667</v>
      </c>
      <c r="I26" s="33">
        <f>'18'!I36</f>
        <v>1.5441666666666665</v>
      </c>
      <c r="J26" s="33">
        <f>'18'!J36</f>
        <v>0.55750000000000011</v>
      </c>
      <c r="K26" s="33">
        <f>'18'!K36</f>
        <v>276.03291666666672</v>
      </c>
      <c r="L26" s="33">
        <f>'18'!L36</f>
        <v>20.111250000000002</v>
      </c>
      <c r="M26" s="33">
        <f>'18'!M36</f>
        <v>87.510833333333338</v>
      </c>
      <c r="N26" s="33">
        <f>'18'!N36</f>
        <v>91.891666666666666</v>
      </c>
      <c r="O26" s="33">
        <f>'18'!O36</f>
        <v>0</v>
      </c>
      <c r="P26" s="30">
        <f>'18'!P36</f>
        <v>1.1804166666666667</v>
      </c>
      <c r="Q26" s="30">
        <f>'18'!Q36</f>
        <v>10.571666666666665</v>
      </c>
      <c r="R26" s="48"/>
      <c r="S26" s="48"/>
      <c r="T26" s="48"/>
      <c r="U26" s="47"/>
    </row>
    <row r="27" spans="1:21" s="34" customFormat="1" ht="15">
      <c r="A27" s="36" t="str">
        <f>'19'!$B$2</f>
        <v>19-01-2024 01:00</v>
      </c>
      <c r="B27" s="33">
        <f>'19'!B36</f>
        <v>29.763333333333335</v>
      </c>
      <c r="C27" s="33">
        <f>'19'!C36</f>
        <v>64.950000000000003</v>
      </c>
      <c r="D27" s="33">
        <f>'19'!D36</f>
        <v>60.038333333333327</v>
      </c>
      <c r="E27" s="33">
        <f>'19'!E36</f>
        <v>0.32500000000000001</v>
      </c>
      <c r="F27" s="33">
        <f>'19'!F36</f>
        <v>3.4041666666666672</v>
      </c>
      <c r="G27" s="33">
        <f>'19'!G36</f>
        <v>90.399999999999991</v>
      </c>
      <c r="H27" s="33">
        <f>'19'!H36</f>
        <v>41.961250000000014</v>
      </c>
      <c r="I27" s="33">
        <f>'19'!I36</f>
        <v>1.5445833333333334</v>
      </c>
      <c r="J27" s="33">
        <f>'19'!J36</f>
        <v>0.67583333333333329</v>
      </c>
      <c r="K27" s="33">
        <f>'19'!K36</f>
        <v>288.73499999999996</v>
      </c>
      <c r="L27" s="33">
        <f>'19'!L36</f>
        <v>17.561666666666671</v>
      </c>
      <c r="M27" s="33">
        <f>'19'!M36</f>
        <v>86.767499999999984</v>
      </c>
      <c r="N27" s="33">
        <f>'19'!N36</f>
        <v>85.366666666666674</v>
      </c>
      <c r="O27" s="33">
        <f>'19'!O36</f>
        <v>0</v>
      </c>
      <c r="P27" s="30">
        <f>'19'!P36</f>
        <v>0.94708333333333317</v>
      </c>
      <c r="Q27" s="30">
        <f>'19'!Q36</f>
        <v>10.043750000000001</v>
      </c>
      <c r="R27" s="48"/>
      <c r="S27" s="48"/>
      <c r="T27" s="48"/>
      <c r="U27" s="47"/>
    </row>
    <row r="28" spans="1:21" s="34" customFormat="1" ht="15">
      <c r="A28" s="36" t="str">
        <f>'20'!$B$2</f>
        <v>20-01-2024 01:00</v>
      </c>
      <c r="B28" s="33">
        <f>'20'!B36</f>
        <v>37.880000000000003</v>
      </c>
      <c r="C28" s="33">
        <f>'20'!C36</f>
        <v>57.827499999999993</v>
      </c>
      <c r="D28" s="33">
        <f>'20'!D36</f>
        <v>62.491666666666667</v>
      </c>
      <c r="E28" s="33">
        <f>'20'!E36</f>
        <v>0.29291666666666666</v>
      </c>
      <c r="F28" s="33">
        <f>'20'!F36</f>
        <v>3.2466666666666679</v>
      </c>
      <c r="G28" s="33">
        <f>'20'!G36</f>
        <v>109.15916666666665</v>
      </c>
      <c r="H28" s="33">
        <f>'20'!H36</f>
        <v>44.519583333333337</v>
      </c>
      <c r="I28" s="33">
        <f>'20'!I36</f>
        <v>1.5441666666666667</v>
      </c>
      <c r="J28" s="33">
        <f>'20'!J36</f>
        <v>0.81958333333333344</v>
      </c>
      <c r="K28" s="33">
        <f>'20'!K36</f>
        <v>284.23125000000005</v>
      </c>
      <c r="L28" s="33">
        <f>'20'!L36</f>
        <v>17.252499999999998</v>
      </c>
      <c r="M28" s="33">
        <f>'20'!M36</f>
        <v>84.919166666666669</v>
      </c>
      <c r="N28" s="33">
        <f>'20'!N36</f>
        <v>59.195833333333347</v>
      </c>
      <c r="O28" s="33">
        <f>'20'!O36</f>
        <v>0</v>
      </c>
      <c r="P28" s="30">
        <f>'20'!P36</f>
        <v>1.114583333333333</v>
      </c>
      <c r="Q28" s="30">
        <f>'20'!Q36</f>
        <v>10.022083333333333</v>
      </c>
      <c r="R28" s="48"/>
      <c r="S28" s="48"/>
      <c r="T28" s="48"/>
      <c r="U28" s="47"/>
    </row>
    <row r="29" spans="1:21" s="34" customFormat="1" ht="15">
      <c r="A29" s="36" t="str">
        <f>'21'!$B$2</f>
        <v>21-01-2024 01:00</v>
      </c>
      <c r="B29" s="33">
        <f>'21'!B36</f>
        <v>29.681250000000002</v>
      </c>
      <c r="C29" s="33">
        <f>'21'!C36</f>
        <v>56.439583333333331</v>
      </c>
      <c r="D29" s="33">
        <f>'21'!D36</f>
        <v>54.590833333333329</v>
      </c>
      <c r="E29" s="33">
        <f>'21'!E36</f>
        <v>0.27291666666666675</v>
      </c>
      <c r="F29" s="33">
        <f>'21'!F36</f>
        <v>3.3149999999999995</v>
      </c>
      <c r="G29" s="33">
        <f>'21'!G36</f>
        <v>94.416249999999991</v>
      </c>
      <c r="H29" s="33">
        <f>'21'!H36</f>
        <v>42.077083333333341</v>
      </c>
      <c r="I29" s="33">
        <f>'21'!I36</f>
        <v>1.5520833333333333</v>
      </c>
      <c r="J29" s="33">
        <f>'21'!J36</f>
        <v>0.64333333333333331</v>
      </c>
      <c r="K29" s="33">
        <f>'21'!K36</f>
        <v>317.15166666666664</v>
      </c>
      <c r="L29" s="33">
        <f>'21'!L36</f>
        <v>18.15666666666667</v>
      </c>
      <c r="M29" s="33">
        <f>'21'!M36</f>
        <v>91.065833333333316</v>
      </c>
      <c r="N29" s="33">
        <f>'21'!N36</f>
        <v>141.37499999999997</v>
      </c>
      <c r="O29" s="33">
        <f>'21'!O36</f>
        <v>0.17500000000000002</v>
      </c>
      <c r="P29" s="30">
        <f>'21'!P36</f>
        <v>1.017916666666667</v>
      </c>
      <c r="Q29" s="30">
        <f>'21'!Q36</f>
        <v>9.6445833333333351</v>
      </c>
      <c r="R29" s="48"/>
      <c r="S29" s="48"/>
      <c r="T29" s="48"/>
      <c r="U29" s="47"/>
    </row>
    <row r="30" spans="1:21" s="34" customFormat="1" ht="15">
      <c r="A30" s="36" t="str">
        <f>'22'!$B$2</f>
        <v>22-01-2024 01:00</v>
      </c>
      <c r="B30" s="33">
        <f>'22'!B36</f>
        <v>18.755833333333332</v>
      </c>
      <c r="C30" s="33">
        <f>'22'!C36</f>
        <v>54.418333333333329</v>
      </c>
      <c r="D30" s="33">
        <f>'22'!D36</f>
        <v>45.351250000000014</v>
      </c>
      <c r="E30" s="33">
        <f>'22'!E36</f>
        <v>0.16791666666666671</v>
      </c>
      <c r="F30" s="33">
        <f>'22'!F36</f>
        <v>4.2508333333333317</v>
      </c>
      <c r="G30" s="33">
        <f>'22'!G36</f>
        <v>89.164166666666674</v>
      </c>
      <c r="H30" s="33">
        <f>'22'!H36</f>
        <v>44.567916666666669</v>
      </c>
      <c r="I30" s="33">
        <f>'22'!I36</f>
        <v>1.5445833333333336</v>
      </c>
      <c r="J30" s="33">
        <f>'22'!J36</f>
        <v>0.66999999999999993</v>
      </c>
      <c r="K30" s="33">
        <f>'22'!K36</f>
        <v>241.01583333333338</v>
      </c>
      <c r="L30" s="33">
        <f>'22'!L36</f>
        <v>18.110833333333328</v>
      </c>
      <c r="M30" s="33">
        <f>'22'!M36</f>
        <v>75.86333333333333</v>
      </c>
      <c r="N30" s="33">
        <f>'22'!N36</f>
        <v>160.79583333333332</v>
      </c>
      <c r="O30" s="33">
        <f>'22'!O36</f>
        <v>0</v>
      </c>
      <c r="P30" s="30">
        <f>'22'!P36</f>
        <v>0.79749999999999999</v>
      </c>
      <c r="Q30" s="30">
        <f>'22'!Q36</f>
        <v>8.6162500000000026</v>
      </c>
      <c r="R30" s="48"/>
      <c r="S30" s="47"/>
      <c r="T30" s="47"/>
      <c r="U30" s="47"/>
    </row>
    <row r="31" spans="1:21" s="34" customFormat="1" ht="15">
      <c r="A31" s="36" t="str">
        <f>'23'!$B$2</f>
        <v>23-01-2024 01:00</v>
      </c>
      <c r="B31" s="33">
        <f>'23'!B36</f>
        <v>33.460000000000001</v>
      </c>
      <c r="C31" s="33">
        <f>'23'!C36</f>
        <v>51.13416666666668</v>
      </c>
      <c r="D31" s="33">
        <f>'23'!D36</f>
        <v>55.383333333333333</v>
      </c>
      <c r="E31" s="33">
        <f>'23'!E36</f>
        <v>0.22124999999999995</v>
      </c>
      <c r="F31" s="33">
        <f>'23'!F36</f>
        <v>3.242083333333333</v>
      </c>
      <c r="G31" s="33">
        <f>'23'!G36</f>
        <v>71.150416666666658</v>
      </c>
      <c r="H31" s="33">
        <f>'23'!H36</f>
        <v>38.056666666666665</v>
      </c>
      <c r="I31" s="33">
        <f>'23'!I36</f>
        <v>1.5520833333333333</v>
      </c>
      <c r="J31" s="33">
        <f>'23'!J36</f>
        <v>0.8566666666666668</v>
      </c>
      <c r="K31" s="33">
        <f>'23'!K36</f>
        <v>289.53041666666667</v>
      </c>
      <c r="L31" s="33">
        <f>'23'!L36</f>
        <v>16.255833333333335</v>
      </c>
      <c r="M31" s="33">
        <f>'23'!M36</f>
        <v>97.972500000000011</v>
      </c>
      <c r="N31" s="33">
        <f>'23'!N36</f>
        <v>83.908333333333331</v>
      </c>
      <c r="O31" s="33">
        <f>'23'!O36</f>
        <v>0</v>
      </c>
      <c r="P31" s="33">
        <f>'23'!P36</f>
        <v>0.96708333333333341</v>
      </c>
      <c r="Q31" s="33">
        <f>'23'!Q36</f>
        <v>9.5929166666666692</v>
      </c>
      <c r="R31" s="47"/>
      <c r="S31" s="47"/>
      <c r="T31" s="47"/>
      <c r="U31" s="47"/>
    </row>
    <row r="32" spans="1:21" s="34" customFormat="1" ht="15">
      <c r="A32" s="36" t="str">
        <f>'24'!$B$2</f>
        <v>24-01-2024 01:00</v>
      </c>
      <c r="B32" s="33">
        <f>'24'!B36</f>
        <v>55.321249999999999</v>
      </c>
      <c r="C32" s="33">
        <f>'24'!C36</f>
        <v>53.479999999999997</v>
      </c>
      <c r="D32" s="33">
        <f>'24'!D36</f>
        <v>72.229583333333338</v>
      </c>
      <c r="E32" s="33">
        <f>'24'!E36</f>
        <v>0.3612499999999999</v>
      </c>
      <c r="F32" s="33">
        <f>'24'!F36</f>
        <v>3.4454166666666679</v>
      </c>
      <c r="G32" s="33">
        <f>'24'!G36</f>
        <v>97.637826086956551</v>
      </c>
      <c r="H32" s="33">
        <f>'24'!H36</f>
        <v>42.682608695652178</v>
      </c>
      <c r="I32" s="33">
        <f>'24'!I36</f>
        <v>1.5491666666666666</v>
      </c>
      <c r="J32" s="33">
        <f>'24'!J36</f>
        <v>0.66541666666666666</v>
      </c>
      <c r="K32" s="33">
        <f>'24'!K36</f>
        <v>280.60625000000005</v>
      </c>
      <c r="L32" s="33">
        <f>'24'!L36</f>
        <v>16.283333333333335</v>
      </c>
      <c r="M32" s="33">
        <f>'24'!M36</f>
        <v>90.026666666666685</v>
      </c>
      <c r="N32" s="33">
        <f>'24'!N36</f>
        <v>162.78333333333336</v>
      </c>
      <c r="O32" s="33">
        <f>'24'!O36</f>
        <v>0.025000000000000005</v>
      </c>
      <c r="P32" s="33">
        <f>'24'!P36</f>
        <v>1.2254166666666664</v>
      </c>
      <c r="Q32" s="33">
        <f>'24'!Q36</f>
        <v>10.878333333333332</v>
      </c>
      <c r="R32" s="47"/>
      <c r="S32" s="47"/>
      <c r="T32" s="47"/>
      <c r="U32" s="47"/>
    </row>
    <row r="33" spans="1:21" s="34" customFormat="1" ht="15">
      <c r="A33" s="36" t="str">
        <f>'25'!$B$2</f>
        <v>25-01-2024 01:00</v>
      </c>
      <c r="B33" s="33">
        <f>'25'!B36</f>
        <v>51.739166666666655</v>
      </c>
      <c r="C33" s="33">
        <f>'25'!C36</f>
        <v>50.43666666666666</v>
      </c>
      <c r="D33" s="33">
        <f>'25'!D36</f>
        <v>69.239999999999995</v>
      </c>
      <c r="E33" s="33">
        <f>'25'!E36</f>
        <v>0.24041666666666664</v>
      </c>
      <c r="F33" s="33">
        <f>'25'!F36</f>
        <v>3.3766666666666656</v>
      </c>
      <c r="G33" s="33">
        <f>'25'!G36</f>
        <v>81.33874999999999</v>
      </c>
      <c r="H33" s="33">
        <f>'25'!H36</f>
        <v>37.363333333333337</v>
      </c>
      <c r="I33" s="33">
        <f>'25'!I36</f>
        <v>1.5358333333333336</v>
      </c>
      <c r="J33" s="33">
        <f>'25'!J36</f>
        <v>0.76583333333333325</v>
      </c>
      <c r="K33" s="33">
        <f>'25'!K36</f>
        <v>251.91250000000005</v>
      </c>
      <c r="L33" s="33">
        <f>'25'!L36</f>
        <v>16.709166666666661</v>
      </c>
      <c r="M33" s="33">
        <f>'25'!M36</f>
        <v>73.433749999999989</v>
      </c>
      <c r="N33" s="33">
        <f>'25'!N36</f>
        <v>236.47916666666666</v>
      </c>
      <c r="O33" s="33">
        <f>'25'!O36</f>
        <v>0</v>
      </c>
      <c r="P33" s="33">
        <f>'25'!P36</f>
        <v>1.0979166666666667</v>
      </c>
      <c r="Q33" s="33">
        <f>'25'!Q36</f>
        <v>10.557916666666667</v>
      </c>
      <c r="R33" s="47"/>
      <c r="S33" s="47"/>
      <c r="T33" s="47"/>
      <c r="U33" s="47"/>
    </row>
    <row r="34" spans="1:21" s="34" customFormat="1" ht="15">
      <c r="A34" s="36" t="str">
        <f>'26'!$B$2</f>
        <v>26-01-2024 01:00</v>
      </c>
      <c r="B34" s="33">
        <f>'26'!B36</f>
        <v>51.102083333333333</v>
      </c>
      <c r="C34" s="33">
        <f>'26'!C36</f>
        <v>53.267916666666672</v>
      </c>
      <c r="D34" s="33">
        <f>'26'!D36</f>
        <v>70.060833333333349</v>
      </c>
      <c r="E34" s="33">
        <f>'26'!E36</f>
        <v>0.31124999999999997</v>
      </c>
      <c r="F34" s="33">
        <f>'26'!F36</f>
        <v>3.6262500000000002</v>
      </c>
      <c r="G34" s="33">
        <f>'26'!G36</f>
        <v>109.57083333333337</v>
      </c>
      <c r="H34" s="33">
        <f>'26'!H36</f>
        <v>42.127499999999998</v>
      </c>
      <c r="I34" s="33">
        <f>'26'!I36</f>
        <v>1.5333333333333334</v>
      </c>
      <c r="J34" s="33">
        <f>'26'!J36</f>
        <v>0.56375000000000008</v>
      </c>
      <c r="K34" s="33">
        <f>'26'!K36</f>
        <v>269.48458333333332</v>
      </c>
      <c r="L34" s="33">
        <f>'26'!L36</f>
        <v>17.321666666666662</v>
      </c>
      <c r="M34" s="33">
        <f>'26'!M36</f>
        <v>57.854999999999997</v>
      </c>
      <c r="N34" s="33">
        <f>'26'!N36</f>
        <v>292.12916666666666</v>
      </c>
      <c r="O34" s="33">
        <f>'26'!O36</f>
        <v>0</v>
      </c>
      <c r="P34" s="33">
        <f>'26'!P36</f>
        <v>1.0837500000000002</v>
      </c>
      <c r="Q34" s="33">
        <f>'26'!Q36</f>
        <v>10.342499999999999</v>
      </c>
      <c r="R34" s="47"/>
      <c r="S34" s="47"/>
      <c r="T34" s="47"/>
      <c r="U34" s="47"/>
    </row>
    <row r="35" spans="1:21" s="34" customFormat="1" ht="15">
      <c r="A35" s="36" t="str">
        <f>'27'!$B$2</f>
        <v>27-01-2024 01:00</v>
      </c>
      <c r="B35" s="33">
        <f>'27'!B36</f>
        <v>95.355416666666656</v>
      </c>
      <c r="C35" s="33">
        <f>'27'!C36</f>
        <v>62.741666666666667</v>
      </c>
      <c r="D35" s="33">
        <f>'27'!D36</f>
        <v>110.31916666666667</v>
      </c>
      <c r="E35" s="33">
        <f>'27'!E36</f>
        <v>0.48291666666666666</v>
      </c>
      <c r="F35" s="33">
        <f>'27'!F36</f>
        <v>4.4499999999999993</v>
      </c>
      <c r="G35" s="33">
        <f>'27'!G36</f>
        <v>147.0683333333333</v>
      </c>
      <c r="H35" s="33">
        <f>'27'!H36</f>
        <v>56.774999999999999</v>
      </c>
      <c r="I35" s="33">
        <f>'27'!I36</f>
        <v>1.5412499999999998</v>
      </c>
      <c r="J35" s="33">
        <f>'27'!J36</f>
        <v>0.39749999999999996</v>
      </c>
      <c r="K35" s="33">
        <f>'27'!K36</f>
        <v>304.58416666666665</v>
      </c>
      <c r="L35" s="33">
        <f>'27'!L36</f>
        <v>17.519583333333333</v>
      </c>
      <c r="M35" s="33">
        <f>'27'!M36</f>
        <v>67.985416666666666</v>
      </c>
      <c r="N35" s="33">
        <f>'27'!N36</f>
        <v>259.78749999999997</v>
      </c>
      <c r="O35" s="33">
        <f>'27'!O36</f>
        <v>0</v>
      </c>
      <c r="P35" s="30">
        <f>'27'!P36</f>
        <v>1.4970833333333333</v>
      </c>
      <c r="Q35" s="33">
        <f>'27'!Q36</f>
        <v>13.632916666666668</v>
      </c>
      <c r="R35" s="47"/>
      <c r="S35" s="47"/>
      <c r="T35" s="47"/>
      <c r="U35" s="47"/>
    </row>
    <row r="36" spans="1:21" s="34" customFormat="1" ht="15">
      <c r="A36" s="36" t="str">
        <f>'28'!$B$2</f>
        <v>28-01-2024 01:00</v>
      </c>
      <c r="B36" s="33">
        <f>'28'!B36</f>
        <v>77.504999999999995</v>
      </c>
      <c r="C36" s="33">
        <f>'28'!C36</f>
        <v>64.873333333333335</v>
      </c>
      <c r="D36" s="33">
        <f>'28'!D36</f>
        <v>97.891250000000014</v>
      </c>
      <c r="E36" s="33">
        <f>'28'!E36</f>
        <v>0.34250000000000003</v>
      </c>
      <c r="F36" s="33">
        <f>'28'!F36</f>
        <v>3.4908333333333328</v>
      </c>
      <c r="G36" s="33">
        <f>'28'!G36</f>
        <v>118.19416666666667</v>
      </c>
      <c r="H36" s="33">
        <f>'28'!H36</f>
        <v>50.142916666666672</v>
      </c>
      <c r="I36" s="33">
        <f>'28'!I36</f>
        <v>1.5429166666666667</v>
      </c>
      <c r="J36" s="33">
        <f>'28'!J36</f>
        <v>0.37291666666666673</v>
      </c>
      <c r="K36" s="33">
        <f>'28'!K36</f>
        <v>244.27374999999998</v>
      </c>
      <c r="L36" s="33">
        <f>'28'!L36</f>
        <v>18.328333333333333</v>
      </c>
      <c r="M36" s="33">
        <f>'28'!M36</f>
        <v>65.796666666666667</v>
      </c>
      <c r="N36" s="33">
        <f>'28'!N36</f>
        <v>264.12916666666672</v>
      </c>
      <c r="O36" s="33">
        <f>'28'!O36</f>
        <v>0</v>
      </c>
      <c r="P36" s="30">
        <f>'28'!P36</f>
        <v>1.4170833333333335</v>
      </c>
      <c r="Q36" s="33">
        <f>'28'!Q36</f>
        <v>12.746250000000002</v>
      </c>
      <c r="R36" s="47"/>
      <c r="S36" s="47"/>
      <c r="T36" s="47"/>
      <c r="U36" s="47"/>
    </row>
    <row r="37" spans="1:21" s="34" customFormat="1" ht="15">
      <c r="A37" s="36" t="str">
        <f>'29'!$B$2</f>
        <v>29-01-2024 01:00</v>
      </c>
      <c r="B37" s="33">
        <f>'29'!B36</f>
        <v>54.072083333333332</v>
      </c>
      <c r="C37" s="33">
        <f>'29'!C36</f>
        <v>65.412916666666661</v>
      </c>
      <c r="D37" s="33">
        <f>'29'!D36</f>
        <v>78.767499999999998</v>
      </c>
      <c r="E37" s="33">
        <f>'29'!E36</f>
        <v>0.36875000000000008</v>
      </c>
      <c r="F37" s="33">
        <f>'29'!F36</f>
        <v>4.5970833333333347</v>
      </c>
      <c r="G37" s="33">
        <f>'29'!G36</f>
        <v>136.82833333333335</v>
      </c>
      <c r="H37" s="33">
        <f>'29'!H36</f>
        <v>52.442083333333329</v>
      </c>
      <c r="I37" s="33">
        <f>'29'!I36</f>
        <v>1.5524999999999995</v>
      </c>
      <c r="J37" s="33">
        <f>'29'!J36</f>
        <v>0.33124999999999999</v>
      </c>
      <c r="K37" s="33">
        <f>'29'!K36</f>
        <v>307.30416666666667</v>
      </c>
      <c r="L37" s="33">
        <f>'29'!L36</f>
        <v>19.199166666666667</v>
      </c>
      <c r="M37" s="33">
        <f>'29'!M36</f>
        <v>67.859583333333319</v>
      </c>
      <c r="N37" s="33">
        <f>'29'!N36</f>
        <v>240.14999999999998</v>
      </c>
      <c r="O37" s="33">
        <f>'29'!O36</f>
        <v>0</v>
      </c>
      <c r="P37" s="33">
        <f>'29'!P36</f>
        <v>1.2637499999999999</v>
      </c>
      <c r="Q37" s="33">
        <f>'29'!Q36</f>
        <v>10.998750000000001</v>
      </c>
      <c r="R37" s="47"/>
      <c r="S37" s="47"/>
      <c r="T37" s="47"/>
      <c r="U37" s="47"/>
    </row>
    <row r="38" spans="1:21" s="34" customFormat="1" ht="15">
      <c r="A38" s="36" t="str">
        <f>'30'!$B$2</f>
        <v>30-01-2024 01:00</v>
      </c>
      <c r="B38" s="33">
        <f>'30'!B36</f>
        <v>44.027916666666663</v>
      </c>
      <c r="C38" s="33">
        <f>'30'!C36</f>
        <v>65.927916666666661</v>
      </c>
      <c r="D38" s="33">
        <f>'30'!D36</f>
        <v>71.812083333333334</v>
      </c>
      <c r="E38" s="33">
        <f>'30'!E36</f>
        <v>0.30083333333333334</v>
      </c>
      <c r="F38" s="33">
        <f>'30'!F36</f>
        <v>3.8149999999999999</v>
      </c>
      <c r="G38" s="33">
        <f>'30'!G36</f>
        <v>100.1783333333333</v>
      </c>
      <c r="H38" s="33">
        <f>'30'!H36</f>
        <v>41.796666666666674</v>
      </c>
      <c r="I38" s="33">
        <f>'30'!I36</f>
        <v>1.5554166666666662</v>
      </c>
      <c r="J38" s="33">
        <f>'30'!J36</f>
        <v>0.25416666666666671</v>
      </c>
      <c r="K38" s="33">
        <f>'30'!K36</f>
        <v>317.26749999999998</v>
      </c>
      <c r="L38" s="33">
        <f>'30'!L36</f>
        <v>20.834999999999997</v>
      </c>
      <c r="M38" s="33">
        <f>'30'!M36</f>
        <v>66.373333333333349</v>
      </c>
      <c r="N38" s="33">
        <f>'30'!N36</f>
        <v>242.02499999999995</v>
      </c>
      <c r="O38" s="33">
        <f>'30'!O36</f>
        <v>0</v>
      </c>
      <c r="P38" s="33">
        <f>'30'!P36</f>
        <v>1.0858333333333332</v>
      </c>
      <c r="Q38" s="33">
        <f>'30'!Q36</f>
        <v>10.49</v>
      </c>
      <c r="R38" s="47"/>
      <c r="S38" s="47"/>
      <c r="T38" s="47"/>
      <c r="U38" s="47"/>
    </row>
    <row r="39" spans="1:21" s="34" customFormat="1" ht="15">
      <c r="A39" s="36" t="str">
        <f>'31'!$B$2</f>
        <v>31-01-2024 01:00</v>
      </c>
      <c r="B39" s="33">
        <f>'31'!B37</f>
        <v>22.327441680424425</v>
      </c>
      <c r="C39" s="33">
        <f>'31'!C37</f>
        <v>12.45187337485731</v>
      </c>
      <c r="D39" s="33">
        <f>'31'!D37</f>
        <v>15.5225364915157</v>
      </c>
      <c r="E39" s="33">
        <f>'31'!E37</f>
        <v>0.071656133368158792</v>
      </c>
      <c r="F39" s="33">
        <f>'31'!F37</f>
        <v>2.2291975143470375</v>
      </c>
      <c r="G39" s="33">
        <f>'31'!G37</f>
        <v>35.029809849322888</v>
      </c>
      <c r="H39" s="33">
        <f>'31'!H37</f>
        <v>5.5980806590487271</v>
      </c>
      <c r="I39" s="33">
        <f>'31'!I37</f>
        <v>0.032210246816812838</v>
      </c>
      <c r="J39" s="33">
        <f>'31'!J37</f>
        <v>0.26024758278959315</v>
      </c>
      <c r="K39" s="33">
        <f>'31'!K37</f>
        <v>78.524077059712752</v>
      </c>
      <c r="L39" s="33">
        <f>'31'!L37</f>
        <v>4.7211236495661524</v>
      </c>
      <c r="M39" s="33">
        <f>'31'!M37</f>
        <v>22.452733396103934</v>
      </c>
      <c r="N39" s="33">
        <f>'31'!N37</f>
        <v>216.23474361865649</v>
      </c>
      <c r="O39" s="33">
        <f>'31'!O37</f>
        <v>0</v>
      </c>
      <c r="P39" s="33">
        <f>'31'!P37</f>
        <v>0.1484680222242771</v>
      </c>
      <c r="Q39" s="33">
        <f>'31'!Q37</f>
        <v>1.7820005347353602</v>
      </c>
      <c r="R39" s="47"/>
      <c r="S39" s="47"/>
      <c r="T39" s="47"/>
      <c r="U39" s="47"/>
    </row>
    <row r="40" spans="2:21" ht="1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49"/>
    </row>
    <row r="41" spans="1:21" s="21" customFormat="1" ht="15">
      <c r="A41" s="14" t="s">
        <v>30</v>
      </c>
      <c r="B41" s="15">
        <f t="shared" si="0" ref="B41:Q41">MIN(B9:B38)</f>
        <v>16.209999999999997</v>
      </c>
      <c r="C41" s="15">
        <f t="shared" si="0"/>
        <v>50.43666666666666</v>
      </c>
      <c r="D41" s="15">
        <f t="shared" si="0"/>
        <v>45.351250000000014</v>
      </c>
      <c r="E41" s="15">
        <f t="shared" si="0"/>
        <v>0.16791666666666671</v>
      </c>
      <c r="F41" s="15">
        <f t="shared" si="0"/>
        <v>3.242083333333333</v>
      </c>
      <c r="G41" s="15">
        <f t="shared" si="0"/>
        <v>71.150416666666658</v>
      </c>
      <c r="H41" s="15">
        <f t="shared" si="0"/>
        <v>27.056818181818183</v>
      </c>
      <c r="I41" s="15">
        <f t="shared" si="0"/>
        <v>1.5333333333333334</v>
      </c>
      <c r="J41" s="15">
        <f t="shared" si="0"/>
        <v>0.25416666666666671</v>
      </c>
      <c r="K41" s="15">
        <f t="shared" si="0"/>
        <v>219.38</v>
      </c>
      <c r="L41" s="15">
        <f t="shared" si="0"/>
        <v>16.255833333333335</v>
      </c>
      <c r="M41" s="15">
        <f t="shared" si="0"/>
        <v>48.76583333333334</v>
      </c>
      <c r="N41" s="15">
        <f t="shared" si="0"/>
        <v>59.195833333333347</v>
      </c>
      <c r="O41" s="15">
        <f t="shared" si="0"/>
        <v>0</v>
      </c>
      <c r="P41" s="15">
        <f t="shared" si="0"/>
        <v>0.75458333333333327</v>
      </c>
      <c r="Q41" s="15">
        <f t="shared" si="0"/>
        <v>6.9408333333333312</v>
      </c>
      <c r="R41" s="28"/>
      <c r="S41" s="28"/>
      <c r="T41" s="28"/>
      <c r="U41" s="28"/>
    </row>
    <row r="42" spans="1:21" s="21" customFormat="1" ht="15">
      <c r="A42" s="14" t="s">
        <v>31</v>
      </c>
      <c r="B42" s="15">
        <f t="shared" si="1" ref="B42:Q42">MAX(B9:B38)</f>
        <v>95.355416666666656</v>
      </c>
      <c r="C42" s="15">
        <f t="shared" si="1"/>
        <v>87.335833333333326</v>
      </c>
      <c r="D42" s="15">
        <f t="shared" si="1"/>
        <v>110.31916666666667</v>
      </c>
      <c r="E42" s="15">
        <f t="shared" si="1"/>
        <v>0.62434782608695649</v>
      </c>
      <c r="F42" s="15">
        <f t="shared" si="1"/>
        <v>4.7687499999999989</v>
      </c>
      <c r="G42" s="15">
        <f t="shared" si="1"/>
        <v>147.0683333333333</v>
      </c>
      <c r="H42" s="15">
        <f t="shared" si="1"/>
        <v>71.518750000000011</v>
      </c>
      <c r="I42" s="15">
        <f t="shared" si="1"/>
        <v>1.5587500000000005</v>
      </c>
      <c r="J42" s="15">
        <f t="shared" si="1"/>
        <v>0.87208333333333332</v>
      </c>
      <c r="K42" s="15">
        <f t="shared" si="1"/>
        <v>331.41124999999994</v>
      </c>
      <c r="L42" s="15">
        <f t="shared" si="1"/>
        <v>21.977083333333329</v>
      </c>
      <c r="M42" s="15">
        <f t="shared" si="1"/>
        <v>97.972500000000011</v>
      </c>
      <c r="N42" s="15">
        <f t="shared" si="1"/>
        <v>292.12916666666666</v>
      </c>
      <c r="O42" s="15">
        <f t="shared" si="1"/>
        <v>0.17500000000000002</v>
      </c>
      <c r="P42" s="15">
        <f t="shared" si="1"/>
        <v>1.9183333333333341</v>
      </c>
      <c r="Q42" s="15">
        <f t="shared" si="1"/>
        <v>13.632916666666668</v>
      </c>
      <c r="R42" s="28"/>
      <c r="S42" s="28"/>
      <c r="T42" s="28"/>
      <c r="U42" s="28"/>
    </row>
    <row r="43" spans="1:21" s="21" customFormat="1" ht="15">
      <c r="A43" s="14" t="s">
        <v>32</v>
      </c>
      <c r="B43" s="15">
        <f t="shared" si="2" ref="B43:Q43">AVERAGE(B9:B38)</f>
        <v>39.546561868686872</v>
      </c>
      <c r="C43" s="15">
        <f t="shared" si="2"/>
        <v>63.906550505050511</v>
      </c>
      <c r="D43" s="15">
        <f t="shared" si="2"/>
        <v>66.652128787878794</v>
      </c>
      <c r="E43" s="15">
        <f t="shared" si="2"/>
        <v>0.28615535792709706</v>
      </c>
      <c r="F43" s="15">
        <f t="shared" si="2"/>
        <v>3.8054788647342992</v>
      </c>
      <c r="G43" s="15">
        <f t="shared" si="2"/>
        <v>105.10446212121209</v>
      </c>
      <c r="H43" s="15">
        <f t="shared" si="2"/>
        <v>45.382550907627</v>
      </c>
      <c r="I43" s="15">
        <f t="shared" si="2"/>
        <v>1.5444619565217395</v>
      </c>
      <c r="J43" s="15">
        <f t="shared" si="2"/>
        <v>0.55668840579710144</v>
      </c>
      <c r="K43" s="15">
        <f t="shared" si="2"/>
        <v>274.91934541062801</v>
      </c>
      <c r="L43" s="15">
        <f t="shared" si="2"/>
        <v>19.333385869565223</v>
      </c>
      <c r="M43" s="15">
        <f t="shared" si="2"/>
        <v>72.502907004830902</v>
      </c>
      <c r="N43" s="15">
        <f t="shared" si="2"/>
        <v>157.8911084570382</v>
      </c>
      <c r="O43" s="15">
        <f t="shared" si="2"/>
        <v>0.0066666666666666671</v>
      </c>
      <c r="P43" s="15">
        <f t="shared" si="2"/>
        <v>1.1454949494949496</v>
      </c>
      <c r="Q43" s="15">
        <f t="shared" si="2"/>
        <v>9.9389987373737387</v>
      </c>
      <c r="R43" s="28"/>
      <c r="S43" s="28"/>
      <c r="T43" s="28"/>
      <c r="U43" s="28"/>
    </row>
    <row r="44" spans="1:21" s="21" customFormat="1" ht="15">
      <c r="A44" s="14" t="s">
        <v>38</v>
      </c>
      <c r="B44" s="15">
        <f t="shared" si="3" ref="B44:Q44">STDEV(B9:B38)</f>
        <v>18.462980205614151</v>
      </c>
      <c r="C44" s="15">
        <f t="shared" si="3"/>
        <v>8.4516427517705921</v>
      </c>
      <c r="D44" s="15">
        <f t="shared" si="3"/>
        <v>14.30442244126071</v>
      </c>
      <c r="E44" s="15">
        <f t="shared" si="3"/>
        <v>0.090754778748150369</v>
      </c>
      <c r="F44" s="15">
        <f t="shared" si="3"/>
        <v>0.46580378486155999</v>
      </c>
      <c r="G44" s="15">
        <f t="shared" si="3"/>
        <v>19.153988383365508</v>
      </c>
      <c r="H44" s="15">
        <f t="shared" si="3"/>
        <v>10.549752376268414</v>
      </c>
      <c r="I44" s="15">
        <f t="shared" si="3"/>
        <v>0.006239892982350748</v>
      </c>
      <c r="J44" s="15">
        <f t="shared" si="3"/>
        <v>0.16171137433090058</v>
      </c>
      <c r="K44" s="15">
        <f t="shared" si="3"/>
        <v>30.700818383396463</v>
      </c>
      <c r="L44" s="15">
        <f t="shared" si="3"/>
        <v>1.706877263861639</v>
      </c>
      <c r="M44" s="15">
        <f t="shared" si="3"/>
        <v>11.104619035259152</v>
      </c>
      <c r="N44" s="15">
        <f t="shared" si="3"/>
        <v>58.394669111436706</v>
      </c>
      <c r="O44" s="15">
        <f t="shared" si="3"/>
        <v>0.032118673624580124</v>
      </c>
      <c r="P44" s="15">
        <f t="shared" si="3"/>
        <v>0.23126404356199237</v>
      </c>
      <c r="Q44" s="15">
        <f t="shared" si="3"/>
        <v>1.4910509915170997</v>
      </c>
      <c r="R44" s="28"/>
      <c r="S44" s="28"/>
      <c r="T44" s="28"/>
      <c r="U44" s="28"/>
    </row>
    <row r="45" spans="1:21" s="21" customFormat="1" ht="15">
      <c r="A45" s="14" t="s">
        <v>33</v>
      </c>
      <c r="B45" s="12">
        <f>COUNT(B9:B39)</f>
        <v>31</v>
      </c>
      <c r="C45" s="12">
        <f t="shared" si="4" ref="C45:Q45">COUNT(C9:C39)</f>
        <v>31</v>
      </c>
      <c r="D45" s="12">
        <f t="shared" si="4"/>
        <v>31</v>
      </c>
      <c r="E45" s="12">
        <f t="shared" si="4"/>
        <v>31</v>
      </c>
      <c r="F45" s="12">
        <f t="shared" si="4"/>
        <v>31</v>
      </c>
      <c r="G45" s="12">
        <f t="shared" si="4"/>
        <v>31</v>
      </c>
      <c r="H45" s="12">
        <f t="shared" si="4"/>
        <v>31</v>
      </c>
      <c r="I45" s="12">
        <f t="shared" si="4"/>
        <v>31</v>
      </c>
      <c r="J45" s="12">
        <f t="shared" si="4"/>
        <v>31</v>
      </c>
      <c r="K45" s="12">
        <f t="shared" si="4"/>
        <v>31</v>
      </c>
      <c r="L45" s="12">
        <f t="shared" si="4"/>
        <v>31</v>
      </c>
      <c r="M45" s="12">
        <f t="shared" si="4"/>
        <v>31</v>
      </c>
      <c r="N45" s="12">
        <f t="shared" si="4"/>
        <v>31</v>
      </c>
      <c r="O45" s="12">
        <f t="shared" si="4"/>
        <v>31</v>
      </c>
      <c r="P45" s="12">
        <f t="shared" si="4"/>
        <v>31</v>
      </c>
      <c r="Q45" s="12">
        <f t="shared" si="4"/>
        <v>31</v>
      </c>
      <c r="R45" s="29"/>
      <c r="S45" s="29"/>
      <c r="T45" s="29"/>
      <c r="U45" s="29"/>
    </row>
    <row r="46" spans="1:21" s="21" customFormat="1" ht="15">
      <c r="A46" s="14" t="s">
        <v>34</v>
      </c>
      <c r="B46" s="12" t="str">
        <f>IF(B45&gt;=28,"&gt;90%",IF(B45&lt;=28,"&lt;90%"))</f>
        <v>&gt;90%</v>
      </c>
      <c r="C46" s="12" t="str">
        <f t="shared" si="5" ref="C46:Q46">IF(C45&gt;=28,"&gt;90%",IF(C45&lt;=28,"&lt;90%"))</f>
        <v>&gt;90%</v>
      </c>
      <c r="D46" s="12" t="str">
        <f t="shared" si="5"/>
        <v>&gt;90%</v>
      </c>
      <c r="E46" s="12" t="str">
        <f t="shared" si="5"/>
        <v>&gt;90%</v>
      </c>
      <c r="F46" s="12" t="str">
        <f t="shared" si="5"/>
        <v>&gt;90%</v>
      </c>
      <c r="G46" s="12" t="str">
        <f t="shared" si="5"/>
        <v>&gt;90%</v>
      </c>
      <c r="H46" s="12" t="str">
        <f t="shared" si="5"/>
        <v>&gt;90%</v>
      </c>
      <c r="I46" s="12" t="str">
        <f t="shared" si="5"/>
        <v>&gt;90%</v>
      </c>
      <c r="J46" s="12" t="str">
        <f t="shared" si="5"/>
        <v>&gt;90%</v>
      </c>
      <c r="K46" s="12" t="str">
        <f t="shared" si="5"/>
        <v>&gt;90%</v>
      </c>
      <c r="L46" s="12" t="str">
        <f t="shared" si="5"/>
        <v>&gt;90%</v>
      </c>
      <c r="M46" s="12" t="str">
        <f t="shared" si="5"/>
        <v>&gt;90%</v>
      </c>
      <c r="N46" s="12" t="str">
        <f t="shared" si="5"/>
        <v>&gt;90%</v>
      </c>
      <c r="O46" s="12" t="str">
        <f t="shared" si="5"/>
        <v>&gt;90%</v>
      </c>
      <c r="P46" s="12" t="str">
        <f t="shared" si="5"/>
        <v>&gt;90%</v>
      </c>
      <c r="Q46" s="12" t="str">
        <f t="shared" si="5"/>
        <v>&gt;90%</v>
      </c>
      <c r="R46" s="29"/>
      <c r="S46" s="29"/>
      <c r="T46" s="29"/>
      <c r="U46" s="29"/>
    </row>
    <row r="47" spans="1:21" s="21" customFormat="1" ht="15">
      <c r="A47" s="14" t="s">
        <v>1</v>
      </c>
      <c r="B47" s="12" t="str">
        <f>IF(B45&gt;=28,"OK",IF(B45&lt;=28,"LESS"))</f>
        <v>OK</v>
      </c>
      <c r="C47" s="12" t="str">
        <f t="shared" si="6" ref="C47:Q47">IF(C45&gt;=28,"OK",IF(C45&lt;=28,"LESS"))</f>
        <v>OK</v>
      </c>
      <c r="D47" s="12" t="str">
        <f t="shared" si="6"/>
        <v>OK</v>
      </c>
      <c r="E47" s="12" t="str">
        <f t="shared" si="6"/>
        <v>OK</v>
      </c>
      <c r="F47" s="12" t="str">
        <f t="shared" si="6"/>
        <v>OK</v>
      </c>
      <c r="G47" s="12" t="str">
        <f t="shared" si="6"/>
        <v>OK</v>
      </c>
      <c r="H47" s="12" t="str">
        <f t="shared" si="6"/>
        <v>OK</v>
      </c>
      <c r="I47" s="12" t="str">
        <f t="shared" si="6"/>
        <v>OK</v>
      </c>
      <c r="J47" s="12" t="str">
        <f t="shared" si="6"/>
        <v>OK</v>
      </c>
      <c r="K47" s="12" t="str">
        <f t="shared" si="6"/>
        <v>OK</v>
      </c>
      <c r="L47" s="12" t="str">
        <f t="shared" si="6"/>
        <v>OK</v>
      </c>
      <c r="M47" s="12" t="str">
        <f t="shared" si="6"/>
        <v>OK</v>
      </c>
      <c r="N47" s="12" t="str">
        <f t="shared" si="6"/>
        <v>OK</v>
      </c>
      <c r="O47" s="12" t="str">
        <f t="shared" si="6"/>
        <v>OK</v>
      </c>
      <c r="P47" s="12" t="str">
        <f t="shared" si="6"/>
        <v>OK</v>
      </c>
      <c r="Q47" s="12" t="str">
        <f t="shared" si="6"/>
        <v>OK</v>
      </c>
      <c r="R47" s="29"/>
      <c r="S47" s="29"/>
      <c r="T47" s="29"/>
      <c r="U47" s="29"/>
    </row>
    <row r="48" spans="2:20" ht="1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ht="15">
      <c r="A50" s="14" t="s">
        <v>35</v>
      </c>
      <c r="B50" s="40" t="s">
        <v>60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>
      <c r="A52" s="17" t="s">
        <v>36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sheetProtection/>
  <mergeCells count="1">
    <mergeCell ref="B52:P52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2024-08-28T13:23:05Z</dcterms:modified>
  <cp:category/>
</cp:coreProperties>
</file>