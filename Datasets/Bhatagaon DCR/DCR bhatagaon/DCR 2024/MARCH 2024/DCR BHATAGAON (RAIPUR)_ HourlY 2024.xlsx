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2" r:id="rId33"/>
    <sheet name="MONTHLY 31" sheetId="39" r:id="rId34"/>
  </sheets>
  <definedNames/>
  <calcPr calcId="144525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<sst xmlns="http://schemas.openxmlformats.org/spreadsheetml/2006/main" count="3136" uniqueCount="806">
  <si>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</si>
  <si>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</si>
  <si>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</si>
  <si>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</si>
  <si>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</si>
  <si>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</si>
  <si>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</si>
  <si>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</si>
  <si>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</si>
  <si>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</si>
  <si>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</si>
  <si>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</si>
  <si>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</si>
  <si>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</si>
  <si>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</si>
  <si>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</si>
  <si>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</si>
  <si>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</si>
  <si>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</si>
  <si>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</si>
  <si>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</si>
  <si>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</si>
  <si>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</si>
  <si>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</si>
  <si>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</si>
  <si>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</si>
  <si>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</si>
  <si>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</si>
  <si>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</si>
  <si>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</si>
  <si>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</si>
  <si>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</si>
  <si>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</si>
  <si>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</si>
  <si>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</si>
  <si>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</si>
  <si>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</si>
  <si>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</si>
  <si>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</si>
  <si>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</si>
  <si>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</si>
  <si>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</si>
  <si>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</si>
  <si>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</si>
  <si>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</si>
  <si>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</si>
  <si>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</si>
  <si>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</si>
  <si>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</si>
  <si>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</si>
  <si>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</si>
  <si>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</si>
  <si>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</si>
  <si>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</si>
  <si>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</si>
  <si>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</si>
  <si>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</si>
  <si>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</si>
  <si>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</si>
  <si>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</si>
  <si>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</si>
  <si>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</si>
  <si>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</si>
  <si>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</si>
  <si>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</si>
  <si>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</si>
  <si>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</si>
  <si>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</si>
  <si>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</si>
  <si>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</si>
  <si>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</si>
  <si>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</si>
  <si>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</si>
  <si>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</si>
  <si>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</si>
  <si>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</si>
  <si>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</si>
  <si>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</si>
  <si>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</si>
  <si>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</si>
  <si>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</si>
  <si>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</si>
  <si>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</si>
  <si>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</si>
  <si>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</si>
  <si>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01-03-2024 24:00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</si>
  <si>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</si>
  <si>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</si>
  <si>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</si>
  <si>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</si>
  <si>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</si>
  <si>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</si>
  <si>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</si>
  <si>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</si>
  <si>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</si>
  <si>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</si>
  <si>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</si>
  <si>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</si>
  <si>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</si>
  <si>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</si>
  <si>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</si>
  <si>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</si>
  <si>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</si>
  <si>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</si>
  <si>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</si>
  <si>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</si>
  <si>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</si>
  <si>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</si>
  <si>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</si>
  <si>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02-03-2024 24:00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</si>
  <si>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</si>
  <si>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</si>
  <si>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</si>
  <si>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</si>
  <si>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</si>
  <si>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</si>
  <si>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</si>
  <si>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</si>
  <si>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</si>
  <si>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</si>
  <si>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</si>
  <si>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</si>
  <si>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</si>
  <si>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</si>
  <si>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</si>
  <si>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</si>
  <si>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</si>
  <si>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</si>
  <si>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</si>
  <si>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</si>
  <si>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</si>
  <si>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</si>
  <si>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</si>
  <si>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03-03-2024 24:00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</si>
  <si>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</si>
  <si>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</si>
  <si>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</si>
  <si>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</si>
  <si>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</si>
  <si>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</si>
  <si>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</si>
  <si>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</si>
  <si>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</si>
  <si>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</si>
  <si>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</si>
  <si>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</si>
  <si>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</si>
  <si>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</si>
  <si>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</si>
  <si>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</si>
  <si>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</si>
  <si>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</si>
  <si>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</si>
  <si>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</si>
  <si>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</si>
  <si>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</si>
  <si>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</si>
  <si>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04-03-2024 24:00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</si>
  <si>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</si>
  <si>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</si>
  <si>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</si>
  <si>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</si>
  <si>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</si>
  <si>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</si>
  <si>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</si>
  <si>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</si>
  <si>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</si>
  <si>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</si>
  <si>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</si>
  <si>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</si>
  <si>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</si>
  <si>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</si>
  <si>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</si>
  <si>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</si>
  <si>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</si>
  <si>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</si>
  <si>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</si>
  <si>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</si>
  <si>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</si>
  <si>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</si>
  <si>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</si>
  <si>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05-03-2024 24:00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</si>
  <si>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</si>
  <si>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</si>
  <si>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</si>
  <si>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</si>
  <si>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</si>
  <si>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</si>
  <si>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</si>
  <si>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</si>
  <si>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</si>
  <si>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</si>
  <si>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</si>
  <si>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</si>
  <si>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</si>
  <si>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</si>
  <si>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</si>
  <si>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</si>
  <si>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</si>
  <si>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</si>
  <si>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</si>
  <si>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</si>
  <si>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</si>
  <si>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</si>
  <si>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</si>
  <si>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06-03-2024 24:00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</si>
  <si>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</si>
  <si>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</si>
  <si>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</si>
  <si>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</si>
  <si>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</si>
  <si>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</si>
  <si>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</si>
  <si>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</si>
  <si>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</si>
  <si>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</si>
  <si>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</si>
  <si>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</si>
  <si>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</si>
  <si>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</si>
  <si>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</si>
  <si>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</si>
  <si>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</si>
  <si>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</si>
  <si>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</si>
  <si>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</si>
  <si>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</si>
  <si>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</si>
  <si>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</si>
  <si>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07-03-2024 24:00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</si>
  <si>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</si>
  <si>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</si>
  <si>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</si>
  <si>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</si>
  <si>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</si>
  <si>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</si>
  <si>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</si>
  <si>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</si>
  <si>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</si>
  <si>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</si>
  <si>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</si>
  <si>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</si>
  <si>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</si>
  <si>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</si>
  <si>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</si>
  <si>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</si>
  <si>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</si>
  <si>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</si>
  <si>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</si>
  <si>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</si>
  <si>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</si>
  <si>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</si>
  <si>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</si>
  <si>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08-03-2024 24:00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</si>
  <si>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</si>
  <si>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</si>
  <si>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</si>
  <si>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</si>
  <si>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</si>
  <si>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</si>
  <si>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</si>
  <si>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</si>
  <si>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</si>
  <si>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</si>
  <si>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</si>
  <si>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</si>
  <si>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</si>
  <si>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</si>
  <si>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</si>
  <si>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</si>
  <si>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</si>
  <si>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</si>
  <si>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</si>
  <si>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</si>
  <si>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</si>
  <si>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</si>
  <si>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</si>
  <si>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09-03-2024 24:00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</si>
  <si>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</si>
  <si>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</si>
  <si>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</si>
  <si>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</si>
  <si>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</si>
  <si>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</si>
  <si>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</si>
  <si>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</si>
  <si>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</si>
  <si>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</si>
  <si>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</si>
  <si>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</si>
  <si>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</si>
  <si>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</si>
  <si>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</si>
  <si>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</si>
  <si>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</si>
  <si>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</si>
  <si>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</si>
  <si>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</si>
  <si>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</si>
  <si>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</si>
  <si>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</si>
  <si>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10-03-2024 24:00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</si>
  <si>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</si>
  <si>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</si>
  <si>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</si>
  <si>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</si>
  <si>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</si>
  <si>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</si>
  <si>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</si>
  <si>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</si>
  <si>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</si>
  <si>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</si>
  <si>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</si>
  <si>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</si>
  <si>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</si>
  <si>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</si>
  <si>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</si>
  <si>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</si>
  <si>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</si>
  <si>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</si>
  <si>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</si>
  <si>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</si>
  <si>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</si>
  <si>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</si>
  <si>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</si>
  <si>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11-03-2024 24:00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</si>
  <si>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</si>
  <si>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</si>
  <si>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</si>
  <si>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</si>
  <si>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</si>
  <si>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</si>
  <si>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</si>
  <si>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</si>
  <si>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</si>
  <si>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</si>
  <si>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</si>
  <si>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</si>
  <si>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</si>
  <si>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</si>
  <si>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</si>
  <si>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</si>
  <si>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</si>
  <si>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</si>
  <si>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</si>
  <si>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</si>
  <si>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</si>
  <si>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</si>
  <si>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</si>
  <si>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12-03-2024 24:00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</si>
  <si>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</si>
  <si>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</si>
  <si>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</si>
  <si>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</si>
  <si>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</si>
  <si>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</si>
  <si>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</si>
  <si>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</si>
  <si>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</si>
  <si>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</si>
  <si>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</si>
  <si>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</si>
  <si>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</si>
  <si>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</si>
  <si>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</si>
  <si>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</si>
  <si>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</si>
  <si>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</si>
  <si>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</si>
  <si>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</si>
  <si>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</si>
  <si>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</si>
  <si>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</si>
  <si>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13-03-2024 24:00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</si>
  <si>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</si>
  <si>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</si>
  <si>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</si>
  <si>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</si>
  <si>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</si>
  <si>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</si>
  <si>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</si>
  <si>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</si>
  <si>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</si>
  <si>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</si>
  <si>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</si>
  <si>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</si>
  <si>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</si>
  <si>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</si>
  <si>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</si>
  <si>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</si>
  <si>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</si>
  <si>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</si>
  <si>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</si>
  <si>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</si>
  <si>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</si>
  <si>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</si>
  <si>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</si>
  <si>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14-03-2024 24:00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</si>
  <si>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</si>
  <si>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</si>
  <si>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</si>
  <si>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</si>
  <si>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</si>
  <si>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</si>
  <si>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</si>
  <si>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</si>
  <si>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</si>
  <si>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</si>
  <si>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</si>
  <si>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</si>
  <si>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</si>
  <si>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</si>
  <si>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</si>
  <si>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</si>
  <si>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</si>
  <si>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</si>
  <si>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</si>
  <si>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</si>
  <si>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</si>
  <si>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</si>
  <si>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</si>
  <si>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15-03-2024 24:00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</si>
  <si>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</si>
  <si>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</si>
  <si>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</si>
  <si>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</si>
  <si>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</si>
  <si>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</si>
  <si>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</si>
  <si>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</si>
  <si>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</si>
  <si>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</si>
  <si>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</si>
  <si>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</si>
  <si>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</si>
  <si>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</si>
  <si>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</si>
  <si>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</si>
  <si>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</si>
  <si>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</si>
  <si>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</si>
  <si>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</si>
  <si>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</si>
  <si>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</si>
  <si>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</si>
  <si>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16-03-2024 24:00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</si>
  <si>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</si>
  <si>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</si>
  <si>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</si>
  <si>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</si>
  <si>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</si>
  <si>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</si>
  <si>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</si>
  <si>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</si>
  <si>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</si>
  <si>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</si>
  <si>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</si>
  <si>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</si>
  <si>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</si>
  <si>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</si>
  <si>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</si>
  <si>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</si>
  <si>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</si>
  <si>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</si>
  <si>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</si>
  <si>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</si>
  <si>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</si>
  <si>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</si>
  <si>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</si>
  <si>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17-03-2024 24:00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</si>
  <si>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</si>
  <si>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</si>
  <si>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</si>
  <si>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</si>
  <si>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</si>
  <si>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</si>
  <si>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</si>
  <si>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</si>
  <si>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</si>
  <si>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</si>
  <si>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</si>
  <si>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</si>
  <si>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</si>
  <si>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</si>
  <si>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</si>
  <si>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</si>
  <si>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</si>
  <si>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</si>
  <si>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</si>
  <si>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</si>
  <si>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</si>
  <si>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</si>
  <si>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</si>
  <si>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18-03-2024 24:00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</si>
  <si>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</si>
  <si>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</si>
  <si>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</si>
  <si>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</si>
  <si>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</si>
  <si>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</si>
  <si>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</si>
  <si>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</si>
  <si>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</si>
  <si>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</si>
  <si>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</si>
  <si>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</si>
  <si>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</si>
  <si>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</si>
  <si>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</si>
  <si>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</si>
  <si>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</si>
  <si>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</si>
  <si>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</si>
  <si>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</si>
  <si>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</si>
  <si>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</si>
  <si>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</si>
  <si>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19-03-2024 24:00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</si>
  <si>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</si>
  <si>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</si>
  <si>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</si>
  <si>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</si>
  <si>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</si>
  <si>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</si>
  <si>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</si>
  <si>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</si>
  <si>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</si>
  <si>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</si>
  <si>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</si>
  <si>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</si>
  <si>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</si>
  <si>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</si>
  <si>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</si>
  <si>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</si>
  <si>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</si>
  <si>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</si>
  <si>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</si>
  <si>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</si>
  <si>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</si>
  <si>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</si>
  <si>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</si>
  <si>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20-03-2024 24:00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</si>
  <si>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</si>
  <si>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</si>
  <si>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</si>
  <si>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</si>
  <si>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</si>
  <si>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</si>
  <si>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</si>
  <si>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</si>
  <si>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</si>
  <si>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</si>
  <si>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</si>
  <si>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</si>
  <si>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</si>
  <si>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</si>
  <si>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</si>
  <si>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</si>
  <si>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</si>
  <si>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</si>
  <si>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</si>
  <si>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</si>
  <si>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</si>
  <si>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</si>
  <si>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</si>
  <si>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21-03-2024 24:00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</si>
  <si>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</si>
  <si>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</si>
  <si>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</si>
  <si>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</si>
  <si>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</si>
  <si>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</si>
  <si>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</si>
  <si>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</si>
  <si>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</si>
  <si>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</si>
  <si>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</si>
  <si>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</si>
  <si>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</si>
  <si>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</si>
  <si>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</si>
  <si>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</si>
  <si>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</si>
  <si>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</si>
  <si>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</si>
  <si>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</si>
  <si>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</si>
  <si>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</si>
  <si>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</si>
  <si>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22-03-2024 24:00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</si>
  <si>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</si>
  <si>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</si>
  <si>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</si>
  <si>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</si>
  <si>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</si>
  <si>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</si>
  <si>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</si>
  <si>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</si>
  <si>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</si>
  <si>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</si>
  <si>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</si>
  <si>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</si>
  <si>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</si>
  <si>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</si>
  <si>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</si>
  <si>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</si>
  <si>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</si>
  <si>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</si>
  <si>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</si>
  <si>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</si>
  <si>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</si>
  <si>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</si>
  <si>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</si>
  <si>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23-03-2024 24:00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</si>
  <si>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</si>
  <si>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</si>
  <si>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</si>
  <si>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</si>
  <si>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</si>
  <si>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</si>
  <si>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</si>
  <si>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</si>
  <si>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</si>
  <si>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</si>
  <si>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</si>
  <si>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</si>
  <si>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</si>
  <si>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</si>
  <si>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</si>
  <si>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</si>
  <si>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</si>
  <si>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</si>
  <si>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</si>
  <si>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</si>
  <si>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</si>
  <si>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</si>
  <si>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</si>
  <si>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24-03-2024 24:00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</si>
  <si>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</si>
  <si>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</si>
  <si>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</si>
  <si>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</si>
  <si>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</si>
  <si>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</si>
  <si>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</si>
  <si>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</si>
  <si>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</si>
  <si>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</si>
  <si>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</si>
  <si>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</si>
  <si>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</si>
  <si>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</si>
  <si>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</si>
  <si>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</si>
  <si>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</si>
  <si>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</si>
  <si>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</si>
  <si>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</si>
  <si>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</si>
  <si>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</si>
  <si>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</si>
  <si>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25-03-2024 24:00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</si>
  <si>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</si>
  <si>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</si>
  <si>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</si>
  <si>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</si>
  <si>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</si>
  <si>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</si>
  <si>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</si>
  <si>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</si>
  <si>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</si>
  <si>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</si>
  <si>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</si>
  <si>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</si>
  <si>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</si>
  <si>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</si>
  <si>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</si>
  <si>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</si>
  <si>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</si>
  <si>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</si>
  <si>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</si>
  <si>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</si>
  <si>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</si>
  <si>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</si>
  <si>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</si>
  <si>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26-03-2024 24:00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</si>
  <si>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</si>
  <si>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</si>
  <si>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</si>
  <si>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</si>
  <si>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</si>
  <si>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</si>
  <si>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</si>
  <si>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</si>
  <si>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</si>
  <si>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</si>
  <si>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</si>
  <si>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</si>
  <si>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</si>
  <si>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</si>
  <si>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</si>
  <si>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</si>
  <si>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</si>
  <si>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</si>
  <si>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</si>
  <si>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</si>
  <si>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</si>
  <si>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</si>
  <si>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</si>
  <si>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27-03-2024 24:00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</si>
  <si>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</si>
  <si>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</si>
  <si>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</si>
  <si>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</si>
  <si>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</si>
  <si>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</si>
  <si>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</si>
  <si>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</si>
  <si>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</si>
  <si>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</si>
  <si>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</si>
  <si>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</si>
  <si>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</si>
  <si>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</si>
  <si>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</si>
  <si>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</si>
  <si>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</si>
  <si>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</si>
  <si>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</si>
  <si>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</si>
  <si>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</si>
  <si>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</si>
  <si>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</si>
  <si>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28-03-2024 24:00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</si>
  <si>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</si>
  <si>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</si>
  <si>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</si>
  <si>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</si>
  <si>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</si>
  <si>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</si>
  <si>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</si>
  <si>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</si>
  <si>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</si>
  <si>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</si>
  <si>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</si>
  <si>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</si>
  <si>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</si>
  <si>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</si>
  <si>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</si>
  <si>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</si>
  <si>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</si>
  <si>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</si>
  <si>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</si>
  <si>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</si>
  <si>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</si>
  <si>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</si>
  <si>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</si>
  <si>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29-03-2024 24:00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</si>
  <si>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</si>
  <si>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</si>
  <si>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</si>
  <si>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</si>
  <si>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</si>
  <si>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</si>
  <si>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</si>
  <si>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</si>
  <si>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</si>
  <si>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</si>
  <si>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</si>
  <si>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</si>
  <si>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</si>
  <si>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</si>
  <si>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</si>
  <si>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</si>
  <si>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</si>
  <si>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</si>
  <si>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</si>
  <si>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</si>
  <si>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</si>
  <si>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</si>
  <si>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</si>
  <si>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30-03-2024 24:00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</si>
  <si>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</si>
  <si>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</si>
  <si>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</si>
  <si>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</si>
  <si>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</si>
  <si>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</si>
  <si>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</si>
  <si>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</si>
  <si>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</si>
  <si>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</si>
  <si>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</si>
  <si>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</si>
  <si>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</si>
  <si>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</si>
  <si>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</si>
  <si>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</si>
  <si>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</si>
  <si>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</si>
  <si>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</si>
  <si>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</si>
  <si>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</si>
  <si>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</si>
  <si>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</si>
  <si>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31-03-2024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</si>
</sst>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26" Type="http://schemas.openxmlformats.org/officeDocument/2006/relationships/worksheet" Target="worksheets/sheet24.xml" /><Relationship Id="rId35" Type="http://schemas.openxmlformats.org/officeDocument/2006/relationships/sharedStrings" Target="sharedStrings.xml" /><Relationship Id="rId17" Type="http://schemas.openxmlformats.org/officeDocument/2006/relationships/worksheet" Target="worksheets/sheet15.xml" /><Relationship Id="rId8" Type="http://schemas.openxmlformats.org/officeDocument/2006/relationships/worksheet" Target="worksheets/sheet6.xml" /><Relationship Id="rId29" Type="http://schemas.openxmlformats.org/officeDocument/2006/relationships/worksheet" Target="worksheets/sheet27.xml" /><Relationship Id="rId36" Type="http://schemas.openxmlformats.org/officeDocument/2006/relationships/calcChain" Target="calcChain.xml" /><Relationship Id="rId11" Type="http://schemas.openxmlformats.org/officeDocument/2006/relationships/worksheet" Target="worksheets/sheet9.xml" /><Relationship Id="rId32" Type="http://schemas.openxmlformats.org/officeDocument/2006/relationships/worksheet" Target="worksheets/sheet30.xml" /><Relationship Id="rId10" Type="http://schemas.openxmlformats.org/officeDocument/2006/relationships/worksheet" Target="worksheets/sheet8.xml" /><Relationship Id="rId16" Type="http://schemas.openxmlformats.org/officeDocument/2006/relationships/worksheet" Target="worksheets/sheet14.xml" /><Relationship Id="rId31" Type="http://schemas.openxmlformats.org/officeDocument/2006/relationships/worksheet" Target="worksheets/sheet29.xml" /><Relationship Id="rId23" Type="http://schemas.openxmlformats.org/officeDocument/2006/relationships/worksheet" Target="worksheets/sheet21.xml" /><Relationship Id="rId13" Type="http://schemas.openxmlformats.org/officeDocument/2006/relationships/worksheet" Target="worksheets/sheet11.xml" /><Relationship Id="rId7" Type="http://schemas.openxmlformats.org/officeDocument/2006/relationships/worksheet" Target="worksheets/sheet5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0" Type="http://schemas.openxmlformats.org/officeDocument/2006/relationships/worksheet" Target="worksheets/sheet28.xml" /><Relationship Id="rId15" Type="http://schemas.openxmlformats.org/officeDocument/2006/relationships/worksheet" Target="worksheets/sheet13.xml" /><Relationship Id="rId20" Type="http://schemas.openxmlformats.org/officeDocument/2006/relationships/worksheet" Target="worksheets/sheet18.xml" /><Relationship Id="rId24" Type="http://schemas.openxmlformats.org/officeDocument/2006/relationships/worksheet" Target="worksheets/sheet22.xml" /><Relationship Id="rId28" Type="http://schemas.openxmlformats.org/officeDocument/2006/relationships/worksheet" Target="worksheets/sheet26.xml" /><Relationship Id="rId21" Type="http://schemas.openxmlformats.org/officeDocument/2006/relationships/worksheet" Target="worksheets/sheet19.xml" /><Relationship Id="rId34" Type="http://schemas.openxmlformats.org/officeDocument/2006/relationships/worksheet" Target="worksheets/sheet32.xml" /><Relationship Id="rId14" Type="http://schemas.openxmlformats.org/officeDocument/2006/relationships/worksheet" Target="worksheets/sheet12.xml" /><Relationship Id="rId3" Type="http://schemas.openxmlformats.org/officeDocument/2006/relationships/worksheet" Target="worksheets/sheet1.xml" /><Relationship Id="rId27" Type="http://schemas.openxmlformats.org/officeDocument/2006/relationships/worksheet" Target="worksheets/sheet25.xml" /><Relationship Id="rId19" Type="http://schemas.openxmlformats.org/officeDocument/2006/relationships/worksheet" Target="worksheets/sheet17.xml" /><Relationship Id="rId25" Type="http://schemas.openxmlformats.org/officeDocument/2006/relationships/worksheet" Target="worksheets/sheet23.xml" /><Relationship Id="rId33" Type="http://schemas.openxmlformats.org/officeDocument/2006/relationships/worksheet" Target="worksheets/sheet31.xml" /><Relationship Id="rId9" Type="http://schemas.openxmlformats.org/officeDocument/2006/relationships/worksheet" Target="worksheets/sheet7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18" Type="http://schemas.openxmlformats.org/officeDocument/2006/relationships/worksheet" Target="worksheets/sheet16.xml" /><Relationship Id="rId4" Type="http://schemas.openxmlformats.org/officeDocument/2006/relationships/worksheet" Target="worksheets/sheet2.xml" /><Relationship Id="rId22" Type="http://schemas.openxmlformats.org/officeDocument/2006/relationships/worksheet" Target="worksheets/sheet2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d54fd2-757f-4c09-8da4-9e842fd31ad5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62</v>
      </c>
      <c r="B9" s="54">
        <v>30.26</v>
      </c>
      <c r="C9" s="54">
        <v>58.09</v>
      </c>
      <c r="D9" s="54">
        <v>56.87</v>
      </c>
      <c r="E9" s="54">
        <v>3.95</v>
      </c>
      <c r="F9" s="54">
        <v>3.21</v>
      </c>
      <c r="G9" s="54">
        <v>70.930000000000007</v>
      </c>
      <c r="H9" s="54">
        <v>26.57</v>
      </c>
      <c r="I9" s="54">
        <v>1.61</v>
      </c>
      <c r="J9" s="54">
        <v>0.20</v>
      </c>
      <c r="K9" s="54">
        <v>345.57</v>
      </c>
      <c r="L9" s="54">
        <v>21.09</v>
      </c>
      <c r="M9" s="54">
        <v>48.26</v>
      </c>
      <c r="N9" s="54">
        <v>48</v>
      </c>
      <c r="O9" s="54">
        <v>0</v>
      </c>
      <c r="P9" s="54">
        <v>0.86</v>
      </c>
      <c r="Q9" s="54">
        <v>9.6999999999999993</v>
      </c>
      <c r="R9" s="43"/>
      <c r="S9" s="43"/>
      <c r="T9" s="43"/>
      <c r="U9" s="43"/>
    </row>
    <row r="10" spans="1:21" s="11" customFormat="1" ht="15">
      <c r="A10" s="53" t="s">
        <v>63</v>
      </c>
      <c r="B10" s="54">
        <v>25.94</v>
      </c>
      <c r="C10" s="54">
        <v>56.29</v>
      </c>
      <c r="D10" s="54">
        <v>52.51</v>
      </c>
      <c r="E10" s="54">
        <v>3.91</v>
      </c>
      <c r="F10" s="54">
        <v>3.17</v>
      </c>
      <c r="G10" s="54">
        <v>67.06</v>
      </c>
      <c r="H10" s="54">
        <v>26.57</v>
      </c>
      <c r="I10" s="54">
        <v>1.59</v>
      </c>
      <c r="J10" s="54">
        <v>0.12</v>
      </c>
      <c r="K10" s="54">
        <v>326.97000000000003</v>
      </c>
      <c r="L10" s="54">
        <v>20.51</v>
      </c>
      <c r="M10" s="54">
        <v>59.11</v>
      </c>
      <c r="N10" s="54">
        <v>47.40</v>
      </c>
      <c r="O10" s="54">
        <v>0</v>
      </c>
      <c r="P10" s="54">
        <v>0.78</v>
      </c>
      <c r="Q10" s="54">
        <v>9.59</v>
      </c>
      <c r="R10" s="43"/>
      <c r="S10" s="43"/>
      <c r="T10" s="43"/>
      <c r="U10" s="43"/>
    </row>
    <row r="11" spans="1:21" s="11" customFormat="1" ht="15">
      <c r="A11" s="53" t="s">
        <v>64</v>
      </c>
      <c r="B11" s="54">
        <v>24.12</v>
      </c>
      <c r="C11" s="54">
        <v>50.95</v>
      </c>
      <c r="D11" s="54">
        <v>48.07</v>
      </c>
      <c r="E11" s="54">
        <v>3.86</v>
      </c>
      <c r="F11" s="54">
        <v>3.27</v>
      </c>
      <c r="G11" s="54">
        <v>69.91</v>
      </c>
      <c r="H11" s="54">
        <v>22.98</v>
      </c>
      <c r="I11" s="54">
        <v>1.59</v>
      </c>
      <c r="J11" s="54">
        <v>0.12</v>
      </c>
      <c r="K11" s="54">
        <v>279.22000000000003</v>
      </c>
      <c r="L11" s="54">
        <v>18.489999999999998</v>
      </c>
      <c r="M11" s="54">
        <v>66.47</v>
      </c>
      <c r="N11" s="54">
        <v>46.80</v>
      </c>
      <c r="O11" s="54">
        <v>0</v>
      </c>
      <c r="P11" s="54">
        <v>0.73</v>
      </c>
      <c r="Q11" s="54">
        <v>9.5299999999999994</v>
      </c>
      <c r="R11" s="43"/>
      <c r="S11" s="43"/>
      <c r="T11" s="43"/>
      <c r="U11" s="43"/>
    </row>
    <row r="12" spans="1:21" s="11" customFormat="1" ht="15">
      <c r="A12" s="53" t="s">
        <v>65</v>
      </c>
      <c r="B12" s="54">
        <v>26.14</v>
      </c>
      <c r="C12" s="54">
        <v>51.16</v>
      </c>
      <c r="D12" s="54">
        <v>49.12</v>
      </c>
      <c r="E12" s="54">
        <v>3.59</v>
      </c>
      <c r="F12" s="54">
        <v>3.21</v>
      </c>
      <c r="G12" s="54">
        <v>73.510000000000005</v>
      </c>
      <c r="H12" s="54">
        <v>24.34</v>
      </c>
      <c r="I12" s="54">
        <v>1.56</v>
      </c>
      <c r="J12" s="54">
        <v>0.11</v>
      </c>
      <c r="K12" s="54">
        <v>340.98</v>
      </c>
      <c r="L12" s="54">
        <v>18.149999999999999</v>
      </c>
      <c r="M12" s="54">
        <v>71.70</v>
      </c>
      <c r="N12" s="54">
        <v>47</v>
      </c>
      <c r="O12" s="54">
        <v>0</v>
      </c>
      <c r="P12" s="54">
        <v>0.70</v>
      </c>
      <c r="Q12" s="54">
        <v>9.6300000000000008</v>
      </c>
      <c r="R12" s="43"/>
      <c r="S12" s="43"/>
      <c r="T12" s="43"/>
      <c r="U12" s="43"/>
    </row>
    <row r="13" spans="1:21" s="11" customFormat="1" ht="15">
      <c r="A13" s="53" t="s">
        <v>66</v>
      </c>
      <c r="B13" s="54">
        <v>29.90</v>
      </c>
      <c r="C13" s="54">
        <v>51.09</v>
      </c>
      <c r="D13" s="54">
        <v>52.82</v>
      </c>
      <c r="E13" s="54">
        <v>3.76</v>
      </c>
      <c r="F13" s="54">
        <v>3.28</v>
      </c>
      <c r="G13" s="54">
        <v>88.97</v>
      </c>
      <c r="H13" s="54">
        <v>30.54</v>
      </c>
      <c r="I13" s="54">
        <v>1.57</v>
      </c>
      <c r="J13" s="54">
        <v>0.25</v>
      </c>
      <c r="K13" s="54">
        <v>349.09</v>
      </c>
      <c r="L13" s="54">
        <v>17.88</v>
      </c>
      <c r="M13" s="54">
        <v>67.72</v>
      </c>
      <c r="N13" s="54">
        <v>47.40</v>
      </c>
      <c r="O13" s="54">
        <v>0</v>
      </c>
      <c r="P13" s="54">
        <v>0.81</v>
      </c>
      <c r="Q13" s="54">
        <v>9.6199999999999992</v>
      </c>
      <c r="R13" s="43"/>
      <c r="S13" s="43"/>
      <c r="T13" s="43"/>
      <c r="U13" s="43"/>
    </row>
    <row r="14" spans="1:21" s="11" customFormat="1" ht="15">
      <c r="A14" s="53" t="s">
        <v>67</v>
      </c>
      <c r="B14" s="54">
        <v>34.14</v>
      </c>
      <c r="C14" s="54">
        <v>53.16</v>
      </c>
      <c r="D14" s="54">
        <v>57.18</v>
      </c>
      <c r="E14" s="54">
        <v>4.05</v>
      </c>
      <c r="F14" s="54">
        <v>3.20</v>
      </c>
      <c r="G14" s="54">
        <v>219.44</v>
      </c>
      <c r="H14" s="54">
        <v>50.10</v>
      </c>
      <c r="I14" s="54">
        <v>1.61</v>
      </c>
      <c r="J14" s="54">
        <v>0.18</v>
      </c>
      <c r="K14" s="54">
        <v>64.099999999999994</v>
      </c>
      <c r="L14" s="54">
        <v>17.96</v>
      </c>
      <c r="M14" s="54">
        <v>67.430000000000007</v>
      </c>
      <c r="N14" s="54">
        <v>48.30</v>
      </c>
      <c r="O14" s="54">
        <v>0</v>
      </c>
      <c r="P14" s="54">
        <v>0.90</v>
      </c>
      <c r="Q14" s="54">
        <v>9.8000000000000007</v>
      </c>
      <c r="R14" s="43"/>
      <c r="S14" s="43"/>
      <c r="T14" s="43"/>
      <c r="U14" s="43"/>
    </row>
    <row r="15" spans="1:21" s="11" customFormat="1" ht="15">
      <c r="A15" s="53" t="s">
        <v>68</v>
      </c>
      <c r="B15" s="54">
        <v>35.53</v>
      </c>
      <c r="C15" s="54">
        <v>53.84</v>
      </c>
      <c r="D15" s="54">
        <v>58.36</v>
      </c>
      <c r="E15" s="54">
        <v>3.78</v>
      </c>
      <c r="F15" s="54">
        <v>3.32</v>
      </c>
      <c r="G15" s="54">
        <v>219.44</v>
      </c>
      <c r="H15" s="54">
        <v>50.57</v>
      </c>
      <c r="I15" s="54">
        <v>1.58</v>
      </c>
      <c r="J15" s="54">
        <v>0.41</v>
      </c>
      <c r="K15" s="54">
        <v>356.89</v>
      </c>
      <c r="L15" s="54">
        <v>18.46</v>
      </c>
      <c r="M15" s="54">
        <v>69.37</v>
      </c>
      <c r="N15" s="54">
        <v>118.5</v>
      </c>
      <c r="O15" s="54">
        <v>0</v>
      </c>
      <c r="P15" s="54">
        <v>0.97</v>
      </c>
      <c r="Q15" s="54">
        <v>9.7899999999999991</v>
      </c>
      <c r="R15" s="43"/>
      <c r="S15" s="43"/>
      <c r="T15" s="43"/>
      <c r="U15" s="43"/>
    </row>
    <row r="16" spans="1:21" s="11" customFormat="1" ht="15">
      <c r="A16" s="53" t="s">
        <v>69</v>
      </c>
      <c r="B16" s="54">
        <v>38.10</v>
      </c>
      <c r="C16" s="54">
        <v>53.40</v>
      </c>
      <c r="D16" s="54">
        <v>60.59</v>
      </c>
      <c r="E16" s="54">
        <v>5.29</v>
      </c>
      <c r="F16" s="54">
        <v>3.08</v>
      </c>
      <c r="G16" s="54">
        <v>170.74</v>
      </c>
      <c r="H16" s="54">
        <v>55.20</v>
      </c>
      <c r="I16" s="54">
        <v>1.54</v>
      </c>
      <c r="J16" s="54">
        <v>0.92</v>
      </c>
      <c r="K16" s="54">
        <v>356.97</v>
      </c>
      <c r="L16" s="54">
        <v>22.71</v>
      </c>
      <c r="M16" s="54">
        <v>64.790000000000006</v>
      </c>
      <c r="N16" s="54">
        <v>336.40</v>
      </c>
      <c r="O16" s="54">
        <v>0</v>
      </c>
      <c r="P16" s="54">
        <v>1.01</v>
      </c>
      <c r="Q16" s="54">
        <v>9.99</v>
      </c>
      <c r="R16" s="43"/>
      <c r="S16" s="43"/>
      <c r="T16" s="43"/>
      <c r="U16" s="43"/>
    </row>
    <row r="17" spans="1:21" s="11" customFormat="1" ht="15">
      <c r="A17" s="53" t="s">
        <v>70</v>
      </c>
      <c r="B17" s="54">
        <v>36.93</v>
      </c>
      <c r="C17" s="54">
        <v>55.43</v>
      </c>
      <c r="D17" s="54">
        <v>59.61</v>
      </c>
      <c r="E17" s="54">
        <v>4.71</v>
      </c>
      <c r="F17" s="54">
        <v>3.41</v>
      </c>
      <c r="G17" s="54">
        <v>170.74</v>
      </c>
      <c r="H17" s="54">
        <v>55.20</v>
      </c>
      <c r="I17" s="54">
        <v>1.54</v>
      </c>
      <c r="J17" s="54">
        <v>0.81</v>
      </c>
      <c r="K17" s="54">
        <v>116.16</v>
      </c>
      <c r="L17" s="54">
        <v>25.31</v>
      </c>
      <c r="M17" s="54">
        <v>47.32</v>
      </c>
      <c r="N17" s="54">
        <v>532.10</v>
      </c>
      <c r="O17" s="54">
        <v>0</v>
      </c>
      <c r="P17" s="54">
        <v>1</v>
      </c>
      <c r="Q17" s="54">
        <v>10</v>
      </c>
      <c r="R17" s="43"/>
      <c r="S17" s="43"/>
      <c r="T17" s="43"/>
      <c r="U17" s="43"/>
    </row>
    <row r="18" spans="1:21" s="11" customFormat="1" ht="15">
      <c r="A18" s="53" t="s">
        <v>71</v>
      </c>
      <c r="B18" s="54">
        <v>29.07</v>
      </c>
      <c r="C18" s="54">
        <v>60.66</v>
      </c>
      <c r="D18" s="54">
        <v>55.43</v>
      </c>
      <c r="E18" s="54">
        <v>4.67</v>
      </c>
      <c r="F18" s="54">
        <v>3.51</v>
      </c>
      <c r="G18" s="54">
        <v>116.41</v>
      </c>
      <c r="H18" s="54">
        <v>50.99</v>
      </c>
      <c r="I18" s="54">
        <v>1.54</v>
      </c>
      <c r="J18" s="54">
        <v>0.85</v>
      </c>
      <c r="K18" s="54">
        <v>145.91999999999999</v>
      </c>
      <c r="L18" s="54">
        <v>28.67</v>
      </c>
      <c r="M18" s="54">
        <v>33.700000000000003</v>
      </c>
      <c r="N18" s="54">
        <v>712.40</v>
      </c>
      <c r="O18" s="54">
        <v>0</v>
      </c>
      <c r="P18" s="54">
        <v>0.93</v>
      </c>
      <c r="Q18" s="54">
        <v>9.73</v>
      </c>
      <c r="R18" s="43"/>
      <c r="S18" s="43"/>
      <c r="T18" s="43"/>
      <c r="U18" s="43"/>
    </row>
    <row r="19" spans="1:21" s="11" customFormat="1" ht="15">
      <c r="A19" s="53" t="s">
        <v>72</v>
      </c>
      <c r="B19" s="54">
        <v>16.87</v>
      </c>
      <c r="C19" s="54">
        <v>61.90</v>
      </c>
      <c r="D19" s="54">
        <v>47.99</v>
      </c>
      <c r="E19" s="54">
        <v>4.3099999999999996</v>
      </c>
      <c r="F19" s="54">
        <v>3.83</v>
      </c>
      <c r="G19" s="54">
        <v>66.31</v>
      </c>
      <c r="H19" s="54">
        <v>42.60</v>
      </c>
      <c r="I19" s="54">
        <v>1.57</v>
      </c>
      <c r="J19" s="54">
        <v>0.97</v>
      </c>
      <c r="K19" s="54">
        <v>163.72</v>
      </c>
      <c r="L19" s="54">
        <v>30.69</v>
      </c>
      <c r="M19" s="54">
        <v>29.56</v>
      </c>
      <c r="N19" s="54">
        <v>840.5</v>
      </c>
      <c r="O19" s="54">
        <v>0</v>
      </c>
      <c r="P19" s="54">
        <v>0.81</v>
      </c>
      <c r="Q19" s="54">
        <v>9.32</v>
      </c>
      <c r="R19" s="43"/>
      <c r="S19" s="43"/>
      <c r="T19" s="43"/>
      <c r="U19" s="43"/>
    </row>
    <row r="20" spans="1:21" s="11" customFormat="1" ht="15">
      <c r="A20" s="53" t="s">
        <v>73</v>
      </c>
      <c r="B20" s="54">
        <v>5.40</v>
      </c>
      <c r="C20" s="54">
        <v>58.52</v>
      </c>
      <c r="D20" s="54">
        <v>37.270000000000003</v>
      </c>
      <c r="E20" s="54">
        <v>4.17</v>
      </c>
      <c r="F20" s="54">
        <v>4.42</v>
      </c>
      <c r="G20" s="54">
        <v>58.41</v>
      </c>
      <c r="H20" s="54">
        <v>35.11</v>
      </c>
      <c r="I20" s="54">
        <v>1.53</v>
      </c>
      <c r="J20" s="54">
        <v>0.43</v>
      </c>
      <c r="K20" s="54">
        <v>326.20999999999998</v>
      </c>
      <c r="L20" s="54">
        <v>34.44</v>
      </c>
      <c r="M20" s="54">
        <v>27.27</v>
      </c>
      <c r="N20" s="54">
        <v>862.5</v>
      </c>
      <c r="O20" s="54">
        <v>0</v>
      </c>
      <c r="P20" s="54">
        <v>0.68</v>
      </c>
      <c r="Q20" s="54">
        <v>8.99</v>
      </c>
      <c r="R20" s="43"/>
      <c r="S20" s="43"/>
      <c r="T20" s="43"/>
      <c r="U20" s="43"/>
    </row>
    <row r="21" spans="1:21" s="11" customFormat="1" ht="15">
      <c r="A21" s="53" t="s">
        <v>74</v>
      </c>
      <c r="B21" s="54">
        <v>3.86</v>
      </c>
      <c r="C21" s="54">
        <v>54.49</v>
      </c>
      <c r="D21" s="54">
        <v>33.68</v>
      </c>
      <c r="E21" s="54">
        <v>3.91</v>
      </c>
      <c r="F21" s="54">
        <v>4.05</v>
      </c>
      <c r="G21" s="54">
        <v>58.41</v>
      </c>
      <c r="H21" s="54">
        <v>26.97</v>
      </c>
      <c r="I21" s="54">
        <v>1.57</v>
      </c>
      <c r="J21" s="54">
        <v>0.78</v>
      </c>
      <c r="K21" s="54">
        <v>345.88</v>
      </c>
      <c r="L21" s="54">
        <v>35.96</v>
      </c>
      <c r="M21" s="54">
        <v>20.12</v>
      </c>
      <c r="N21" s="54">
        <v>847.90</v>
      </c>
      <c r="O21" s="54">
        <v>0</v>
      </c>
      <c r="P21" s="54">
        <v>0.61</v>
      </c>
      <c r="Q21" s="54">
        <v>9.02</v>
      </c>
      <c r="R21" s="43"/>
      <c r="S21" s="43"/>
      <c r="T21" s="43"/>
      <c r="U21" s="43"/>
    </row>
    <row r="22" spans="1:21" s="11" customFormat="1" ht="15">
      <c r="A22" s="53" t="s">
        <v>75</v>
      </c>
      <c r="B22" s="54">
        <v>3.88</v>
      </c>
      <c r="C22" s="54">
        <v>55.79</v>
      </c>
      <c r="D22" s="54">
        <v>33.97</v>
      </c>
      <c r="E22" s="54">
        <v>4.2699999999999996</v>
      </c>
      <c r="F22" s="54">
        <v>5.91</v>
      </c>
      <c r="G22" s="54">
        <v>45.70</v>
      </c>
      <c r="H22" s="54">
        <v>25.56</v>
      </c>
      <c r="I22" s="54">
        <v>1.54</v>
      </c>
      <c r="J22" s="54">
        <v>0.56999999999999995</v>
      </c>
      <c r="K22" s="54">
        <v>343.5</v>
      </c>
      <c r="L22" s="54">
        <v>35.049999999999997</v>
      </c>
      <c r="M22" s="54">
        <v>22.11</v>
      </c>
      <c r="N22" s="54">
        <v>810.70</v>
      </c>
      <c r="O22" s="54">
        <v>0</v>
      </c>
      <c r="P22" s="54">
        <v>0.56999999999999995</v>
      </c>
      <c r="Q22" s="54">
        <v>9.0299999999999994</v>
      </c>
      <c r="R22" s="43"/>
      <c r="S22" s="43"/>
      <c r="T22" s="43"/>
      <c r="U22" s="43"/>
    </row>
    <row r="23" spans="1:21" s="11" customFormat="1" ht="15">
      <c r="A23" s="53" t="s">
        <v>76</v>
      </c>
      <c r="B23" s="54">
        <v>2.27</v>
      </c>
      <c r="C23" s="54">
        <v>55.62</v>
      </c>
      <c r="D23" s="54">
        <v>33.159999999999997</v>
      </c>
      <c r="E23" s="54">
        <v>4</v>
      </c>
      <c r="F23" s="54">
        <v>6.24</v>
      </c>
      <c r="G23" s="54">
        <v>60.03</v>
      </c>
      <c r="H23" s="54">
        <v>27.46</v>
      </c>
      <c r="I23" s="54">
        <v>1.53</v>
      </c>
      <c r="J23" s="54">
        <v>1.18</v>
      </c>
      <c r="K23" s="54">
        <v>342.29</v>
      </c>
      <c r="L23" s="54">
        <v>35.96</v>
      </c>
      <c r="M23" s="54">
        <v>21.82</v>
      </c>
      <c r="N23" s="54">
        <v>600.79999999999995</v>
      </c>
      <c r="O23" s="54">
        <v>0</v>
      </c>
      <c r="P23" s="54">
        <v>0.54</v>
      </c>
      <c r="Q23" s="54">
        <v>8.84</v>
      </c>
      <c r="R23" s="43"/>
      <c r="S23" s="43"/>
      <c r="T23" s="43"/>
      <c r="U23" s="43"/>
    </row>
    <row r="24" spans="1:21" s="11" customFormat="1" ht="15">
      <c r="A24" s="53" t="s">
        <v>77</v>
      </c>
      <c r="B24" s="54">
        <v>3</v>
      </c>
      <c r="C24" s="54">
        <v>55.74</v>
      </c>
      <c r="D24" s="54">
        <v>33.81</v>
      </c>
      <c r="E24" s="54">
        <v>4.8899999999999997</v>
      </c>
      <c r="F24" s="54">
        <v>4.9800000000000004</v>
      </c>
      <c r="G24" s="54">
        <v>60.03</v>
      </c>
      <c r="H24" s="54">
        <v>27.46</v>
      </c>
      <c r="I24" s="54">
        <v>1.51</v>
      </c>
      <c r="J24" s="54">
        <v>1.20</v>
      </c>
      <c r="K24" s="54">
        <v>344.89</v>
      </c>
      <c r="L24" s="54">
        <v>35</v>
      </c>
      <c r="M24" s="54">
        <v>16.71</v>
      </c>
      <c r="N24" s="54">
        <v>324.5</v>
      </c>
      <c r="O24" s="54">
        <v>0</v>
      </c>
      <c r="P24" s="54">
        <v>0.52</v>
      </c>
      <c r="Q24" s="54">
        <v>8.75</v>
      </c>
      <c r="R24" s="43"/>
      <c r="S24" s="43"/>
      <c r="T24" s="43"/>
      <c r="U24" s="43"/>
    </row>
    <row r="25" spans="1:21" s="11" customFormat="1" ht="15">
      <c r="A25" s="53" t="s">
        <v>78</v>
      </c>
      <c r="B25" s="54">
        <v>4.43</v>
      </c>
      <c r="C25" s="54">
        <v>53.36</v>
      </c>
      <c r="D25" s="54">
        <v>33.60</v>
      </c>
      <c r="E25" s="54">
        <v>4.41</v>
      </c>
      <c r="F25" s="54">
        <v>3.91</v>
      </c>
      <c r="G25" s="54">
        <v>51.81</v>
      </c>
      <c r="H25" s="54">
        <v>24.59</v>
      </c>
      <c r="I25" s="54">
        <v>1.53</v>
      </c>
      <c r="J25" s="54">
        <v>0.59</v>
      </c>
      <c r="K25" s="54">
        <v>349.99</v>
      </c>
      <c r="L25" s="54">
        <v>31.49</v>
      </c>
      <c r="M25" s="54">
        <v>19.059999999999999</v>
      </c>
      <c r="N25" s="54">
        <v>133.10</v>
      </c>
      <c r="O25" s="54">
        <v>0</v>
      </c>
      <c r="P25" s="54">
        <v>0.47</v>
      </c>
      <c r="Q25" s="54">
        <v>8.81</v>
      </c>
      <c r="R25" s="43"/>
      <c r="S25" s="43"/>
      <c r="T25" s="43"/>
      <c r="U25" s="43"/>
    </row>
    <row r="26" spans="1:21" s="11" customFormat="1" ht="15">
      <c r="A26" s="53" t="s">
        <v>79</v>
      </c>
      <c r="B26" s="54">
        <v>4.28</v>
      </c>
      <c r="C26" s="54">
        <v>52.43</v>
      </c>
      <c r="D26" s="54">
        <v>33.01</v>
      </c>
      <c r="E26" s="54">
        <v>4.34</v>
      </c>
      <c r="F26" s="54">
        <v>4.08</v>
      </c>
      <c r="G26" s="54">
        <v>38.07</v>
      </c>
      <c r="H26" s="54">
        <v>24.59</v>
      </c>
      <c r="I26" s="54">
        <v>1.51</v>
      </c>
      <c r="J26" s="54">
        <v>0.32</v>
      </c>
      <c r="K26" s="54">
        <v>193.80</v>
      </c>
      <c r="L26" s="54">
        <v>30</v>
      </c>
      <c r="M26" s="54">
        <v>24.69</v>
      </c>
      <c r="N26" s="54">
        <v>96.10</v>
      </c>
      <c r="O26" s="54">
        <v>0</v>
      </c>
      <c r="P26" s="54">
        <v>0.46</v>
      </c>
      <c r="Q26" s="54">
        <v>8.86</v>
      </c>
      <c r="R26" s="43"/>
      <c r="S26" s="43"/>
      <c r="T26" s="43"/>
      <c r="U26" s="43"/>
    </row>
    <row r="27" spans="1:21" s="11" customFormat="1" ht="15">
      <c r="A27" s="53" t="s">
        <v>80</v>
      </c>
      <c r="B27" s="54">
        <v>6.30</v>
      </c>
      <c r="C27" s="54">
        <v>59.55</v>
      </c>
      <c r="D27" s="54">
        <v>38.56</v>
      </c>
      <c r="E27" s="54">
        <v>4.3099999999999996</v>
      </c>
      <c r="F27" s="54">
        <v>4.0199999999999996</v>
      </c>
      <c r="G27" s="54">
        <v>47.39</v>
      </c>
      <c r="H27" s="54">
        <v>17.09</v>
      </c>
      <c r="I27" s="54">
        <v>1.52</v>
      </c>
      <c r="J27" s="54">
        <v>0.71</v>
      </c>
      <c r="K27" s="54">
        <v>104.66</v>
      </c>
      <c r="L27" s="54">
        <v>28.36</v>
      </c>
      <c r="M27" s="54">
        <v>31.71</v>
      </c>
      <c r="N27" s="54">
        <v>57.5</v>
      </c>
      <c r="O27" s="54">
        <v>0</v>
      </c>
      <c r="P27" s="54">
        <v>0.51</v>
      </c>
      <c r="Q27" s="54">
        <v>8.7799999999999994</v>
      </c>
      <c r="R27" s="43"/>
      <c r="S27" s="43"/>
      <c r="T27" s="43"/>
      <c r="U27" s="43"/>
    </row>
    <row r="28" spans="1:21" s="11" customFormat="1" ht="15">
      <c r="A28" s="53" t="s">
        <v>81</v>
      </c>
      <c r="B28" s="54">
        <v>36.450000000000003</v>
      </c>
      <c r="C28" s="54">
        <v>70.81</v>
      </c>
      <c r="D28" s="54">
        <v>68.95</v>
      </c>
      <c r="E28" s="54">
        <v>4.92</v>
      </c>
      <c r="F28" s="54">
        <v>3.32</v>
      </c>
      <c r="G28" s="54">
        <v>87.68</v>
      </c>
      <c r="H28" s="54">
        <v>27.18</v>
      </c>
      <c r="I28" s="54">
        <v>1.54</v>
      </c>
      <c r="J28" s="54">
        <v>0.10</v>
      </c>
      <c r="K28" s="54">
        <v>341.76</v>
      </c>
      <c r="L28" s="54">
        <v>25.45</v>
      </c>
      <c r="M28" s="54">
        <v>43.27</v>
      </c>
      <c r="N28" s="54">
        <v>58.40</v>
      </c>
      <c r="O28" s="54">
        <v>0</v>
      </c>
      <c r="P28" s="54">
        <v>0.96</v>
      </c>
      <c r="Q28" s="54">
        <v>9.11</v>
      </c>
      <c r="R28" s="43"/>
      <c r="S28" s="43"/>
      <c r="T28" s="43"/>
      <c r="U28" s="43"/>
    </row>
    <row r="29" spans="1:21" s="11" customFormat="1" ht="15">
      <c r="A29" s="53" t="s">
        <v>82</v>
      </c>
      <c r="B29" s="54">
        <v>48.29</v>
      </c>
      <c r="C29" s="54">
        <v>73.20</v>
      </c>
      <c r="D29" s="54">
        <v>79.31</v>
      </c>
      <c r="E29" s="54">
        <v>4.21</v>
      </c>
      <c r="F29" s="54">
        <v>3.34</v>
      </c>
      <c r="G29" s="54">
        <v>109.86</v>
      </c>
      <c r="H29" s="54">
        <v>27.18</v>
      </c>
      <c r="I29" s="54">
        <v>1.57</v>
      </c>
      <c r="J29" s="54">
        <v>0.28000000000000003</v>
      </c>
      <c r="K29" s="54">
        <v>223.07</v>
      </c>
      <c r="L29" s="54">
        <v>25.49</v>
      </c>
      <c r="M29" s="54">
        <v>37.76</v>
      </c>
      <c r="N29" s="54">
        <v>49.5</v>
      </c>
      <c r="O29" s="54">
        <v>0</v>
      </c>
      <c r="P29" s="54">
        <v>1.06</v>
      </c>
      <c r="Q29" s="54">
        <v>9.8800000000000008</v>
      </c>
      <c r="R29" s="43"/>
      <c r="S29" s="43"/>
      <c r="T29" s="43"/>
      <c r="U29" s="43"/>
    </row>
    <row r="30" spans="1:21" s="11" customFormat="1" ht="15">
      <c r="A30" s="53" t="s">
        <v>83</v>
      </c>
      <c r="B30" s="54">
        <v>50.54</v>
      </c>
      <c r="C30" s="54">
        <v>69.33</v>
      </c>
      <c r="D30" s="54">
        <v>78.64</v>
      </c>
      <c r="E30" s="54">
        <v>4.24</v>
      </c>
      <c r="F30" s="54">
        <v>3.18</v>
      </c>
      <c r="G30" s="54">
        <v>109.86</v>
      </c>
      <c r="H30" s="54">
        <v>34.409999999999997</v>
      </c>
      <c r="I30" s="54">
        <v>1.58</v>
      </c>
      <c r="J30" s="54">
        <v>0.22</v>
      </c>
      <c r="K30" s="54">
        <v>318.94</v>
      </c>
      <c r="L30" s="54">
        <v>24.36</v>
      </c>
      <c r="M30" s="54">
        <v>35.770000000000003</v>
      </c>
      <c r="N30" s="54">
        <v>49.30</v>
      </c>
      <c r="O30" s="54">
        <v>0</v>
      </c>
      <c r="P30" s="54">
        <v>1.07</v>
      </c>
      <c r="Q30" s="54">
        <v>10.09</v>
      </c>
      <c r="R30" s="43"/>
      <c r="S30" s="43"/>
      <c r="T30" s="43"/>
      <c r="U30" s="43"/>
    </row>
    <row r="31" spans="1:21" s="11" customFormat="1" ht="15">
      <c r="A31" s="53" t="s">
        <v>84</v>
      </c>
      <c r="B31" s="54">
        <v>49.28</v>
      </c>
      <c r="C31" s="54">
        <v>66.209999999999994</v>
      </c>
      <c r="D31" s="54">
        <v>76.36</v>
      </c>
      <c r="E31" s="54">
        <v>4.16</v>
      </c>
      <c r="F31" s="54">
        <v>3.11</v>
      </c>
      <c r="G31" s="54">
        <v>87.36</v>
      </c>
      <c r="H31" s="54">
        <v>42.51</v>
      </c>
      <c r="I31" s="54">
        <v>1.56</v>
      </c>
      <c r="J31" s="54">
        <v>0.52</v>
      </c>
      <c r="K31" s="54">
        <v>313.30</v>
      </c>
      <c r="L31" s="54">
        <v>24.44</v>
      </c>
      <c r="M31" s="54">
        <v>39.76</v>
      </c>
      <c r="N31" s="54">
        <v>49.10</v>
      </c>
      <c r="O31" s="54">
        <v>0</v>
      </c>
      <c r="P31" s="54">
        <v>1.06</v>
      </c>
      <c r="Q31" s="54">
        <v>10.11</v>
      </c>
      <c r="R31" s="43"/>
      <c r="S31" s="43"/>
      <c r="T31" s="43"/>
      <c r="U31" s="43"/>
    </row>
    <row r="32" spans="1:21" s="11" customFormat="1" ht="15">
      <c r="A32" s="53" t="s">
        <v>85</v>
      </c>
      <c r="B32" s="54">
        <v>43.86</v>
      </c>
      <c r="C32" s="54">
        <v>68.599999999999994</v>
      </c>
      <c r="D32" s="54">
        <v>73.099999999999994</v>
      </c>
      <c r="E32" s="54">
        <v>4.6500000000000004</v>
      </c>
      <c r="F32" s="54">
        <v>3.10</v>
      </c>
      <c r="G32" s="54">
        <v>79.36</v>
      </c>
      <c r="H32" s="54">
        <v>42.51</v>
      </c>
      <c r="I32" s="54">
        <v>1.51</v>
      </c>
      <c r="J32" s="54">
        <v>0.56000000000000005</v>
      </c>
      <c r="K32" s="54">
        <v>84.13</v>
      </c>
      <c r="L32" s="54">
        <v>24.83</v>
      </c>
      <c r="M32" s="54">
        <v>36.81</v>
      </c>
      <c r="N32" s="54">
        <v>52.10</v>
      </c>
      <c r="O32" s="54">
        <v>0</v>
      </c>
      <c r="P32" s="54">
        <v>0.99</v>
      </c>
      <c r="Q32" s="54">
        <v>9.9700000000000006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2.27</v>
      </c>
      <c r="C34" s="28">
        <f t="shared" si="0"/>
        <v>50.950000000000003</v>
      </c>
      <c r="D34" s="28">
        <f t="shared" si="0"/>
        <v>33.009999999999998</v>
      </c>
      <c r="E34" s="28">
        <f t="shared" si="0"/>
        <v>3.5899999999999999</v>
      </c>
      <c r="F34" s="28">
        <f t="shared" si="0"/>
        <v>3.0800000000000001</v>
      </c>
      <c r="G34" s="28">
        <f t="shared" si="0"/>
        <v>38.07</v>
      </c>
      <c r="H34" s="28">
        <f t="shared" si="0"/>
        <v>17.09</v>
      </c>
      <c r="I34" s="28">
        <f t="shared" si="0"/>
        <v>1.51</v>
      </c>
      <c r="J34" s="28">
        <f t="shared" si="0"/>
        <v>0.10000000000000001</v>
      </c>
      <c r="K34" s="28">
        <f t="shared" si="0"/>
        <v>64.099999999999994</v>
      </c>
      <c r="L34" s="28">
        <f t="shared" si="0"/>
        <v>17.879999999999999</v>
      </c>
      <c r="M34" s="28">
        <f t="shared" si="0"/>
        <v>16.710000000000001</v>
      </c>
      <c r="N34" s="28">
        <f t="shared" si="0"/>
        <v>46.799999999999997</v>
      </c>
      <c r="O34" s="28">
        <f t="shared" si="0"/>
        <v>0</v>
      </c>
      <c r="P34" s="28">
        <f t="shared" si="0"/>
        <v>0.46000000000000002</v>
      </c>
      <c r="Q34" s="28">
        <f t="shared" si="0"/>
        <v>8.75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50.539999999999999</v>
      </c>
      <c r="C35" s="29">
        <f t="shared" si="1"/>
        <v>73.200000000000003</v>
      </c>
      <c r="D35" s="29">
        <f t="shared" si="1"/>
        <v>79.310000000000002</v>
      </c>
      <c r="E35" s="29">
        <f t="shared" si="1"/>
        <v>5.29</v>
      </c>
      <c r="F35" s="29">
        <f t="shared" si="1"/>
        <v>6.2400000000000002</v>
      </c>
      <c r="G35" s="29">
        <f t="shared" si="1"/>
        <v>219.44</v>
      </c>
      <c r="H35" s="29">
        <f t="shared" si="1"/>
        <v>55.200000000000003</v>
      </c>
      <c r="I35" s="29">
        <f t="shared" si="1"/>
        <v>1.6100000000000001</v>
      </c>
      <c r="J35" s="29">
        <f t="shared" si="1"/>
        <v>1.2</v>
      </c>
      <c r="K35" s="29">
        <f t="shared" si="1"/>
        <v>356.97000000000003</v>
      </c>
      <c r="L35" s="29">
        <f t="shared" si="1"/>
        <v>35.960000000000001</v>
      </c>
      <c r="M35" s="29">
        <f t="shared" si="1"/>
        <v>71.700000000000003</v>
      </c>
      <c r="N35" s="29">
        <f t="shared" si="1"/>
        <v>862.5</v>
      </c>
      <c r="O35" s="29">
        <f t="shared" si="1"/>
        <v>0</v>
      </c>
      <c r="P35" s="29">
        <f t="shared" si="1"/>
        <v>1.0700000000000001</v>
      </c>
      <c r="Q35" s="29">
        <f t="shared" si="1"/>
        <v>10.109999999999999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24.535</v>
      </c>
      <c r="C36" s="28">
        <f t="shared" si="2"/>
        <v>58.317499999999995</v>
      </c>
      <c r="D36" s="28">
        <f t="shared" si="2"/>
        <v>52.165416666666658</v>
      </c>
      <c r="E36" s="28">
        <f t="shared" si="2"/>
        <v>4.2649999999999997</v>
      </c>
      <c r="F36" s="28">
        <f t="shared" si="2"/>
        <v>3.7562499999999996</v>
      </c>
      <c r="G36" s="28">
        <f t="shared" si="2"/>
        <v>92.80958333333335</v>
      </c>
      <c r="H36" s="28">
        <f t="shared" si="2"/>
        <v>34.094999999999999</v>
      </c>
      <c r="I36" s="28">
        <f t="shared" si="2"/>
        <v>1.5541666666666665</v>
      </c>
      <c r="J36" s="28">
        <f t="shared" si="2"/>
        <v>0.51666666666666661</v>
      </c>
      <c r="K36" s="28">
        <f t="shared" si="2"/>
        <v>269.91708333333332</v>
      </c>
      <c r="L36" s="28">
        <f t="shared" si="2"/>
        <v>26.281250000000004</v>
      </c>
      <c r="M36" s="28">
        <f t="shared" si="2"/>
        <v>41.762083333333344</v>
      </c>
      <c r="N36" s="28">
        <f t="shared" si="2"/>
        <v>284.01250000000005</v>
      </c>
      <c r="O36" s="28">
        <f t="shared" si="2"/>
        <v>0</v>
      </c>
      <c r="P36" s="28">
        <f t="shared" si="2"/>
        <v>0.79166666666666652</v>
      </c>
      <c r="Q36" s="28">
        <f t="shared" si="2"/>
        <v>9.4558333333333326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16.669940924753835</v>
      </c>
      <c r="C37" s="28">
        <f t="shared" si="3" ref="C37:Q37">STDEV(C9:C32)</f>
        <v>6.6659532408123807</v>
      </c>
      <c r="D37" s="28">
        <f t="shared" si="3"/>
        <v>15.46288487037569</v>
      </c>
      <c r="E37" s="28">
        <f t="shared" si="3"/>
        <v>0.41768513208542318</v>
      </c>
      <c r="F37" s="28">
        <f t="shared" si="3"/>
        <v>0.862775160897015</v>
      </c>
      <c r="G37" s="28">
        <f t="shared" si="3"/>
        <v>51.845521334320999</v>
      </c>
      <c r="H37" s="28">
        <f t="shared" si="3"/>
        <v>11.498020623606045</v>
      </c>
      <c r="I37" s="28">
        <f t="shared" si="3"/>
        <v>0.030204616213084245</v>
      </c>
      <c r="J37" s="28">
        <f t="shared" si="3"/>
        <v>0.34446766323487144</v>
      </c>
      <c r="K37" s="28">
        <f t="shared" si="3"/>
        <v>101.95199733545388</v>
      </c>
      <c r="L37" s="28">
        <f t="shared" si="3"/>
        <v>6.2189362381988271</v>
      </c>
      <c r="M37" s="28">
        <f t="shared" si="3"/>
        <v>18.415918440109188</v>
      </c>
      <c r="N37" s="28">
        <f t="shared" si="3"/>
        <v>318.41431215443595</v>
      </c>
      <c r="O37" s="28">
        <f t="shared" si="3"/>
        <v>0</v>
      </c>
      <c r="P37" s="28">
        <f t="shared" si="3"/>
        <v>0.20695865301545441</v>
      </c>
      <c r="Q37" s="28">
        <f t="shared" si="3"/>
        <v>0.47246731349252163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COUNT(N9:N32)+12</f>
        <v>36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de5d90f-2f88-4e22-b15a-96659ad2b2da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86</v>
      </c>
      <c r="B9" s="54">
        <v>38</v>
      </c>
      <c r="C9" s="54">
        <v>68.739999999999995</v>
      </c>
      <c r="D9" s="54">
        <v>68.73</v>
      </c>
      <c r="E9" s="54">
        <v>4.74</v>
      </c>
      <c r="F9" s="54">
        <v>3.30</v>
      </c>
      <c r="G9" s="54">
        <v>71.17</v>
      </c>
      <c r="H9" s="54">
        <v>33.49</v>
      </c>
      <c r="I9" s="54">
        <v>1.5</v>
      </c>
      <c r="J9" s="54">
        <v>0.18</v>
      </c>
      <c r="K9" s="54">
        <v>359.10</v>
      </c>
      <c r="L9" s="54">
        <v>22.91</v>
      </c>
      <c r="M9" s="54">
        <v>52.28</v>
      </c>
      <c r="N9" s="54">
        <v>58.30</v>
      </c>
      <c r="O9" s="54">
        <v>0</v>
      </c>
      <c r="P9" s="54">
        <v>0.91</v>
      </c>
      <c r="Q9" s="54">
        <v>9.7799999999999994</v>
      </c>
      <c r="R9" s="43"/>
      <c r="S9" s="43"/>
      <c r="T9" s="43"/>
      <c r="U9" s="43"/>
    </row>
    <row r="10" spans="1:21" s="11" customFormat="1" ht="15">
      <c r="A10" s="53" t="s">
        <v>87</v>
      </c>
      <c r="B10" s="54">
        <v>34.840000000000003</v>
      </c>
      <c r="C10" s="54">
        <v>63.54</v>
      </c>
      <c r="D10" s="54">
        <v>63.66</v>
      </c>
      <c r="E10" s="54">
        <v>4.74</v>
      </c>
      <c r="F10" s="54">
        <v>3.41</v>
      </c>
      <c r="G10" s="54">
        <v>67.39</v>
      </c>
      <c r="H10" s="54">
        <v>31.56</v>
      </c>
      <c r="I10" s="54">
        <v>1.57</v>
      </c>
      <c r="J10" s="54">
        <v>0.44</v>
      </c>
      <c r="K10" s="54">
        <v>193.31</v>
      </c>
      <c r="L10" s="54">
        <v>22.84</v>
      </c>
      <c r="M10" s="54">
        <v>44.52</v>
      </c>
      <c r="N10" s="54">
        <v>49.80</v>
      </c>
      <c r="O10" s="54">
        <v>0</v>
      </c>
      <c r="P10" s="54">
        <v>0.82</v>
      </c>
      <c r="Q10" s="54">
        <v>9.74</v>
      </c>
      <c r="R10" s="43"/>
      <c r="S10" s="43"/>
      <c r="T10" s="43"/>
      <c r="U10" s="43"/>
    </row>
    <row r="11" spans="1:21" s="11" customFormat="1" ht="15">
      <c r="A11" s="53" t="s">
        <v>88</v>
      </c>
      <c r="B11" s="54">
        <v>29.43</v>
      </c>
      <c r="C11" s="54">
        <v>60.20</v>
      </c>
      <c r="D11" s="54">
        <v>57.47</v>
      </c>
      <c r="E11" s="54">
        <v>4.6399999999999997</v>
      </c>
      <c r="F11" s="54">
        <v>3.44</v>
      </c>
      <c r="G11" s="54">
        <v>65.44</v>
      </c>
      <c r="H11" s="54">
        <v>26.18</v>
      </c>
      <c r="I11" s="54">
        <v>1.54</v>
      </c>
      <c r="J11" s="54">
        <v>0.11</v>
      </c>
      <c r="K11" s="54">
        <v>324.73</v>
      </c>
      <c r="L11" s="54">
        <v>20.78</v>
      </c>
      <c r="M11" s="54">
        <v>60.40</v>
      </c>
      <c r="N11" s="54">
        <v>50.10</v>
      </c>
      <c r="O11" s="54">
        <v>0</v>
      </c>
      <c r="P11" s="54">
        <v>0.77</v>
      </c>
      <c r="Q11" s="54">
        <v>9.7100000000000009</v>
      </c>
      <c r="R11" s="43"/>
      <c r="S11" s="43"/>
      <c r="T11" s="43"/>
      <c r="U11" s="43"/>
    </row>
    <row r="12" spans="1:21" s="11" customFormat="1" ht="15">
      <c r="A12" s="53" t="s">
        <v>89</v>
      </c>
      <c r="B12" s="54">
        <v>26.07</v>
      </c>
      <c r="C12" s="54">
        <v>56.23</v>
      </c>
      <c r="D12" s="54">
        <v>52.58</v>
      </c>
      <c r="E12" s="54">
        <v>4.68</v>
      </c>
      <c r="F12" s="54">
        <v>3.46</v>
      </c>
      <c r="G12" s="54">
        <v>53.35</v>
      </c>
      <c r="H12" s="54">
        <v>26.13</v>
      </c>
      <c r="I12" s="54">
        <v>1.51</v>
      </c>
      <c r="J12" s="54">
        <v>0.16</v>
      </c>
      <c r="K12" s="54">
        <v>274.11</v>
      </c>
      <c r="L12" s="54">
        <v>19.04</v>
      </c>
      <c r="M12" s="54">
        <v>66.28</v>
      </c>
      <c r="N12" s="54">
        <v>50.80</v>
      </c>
      <c r="O12" s="54">
        <v>0</v>
      </c>
      <c r="P12" s="54">
        <v>0.72</v>
      </c>
      <c r="Q12" s="54">
        <v>9.69</v>
      </c>
      <c r="R12" s="43"/>
      <c r="S12" s="43"/>
      <c r="T12" s="43"/>
      <c r="U12" s="43"/>
    </row>
    <row r="13" spans="1:21" s="11" customFormat="1" ht="15">
      <c r="A13" s="53" t="s">
        <v>90</v>
      </c>
      <c r="B13" s="54">
        <v>28.17</v>
      </c>
      <c r="C13" s="54">
        <v>57.38</v>
      </c>
      <c r="D13" s="54">
        <v>54.91</v>
      </c>
      <c r="E13" s="54">
        <v>4.43</v>
      </c>
      <c r="F13" s="54">
        <v>3.30</v>
      </c>
      <c r="G13" s="54">
        <v>64.760000000000005</v>
      </c>
      <c r="H13" s="54">
        <v>25.87</v>
      </c>
      <c r="I13" s="54">
        <v>1.53</v>
      </c>
      <c r="J13" s="54">
        <v>0.18</v>
      </c>
      <c r="K13" s="54">
        <v>293.73</v>
      </c>
      <c r="L13" s="54">
        <v>18.399999999999999</v>
      </c>
      <c r="M13" s="54">
        <v>70.900000000000006</v>
      </c>
      <c r="N13" s="54">
        <v>51.5</v>
      </c>
      <c r="O13" s="54">
        <v>0</v>
      </c>
      <c r="P13" s="54">
        <v>0.67</v>
      </c>
      <c r="Q13" s="54">
        <v>9.56</v>
      </c>
      <c r="R13" s="43"/>
      <c r="S13" s="43"/>
      <c r="T13" s="43"/>
      <c r="U13" s="43"/>
    </row>
    <row r="14" spans="1:21" s="11" customFormat="1" ht="15">
      <c r="A14" s="53" t="s">
        <v>91</v>
      </c>
      <c r="B14" s="54">
        <v>30.5</v>
      </c>
      <c r="C14" s="54">
        <v>57.70</v>
      </c>
      <c r="D14" s="54">
        <v>56.95</v>
      </c>
      <c r="E14" s="54">
        <v>4.26</v>
      </c>
      <c r="F14" s="54">
        <v>3.53</v>
      </c>
      <c r="G14" s="54">
        <v>75.97</v>
      </c>
      <c r="H14" s="54">
        <v>23.16</v>
      </c>
      <c r="I14" s="54">
        <v>1.53</v>
      </c>
      <c r="J14" s="54">
        <v>0.49</v>
      </c>
      <c r="K14" s="54">
        <v>257.31</v>
      </c>
      <c r="L14" s="54">
        <v>19.02</v>
      </c>
      <c r="M14" s="54">
        <v>66.260000000000005</v>
      </c>
      <c r="N14" s="54">
        <v>58.90</v>
      </c>
      <c r="O14" s="54">
        <v>0</v>
      </c>
      <c r="P14" s="54">
        <v>0.65</v>
      </c>
      <c r="Q14" s="54">
        <v>9.66</v>
      </c>
      <c r="R14" s="43"/>
      <c r="S14" s="43"/>
      <c r="T14" s="43"/>
      <c r="U14" s="43"/>
    </row>
    <row r="15" spans="1:21" s="11" customFormat="1" ht="15">
      <c r="A15" s="53" t="s">
        <v>92</v>
      </c>
      <c r="B15" s="54">
        <v>29.65</v>
      </c>
      <c r="C15" s="54">
        <v>55.32</v>
      </c>
      <c r="D15" s="54">
        <v>54.96</v>
      </c>
      <c r="E15" s="54">
        <v>4.3899999999999997</v>
      </c>
      <c r="F15" s="54">
        <v>3.46</v>
      </c>
      <c r="G15" s="54">
        <v>75.97</v>
      </c>
      <c r="H15" s="54">
        <v>22.97</v>
      </c>
      <c r="I15" s="54">
        <v>1.48</v>
      </c>
      <c r="J15" s="54">
        <v>0.57999999999999996</v>
      </c>
      <c r="K15" s="54">
        <v>178.48</v>
      </c>
      <c r="L15" s="54">
        <v>19.93</v>
      </c>
      <c r="M15" s="54">
        <v>62.13</v>
      </c>
      <c r="N15" s="54">
        <v>117.20</v>
      </c>
      <c r="O15" s="54">
        <v>0</v>
      </c>
      <c r="P15" s="54">
        <v>0.62</v>
      </c>
      <c r="Q15" s="54">
        <v>9.84</v>
      </c>
      <c r="R15" s="43"/>
      <c r="S15" s="43"/>
      <c r="T15" s="43"/>
      <c r="U15" s="43"/>
    </row>
    <row r="16" spans="1:21" s="11" customFormat="1" ht="15">
      <c r="A16" s="53" t="s">
        <v>93</v>
      </c>
      <c r="B16" s="54">
        <v>30.15</v>
      </c>
      <c r="C16" s="54">
        <v>56.16</v>
      </c>
      <c r="D16" s="54">
        <v>55.51</v>
      </c>
      <c r="E16" s="54">
        <v>4.63</v>
      </c>
      <c r="F16" s="54">
        <v>3.22</v>
      </c>
      <c r="G16" s="54">
        <v>60.73</v>
      </c>
      <c r="H16" s="54">
        <v>20.61</v>
      </c>
      <c r="I16" s="54">
        <v>1.54</v>
      </c>
      <c r="J16" s="54">
        <v>0.18</v>
      </c>
      <c r="K16" s="54">
        <v>340.87</v>
      </c>
      <c r="L16" s="54">
        <v>23.89</v>
      </c>
      <c r="M16" s="54">
        <v>50.73</v>
      </c>
      <c r="N16" s="54">
        <v>298.39999999999998</v>
      </c>
      <c r="O16" s="54">
        <v>0</v>
      </c>
      <c r="P16" s="54">
        <v>0.61</v>
      </c>
      <c r="Q16" s="54">
        <v>9.85</v>
      </c>
      <c r="R16" s="43"/>
      <c r="S16" s="43"/>
      <c r="T16" s="43"/>
      <c r="U16" s="43"/>
    </row>
    <row r="17" spans="1:21" s="11" customFormat="1" ht="15">
      <c r="A17" s="53" t="s">
        <v>94</v>
      </c>
      <c r="B17" s="54">
        <v>26.70</v>
      </c>
      <c r="C17" s="54">
        <v>60.24</v>
      </c>
      <c r="D17" s="54">
        <v>53.66</v>
      </c>
      <c r="E17" s="54">
        <v>5.63</v>
      </c>
      <c r="F17" s="54">
        <v>3.26</v>
      </c>
      <c r="G17" s="54">
        <v>58.93</v>
      </c>
      <c r="H17" s="54">
        <v>21.32</v>
      </c>
      <c r="I17" s="54">
        <v>1.59</v>
      </c>
      <c r="J17" s="54">
        <v>0.48</v>
      </c>
      <c r="K17" s="54">
        <v>333.98</v>
      </c>
      <c r="L17" s="54">
        <v>30.27</v>
      </c>
      <c r="M17" s="54">
        <v>39.64</v>
      </c>
      <c r="N17" s="54">
        <v>485.20</v>
      </c>
      <c r="O17" s="54">
        <v>0</v>
      </c>
      <c r="P17" s="54">
        <v>0.64</v>
      </c>
      <c r="Q17" s="54">
        <v>9.67</v>
      </c>
      <c r="R17" s="43"/>
      <c r="S17" s="43"/>
      <c r="T17" s="43"/>
      <c r="U17" s="43"/>
    </row>
    <row r="18" spans="1:21" s="11" customFormat="1" ht="15">
      <c r="A18" s="53" t="s">
        <v>95</v>
      </c>
      <c r="B18" s="54">
        <v>21.25</v>
      </c>
      <c r="C18" s="54">
        <v>65.89</v>
      </c>
      <c r="D18" s="54">
        <v>52.03</v>
      </c>
      <c r="E18" s="54">
        <v>5.37</v>
      </c>
      <c r="F18" s="54">
        <v>3.57</v>
      </c>
      <c r="G18" s="54">
        <v>67.61</v>
      </c>
      <c r="H18" s="54">
        <v>24.61</v>
      </c>
      <c r="I18" s="54">
        <v>1.54</v>
      </c>
      <c r="J18" s="54">
        <v>0.67</v>
      </c>
      <c r="K18" s="54">
        <v>315.56</v>
      </c>
      <c r="L18" s="54">
        <v>32.770000000000003</v>
      </c>
      <c r="M18" s="54">
        <v>33.07</v>
      </c>
      <c r="N18" s="54">
        <v>648.20000000000005</v>
      </c>
      <c r="O18" s="54">
        <v>0</v>
      </c>
      <c r="P18" s="54">
        <v>0.89</v>
      </c>
      <c r="Q18" s="54">
        <v>9.5299999999999994</v>
      </c>
      <c r="R18" s="43"/>
      <c r="S18" s="43"/>
      <c r="T18" s="43"/>
      <c r="U18" s="43"/>
    </row>
    <row r="19" spans="1:21" s="11" customFormat="1" ht="15">
      <c r="A19" s="53" t="s">
        <v>96</v>
      </c>
      <c r="B19" s="54">
        <v>14.80</v>
      </c>
      <c r="C19" s="54">
        <v>68.59</v>
      </c>
      <c r="D19" s="54">
        <v>48.56</v>
      </c>
      <c r="E19" s="54">
        <v>5.39</v>
      </c>
      <c r="F19" s="54">
        <v>5.82</v>
      </c>
      <c r="G19" s="54">
        <v>73.260000000000005</v>
      </c>
      <c r="H19" s="54">
        <v>24.61</v>
      </c>
      <c r="I19" s="54">
        <v>1.55</v>
      </c>
      <c r="J19" s="54">
        <v>0.71</v>
      </c>
      <c r="K19" s="54">
        <v>322.45</v>
      </c>
      <c r="L19" s="54">
        <v>33.35</v>
      </c>
      <c r="M19" s="54">
        <v>32.32</v>
      </c>
      <c r="N19" s="54">
        <v>748.10</v>
      </c>
      <c r="O19" s="54">
        <v>0</v>
      </c>
      <c r="P19" s="54">
        <v>0.90</v>
      </c>
      <c r="Q19" s="54">
        <v>9.44</v>
      </c>
      <c r="R19" s="43"/>
      <c r="S19" s="43"/>
      <c r="T19" s="43"/>
      <c r="U19" s="43"/>
    </row>
    <row r="20" spans="1:21" s="11" customFormat="1" ht="15">
      <c r="A20" s="53" t="s">
        <v>97</v>
      </c>
      <c r="B20" s="54">
        <v>3.57</v>
      </c>
      <c r="C20" s="54">
        <v>66.81</v>
      </c>
      <c r="D20" s="54">
        <v>40.380000000000003</v>
      </c>
      <c r="E20" s="54">
        <v>4.34</v>
      </c>
      <c r="F20" s="54">
        <v>6.05</v>
      </c>
      <c r="G20" s="55" t="s">
        <v>12</v>
      </c>
      <c r="H20" s="55" t="s">
        <v>12</v>
      </c>
      <c r="I20" s="54">
        <v>1.59</v>
      </c>
      <c r="J20" s="54">
        <v>0.68</v>
      </c>
      <c r="K20" s="54">
        <v>346.5</v>
      </c>
      <c r="L20" s="54">
        <v>33.17</v>
      </c>
      <c r="M20" s="54">
        <v>31.41</v>
      </c>
      <c r="N20" s="54">
        <v>778.90</v>
      </c>
      <c r="O20" s="54">
        <v>0</v>
      </c>
      <c r="P20" s="54">
        <v>0.72</v>
      </c>
      <c r="Q20" s="54">
        <v>9.3000000000000007</v>
      </c>
      <c r="R20" s="43"/>
      <c r="S20" s="43"/>
      <c r="T20" s="43"/>
      <c r="U20" s="43"/>
    </row>
    <row r="21" spans="1:21" s="11" customFormat="1" ht="15">
      <c r="A21" s="53" t="s">
        <v>98</v>
      </c>
      <c r="B21" s="54">
        <v>2.72</v>
      </c>
      <c r="C21" s="54">
        <v>58.43</v>
      </c>
      <c r="D21" s="54">
        <v>35.08</v>
      </c>
      <c r="E21" s="54">
        <v>4.87</v>
      </c>
      <c r="F21" s="54">
        <v>10.84</v>
      </c>
      <c r="G21" s="54">
        <v>46.41</v>
      </c>
      <c r="H21" s="54">
        <v>21.85</v>
      </c>
      <c r="I21" s="54">
        <v>1.57</v>
      </c>
      <c r="J21" s="54">
        <v>1.32</v>
      </c>
      <c r="K21" s="54">
        <v>342.63</v>
      </c>
      <c r="L21" s="54">
        <v>34.31</v>
      </c>
      <c r="M21" s="54">
        <v>31.03</v>
      </c>
      <c r="N21" s="54">
        <v>771.80</v>
      </c>
      <c r="O21" s="54">
        <v>0</v>
      </c>
      <c r="P21" s="54">
        <v>0.68</v>
      </c>
      <c r="Q21" s="54">
        <v>9.23</v>
      </c>
      <c r="R21" s="43"/>
      <c r="S21" s="43"/>
      <c r="T21" s="43"/>
      <c r="U21" s="43"/>
    </row>
    <row r="22" spans="1:21" s="11" customFormat="1" ht="15">
      <c r="A22" s="53" t="s">
        <v>99</v>
      </c>
      <c r="B22" s="54">
        <v>1.97</v>
      </c>
      <c r="C22" s="54">
        <v>55</v>
      </c>
      <c r="D22" s="54">
        <v>32.46</v>
      </c>
      <c r="E22" s="54">
        <v>5.0999999999999996</v>
      </c>
      <c r="F22" s="54">
        <v>7.80</v>
      </c>
      <c r="G22" s="54">
        <v>58.31</v>
      </c>
      <c r="H22" s="54">
        <v>25.03</v>
      </c>
      <c r="I22" s="54">
        <v>1.55</v>
      </c>
      <c r="J22" s="54">
        <v>0.93</v>
      </c>
      <c r="K22" s="54">
        <v>343.13</v>
      </c>
      <c r="L22" s="54">
        <v>34.049999999999997</v>
      </c>
      <c r="M22" s="54">
        <v>31.99</v>
      </c>
      <c r="N22" s="54">
        <v>705.5</v>
      </c>
      <c r="O22" s="54">
        <v>0</v>
      </c>
      <c r="P22" s="54">
        <v>0.56999999999999995</v>
      </c>
      <c r="Q22" s="54">
        <v>9.11</v>
      </c>
      <c r="R22" s="43"/>
      <c r="S22" s="43"/>
      <c r="T22" s="43"/>
      <c r="U22" s="43"/>
    </row>
    <row r="23" spans="1:21" s="11" customFormat="1" ht="15">
      <c r="A23" s="53" t="s">
        <v>100</v>
      </c>
      <c r="B23" s="54">
        <v>2.2400000000000002</v>
      </c>
      <c r="C23" s="54">
        <v>49.08</v>
      </c>
      <c r="D23" s="54">
        <v>29.20</v>
      </c>
      <c r="E23" s="54">
        <v>4.9400000000000004</v>
      </c>
      <c r="F23" s="54">
        <v>6.80</v>
      </c>
      <c r="G23" s="54">
        <v>58.31</v>
      </c>
      <c r="H23" s="54">
        <v>25.03</v>
      </c>
      <c r="I23" s="54">
        <v>1.59</v>
      </c>
      <c r="J23" s="54">
        <v>0.90</v>
      </c>
      <c r="K23" s="54">
        <v>333.56</v>
      </c>
      <c r="L23" s="54">
        <v>33.47</v>
      </c>
      <c r="M23" s="54">
        <v>33.549999999999997</v>
      </c>
      <c r="N23" s="54">
        <v>587.40</v>
      </c>
      <c r="O23" s="54">
        <v>0</v>
      </c>
      <c r="P23" s="54">
        <v>0.52</v>
      </c>
      <c r="Q23" s="54">
        <v>9.0299999999999994</v>
      </c>
      <c r="R23" s="43"/>
      <c r="S23" s="43"/>
      <c r="T23" s="43"/>
      <c r="U23" s="43"/>
    </row>
    <row r="24" spans="1:21" s="11" customFormat="1" ht="15">
      <c r="A24" s="53" t="s">
        <v>101</v>
      </c>
      <c r="B24" s="54">
        <v>3.34</v>
      </c>
      <c r="C24" s="54">
        <v>50.60</v>
      </c>
      <c r="D24" s="54">
        <v>31.24</v>
      </c>
      <c r="E24" s="54">
        <v>4.7300000000000004</v>
      </c>
      <c r="F24" s="54">
        <v>4.79</v>
      </c>
      <c r="G24" s="54">
        <v>54.25</v>
      </c>
      <c r="H24" s="54">
        <v>22.38</v>
      </c>
      <c r="I24" s="54">
        <v>1.51</v>
      </c>
      <c r="J24" s="54">
        <v>2.23</v>
      </c>
      <c r="K24" s="54">
        <v>350.84</v>
      </c>
      <c r="L24" s="54">
        <v>31.16</v>
      </c>
      <c r="M24" s="54">
        <v>37.99</v>
      </c>
      <c r="N24" s="54">
        <v>273.89999999999998</v>
      </c>
      <c r="O24" s="54">
        <v>0</v>
      </c>
      <c r="P24" s="54">
        <v>0.53</v>
      </c>
      <c r="Q24" s="54">
        <v>9.0500000000000007</v>
      </c>
      <c r="R24" s="43"/>
      <c r="S24" s="43"/>
      <c r="T24" s="43"/>
      <c r="U24" s="43"/>
    </row>
    <row r="25" spans="1:21" s="11" customFormat="1" ht="15">
      <c r="A25" s="53" t="s">
        <v>102</v>
      </c>
      <c r="B25" s="54">
        <v>2.5499999999999998</v>
      </c>
      <c r="C25" s="54">
        <v>55.69</v>
      </c>
      <c r="D25" s="54">
        <v>33.31</v>
      </c>
      <c r="E25" s="54">
        <v>3.45</v>
      </c>
      <c r="F25" s="54">
        <v>7.67</v>
      </c>
      <c r="G25" s="54">
        <v>54.25</v>
      </c>
      <c r="H25" s="54">
        <v>22.15</v>
      </c>
      <c r="I25" s="54">
        <v>1.53</v>
      </c>
      <c r="J25" s="54">
        <v>1.94</v>
      </c>
      <c r="K25" s="54">
        <v>352.89</v>
      </c>
      <c r="L25" s="54">
        <v>28.75</v>
      </c>
      <c r="M25" s="54">
        <v>39.07</v>
      </c>
      <c r="N25" s="54">
        <v>140.40</v>
      </c>
      <c r="O25" s="54">
        <v>0</v>
      </c>
      <c r="P25" s="54">
        <v>0.54</v>
      </c>
      <c r="Q25" s="54">
        <v>9</v>
      </c>
      <c r="R25" s="43"/>
      <c r="S25" s="43"/>
      <c r="T25" s="43"/>
      <c r="U25" s="43"/>
    </row>
    <row r="26" spans="1:21" s="11" customFormat="1" ht="15">
      <c r="A26" s="53" t="s">
        <v>103</v>
      </c>
      <c r="B26" s="54">
        <v>2.5</v>
      </c>
      <c r="C26" s="54">
        <v>61.11</v>
      </c>
      <c r="D26" s="54">
        <v>36.380000000000003</v>
      </c>
      <c r="E26" s="54">
        <v>3.64</v>
      </c>
      <c r="F26" s="54">
        <v>6.25</v>
      </c>
      <c r="G26" s="54">
        <v>56.53</v>
      </c>
      <c r="H26" s="54">
        <v>22.21</v>
      </c>
      <c r="I26" s="54">
        <v>1.53</v>
      </c>
      <c r="J26" s="54">
        <v>1.72</v>
      </c>
      <c r="K26" s="54">
        <v>353.64</v>
      </c>
      <c r="L26" s="54">
        <v>27.39</v>
      </c>
      <c r="M26" s="54">
        <v>40.619999999999997</v>
      </c>
      <c r="N26" s="54">
        <v>78.70</v>
      </c>
      <c r="O26" s="54">
        <v>0</v>
      </c>
      <c r="P26" s="54">
        <v>0.59</v>
      </c>
      <c r="Q26" s="54">
        <v>8.9700000000000006</v>
      </c>
      <c r="R26" s="43"/>
      <c r="S26" s="43"/>
      <c r="T26" s="43"/>
      <c r="U26" s="43"/>
    </row>
    <row r="27" spans="1:21" s="11" customFormat="1" ht="15">
      <c r="A27" s="53" t="s">
        <v>104</v>
      </c>
      <c r="B27" s="54">
        <v>5.23</v>
      </c>
      <c r="C27" s="54">
        <v>69.09</v>
      </c>
      <c r="D27" s="54">
        <v>42.97</v>
      </c>
      <c r="E27" s="54">
        <v>3.45</v>
      </c>
      <c r="F27" s="54">
        <v>4.22</v>
      </c>
      <c r="G27" s="54">
        <v>58.07</v>
      </c>
      <c r="H27" s="54">
        <v>23.20</v>
      </c>
      <c r="I27" s="54">
        <v>1.55</v>
      </c>
      <c r="J27" s="54">
        <v>1.1499999999999999</v>
      </c>
      <c r="K27" s="54">
        <v>354.46</v>
      </c>
      <c r="L27" s="54">
        <v>25.99</v>
      </c>
      <c r="M27" s="54">
        <v>43.35</v>
      </c>
      <c r="N27" s="54">
        <v>32.5</v>
      </c>
      <c r="O27" s="54">
        <v>0</v>
      </c>
      <c r="P27" s="54">
        <v>0.73</v>
      </c>
      <c r="Q27" s="54">
        <v>9.10</v>
      </c>
      <c r="R27" s="43"/>
      <c r="S27" s="43"/>
      <c r="T27" s="43"/>
      <c r="U27" s="43"/>
    </row>
    <row r="28" spans="1:21" s="11" customFormat="1" ht="15">
      <c r="A28" s="53" t="s">
        <v>105</v>
      </c>
      <c r="B28" s="54">
        <v>6.77</v>
      </c>
      <c r="C28" s="54">
        <v>70.73</v>
      </c>
      <c r="D28" s="54">
        <v>44.31</v>
      </c>
      <c r="E28" s="54">
        <v>4.6500000000000004</v>
      </c>
      <c r="F28" s="54">
        <v>3.75</v>
      </c>
      <c r="G28" s="54">
        <v>66.42</v>
      </c>
      <c r="H28" s="54">
        <v>25.06</v>
      </c>
      <c r="I28" s="54">
        <v>1.55</v>
      </c>
      <c r="J28" s="54">
        <v>0.47</v>
      </c>
      <c r="K28" s="54">
        <v>356.99</v>
      </c>
      <c r="L28" s="54">
        <v>24.96</v>
      </c>
      <c r="M28" s="54">
        <v>45</v>
      </c>
      <c r="N28" s="54">
        <v>31.60</v>
      </c>
      <c r="O28" s="54">
        <v>0</v>
      </c>
      <c r="P28" s="54">
        <v>0.82</v>
      </c>
      <c r="Q28" s="54">
        <v>9.2200000000000006</v>
      </c>
      <c r="R28" s="43"/>
      <c r="S28" s="43"/>
      <c r="T28" s="43"/>
      <c r="U28" s="43"/>
    </row>
    <row r="29" spans="1:21" s="11" customFormat="1" ht="15">
      <c r="A29" s="53" t="s">
        <v>106</v>
      </c>
      <c r="B29" s="54">
        <v>8.74</v>
      </c>
      <c r="C29" s="54">
        <v>64.569999999999993</v>
      </c>
      <c r="D29" s="54">
        <v>41.94</v>
      </c>
      <c r="E29" s="54">
        <v>5.04</v>
      </c>
      <c r="F29" s="54">
        <v>3.56</v>
      </c>
      <c r="G29" s="54">
        <v>66.42</v>
      </c>
      <c r="H29" s="54">
        <v>25.06</v>
      </c>
      <c r="I29" s="54">
        <v>1.57</v>
      </c>
      <c r="J29" s="54">
        <v>0.30</v>
      </c>
      <c r="K29" s="54">
        <v>61.72</v>
      </c>
      <c r="L29" s="54">
        <v>24.07</v>
      </c>
      <c r="M29" s="54">
        <v>47.90</v>
      </c>
      <c r="N29" s="54">
        <v>31.5</v>
      </c>
      <c r="O29" s="54">
        <v>0</v>
      </c>
      <c r="P29" s="54">
        <v>0.91</v>
      </c>
      <c r="Q29" s="54">
        <v>9.36</v>
      </c>
      <c r="R29" s="43"/>
      <c r="S29" s="43"/>
      <c r="T29" s="43"/>
      <c r="U29" s="43"/>
    </row>
    <row r="30" spans="1:21" s="11" customFormat="1" ht="15">
      <c r="A30" s="53" t="s">
        <v>107</v>
      </c>
      <c r="B30" s="54">
        <v>10.26</v>
      </c>
      <c r="C30" s="54">
        <v>63.91</v>
      </c>
      <c r="D30" s="54">
        <v>44.14</v>
      </c>
      <c r="E30" s="54">
        <v>5.04</v>
      </c>
      <c r="F30" s="54">
        <v>3.68</v>
      </c>
      <c r="G30" s="54">
        <v>65.20</v>
      </c>
      <c r="H30" s="54">
        <v>24.88</v>
      </c>
      <c r="I30" s="54">
        <v>1.53</v>
      </c>
      <c r="J30" s="54">
        <v>0.93</v>
      </c>
      <c r="K30" s="54">
        <v>92.31</v>
      </c>
      <c r="L30" s="54">
        <v>23.87</v>
      </c>
      <c r="M30" s="54">
        <v>47.99</v>
      </c>
      <c r="N30" s="54">
        <v>31.5</v>
      </c>
      <c r="O30" s="54">
        <v>0</v>
      </c>
      <c r="P30" s="54">
        <v>0.94</v>
      </c>
      <c r="Q30" s="54">
        <v>9.42</v>
      </c>
      <c r="R30" s="43"/>
      <c r="S30" s="43"/>
      <c r="T30" s="43"/>
      <c r="U30" s="43"/>
    </row>
    <row r="31" spans="1:21" s="11" customFormat="1" ht="15">
      <c r="A31" s="53" t="s">
        <v>108</v>
      </c>
      <c r="B31" s="54">
        <v>9.06</v>
      </c>
      <c r="C31" s="54">
        <v>63.93</v>
      </c>
      <c r="D31" s="54">
        <v>43.19</v>
      </c>
      <c r="E31" s="54">
        <v>4.99</v>
      </c>
      <c r="F31" s="54">
        <v>4</v>
      </c>
      <c r="G31" s="54">
        <v>64.98</v>
      </c>
      <c r="H31" s="54">
        <v>24.88</v>
      </c>
      <c r="I31" s="54">
        <v>1.57</v>
      </c>
      <c r="J31" s="54">
        <v>2.17</v>
      </c>
      <c r="K31" s="54">
        <v>110.89</v>
      </c>
      <c r="L31" s="54">
        <v>23.76</v>
      </c>
      <c r="M31" s="54">
        <v>45.17</v>
      </c>
      <c r="N31" s="54">
        <v>31.40</v>
      </c>
      <c r="O31" s="54">
        <v>0</v>
      </c>
      <c r="P31" s="54">
        <v>0.89</v>
      </c>
      <c r="Q31" s="54">
        <v>9.3699999999999992</v>
      </c>
      <c r="R31" s="43"/>
      <c r="S31" s="43"/>
      <c r="T31" s="43"/>
      <c r="U31" s="43"/>
    </row>
    <row r="32" spans="1:21" s="11" customFormat="1" ht="15">
      <c r="A32" s="53" t="s">
        <v>109</v>
      </c>
      <c r="B32" s="54">
        <v>4.92</v>
      </c>
      <c r="C32" s="54">
        <v>60.19</v>
      </c>
      <c r="D32" s="54">
        <v>37.81</v>
      </c>
      <c r="E32" s="54">
        <v>4.91</v>
      </c>
      <c r="F32" s="54">
        <v>4</v>
      </c>
      <c r="G32" s="54">
        <v>63.37</v>
      </c>
      <c r="H32" s="54">
        <v>24.03</v>
      </c>
      <c r="I32" s="54">
        <v>1.58</v>
      </c>
      <c r="J32" s="54">
        <v>1.73</v>
      </c>
      <c r="K32" s="54">
        <v>100.73</v>
      </c>
      <c r="L32" s="54">
        <v>23.48</v>
      </c>
      <c r="M32" s="54">
        <v>46.76</v>
      </c>
      <c r="N32" s="54">
        <v>31.20</v>
      </c>
      <c r="O32" s="54">
        <v>0</v>
      </c>
      <c r="P32" s="54">
        <v>0.74</v>
      </c>
      <c r="Q32" s="54">
        <v>9.27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1.97</v>
      </c>
      <c r="C34" s="28">
        <f t="shared" si="0"/>
        <v>49.079999999999998</v>
      </c>
      <c r="D34" s="28">
        <f t="shared" si="0"/>
        <v>29.199999999999999</v>
      </c>
      <c r="E34" s="28">
        <f t="shared" si="0"/>
        <v>3.4500000000000002</v>
      </c>
      <c r="F34" s="28">
        <f t="shared" si="0"/>
        <v>3.2200000000000002</v>
      </c>
      <c r="G34" s="28">
        <f t="shared" si="0"/>
        <v>46.409999999999997</v>
      </c>
      <c r="H34" s="28">
        <f t="shared" si="0"/>
        <v>20.609999999999999</v>
      </c>
      <c r="I34" s="28">
        <f t="shared" si="0"/>
        <v>1.48</v>
      </c>
      <c r="J34" s="28">
        <f t="shared" si="0"/>
        <v>0.11</v>
      </c>
      <c r="K34" s="28">
        <f t="shared" si="0"/>
        <v>61.719999999999999</v>
      </c>
      <c r="L34" s="28">
        <f t="shared" si="0"/>
        <v>18.399999999999999</v>
      </c>
      <c r="M34" s="28">
        <f t="shared" si="0"/>
        <v>31.030000000000001</v>
      </c>
      <c r="N34" s="28">
        <f t="shared" si="0"/>
        <v>31.199999999999999</v>
      </c>
      <c r="O34" s="28">
        <f t="shared" si="0"/>
        <v>0</v>
      </c>
      <c r="P34" s="28">
        <f t="shared" si="0"/>
        <v>0.52000000000000002</v>
      </c>
      <c r="Q34" s="28">
        <f t="shared" si="0"/>
        <v>8.9700000000000006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38</v>
      </c>
      <c r="C35" s="29">
        <f t="shared" si="1"/>
        <v>70.730000000000004</v>
      </c>
      <c r="D35" s="29">
        <f t="shared" si="1"/>
        <v>68.730000000000004</v>
      </c>
      <c r="E35" s="29">
        <f t="shared" si="1"/>
        <v>5.6299999999999999</v>
      </c>
      <c r="F35" s="29">
        <f t="shared" si="1"/>
        <v>10.84</v>
      </c>
      <c r="G35" s="29">
        <f t="shared" si="1"/>
        <v>75.969999999999999</v>
      </c>
      <c r="H35" s="29">
        <f t="shared" si="1"/>
        <v>33.490000000000002</v>
      </c>
      <c r="I35" s="29">
        <f t="shared" si="1"/>
        <v>1.5900000000000001</v>
      </c>
      <c r="J35" s="29">
        <f t="shared" si="1"/>
        <v>2.23</v>
      </c>
      <c r="K35" s="29">
        <f t="shared" si="1"/>
        <v>359.10000000000002</v>
      </c>
      <c r="L35" s="29">
        <f t="shared" si="1"/>
        <v>34.310000000000002</v>
      </c>
      <c r="M35" s="29">
        <f t="shared" si="1"/>
        <v>70.900000000000006</v>
      </c>
      <c r="N35" s="29">
        <f t="shared" si="1"/>
        <v>778.89999999999998</v>
      </c>
      <c r="O35" s="29">
        <f t="shared" si="1"/>
        <v>0</v>
      </c>
      <c r="P35" s="29">
        <f t="shared" si="1"/>
        <v>0.93999999999999995</v>
      </c>
      <c r="Q35" s="29">
        <f t="shared" si="1"/>
        <v>9.8499999999999996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15.559583333333336</v>
      </c>
      <c r="C36" s="28">
        <f t="shared" si="2"/>
        <v>60.797083333333326</v>
      </c>
      <c r="D36" s="28">
        <f t="shared" si="2"/>
        <v>46.309583333333343</v>
      </c>
      <c r="E36" s="28">
        <f t="shared" si="2"/>
        <v>4.6687500000000011</v>
      </c>
      <c r="F36" s="28">
        <f t="shared" si="2"/>
        <v>4.7158333333333333</v>
      </c>
      <c r="G36" s="28">
        <f t="shared" si="2"/>
        <v>62.917391304347824</v>
      </c>
      <c r="H36" s="28">
        <f t="shared" si="2"/>
        <v>24.62043478260869</v>
      </c>
      <c r="I36" s="28">
        <f t="shared" si="2"/>
        <v>1.5458333333333334</v>
      </c>
      <c r="J36" s="28">
        <f t="shared" si="2"/>
        <v>0.86041666666666672</v>
      </c>
      <c r="K36" s="28">
        <f t="shared" si="2"/>
        <v>278.91333333333336</v>
      </c>
      <c r="L36" s="28">
        <f t="shared" si="2"/>
        <v>26.317916666666672</v>
      </c>
      <c r="M36" s="28">
        <f t="shared" si="2"/>
        <v>45.848333333333336</v>
      </c>
      <c r="N36" s="28">
        <f t="shared" si="2"/>
        <v>255.94999999999993</v>
      </c>
      <c r="O36" s="28">
        <f t="shared" si="2"/>
        <v>0</v>
      </c>
      <c r="P36" s="28">
        <f t="shared" si="2"/>
        <v>0.72416666666666651</v>
      </c>
      <c r="Q36" s="28">
        <f t="shared" si="2"/>
        <v>9.4125000000000014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12.688059254469431</v>
      </c>
      <c r="C37" s="28">
        <f t="shared" si="3" ref="C37:Q37">STDEV(C9:C32)</f>
        <v>5.8826742507621237</v>
      </c>
      <c r="D37" s="28">
        <f t="shared" si="3"/>
        <v>10.769281789126971</v>
      </c>
      <c r="E37" s="28">
        <f t="shared" si="3"/>
        <v>0.55672421163990427</v>
      </c>
      <c r="F37" s="28">
        <f t="shared" si="3"/>
        <v>1.9519397635633391</v>
      </c>
      <c r="G37" s="28">
        <f t="shared" si="3"/>
        <v>7.5182149824102869</v>
      </c>
      <c r="H37" s="28">
        <f t="shared" si="3"/>
        <v>2.9600652300258834</v>
      </c>
      <c r="I37" s="28">
        <f t="shared" si="3"/>
        <v>0.029328227487119524</v>
      </c>
      <c r="J37" s="28">
        <f t="shared" si="3"/>
        <v>0.66252139697467527</v>
      </c>
      <c r="K37" s="28">
        <f t="shared" si="3"/>
        <v>98.357948670489463</v>
      </c>
      <c r="L37" s="28">
        <f t="shared" si="3"/>
        <v>5.3428692659238255</v>
      </c>
      <c r="M37" s="28">
        <f t="shared" si="3"/>
        <v>12.003187137142989</v>
      </c>
      <c r="N37" s="28">
        <f t="shared" si="3"/>
        <v>288.5428835583611</v>
      </c>
      <c r="O37" s="28">
        <f t="shared" si="3"/>
        <v>0</v>
      </c>
      <c r="P37" s="28">
        <f t="shared" si="3"/>
        <v>0.13493691494358764</v>
      </c>
      <c r="Q37" s="28">
        <f t="shared" si="3"/>
        <v>0.28640576263330519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42dedb-7786-470f-a5e8-71b53e5534d9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110</v>
      </c>
      <c r="B9" s="54">
        <v>3.74</v>
      </c>
      <c r="C9" s="54">
        <v>54.81</v>
      </c>
      <c r="D9" s="54">
        <v>33.69</v>
      </c>
      <c r="E9" s="54">
        <v>4.34</v>
      </c>
      <c r="F9" s="54">
        <v>3.80</v>
      </c>
      <c r="G9" s="54">
        <v>61.58</v>
      </c>
      <c r="H9" s="54">
        <v>22.51</v>
      </c>
      <c r="I9" s="54">
        <v>1.51</v>
      </c>
      <c r="J9" s="54">
        <v>1.21</v>
      </c>
      <c r="K9" s="54">
        <v>183.88</v>
      </c>
      <c r="L9" s="54">
        <v>23.40</v>
      </c>
      <c r="M9" s="54">
        <v>48.87</v>
      </c>
      <c r="N9" s="54">
        <v>31.60</v>
      </c>
      <c r="O9" s="54">
        <v>0</v>
      </c>
      <c r="P9" s="54">
        <v>0.63</v>
      </c>
      <c r="Q9" s="54">
        <v>9.25</v>
      </c>
      <c r="R9" s="43"/>
      <c r="S9" s="43"/>
      <c r="T9" s="43"/>
      <c r="U9" s="43"/>
    </row>
    <row r="10" spans="1:21" s="11" customFormat="1" ht="15">
      <c r="A10" s="53" t="s">
        <v>111</v>
      </c>
      <c r="B10" s="54">
        <v>3.99</v>
      </c>
      <c r="C10" s="54">
        <v>51.86</v>
      </c>
      <c r="D10" s="54">
        <v>32.29</v>
      </c>
      <c r="E10" s="54">
        <v>4.3899999999999997</v>
      </c>
      <c r="F10" s="54">
        <v>3.81</v>
      </c>
      <c r="G10" s="54">
        <v>57.75</v>
      </c>
      <c r="H10" s="54">
        <v>21.91</v>
      </c>
      <c r="I10" s="54">
        <v>1.52</v>
      </c>
      <c r="J10" s="54">
        <v>0.26</v>
      </c>
      <c r="K10" s="54">
        <v>299.36</v>
      </c>
      <c r="L10" s="54">
        <v>22.53</v>
      </c>
      <c r="M10" s="54">
        <v>59.40</v>
      </c>
      <c r="N10" s="54">
        <v>32</v>
      </c>
      <c r="O10" s="54">
        <v>0</v>
      </c>
      <c r="P10" s="54">
        <v>0.56000000000000005</v>
      </c>
      <c r="Q10" s="54">
        <v>9.25</v>
      </c>
      <c r="R10" s="43"/>
      <c r="S10" s="43"/>
      <c r="T10" s="43"/>
      <c r="U10" s="43"/>
    </row>
    <row r="11" spans="1:21" s="11" customFormat="1" ht="15">
      <c r="A11" s="53" t="s">
        <v>112</v>
      </c>
      <c r="B11" s="54">
        <v>4.87</v>
      </c>
      <c r="C11" s="54">
        <v>51.32</v>
      </c>
      <c r="D11" s="54">
        <v>32.869999999999997</v>
      </c>
      <c r="E11" s="54">
        <v>4.17</v>
      </c>
      <c r="F11" s="54">
        <v>3.63</v>
      </c>
      <c r="G11" s="54">
        <v>56.26</v>
      </c>
      <c r="H11" s="54">
        <v>21.91</v>
      </c>
      <c r="I11" s="54">
        <v>1.5</v>
      </c>
      <c r="J11" s="54">
        <v>0.16</v>
      </c>
      <c r="K11" s="54">
        <v>317.17</v>
      </c>
      <c r="L11" s="54">
        <v>21.03</v>
      </c>
      <c r="M11" s="54">
        <v>68.83</v>
      </c>
      <c r="N11" s="54">
        <v>31.70</v>
      </c>
      <c r="O11" s="54">
        <v>0</v>
      </c>
      <c r="P11" s="54">
        <v>0.53</v>
      </c>
      <c r="Q11" s="54">
        <v>9.17</v>
      </c>
      <c r="R11" s="43"/>
      <c r="S11" s="43"/>
      <c r="T11" s="43"/>
      <c r="U11" s="43"/>
    </row>
    <row r="12" spans="1:21" s="11" customFormat="1" ht="15">
      <c r="A12" s="53" t="s">
        <v>113</v>
      </c>
      <c r="B12" s="54">
        <v>8.31</v>
      </c>
      <c r="C12" s="54">
        <v>53.59</v>
      </c>
      <c r="D12" s="54">
        <v>36.880000000000003</v>
      </c>
      <c r="E12" s="54">
        <v>4.6100000000000003</v>
      </c>
      <c r="F12" s="54">
        <v>3.43</v>
      </c>
      <c r="G12" s="54">
        <v>65.05</v>
      </c>
      <c r="H12" s="54">
        <v>23.19</v>
      </c>
      <c r="I12" s="54">
        <v>1.51</v>
      </c>
      <c r="J12" s="54">
        <v>0.11</v>
      </c>
      <c r="K12" s="54">
        <v>325.31</v>
      </c>
      <c r="L12" s="54">
        <v>20.46</v>
      </c>
      <c r="M12" s="54">
        <v>71.260000000000005</v>
      </c>
      <c r="N12" s="54">
        <v>31.5</v>
      </c>
      <c r="O12" s="54">
        <v>0</v>
      </c>
      <c r="P12" s="54">
        <v>0.51</v>
      </c>
      <c r="Q12" s="54">
        <v>9.19</v>
      </c>
      <c r="R12" s="43"/>
      <c r="S12" s="43"/>
      <c r="T12" s="43"/>
      <c r="U12" s="43"/>
    </row>
    <row r="13" spans="1:21" s="11" customFormat="1" ht="15">
      <c r="A13" s="53" t="s">
        <v>114</v>
      </c>
      <c r="B13" s="54">
        <v>12.11</v>
      </c>
      <c r="C13" s="54">
        <v>53.92</v>
      </c>
      <c r="D13" s="54">
        <v>39.630000000000003</v>
      </c>
      <c r="E13" s="54">
        <v>5.17</v>
      </c>
      <c r="F13" s="54">
        <v>3.45</v>
      </c>
      <c r="G13" s="54">
        <v>75.09</v>
      </c>
      <c r="H13" s="54">
        <v>26.93</v>
      </c>
      <c r="I13" s="54">
        <v>1.62</v>
      </c>
      <c r="J13" s="54">
        <v>0.37</v>
      </c>
      <c r="K13" s="54">
        <v>335.56</v>
      </c>
      <c r="L13" s="54">
        <v>20.61</v>
      </c>
      <c r="M13" s="54">
        <v>71.63</v>
      </c>
      <c r="N13" s="54">
        <v>31.60</v>
      </c>
      <c r="O13" s="54">
        <v>0</v>
      </c>
      <c r="P13" s="54">
        <v>0.56999999999999995</v>
      </c>
      <c r="Q13" s="54">
        <v>9.34</v>
      </c>
      <c r="R13" s="43"/>
      <c r="S13" s="43"/>
      <c r="T13" s="43"/>
      <c r="U13" s="43"/>
    </row>
    <row r="14" spans="1:21" s="11" customFormat="1" ht="15">
      <c r="A14" s="53" t="s">
        <v>115</v>
      </c>
      <c r="B14" s="54">
        <v>15.22</v>
      </c>
      <c r="C14" s="54">
        <v>53.38</v>
      </c>
      <c r="D14" s="54">
        <v>42.25</v>
      </c>
      <c r="E14" s="54">
        <v>5.45</v>
      </c>
      <c r="F14" s="54">
        <v>3.39</v>
      </c>
      <c r="G14" s="54">
        <v>212.94</v>
      </c>
      <c r="H14" s="54">
        <v>45.10</v>
      </c>
      <c r="I14" s="54">
        <v>1.51</v>
      </c>
      <c r="J14" s="54">
        <v>1.5</v>
      </c>
      <c r="K14" s="54">
        <v>341.18</v>
      </c>
      <c r="L14" s="54">
        <v>20.440000000000001</v>
      </c>
      <c r="M14" s="54">
        <v>77.069999999999993</v>
      </c>
      <c r="N14" s="54">
        <v>32.200000000000003</v>
      </c>
      <c r="O14" s="54">
        <v>0</v>
      </c>
      <c r="P14" s="54">
        <v>0.63</v>
      </c>
      <c r="Q14" s="54">
        <v>9.49</v>
      </c>
      <c r="R14" s="43"/>
      <c r="S14" s="43"/>
      <c r="T14" s="43"/>
      <c r="U14" s="43"/>
    </row>
    <row r="15" spans="1:21" s="11" customFormat="1" ht="15">
      <c r="A15" s="53" t="s">
        <v>116</v>
      </c>
      <c r="B15" s="54">
        <v>16.20</v>
      </c>
      <c r="C15" s="54">
        <v>54.62</v>
      </c>
      <c r="D15" s="54">
        <v>43.78</v>
      </c>
      <c r="E15" s="54">
        <v>5.43</v>
      </c>
      <c r="F15" s="54">
        <v>3.34</v>
      </c>
      <c r="G15" s="54">
        <v>212.94</v>
      </c>
      <c r="H15" s="54">
        <v>45.10</v>
      </c>
      <c r="I15" s="54">
        <v>1.53</v>
      </c>
      <c r="J15" s="54">
        <v>1.21</v>
      </c>
      <c r="K15" s="54">
        <v>350.24</v>
      </c>
      <c r="L15" s="54">
        <v>19.70</v>
      </c>
      <c r="M15" s="54">
        <v>71.72</v>
      </c>
      <c r="N15" s="54">
        <v>66.70</v>
      </c>
      <c r="O15" s="54">
        <v>0</v>
      </c>
      <c r="P15" s="54">
        <v>0.64</v>
      </c>
      <c r="Q15" s="54">
        <v>9.51</v>
      </c>
      <c r="R15" s="43"/>
      <c r="S15" s="43"/>
      <c r="T15" s="43"/>
      <c r="U15" s="43"/>
    </row>
    <row r="16" spans="1:21" s="11" customFormat="1" ht="15">
      <c r="A16" s="53" t="s">
        <v>117</v>
      </c>
      <c r="B16" s="54">
        <v>18.670000000000002</v>
      </c>
      <c r="C16" s="54">
        <v>56.45</v>
      </c>
      <c r="D16" s="54">
        <v>46.77</v>
      </c>
      <c r="E16" s="54">
        <v>5.33</v>
      </c>
      <c r="F16" s="54">
        <v>3.41</v>
      </c>
      <c r="G16" s="54">
        <v>98.46</v>
      </c>
      <c r="H16" s="54">
        <v>44.68</v>
      </c>
      <c r="I16" s="54">
        <v>1.53</v>
      </c>
      <c r="J16" s="54">
        <v>0.56999999999999995</v>
      </c>
      <c r="K16" s="54">
        <v>85.03</v>
      </c>
      <c r="L16" s="54">
        <v>22.66</v>
      </c>
      <c r="M16" s="54">
        <v>65.13</v>
      </c>
      <c r="N16" s="54">
        <v>262.20</v>
      </c>
      <c r="O16" s="54">
        <v>0</v>
      </c>
      <c r="P16" s="54">
        <v>0.67</v>
      </c>
      <c r="Q16" s="54">
        <v>9.44</v>
      </c>
      <c r="R16" s="43"/>
      <c r="S16" s="43"/>
      <c r="T16" s="43"/>
      <c r="U16" s="43"/>
    </row>
    <row r="17" spans="1:21" s="11" customFormat="1" ht="15">
      <c r="A17" s="53" t="s">
        <v>118</v>
      </c>
      <c r="B17" s="54">
        <v>18.32</v>
      </c>
      <c r="C17" s="54">
        <v>56.41</v>
      </c>
      <c r="D17" s="54">
        <v>46.47</v>
      </c>
      <c r="E17" s="54">
        <v>4.79</v>
      </c>
      <c r="F17" s="54">
        <v>3.13</v>
      </c>
      <c r="G17" s="54">
        <v>98.46</v>
      </c>
      <c r="H17" s="54">
        <v>40.75</v>
      </c>
      <c r="I17" s="54">
        <v>1.58</v>
      </c>
      <c r="J17" s="54">
        <v>0.95</v>
      </c>
      <c r="K17" s="54">
        <v>355.96</v>
      </c>
      <c r="L17" s="54">
        <v>27.47</v>
      </c>
      <c r="M17" s="54">
        <v>57.04</v>
      </c>
      <c r="N17" s="54">
        <v>484.60</v>
      </c>
      <c r="O17" s="54">
        <v>0</v>
      </c>
      <c r="P17" s="54">
        <v>0.67</v>
      </c>
      <c r="Q17" s="54">
        <v>9.40</v>
      </c>
      <c r="R17" s="43"/>
      <c r="S17" s="43"/>
      <c r="T17" s="43"/>
      <c r="U17" s="43"/>
    </row>
    <row r="18" spans="1:21" s="11" customFormat="1" ht="15">
      <c r="A18" s="53" t="s">
        <v>119</v>
      </c>
      <c r="B18" s="54">
        <v>15.20</v>
      </c>
      <c r="C18" s="54">
        <v>55.08</v>
      </c>
      <c r="D18" s="54">
        <v>42.33</v>
      </c>
      <c r="E18" s="54">
        <v>4.67</v>
      </c>
      <c r="F18" s="54">
        <v>3.48</v>
      </c>
      <c r="G18" s="54">
        <v>71.83</v>
      </c>
      <c r="H18" s="54">
        <v>36.89</v>
      </c>
      <c r="I18" s="54">
        <v>1.5</v>
      </c>
      <c r="J18" s="54">
        <v>0.78</v>
      </c>
      <c r="K18" s="54">
        <v>106.68</v>
      </c>
      <c r="L18" s="54">
        <v>28.71</v>
      </c>
      <c r="M18" s="54">
        <v>48.72</v>
      </c>
      <c r="N18" s="54">
        <v>611.60</v>
      </c>
      <c r="O18" s="54">
        <v>0</v>
      </c>
      <c r="P18" s="54">
        <v>0.66</v>
      </c>
      <c r="Q18" s="54">
        <v>9.34</v>
      </c>
      <c r="R18" s="43"/>
      <c r="S18" s="43"/>
      <c r="T18" s="43"/>
      <c r="U18" s="43"/>
    </row>
    <row r="19" spans="1:21" s="11" customFormat="1" ht="15">
      <c r="A19" s="53" t="s">
        <v>120</v>
      </c>
      <c r="B19" s="54">
        <v>11.73</v>
      </c>
      <c r="C19" s="54">
        <v>59.29</v>
      </c>
      <c r="D19" s="54">
        <v>40.659999999999997</v>
      </c>
      <c r="E19" s="54">
        <v>4.74</v>
      </c>
      <c r="F19" s="54">
        <v>3.95</v>
      </c>
      <c r="G19" s="54">
        <v>72.28</v>
      </c>
      <c r="H19" s="54">
        <v>33.90</v>
      </c>
      <c r="I19" s="54">
        <v>1.51</v>
      </c>
      <c r="J19" s="54">
        <v>0.5</v>
      </c>
      <c r="K19" s="54">
        <v>356.67</v>
      </c>
      <c r="L19" s="54">
        <v>31.35</v>
      </c>
      <c r="M19" s="54">
        <v>39.42</v>
      </c>
      <c r="N19" s="54">
        <v>693.70</v>
      </c>
      <c r="O19" s="54">
        <v>0</v>
      </c>
      <c r="P19" s="54">
        <v>0.67</v>
      </c>
      <c r="Q19" s="54">
        <v>9.3800000000000008</v>
      </c>
      <c r="R19" s="43"/>
      <c r="S19" s="43"/>
      <c r="T19" s="43"/>
      <c r="U19" s="43"/>
    </row>
    <row r="20" spans="1:21" s="11" customFormat="1" ht="15">
      <c r="A20" s="53" t="s">
        <v>121</v>
      </c>
      <c r="B20" s="54">
        <v>6.92</v>
      </c>
      <c r="C20" s="54">
        <v>62.14</v>
      </c>
      <c r="D20" s="54">
        <v>39.299999999999997</v>
      </c>
      <c r="E20" s="54">
        <v>5.17</v>
      </c>
      <c r="F20" s="54">
        <v>5.42</v>
      </c>
      <c r="G20" s="54">
        <v>72.28</v>
      </c>
      <c r="H20" s="54">
        <v>32.85</v>
      </c>
      <c r="I20" s="54">
        <v>1.56</v>
      </c>
      <c r="J20" s="54">
        <v>0.47</v>
      </c>
      <c r="K20" s="54">
        <v>321.52</v>
      </c>
      <c r="L20" s="54">
        <v>30.46</v>
      </c>
      <c r="M20" s="54">
        <v>38.31</v>
      </c>
      <c r="N20" s="54">
        <v>619.90</v>
      </c>
      <c r="O20" s="54">
        <v>0</v>
      </c>
      <c r="P20" s="54">
        <v>0.71</v>
      </c>
      <c r="Q20" s="54">
        <v>9.2799999999999994</v>
      </c>
      <c r="R20" s="43"/>
      <c r="S20" s="43"/>
      <c r="T20" s="43"/>
      <c r="U20" s="43"/>
    </row>
    <row r="21" spans="1:21" s="11" customFormat="1" ht="15">
      <c r="A21" s="53" t="s">
        <v>122</v>
      </c>
      <c r="B21" s="54">
        <v>1.81</v>
      </c>
      <c r="C21" s="54">
        <v>59.73</v>
      </c>
      <c r="D21" s="54">
        <v>35.06</v>
      </c>
      <c r="E21" s="54">
        <v>4.1500000000000004</v>
      </c>
      <c r="F21" s="54">
        <v>6.45</v>
      </c>
      <c r="G21" s="54">
        <v>67.39</v>
      </c>
      <c r="H21" s="54">
        <v>28.99</v>
      </c>
      <c r="I21" s="54">
        <v>1.59</v>
      </c>
      <c r="J21" s="54">
        <v>2.13</v>
      </c>
      <c r="K21" s="54">
        <v>321.93</v>
      </c>
      <c r="L21" s="54">
        <v>28.92</v>
      </c>
      <c r="M21" s="54">
        <v>38.74</v>
      </c>
      <c r="N21" s="54">
        <v>746.70</v>
      </c>
      <c r="O21" s="54">
        <v>0</v>
      </c>
      <c r="P21" s="54">
        <v>0.68</v>
      </c>
      <c r="Q21" s="54">
        <v>9.10</v>
      </c>
      <c r="R21" s="43"/>
      <c r="S21" s="43"/>
      <c r="T21" s="43"/>
      <c r="U21" s="43"/>
    </row>
    <row r="22" spans="1:21" s="11" customFormat="1" ht="15">
      <c r="A22" s="53" t="s">
        <v>123</v>
      </c>
      <c r="B22" s="54">
        <v>1.36</v>
      </c>
      <c r="C22" s="54">
        <v>54.03</v>
      </c>
      <c r="D22" s="54">
        <v>31.55</v>
      </c>
      <c r="E22" s="54">
        <v>4.29</v>
      </c>
      <c r="F22" s="54">
        <v>8.7200000000000006</v>
      </c>
      <c r="G22" s="54">
        <v>57.5</v>
      </c>
      <c r="H22" s="54">
        <v>28.01</v>
      </c>
      <c r="I22" s="54">
        <v>1.55</v>
      </c>
      <c r="J22" s="54">
        <v>1.05</v>
      </c>
      <c r="K22" s="54">
        <v>339.39</v>
      </c>
      <c r="L22" s="54">
        <v>30.94</v>
      </c>
      <c r="M22" s="54">
        <v>33.69</v>
      </c>
      <c r="N22" s="54">
        <v>726.40</v>
      </c>
      <c r="O22" s="54">
        <v>0</v>
      </c>
      <c r="P22" s="54">
        <v>0.55000000000000004</v>
      </c>
      <c r="Q22" s="54">
        <v>9.02</v>
      </c>
      <c r="R22" s="43"/>
      <c r="S22" s="43"/>
      <c r="T22" s="43"/>
      <c r="U22" s="43"/>
    </row>
    <row r="23" spans="1:21" s="11" customFormat="1" ht="15">
      <c r="A23" s="53" t="s">
        <v>124</v>
      </c>
      <c r="B23" s="54">
        <v>1.1100000000000001</v>
      </c>
      <c r="C23" s="54">
        <v>46.05</v>
      </c>
      <c r="D23" s="54">
        <v>26.81</v>
      </c>
      <c r="E23" s="54">
        <v>3.81</v>
      </c>
      <c r="F23" s="54">
        <v>8.93</v>
      </c>
      <c r="G23" s="54">
        <v>57.5</v>
      </c>
      <c r="H23" s="54">
        <v>25.82</v>
      </c>
      <c r="I23" s="54">
        <v>1.56</v>
      </c>
      <c r="J23" s="54">
        <v>0.22</v>
      </c>
      <c r="K23" s="54">
        <v>298.01</v>
      </c>
      <c r="L23" s="54">
        <v>31.55</v>
      </c>
      <c r="M23" s="54">
        <v>26.71</v>
      </c>
      <c r="N23" s="54">
        <v>586.29999999999995</v>
      </c>
      <c r="O23" s="54">
        <v>0</v>
      </c>
      <c r="P23" s="54">
        <v>0.38</v>
      </c>
      <c r="Q23" s="54">
        <v>8.93</v>
      </c>
      <c r="R23" s="43"/>
      <c r="S23" s="43"/>
      <c r="T23" s="43"/>
      <c r="U23" s="43"/>
    </row>
    <row r="24" spans="1:21" s="11" customFormat="1" ht="15">
      <c r="A24" s="53" t="s">
        <v>125</v>
      </c>
      <c r="B24" s="54">
        <v>1.25</v>
      </c>
      <c r="C24" s="54">
        <v>46.09</v>
      </c>
      <c r="D24" s="54">
        <v>27.09</v>
      </c>
      <c r="E24" s="54">
        <v>3.87</v>
      </c>
      <c r="F24" s="54">
        <v>7.33</v>
      </c>
      <c r="G24" s="54">
        <v>44.21</v>
      </c>
      <c r="H24" s="54">
        <v>22.35</v>
      </c>
      <c r="I24" s="54">
        <v>1.54</v>
      </c>
      <c r="J24" s="54">
        <v>0.89</v>
      </c>
      <c r="K24" s="54">
        <v>201.63</v>
      </c>
      <c r="L24" s="54">
        <v>31.03</v>
      </c>
      <c r="M24" s="54">
        <v>27.41</v>
      </c>
      <c r="N24" s="54">
        <v>309.60000000000002</v>
      </c>
      <c r="O24" s="54">
        <v>0</v>
      </c>
      <c r="P24" s="54">
        <v>0.30</v>
      </c>
      <c r="Q24" s="54">
        <v>8.93</v>
      </c>
      <c r="R24" s="43"/>
      <c r="S24" s="43"/>
      <c r="T24" s="43"/>
      <c r="U24" s="43"/>
    </row>
    <row r="25" spans="1:21" s="11" customFormat="1" ht="15">
      <c r="A25" s="53" t="s">
        <v>126</v>
      </c>
      <c r="B25" s="54">
        <v>1.51</v>
      </c>
      <c r="C25" s="54">
        <v>47.82</v>
      </c>
      <c r="D25" s="54">
        <v>28.25</v>
      </c>
      <c r="E25" s="54">
        <v>3.64</v>
      </c>
      <c r="F25" s="54">
        <v>7.08</v>
      </c>
      <c r="G25" s="54">
        <v>32.26</v>
      </c>
      <c r="H25" s="54">
        <v>22.35</v>
      </c>
      <c r="I25" s="54">
        <v>1.56</v>
      </c>
      <c r="J25" s="54">
        <v>0.26</v>
      </c>
      <c r="K25" s="54">
        <v>344.58</v>
      </c>
      <c r="L25" s="54">
        <v>30.44</v>
      </c>
      <c r="M25" s="54">
        <v>31.61</v>
      </c>
      <c r="N25" s="54">
        <v>140.60</v>
      </c>
      <c r="O25" s="54">
        <v>0</v>
      </c>
      <c r="P25" s="54">
        <v>0.30</v>
      </c>
      <c r="Q25" s="54">
        <v>8.77</v>
      </c>
      <c r="R25" s="43"/>
      <c r="S25" s="43"/>
      <c r="T25" s="43"/>
      <c r="U25" s="43"/>
    </row>
    <row r="26" spans="1:21" s="11" customFormat="1" ht="15">
      <c r="A26" s="53" t="s">
        <v>127</v>
      </c>
      <c r="B26" s="54">
        <v>3.03</v>
      </c>
      <c r="C26" s="54">
        <v>54</v>
      </c>
      <c r="D26" s="54">
        <v>32.880000000000003</v>
      </c>
      <c r="E26" s="54">
        <v>3.54</v>
      </c>
      <c r="F26" s="54">
        <v>5.17</v>
      </c>
      <c r="G26" s="54">
        <v>44.86</v>
      </c>
      <c r="H26" s="54">
        <v>18.579999999999998</v>
      </c>
      <c r="I26" s="54">
        <v>1.55</v>
      </c>
      <c r="J26" s="54">
        <v>0.25</v>
      </c>
      <c r="K26" s="54">
        <v>356.71</v>
      </c>
      <c r="L26" s="54">
        <v>29.58</v>
      </c>
      <c r="M26" s="54">
        <v>38.11</v>
      </c>
      <c r="N26" s="54">
        <v>73</v>
      </c>
      <c r="O26" s="54">
        <v>0</v>
      </c>
      <c r="P26" s="54">
        <v>0.42</v>
      </c>
      <c r="Q26" s="54">
        <v>8.77</v>
      </c>
      <c r="R26" s="43"/>
      <c r="S26" s="43"/>
      <c r="T26" s="43"/>
      <c r="U26" s="43"/>
    </row>
    <row r="27" spans="1:21" s="11" customFormat="1" ht="15">
      <c r="A27" s="53" t="s">
        <v>128</v>
      </c>
      <c r="B27" s="54">
        <v>4.41</v>
      </c>
      <c r="C27" s="54">
        <v>54.14</v>
      </c>
      <c r="D27" s="54">
        <v>33.979999999999997</v>
      </c>
      <c r="E27" s="54">
        <v>3.43</v>
      </c>
      <c r="F27" s="54">
        <v>4.09</v>
      </c>
      <c r="G27" s="54">
        <v>49.28</v>
      </c>
      <c r="H27" s="54">
        <v>22.41</v>
      </c>
      <c r="I27" s="54">
        <v>1.57</v>
      </c>
      <c r="J27" s="54">
        <v>0.14000000000000001</v>
      </c>
      <c r="K27" s="54">
        <v>299.02999999999997</v>
      </c>
      <c r="L27" s="54">
        <v>27.92</v>
      </c>
      <c r="M27" s="54">
        <v>45.19</v>
      </c>
      <c r="N27" s="54">
        <v>26.70</v>
      </c>
      <c r="O27" s="54">
        <v>0</v>
      </c>
      <c r="P27" s="54">
        <v>0.60</v>
      </c>
      <c r="Q27" s="54">
        <v>8.99</v>
      </c>
      <c r="R27" s="43"/>
      <c r="S27" s="43"/>
      <c r="T27" s="43"/>
      <c r="U27" s="43"/>
    </row>
    <row r="28" spans="1:21" s="11" customFormat="1" ht="15">
      <c r="A28" s="53" t="s">
        <v>129</v>
      </c>
      <c r="B28" s="54">
        <v>7.59</v>
      </c>
      <c r="C28" s="54">
        <v>55.42</v>
      </c>
      <c r="D28" s="54">
        <v>37.10</v>
      </c>
      <c r="E28" s="54">
        <v>4.04</v>
      </c>
      <c r="F28" s="54">
        <v>3.56</v>
      </c>
      <c r="G28" s="54">
        <v>61.34</v>
      </c>
      <c r="H28" s="54">
        <v>22.41</v>
      </c>
      <c r="I28" s="54">
        <v>1.59</v>
      </c>
      <c r="J28" s="54">
        <v>0.17</v>
      </c>
      <c r="K28" s="54">
        <v>276.54000000000002</v>
      </c>
      <c r="L28" s="54">
        <v>25.83</v>
      </c>
      <c r="M28" s="54">
        <v>57.24</v>
      </c>
      <c r="N28" s="54">
        <v>26.5</v>
      </c>
      <c r="O28" s="54">
        <v>0</v>
      </c>
      <c r="P28" s="54">
        <v>0.71</v>
      </c>
      <c r="Q28" s="54">
        <v>9.16</v>
      </c>
      <c r="R28" s="43"/>
      <c r="S28" s="43"/>
      <c r="T28" s="43"/>
      <c r="U28" s="43"/>
    </row>
    <row r="29" spans="1:21" s="11" customFormat="1" ht="15">
      <c r="A29" s="53" t="s">
        <v>130</v>
      </c>
      <c r="B29" s="54">
        <v>26.38</v>
      </c>
      <c r="C29" s="54">
        <v>62.39</v>
      </c>
      <c r="D29" s="54">
        <v>56.23</v>
      </c>
      <c r="E29" s="54">
        <v>4.6500000000000004</v>
      </c>
      <c r="F29" s="54">
        <v>3.53</v>
      </c>
      <c r="G29" s="54">
        <v>69.64</v>
      </c>
      <c r="H29" s="54">
        <v>21.70</v>
      </c>
      <c r="I29" s="54">
        <v>1.53</v>
      </c>
      <c r="J29" s="54">
        <v>0.15</v>
      </c>
      <c r="K29" s="54">
        <v>333.10</v>
      </c>
      <c r="L29" s="54">
        <v>24.52</v>
      </c>
      <c r="M29" s="54">
        <v>63.33</v>
      </c>
      <c r="N29" s="54">
        <v>26.80</v>
      </c>
      <c r="O29" s="54">
        <v>0</v>
      </c>
      <c r="P29" s="54">
        <v>0.93</v>
      </c>
      <c r="Q29" s="54">
        <v>9.31</v>
      </c>
      <c r="R29" s="43"/>
      <c r="S29" s="43"/>
      <c r="T29" s="43"/>
      <c r="U29" s="43"/>
    </row>
    <row r="30" spans="1:21" s="11" customFormat="1" ht="15">
      <c r="A30" s="53" t="s">
        <v>131</v>
      </c>
      <c r="B30" s="54">
        <v>41.92</v>
      </c>
      <c r="C30" s="54">
        <v>68.37</v>
      </c>
      <c r="D30" s="54">
        <v>71.989999999999995</v>
      </c>
      <c r="E30" s="54">
        <v>5.36</v>
      </c>
      <c r="F30" s="54">
        <v>3.55</v>
      </c>
      <c r="G30" s="54">
        <v>98.97</v>
      </c>
      <c r="H30" s="54">
        <v>21.75</v>
      </c>
      <c r="I30" s="54">
        <v>1.53</v>
      </c>
      <c r="J30" s="54">
        <v>0.19</v>
      </c>
      <c r="K30" s="54">
        <v>341.10</v>
      </c>
      <c r="L30" s="54">
        <v>23.64</v>
      </c>
      <c r="M30" s="54">
        <v>68.73</v>
      </c>
      <c r="N30" s="54">
        <v>26.90</v>
      </c>
      <c r="O30" s="54">
        <v>0</v>
      </c>
      <c r="P30" s="54">
        <v>1.25</v>
      </c>
      <c r="Q30" s="54">
        <v>9.83</v>
      </c>
      <c r="R30" s="43"/>
      <c r="S30" s="43"/>
      <c r="T30" s="43"/>
      <c r="U30" s="43"/>
    </row>
    <row r="31" spans="1:21" s="11" customFormat="1" ht="15">
      <c r="A31" s="53" t="s">
        <v>132</v>
      </c>
      <c r="B31" s="54">
        <v>51.93</v>
      </c>
      <c r="C31" s="54">
        <v>69.97</v>
      </c>
      <c r="D31" s="54">
        <v>80.650000000000006</v>
      </c>
      <c r="E31" s="54">
        <v>5.57</v>
      </c>
      <c r="F31" s="54">
        <v>3.5</v>
      </c>
      <c r="G31" s="54">
        <v>98.97</v>
      </c>
      <c r="H31" s="54">
        <v>27.65</v>
      </c>
      <c r="I31" s="54">
        <v>1.54</v>
      </c>
      <c r="J31" s="54">
        <v>0.67</v>
      </c>
      <c r="K31" s="54">
        <v>122.23</v>
      </c>
      <c r="L31" s="54">
        <v>24</v>
      </c>
      <c r="M31" s="54">
        <v>67.88</v>
      </c>
      <c r="N31" s="54">
        <v>26.90</v>
      </c>
      <c r="O31" s="54">
        <v>0</v>
      </c>
      <c r="P31" s="54">
        <v>1.43</v>
      </c>
      <c r="Q31" s="54">
        <v>10.130000000000001</v>
      </c>
      <c r="R31" s="43"/>
      <c r="S31" s="43"/>
      <c r="T31" s="43"/>
      <c r="U31" s="43"/>
    </row>
    <row r="32" spans="1:21" s="11" customFormat="1" ht="15">
      <c r="A32" s="53" t="s">
        <v>133</v>
      </c>
      <c r="B32" s="54">
        <v>49.28</v>
      </c>
      <c r="C32" s="54">
        <v>66.040000000000006</v>
      </c>
      <c r="D32" s="54">
        <v>76.61</v>
      </c>
      <c r="E32" s="54">
        <v>5.44</v>
      </c>
      <c r="F32" s="54">
        <v>3.62</v>
      </c>
      <c r="G32" s="54">
        <v>97.27</v>
      </c>
      <c r="H32" s="54">
        <v>29</v>
      </c>
      <c r="I32" s="54">
        <v>1.57</v>
      </c>
      <c r="J32" s="54">
        <v>0.24</v>
      </c>
      <c r="K32" s="54">
        <v>316.70999999999998</v>
      </c>
      <c r="L32" s="54">
        <v>23.40</v>
      </c>
      <c r="M32" s="54">
        <v>68.72</v>
      </c>
      <c r="N32" s="54">
        <v>27.10</v>
      </c>
      <c r="O32" s="54">
        <v>0</v>
      </c>
      <c r="P32" s="54">
        <v>1.37</v>
      </c>
      <c r="Q32" s="54">
        <v>10.199999999999999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1.1100000000000001</v>
      </c>
      <c r="C34" s="28">
        <f t="shared" si="0"/>
        <v>46.049999999999997</v>
      </c>
      <c r="D34" s="28">
        <f t="shared" si="0"/>
        <v>26.809999999999999</v>
      </c>
      <c r="E34" s="28">
        <f t="shared" si="0"/>
        <v>3.4300000000000002</v>
      </c>
      <c r="F34" s="28">
        <f t="shared" si="0"/>
        <v>3.1299999999999999</v>
      </c>
      <c r="G34" s="28">
        <f t="shared" si="0"/>
        <v>32.259999999999998</v>
      </c>
      <c r="H34" s="28">
        <f t="shared" si="0"/>
        <v>18.579999999999998</v>
      </c>
      <c r="I34" s="28">
        <f t="shared" si="0"/>
        <v>1.5</v>
      </c>
      <c r="J34" s="28">
        <f t="shared" si="0"/>
        <v>0.11</v>
      </c>
      <c r="K34" s="28">
        <f t="shared" si="0"/>
        <v>85.030000000000001</v>
      </c>
      <c r="L34" s="28">
        <f t="shared" si="0"/>
        <v>19.699999999999999</v>
      </c>
      <c r="M34" s="28">
        <f t="shared" si="0"/>
        <v>26.710000000000001</v>
      </c>
      <c r="N34" s="28">
        <f t="shared" si="0"/>
        <v>26.5</v>
      </c>
      <c r="O34" s="28">
        <f t="shared" si="0"/>
        <v>0</v>
      </c>
      <c r="P34" s="28">
        <f t="shared" si="0"/>
        <v>0.29999999999999999</v>
      </c>
      <c r="Q34" s="28">
        <f t="shared" si="0"/>
        <v>8.7699999999999996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51.93</v>
      </c>
      <c r="C35" s="29">
        <f t="shared" si="1"/>
        <v>69.969999999999999</v>
      </c>
      <c r="D35" s="29">
        <f t="shared" si="1"/>
        <v>80.650000000000006</v>
      </c>
      <c r="E35" s="29">
        <f t="shared" si="1"/>
        <v>5.5700000000000003</v>
      </c>
      <c r="F35" s="29">
        <f t="shared" si="1"/>
        <v>8.9299999999999997</v>
      </c>
      <c r="G35" s="29">
        <f t="shared" si="1"/>
        <v>212.94</v>
      </c>
      <c r="H35" s="29">
        <f t="shared" si="1"/>
        <v>45.100000000000001</v>
      </c>
      <c r="I35" s="29">
        <f t="shared" si="1"/>
        <v>1.6200000000000001</v>
      </c>
      <c r="J35" s="29">
        <f t="shared" si="1"/>
        <v>2.1299999999999999</v>
      </c>
      <c r="K35" s="29">
        <f t="shared" si="1"/>
        <v>356.70999999999998</v>
      </c>
      <c r="L35" s="29">
        <f t="shared" si="1"/>
        <v>31.550000000000001</v>
      </c>
      <c r="M35" s="29">
        <f t="shared" si="1"/>
        <v>77.069999999999993</v>
      </c>
      <c r="N35" s="29">
        <f t="shared" si="1"/>
        <v>746.70000000000005</v>
      </c>
      <c r="O35" s="29">
        <f t="shared" si="1"/>
        <v>0</v>
      </c>
      <c r="P35" s="29">
        <f t="shared" si="1"/>
        <v>1.4299999999999999</v>
      </c>
      <c r="Q35" s="29">
        <f t="shared" si="1"/>
        <v>10.199999999999999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13.619166666666667</v>
      </c>
      <c r="C36" s="28">
        <f t="shared" si="2"/>
        <v>56.121666666666677</v>
      </c>
      <c r="D36" s="28">
        <f t="shared" si="2"/>
        <v>42.296666666666667</v>
      </c>
      <c r="E36" s="28">
        <f t="shared" si="2"/>
        <v>4.585416666666668</v>
      </c>
      <c r="F36" s="28">
        <f t="shared" si="2"/>
        <v>4.5737500000000004</v>
      </c>
      <c r="G36" s="28">
        <f t="shared" si="2"/>
        <v>80.587916666666686</v>
      </c>
      <c r="H36" s="28">
        <f t="shared" si="2"/>
        <v>28.614166666666666</v>
      </c>
      <c r="I36" s="28">
        <f t="shared" si="2"/>
        <v>1.5441666666666665</v>
      </c>
      <c r="J36" s="28">
        <f t="shared" si="2"/>
        <v>0.60208333333333353</v>
      </c>
      <c r="K36" s="28">
        <f t="shared" si="2"/>
        <v>288.72999999999996</v>
      </c>
      <c r="L36" s="28">
        <f t="shared" si="2"/>
        <v>25.857916666666664</v>
      </c>
      <c r="M36" s="28">
        <f t="shared" si="2"/>
        <v>53.531666666666666</v>
      </c>
      <c r="N36" s="28">
        <f t="shared" si="2"/>
        <v>236.36666666666667</v>
      </c>
      <c r="O36" s="28">
        <f t="shared" si="2"/>
        <v>0</v>
      </c>
      <c r="P36" s="28">
        <f t="shared" si="2"/>
        <v>0.68208333333333337</v>
      </c>
      <c r="Q36" s="28">
        <f t="shared" si="2"/>
        <v>9.2991666666666681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14.872563860918584</v>
      </c>
      <c r="C37" s="28">
        <f t="shared" si="3" ref="C37:Q37">STDEV(C9:C32)</f>
        <v>6.2145381210488626</v>
      </c>
      <c r="D37" s="28">
        <f t="shared" si="3"/>
        <v>14.885242959757646</v>
      </c>
      <c r="E37" s="28">
        <f t="shared" si="3"/>
        <v>0.67102115023146192</v>
      </c>
      <c r="F37" s="28">
        <f t="shared" si="3"/>
        <v>1.7777778325030189</v>
      </c>
      <c r="G37" s="28">
        <f t="shared" si="3"/>
        <v>44.835166417053976</v>
      </c>
      <c r="H37" s="28">
        <f t="shared" si="3"/>
        <v>8.2966708444682293</v>
      </c>
      <c r="I37" s="28">
        <f t="shared" si="3"/>
        <v>0.031885210782848353</v>
      </c>
      <c r="J37" s="28">
        <f t="shared" si="3"/>
        <v>0.52131088251818025</v>
      </c>
      <c r="K37" s="28">
        <f t="shared" si="3"/>
        <v>83.244169713586345</v>
      </c>
      <c r="L37" s="28">
        <f t="shared" si="3"/>
        <v>4.0984514351968251</v>
      </c>
      <c r="M37" s="28">
        <f t="shared" si="3"/>
        <v>16.147751671919252</v>
      </c>
      <c r="N37" s="28">
        <f t="shared" si="3"/>
        <v>277.17593638363508</v>
      </c>
      <c r="O37" s="28">
        <f t="shared" si="3"/>
        <v>0</v>
      </c>
      <c r="P37" s="28">
        <f t="shared" si="3"/>
        <v>0.29359805660218474</v>
      </c>
      <c r="Q37" s="28">
        <f t="shared" si="3"/>
        <v>0.361361154605709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edba08-1662-41db-b790-e1f9fe00cf0d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39" sqref="E39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134</v>
      </c>
      <c r="B9" s="54">
        <v>44.02</v>
      </c>
      <c r="C9" s="54">
        <v>64.17</v>
      </c>
      <c r="D9" s="54">
        <v>71.37</v>
      </c>
      <c r="E9" s="54">
        <v>4.51</v>
      </c>
      <c r="F9" s="54">
        <v>3.59</v>
      </c>
      <c r="G9" s="54">
        <v>91.25</v>
      </c>
      <c r="H9" s="54">
        <v>29</v>
      </c>
      <c r="I9" s="54">
        <v>1.55</v>
      </c>
      <c r="J9" s="54">
        <v>0.15</v>
      </c>
      <c r="K9" s="54">
        <v>340.42</v>
      </c>
      <c r="L9" s="54">
        <v>22.62</v>
      </c>
      <c r="M9" s="54">
        <v>70.30</v>
      </c>
      <c r="N9" s="54">
        <v>27.30</v>
      </c>
      <c r="O9" s="54">
        <v>0</v>
      </c>
      <c r="P9" s="54">
        <v>1.28</v>
      </c>
      <c r="Q9" s="54">
        <v>10.15</v>
      </c>
      <c r="R9" s="43"/>
      <c r="S9" s="43"/>
      <c r="T9" s="43"/>
      <c r="U9" s="43"/>
    </row>
    <row r="10" spans="1:21" s="11" customFormat="1" ht="15">
      <c r="A10" s="53" t="s">
        <v>135</v>
      </c>
      <c r="B10" s="54">
        <v>36.35</v>
      </c>
      <c r="C10" s="54">
        <v>62.01</v>
      </c>
      <c r="D10" s="54">
        <v>64.02</v>
      </c>
      <c r="E10" s="54">
        <v>4.3600000000000003</v>
      </c>
      <c r="F10" s="54">
        <v>3.71</v>
      </c>
      <c r="G10" s="54">
        <v>76.34</v>
      </c>
      <c r="H10" s="54">
        <v>28.16</v>
      </c>
      <c r="I10" s="54">
        <v>1.58</v>
      </c>
      <c r="J10" s="54">
        <v>0.62</v>
      </c>
      <c r="K10" s="54">
        <v>354.70</v>
      </c>
      <c r="L10" s="54">
        <v>22.55</v>
      </c>
      <c r="M10" s="54">
        <v>71.88</v>
      </c>
      <c r="N10" s="54">
        <v>27.5</v>
      </c>
      <c r="O10" s="54">
        <v>0</v>
      </c>
      <c r="P10" s="54">
        <v>1.0900000000000001</v>
      </c>
      <c r="Q10" s="54">
        <v>9.99</v>
      </c>
      <c r="R10" s="43"/>
      <c r="S10" s="43"/>
      <c r="T10" s="43"/>
      <c r="U10" s="43"/>
    </row>
    <row r="11" spans="1:21" s="11" customFormat="1" ht="15">
      <c r="A11" s="53" t="s">
        <v>136</v>
      </c>
      <c r="B11" s="54">
        <v>26.71</v>
      </c>
      <c r="C11" s="54">
        <v>60.10</v>
      </c>
      <c r="D11" s="54">
        <v>55.23</v>
      </c>
      <c r="E11" s="54">
        <v>4.13</v>
      </c>
      <c r="F11" s="54">
        <v>3.66</v>
      </c>
      <c r="G11" s="54">
        <v>69.03</v>
      </c>
      <c r="H11" s="54">
        <v>28.16</v>
      </c>
      <c r="I11" s="54">
        <v>1.55</v>
      </c>
      <c r="J11" s="54">
        <v>0.37</v>
      </c>
      <c r="K11" s="54">
        <v>341.53</v>
      </c>
      <c r="L11" s="54">
        <v>21.36</v>
      </c>
      <c r="M11" s="54">
        <v>73.52</v>
      </c>
      <c r="N11" s="54">
        <v>26.80</v>
      </c>
      <c r="O11" s="54">
        <v>0</v>
      </c>
      <c r="P11" s="54">
        <v>0.97</v>
      </c>
      <c r="Q11" s="54">
        <v>9.77</v>
      </c>
      <c r="R11" s="43"/>
      <c r="S11" s="43"/>
      <c r="T11" s="43"/>
      <c r="U11" s="43"/>
    </row>
    <row r="12" spans="1:21" s="11" customFormat="1" ht="15">
      <c r="A12" s="53" t="s">
        <v>137</v>
      </c>
      <c r="B12" s="54">
        <v>19.420000000000002</v>
      </c>
      <c r="C12" s="54">
        <v>55.89</v>
      </c>
      <c r="D12" s="54">
        <v>47.07</v>
      </c>
      <c r="E12" s="54">
        <v>4.41</v>
      </c>
      <c r="F12" s="54">
        <v>3.64</v>
      </c>
      <c r="G12" s="54">
        <v>62.18</v>
      </c>
      <c r="H12" s="54">
        <v>27.47</v>
      </c>
      <c r="I12" s="54">
        <v>1.56</v>
      </c>
      <c r="J12" s="54">
        <v>0.65</v>
      </c>
      <c r="K12" s="54">
        <v>335.80</v>
      </c>
      <c r="L12" s="54">
        <v>21.70</v>
      </c>
      <c r="M12" s="54">
        <v>76.25</v>
      </c>
      <c r="N12" s="54">
        <v>27.5</v>
      </c>
      <c r="O12" s="54">
        <v>0</v>
      </c>
      <c r="P12" s="54">
        <v>0.83</v>
      </c>
      <c r="Q12" s="54">
        <v>9.5399999999999991</v>
      </c>
      <c r="R12" s="43"/>
      <c r="S12" s="43"/>
      <c r="T12" s="43"/>
      <c r="U12" s="43"/>
    </row>
    <row r="13" spans="1:21" s="11" customFormat="1" ht="15">
      <c r="A13" s="53" t="s">
        <v>138</v>
      </c>
      <c r="B13" s="54">
        <v>19.86</v>
      </c>
      <c r="C13" s="54">
        <v>53.81</v>
      </c>
      <c r="D13" s="54">
        <v>46.04</v>
      </c>
      <c r="E13" s="54">
        <v>4.5599999999999996</v>
      </c>
      <c r="F13" s="54">
        <v>3.47</v>
      </c>
      <c r="G13" s="54">
        <v>88.78</v>
      </c>
      <c r="H13" s="54">
        <v>33.130000000000003</v>
      </c>
      <c r="I13" s="54">
        <v>1.60</v>
      </c>
      <c r="J13" s="54">
        <v>0.23</v>
      </c>
      <c r="K13" s="54">
        <v>329.31</v>
      </c>
      <c r="L13" s="54">
        <v>21.08</v>
      </c>
      <c r="M13" s="54">
        <v>78.400000000000006</v>
      </c>
      <c r="N13" s="54">
        <v>27.20</v>
      </c>
      <c r="O13" s="54">
        <v>0</v>
      </c>
      <c r="P13" s="54">
        <v>0.81</v>
      </c>
      <c r="Q13" s="54">
        <v>9.60</v>
      </c>
      <c r="R13" s="43"/>
      <c r="S13" s="43"/>
      <c r="T13" s="43"/>
      <c r="U13" s="43"/>
    </row>
    <row r="14" spans="1:21" s="11" customFormat="1" ht="15">
      <c r="A14" s="53" t="s">
        <v>139</v>
      </c>
      <c r="B14" s="54">
        <v>21.60</v>
      </c>
      <c r="C14" s="54">
        <v>53.83</v>
      </c>
      <c r="D14" s="54">
        <v>47.67</v>
      </c>
      <c r="E14" s="54">
        <v>4.7699999999999996</v>
      </c>
      <c r="F14" s="54">
        <v>3.35</v>
      </c>
      <c r="G14" s="54">
        <v>205.46</v>
      </c>
      <c r="H14" s="54">
        <v>49.15</v>
      </c>
      <c r="I14" s="54">
        <v>1.51</v>
      </c>
      <c r="J14" s="54">
        <v>0.73</v>
      </c>
      <c r="K14" s="54">
        <v>357.17</v>
      </c>
      <c r="L14" s="54">
        <v>20.84</v>
      </c>
      <c r="M14" s="54">
        <v>83.90</v>
      </c>
      <c r="N14" s="54">
        <v>27.30</v>
      </c>
      <c r="O14" s="54">
        <v>0</v>
      </c>
      <c r="P14" s="54">
        <v>0.90</v>
      </c>
      <c r="Q14" s="54">
        <v>9.60</v>
      </c>
      <c r="R14" s="43"/>
      <c r="S14" s="43"/>
      <c r="T14" s="43"/>
      <c r="U14" s="43"/>
    </row>
    <row r="15" spans="1:21" s="11" customFormat="1" ht="15">
      <c r="A15" s="53" t="s">
        <v>140</v>
      </c>
      <c r="B15" s="54">
        <v>21.27</v>
      </c>
      <c r="C15" s="54">
        <v>55.99</v>
      </c>
      <c r="D15" s="54">
        <v>47.95</v>
      </c>
      <c r="E15" s="54">
        <v>5.05</v>
      </c>
      <c r="F15" s="54">
        <v>3.29</v>
      </c>
      <c r="G15" s="54">
        <v>205.46</v>
      </c>
      <c r="H15" s="54">
        <v>54.52</v>
      </c>
      <c r="I15" s="54">
        <v>1.54</v>
      </c>
      <c r="J15" s="54">
        <v>1.06</v>
      </c>
      <c r="K15" s="54">
        <v>351.60</v>
      </c>
      <c r="L15" s="54">
        <v>20.57</v>
      </c>
      <c r="M15" s="54">
        <v>82.26</v>
      </c>
      <c r="N15" s="54">
        <v>57.70</v>
      </c>
      <c r="O15" s="54">
        <v>0</v>
      </c>
      <c r="P15" s="54">
        <v>0.92</v>
      </c>
      <c r="Q15" s="54">
        <v>9.6300000000000008</v>
      </c>
      <c r="R15" s="43"/>
      <c r="S15" s="43"/>
      <c r="T15" s="43"/>
      <c r="U15" s="43"/>
    </row>
    <row r="16" spans="1:21" s="11" customFormat="1" ht="15">
      <c r="A16" s="53" t="s">
        <v>141</v>
      </c>
      <c r="B16" s="54">
        <v>19.02</v>
      </c>
      <c r="C16" s="54">
        <v>57.86</v>
      </c>
      <c r="D16" s="54">
        <v>47.74</v>
      </c>
      <c r="E16" s="54">
        <v>5.82</v>
      </c>
      <c r="F16" s="54">
        <v>3.65</v>
      </c>
      <c r="G16" s="54">
        <v>167.92</v>
      </c>
      <c r="H16" s="54">
        <v>54.52</v>
      </c>
      <c r="I16" s="54">
        <v>1.57</v>
      </c>
      <c r="J16" s="54">
        <v>0.98</v>
      </c>
      <c r="K16" s="54">
        <v>334.23</v>
      </c>
      <c r="L16" s="54">
        <v>23.13</v>
      </c>
      <c r="M16" s="54">
        <v>79.540000000000006</v>
      </c>
      <c r="N16" s="54">
        <v>195.60</v>
      </c>
      <c r="O16" s="54">
        <v>0</v>
      </c>
      <c r="P16" s="54">
        <v>0.99</v>
      </c>
      <c r="Q16" s="54">
        <v>9.64</v>
      </c>
      <c r="R16" s="43"/>
      <c r="S16" s="43"/>
      <c r="T16" s="43"/>
      <c r="U16" s="43"/>
    </row>
    <row r="17" spans="1:21" s="11" customFormat="1" ht="15">
      <c r="A17" s="53" t="s">
        <v>142</v>
      </c>
      <c r="B17" s="54">
        <v>21.58</v>
      </c>
      <c r="C17" s="54">
        <v>58.12</v>
      </c>
      <c r="D17" s="54">
        <v>50.03</v>
      </c>
      <c r="E17" s="54">
        <v>5.96</v>
      </c>
      <c r="F17" s="54">
        <v>3.46</v>
      </c>
      <c r="G17" s="54">
        <v>138.79</v>
      </c>
      <c r="H17" s="54">
        <v>52.17</v>
      </c>
      <c r="I17" s="54">
        <v>1.52</v>
      </c>
      <c r="J17" s="54">
        <v>0.82</v>
      </c>
      <c r="K17" s="54">
        <v>348.96</v>
      </c>
      <c r="L17" s="54">
        <v>27.57</v>
      </c>
      <c r="M17" s="54">
        <v>61.63</v>
      </c>
      <c r="N17" s="54">
        <v>345.5</v>
      </c>
      <c r="O17" s="54">
        <v>0</v>
      </c>
      <c r="P17" s="54">
        <v>1.01</v>
      </c>
      <c r="Q17" s="54">
        <v>9.61</v>
      </c>
      <c r="R17" s="43"/>
      <c r="S17" s="43"/>
      <c r="T17" s="43"/>
      <c r="U17" s="43"/>
    </row>
    <row r="18" spans="1:21" s="11" customFormat="1" ht="15">
      <c r="A18" s="53" t="s">
        <v>143</v>
      </c>
      <c r="B18" s="54">
        <v>23.35</v>
      </c>
      <c r="C18" s="54">
        <v>60.34</v>
      </c>
      <c r="D18" s="54">
        <v>52.67</v>
      </c>
      <c r="E18" s="54">
        <v>6.08</v>
      </c>
      <c r="F18" s="54">
        <v>3.72</v>
      </c>
      <c r="G18" s="54">
        <v>138.79</v>
      </c>
      <c r="H18" s="54">
        <v>52.17</v>
      </c>
      <c r="I18" s="54">
        <v>1.53</v>
      </c>
      <c r="J18" s="54">
        <v>1.18</v>
      </c>
      <c r="K18" s="54">
        <v>349.22</v>
      </c>
      <c r="L18" s="54">
        <v>30.52</v>
      </c>
      <c r="M18" s="54">
        <v>51.05</v>
      </c>
      <c r="N18" s="54">
        <v>572.20000000000005</v>
      </c>
      <c r="O18" s="54">
        <v>0</v>
      </c>
      <c r="P18" s="54">
        <v>1.02</v>
      </c>
      <c r="Q18" s="54">
        <v>9.65</v>
      </c>
      <c r="R18" s="43"/>
      <c r="S18" s="43"/>
      <c r="T18" s="43"/>
      <c r="U18" s="43"/>
    </row>
    <row r="19" spans="1:21" s="11" customFormat="1" ht="15">
      <c r="A19" s="53" t="s">
        <v>144</v>
      </c>
      <c r="B19" s="54">
        <v>22.79</v>
      </c>
      <c r="C19" s="54">
        <v>71.16</v>
      </c>
      <c r="D19" s="54">
        <v>53.91</v>
      </c>
      <c r="E19" s="54">
        <v>6.37</v>
      </c>
      <c r="F19" s="54">
        <v>4.9000000000000004</v>
      </c>
      <c r="G19" s="54">
        <v>177.65</v>
      </c>
      <c r="H19" s="54">
        <v>50.54</v>
      </c>
      <c r="I19" s="54">
        <v>1.54</v>
      </c>
      <c r="J19" s="54">
        <v>0.85</v>
      </c>
      <c r="K19" s="54">
        <v>340.72</v>
      </c>
      <c r="L19" s="54">
        <v>33.119999999999997</v>
      </c>
      <c r="M19" s="54">
        <v>39.32</v>
      </c>
      <c r="N19" s="54">
        <v>662.90</v>
      </c>
      <c r="O19" s="54">
        <v>0</v>
      </c>
      <c r="P19" s="54">
        <v>1.03</v>
      </c>
      <c r="Q19" s="54">
        <v>9.58</v>
      </c>
      <c r="R19" s="43"/>
      <c r="S19" s="43"/>
      <c r="T19" s="43"/>
      <c r="U19" s="43"/>
    </row>
    <row r="20" spans="1:21" s="11" customFormat="1" ht="15">
      <c r="A20" s="53" t="s">
        <v>145</v>
      </c>
      <c r="B20" s="55" t="s">
        <v>12</v>
      </c>
      <c r="C20" s="55" t="s">
        <v>12</v>
      </c>
      <c r="D20" s="55" t="s">
        <v>12</v>
      </c>
      <c r="E20" s="54">
        <v>7.37</v>
      </c>
      <c r="F20" s="54">
        <v>5.59</v>
      </c>
      <c r="G20" s="54">
        <v>177.65</v>
      </c>
      <c r="H20" s="54">
        <v>49.08</v>
      </c>
      <c r="I20" s="54">
        <v>1.51</v>
      </c>
      <c r="J20" s="54">
        <v>0.76</v>
      </c>
      <c r="K20" s="54">
        <v>359.5</v>
      </c>
      <c r="L20" s="54">
        <v>30.38</v>
      </c>
      <c r="M20" s="54">
        <v>41.99</v>
      </c>
      <c r="N20" s="54">
        <v>628.40</v>
      </c>
      <c r="O20" s="54">
        <v>0</v>
      </c>
      <c r="P20" s="54">
        <v>0.97</v>
      </c>
      <c r="Q20" s="54">
        <v>9.48</v>
      </c>
      <c r="R20" s="43"/>
      <c r="S20" s="43"/>
      <c r="T20" s="43"/>
      <c r="U20" s="43"/>
    </row>
    <row r="21" spans="1:21" s="11" customFormat="1" ht="15">
      <c r="A21" s="53" t="s">
        <v>146</v>
      </c>
      <c r="B21" s="55" t="s">
        <v>12</v>
      </c>
      <c r="C21" s="55" t="s">
        <v>12</v>
      </c>
      <c r="D21" s="55" t="s">
        <v>12</v>
      </c>
      <c r="E21" s="54">
        <v>6.37</v>
      </c>
      <c r="F21" s="54">
        <v>5.0999999999999996</v>
      </c>
      <c r="G21" s="54">
        <v>81.09</v>
      </c>
      <c r="H21" s="54">
        <v>44.62</v>
      </c>
      <c r="I21" s="54">
        <v>1.57</v>
      </c>
      <c r="J21" s="54">
        <v>0.95</v>
      </c>
      <c r="K21" s="54">
        <v>349.47</v>
      </c>
      <c r="L21" s="54">
        <v>33.64</v>
      </c>
      <c r="M21" s="54">
        <v>35.32</v>
      </c>
      <c r="N21" s="54">
        <v>703.80</v>
      </c>
      <c r="O21" s="54">
        <v>0</v>
      </c>
      <c r="P21" s="54">
        <v>0.87</v>
      </c>
      <c r="Q21" s="54">
        <v>9.07</v>
      </c>
      <c r="R21" s="43"/>
      <c r="S21" s="43"/>
      <c r="T21" s="43"/>
      <c r="U21" s="43"/>
    </row>
    <row r="22" spans="1:21" s="11" customFormat="1" ht="15">
      <c r="A22" s="53" t="s">
        <v>147</v>
      </c>
      <c r="B22" s="55" t="s">
        <v>12</v>
      </c>
      <c r="C22" s="55" t="s">
        <v>12</v>
      </c>
      <c r="D22" s="55" t="s">
        <v>12</v>
      </c>
      <c r="E22" s="55" t="s">
        <v>12</v>
      </c>
      <c r="F22" s="54">
        <v>5.52</v>
      </c>
      <c r="G22" s="54">
        <v>72.540000000000006</v>
      </c>
      <c r="H22" s="54">
        <v>37.36</v>
      </c>
      <c r="I22" s="54">
        <v>1.58</v>
      </c>
      <c r="J22" s="54">
        <v>1.08</v>
      </c>
      <c r="K22" s="54">
        <v>347.76</v>
      </c>
      <c r="L22" s="54">
        <v>33.90</v>
      </c>
      <c r="M22" s="54">
        <v>39.44</v>
      </c>
      <c r="N22" s="54">
        <v>668.20</v>
      </c>
      <c r="O22" s="54">
        <v>0</v>
      </c>
      <c r="P22" s="54">
        <v>0.75</v>
      </c>
      <c r="Q22" s="54">
        <v>9.09</v>
      </c>
      <c r="R22" s="43"/>
      <c r="S22" s="43"/>
      <c r="T22" s="43"/>
      <c r="U22" s="43"/>
    </row>
    <row r="23" spans="1:21" s="11" customFormat="1" ht="15">
      <c r="A23" s="53" t="s">
        <v>148</v>
      </c>
      <c r="B23" s="54">
        <v>2.93</v>
      </c>
      <c r="C23" s="54">
        <v>51.32</v>
      </c>
      <c r="D23" s="54">
        <v>31.32</v>
      </c>
      <c r="E23" s="55" t="s">
        <v>12</v>
      </c>
      <c r="F23" s="54">
        <v>5.45</v>
      </c>
      <c r="G23" s="54">
        <v>64.17</v>
      </c>
      <c r="H23" s="54">
        <v>30.72</v>
      </c>
      <c r="I23" s="54">
        <v>1.60</v>
      </c>
      <c r="J23" s="54">
        <v>1.31</v>
      </c>
      <c r="K23" s="54">
        <v>352.46</v>
      </c>
      <c r="L23" s="54">
        <v>33.56</v>
      </c>
      <c r="M23" s="54">
        <v>34.79</v>
      </c>
      <c r="N23" s="54">
        <v>507.20</v>
      </c>
      <c r="O23" s="54">
        <v>0</v>
      </c>
      <c r="P23" s="54">
        <v>0.71</v>
      </c>
      <c r="Q23" s="54">
        <v>9.08</v>
      </c>
      <c r="R23" s="43"/>
      <c r="S23" s="43"/>
      <c r="T23" s="43"/>
      <c r="U23" s="43"/>
    </row>
    <row r="24" spans="1:21" s="11" customFormat="1" ht="15">
      <c r="A24" s="53" t="s">
        <v>149</v>
      </c>
      <c r="B24" s="54">
        <v>2.57</v>
      </c>
      <c r="C24" s="54">
        <v>46.69</v>
      </c>
      <c r="D24" s="54">
        <v>28.26</v>
      </c>
      <c r="E24" s="55" t="s">
        <v>12</v>
      </c>
      <c r="F24" s="54">
        <v>5.67</v>
      </c>
      <c r="G24" s="54">
        <v>74.77</v>
      </c>
      <c r="H24" s="54">
        <v>30.38</v>
      </c>
      <c r="I24" s="54">
        <v>1.56</v>
      </c>
      <c r="J24" s="54">
        <v>1.19</v>
      </c>
      <c r="K24" s="54">
        <v>337.65</v>
      </c>
      <c r="L24" s="54">
        <v>32.76</v>
      </c>
      <c r="M24" s="54">
        <v>38.40</v>
      </c>
      <c r="N24" s="54">
        <v>316.30</v>
      </c>
      <c r="O24" s="54">
        <v>0</v>
      </c>
      <c r="P24" s="54">
        <v>0.66</v>
      </c>
      <c r="Q24" s="54">
        <v>8.9600000000000009</v>
      </c>
      <c r="R24" s="43"/>
      <c r="S24" s="43"/>
      <c r="T24" s="43"/>
      <c r="U24" s="43"/>
    </row>
    <row r="25" spans="1:21" s="11" customFormat="1" ht="15">
      <c r="A25" s="53" t="s">
        <v>150</v>
      </c>
      <c r="B25" s="54">
        <v>3.73</v>
      </c>
      <c r="C25" s="54">
        <v>47.93</v>
      </c>
      <c r="D25" s="54">
        <v>30.09</v>
      </c>
      <c r="E25" s="55" t="s">
        <v>12</v>
      </c>
      <c r="F25" s="54">
        <v>4.67</v>
      </c>
      <c r="G25" s="54">
        <v>74.77</v>
      </c>
      <c r="H25" s="54">
        <v>28.13</v>
      </c>
      <c r="I25" s="54">
        <v>1.56</v>
      </c>
      <c r="J25" s="54">
        <v>0.77</v>
      </c>
      <c r="K25" s="54">
        <v>357.38</v>
      </c>
      <c r="L25" s="54">
        <v>30</v>
      </c>
      <c r="M25" s="54">
        <v>38.61</v>
      </c>
      <c r="N25" s="54">
        <v>147.90</v>
      </c>
      <c r="O25" s="54">
        <v>0</v>
      </c>
      <c r="P25" s="54">
        <v>0.63</v>
      </c>
      <c r="Q25" s="54">
        <v>8.9600000000000009</v>
      </c>
      <c r="R25" s="43"/>
      <c r="S25" s="43"/>
      <c r="T25" s="43"/>
      <c r="U25" s="43"/>
    </row>
    <row r="26" spans="1:21" s="11" customFormat="1" ht="15">
      <c r="A26" s="53" t="s">
        <v>151</v>
      </c>
      <c r="B26" s="54">
        <v>4.16</v>
      </c>
      <c r="C26" s="54">
        <v>55.32</v>
      </c>
      <c r="D26" s="54">
        <v>34.200000000000003</v>
      </c>
      <c r="E26" s="54">
        <v>4.34</v>
      </c>
      <c r="F26" s="54">
        <v>4.72</v>
      </c>
      <c r="G26" s="54">
        <v>60.53</v>
      </c>
      <c r="H26" s="54">
        <v>23.65</v>
      </c>
      <c r="I26" s="54">
        <v>1.59</v>
      </c>
      <c r="J26" s="54">
        <v>0.56000000000000005</v>
      </c>
      <c r="K26" s="54">
        <v>61.81</v>
      </c>
      <c r="L26" s="54">
        <v>28.78</v>
      </c>
      <c r="M26" s="54">
        <v>47.27</v>
      </c>
      <c r="N26" s="54">
        <v>68.599999999999994</v>
      </c>
      <c r="O26" s="54">
        <v>0</v>
      </c>
      <c r="P26" s="54">
        <v>0.67</v>
      </c>
      <c r="Q26" s="54">
        <v>9.06</v>
      </c>
      <c r="R26" s="43"/>
      <c r="S26" s="43"/>
      <c r="T26" s="43"/>
      <c r="U26" s="43"/>
    </row>
    <row r="27" spans="1:21" s="11" customFormat="1" ht="15">
      <c r="A27" s="53" t="s">
        <v>152</v>
      </c>
      <c r="B27" s="54">
        <v>5.77</v>
      </c>
      <c r="C27" s="54">
        <v>55.21</v>
      </c>
      <c r="D27" s="54">
        <v>35.74</v>
      </c>
      <c r="E27" s="54">
        <v>4.21</v>
      </c>
      <c r="F27" s="54">
        <v>3.75</v>
      </c>
      <c r="G27" s="54">
        <v>65.87</v>
      </c>
      <c r="H27" s="54">
        <v>24.66</v>
      </c>
      <c r="I27" s="54">
        <v>1.53</v>
      </c>
      <c r="J27" s="54">
        <v>0.51</v>
      </c>
      <c r="K27" s="54">
        <v>86.90</v>
      </c>
      <c r="L27" s="54">
        <v>26.56</v>
      </c>
      <c r="M27" s="54">
        <v>51.79</v>
      </c>
      <c r="N27" s="54">
        <v>23.20</v>
      </c>
      <c r="O27" s="54">
        <v>0</v>
      </c>
      <c r="P27" s="54">
        <v>0.73</v>
      </c>
      <c r="Q27" s="54">
        <v>9.0500000000000007</v>
      </c>
      <c r="R27" s="43"/>
      <c r="S27" s="43"/>
      <c r="T27" s="43"/>
      <c r="U27" s="43"/>
    </row>
    <row r="28" spans="1:21" s="11" customFormat="1" ht="15">
      <c r="A28" s="53" t="s">
        <v>153</v>
      </c>
      <c r="B28" s="54">
        <v>13.84</v>
      </c>
      <c r="C28" s="54">
        <v>56.24</v>
      </c>
      <c r="D28" s="54">
        <v>42.78</v>
      </c>
      <c r="E28" s="54">
        <v>4.3499999999999996</v>
      </c>
      <c r="F28" s="54">
        <v>3.49</v>
      </c>
      <c r="G28" s="54">
        <v>67</v>
      </c>
      <c r="H28" s="54">
        <v>25.13</v>
      </c>
      <c r="I28" s="54">
        <v>1.52</v>
      </c>
      <c r="J28" s="54">
        <v>0.28999999999999998</v>
      </c>
      <c r="K28" s="54">
        <v>62.84</v>
      </c>
      <c r="L28" s="54">
        <v>25.46</v>
      </c>
      <c r="M28" s="54">
        <v>53.66</v>
      </c>
      <c r="N28" s="54">
        <v>22.40</v>
      </c>
      <c r="O28" s="54">
        <v>0</v>
      </c>
      <c r="P28" s="54">
        <v>0.95</v>
      </c>
      <c r="Q28" s="54">
        <v>9.15</v>
      </c>
      <c r="R28" s="43"/>
      <c r="S28" s="43"/>
      <c r="T28" s="43"/>
      <c r="U28" s="43"/>
    </row>
    <row r="29" spans="1:21" s="11" customFormat="1" ht="15">
      <c r="A29" s="53" t="s">
        <v>154</v>
      </c>
      <c r="B29" s="54">
        <v>14.19</v>
      </c>
      <c r="C29" s="54">
        <v>55.37</v>
      </c>
      <c r="D29" s="54">
        <v>42.58</v>
      </c>
      <c r="E29" s="54">
        <v>3.61</v>
      </c>
      <c r="F29" s="54">
        <v>3.78</v>
      </c>
      <c r="G29" s="54">
        <v>67</v>
      </c>
      <c r="H29" s="54">
        <v>25.13</v>
      </c>
      <c r="I29" s="54">
        <v>1.48</v>
      </c>
      <c r="J29" s="54">
        <v>0.75</v>
      </c>
      <c r="K29" s="54">
        <v>99.52</v>
      </c>
      <c r="L29" s="54">
        <v>24.93</v>
      </c>
      <c r="M29" s="54">
        <v>57.66</v>
      </c>
      <c r="N29" s="54">
        <v>22.80</v>
      </c>
      <c r="O29" s="54">
        <v>0</v>
      </c>
      <c r="P29" s="54">
        <v>0.99</v>
      </c>
      <c r="Q29" s="54">
        <v>9.27</v>
      </c>
      <c r="R29" s="43"/>
      <c r="S29" s="43"/>
      <c r="T29" s="43"/>
      <c r="U29" s="43"/>
    </row>
    <row r="30" spans="1:21" s="11" customFormat="1" ht="15">
      <c r="A30" s="53" t="s">
        <v>155</v>
      </c>
      <c r="B30" s="54">
        <v>24.11</v>
      </c>
      <c r="C30" s="54">
        <v>58.26</v>
      </c>
      <c r="D30" s="54">
        <v>51.33</v>
      </c>
      <c r="E30" s="54">
        <v>3.44</v>
      </c>
      <c r="F30" s="54">
        <v>3.51</v>
      </c>
      <c r="G30" s="54">
        <v>83.56</v>
      </c>
      <c r="H30" s="54">
        <v>25.32</v>
      </c>
      <c r="I30" s="54">
        <v>1.51</v>
      </c>
      <c r="J30" s="54">
        <v>0.14000000000000001</v>
      </c>
      <c r="K30" s="54">
        <v>356.31</v>
      </c>
      <c r="L30" s="54">
        <v>23.92</v>
      </c>
      <c r="M30" s="54">
        <v>68.010000000000005</v>
      </c>
      <c r="N30" s="54">
        <v>22.70</v>
      </c>
      <c r="O30" s="54">
        <v>0</v>
      </c>
      <c r="P30" s="54">
        <v>1.19</v>
      </c>
      <c r="Q30" s="54">
        <v>9.4600000000000009</v>
      </c>
      <c r="R30" s="43"/>
      <c r="S30" s="43"/>
      <c r="T30" s="43"/>
      <c r="U30" s="43"/>
    </row>
    <row r="31" spans="1:21" s="11" customFormat="1" ht="15">
      <c r="A31" s="53" t="s">
        <v>156</v>
      </c>
      <c r="B31" s="54">
        <v>29.86</v>
      </c>
      <c r="C31" s="54">
        <v>56.58</v>
      </c>
      <c r="D31" s="54">
        <v>54.06</v>
      </c>
      <c r="E31" s="54">
        <v>3.97</v>
      </c>
      <c r="F31" s="54">
        <v>3.64</v>
      </c>
      <c r="G31" s="54">
        <v>90.64</v>
      </c>
      <c r="H31" s="54">
        <v>28.35</v>
      </c>
      <c r="I31" s="54">
        <v>1.57</v>
      </c>
      <c r="J31" s="54">
        <v>0.11</v>
      </c>
      <c r="K31" s="54">
        <v>245.55</v>
      </c>
      <c r="L31" s="54">
        <v>23.18</v>
      </c>
      <c r="M31" s="54">
        <v>69.95</v>
      </c>
      <c r="N31" s="54">
        <v>22.60</v>
      </c>
      <c r="O31" s="54">
        <v>0</v>
      </c>
      <c r="P31" s="54">
        <v>1.26</v>
      </c>
      <c r="Q31" s="54">
        <v>9.69</v>
      </c>
      <c r="R31" s="43"/>
      <c r="S31" s="43"/>
      <c r="T31" s="43"/>
      <c r="U31" s="43"/>
    </row>
    <row r="32" spans="1:21" s="11" customFormat="1" ht="15">
      <c r="A32" s="53" t="s">
        <v>157</v>
      </c>
      <c r="B32" s="54">
        <v>40.18</v>
      </c>
      <c r="C32" s="54">
        <v>60.10</v>
      </c>
      <c r="D32" s="54">
        <v>66.040000000000006</v>
      </c>
      <c r="E32" s="54">
        <v>4.3899999999999997</v>
      </c>
      <c r="F32" s="54">
        <v>3.53</v>
      </c>
      <c r="G32" s="54">
        <v>90.64</v>
      </c>
      <c r="H32" s="54">
        <v>28.35</v>
      </c>
      <c r="I32" s="54">
        <v>1.48</v>
      </c>
      <c r="J32" s="54">
        <v>0.80</v>
      </c>
      <c r="K32" s="54">
        <v>348.79</v>
      </c>
      <c r="L32" s="54">
        <v>22.26</v>
      </c>
      <c r="M32" s="54">
        <v>77.290000000000006</v>
      </c>
      <c r="N32" s="54">
        <v>22.70</v>
      </c>
      <c r="O32" s="54">
        <v>0</v>
      </c>
      <c r="P32" s="54">
        <v>1.31</v>
      </c>
      <c r="Q32" s="54">
        <v>9.98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2.5699999999999998</v>
      </c>
      <c r="C34" s="28">
        <f t="shared" si="0"/>
        <v>46.689999999999998</v>
      </c>
      <c r="D34" s="28">
        <f t="shared" si="0"/>
        <v>28.260000000000002</v>
      </c>
      <c r="E34" s="28">
        <f t="shared" si="0"/>
        <v>3.4399999999999999</v>
      </c>
      <c r="F34" s="28">
        <f t="shared" si="0"/>
        <v>3.29</v>
      </c>
      <c r="G34" s="28">
        <f t="shared" si="0"/>
        <v>60.530000000000001</v>
      </c>
      <c r="H34" s="28">
        <f t="shared" si="0"/>
        <v>23.649999999999999</v>
      </c>
      <c r="I34" s="28">
        <f t="shared" si="0"/>
        <v>1.48</v>
      </c>
      <c r="J34" s="28">
        <f t="shared" si="0"/>
        <v>0.11</v>
      </c>
      <c r="K34" s="28">
        <f t="shared" si="0"/>
        <v>61.810000000000002</v>
      </c>
      <c r="L34" s="28">
        <f t="shared" si="0"/>
        <v>20.57</v>
      </c>
      <c r="M34" s="28">
        <f t="shared" si="0"/>
        <v>34.789999999999999</v>
      </c>
      <c r="N34" s="28">
        <f t="shared" si="0"/>
        <v>22.399999999999999</v>
      </c>
      <c r="O34" s="28">
        <f t="shared" si="0"/>
        <v>0</v>
      </c>
      <c r="P34" s="28">
        <f t="shared" si="0"/>
        <v>0.63</v>
      </c>
      <c r="Q34" s="28">
        <f t="shared" si="0"/>
        <v>8.9600000000000009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44.020000000000003</v>
      </c>
      <c r="C35" s="29">
        <f t="shared" si="1"/>
        <v>71.159999999999997</v>
      </c>
      <c r="D35" s="29">
        <f t="shared" si="1"/>
        <v>71.370000000000005</v>
      </c>
      <c r="E35" s="29">
        <f t="shared" si="1"/>
        <v>7.3700000000000001</v>
      </c>
      <c r="F35" s="29">
        <f t="shared" si="1"/>
        <v>5.6699999999999999</v>
      </c>
      <c r="G35" s="29">
        <f t="shared" si="1"/>
        <v>205.46000000000001</v>
      </c>
      <c r="H35" s="29">
        <f t="shared" si="1"/>
        <v>54.520000000000003</v>
      </c>
      <c r="I35" s="29">
        <f t="shared" si="1"/>
        <v>1.6000000000000001</v>
      </c>
      <c r="J35" s="29">
        <f t="shared" si="1"/>
        <v>1.3100000000000001</v>
      </c>
      <c r="K35" s="29">
        <f t="shared" si="1"/>
        <v>359.5</v>
      </c>
      <c r="L35" s="29">
        <f t="shared" si="1"/>
        <v>33.899999999999999</v>
      </c>
      <c r="M35" s="29">
        <f t="shared" si="1"/>
        <v>83.900000000000006</v>
      </c>
      <c r="N35" s="29">
        <f t="shared" si="1"/>
        <v>703.79999999999995</v>
      </c>
      <c r="O35" s="29">
        <f t="shared" si="1"/>
        <v>0</v>
      </c>
      <c r="P35" s="29">
        <f t="shared" si="1"/>
        <v>1.3100000000000001</v>
      </c>
      <c r="Q35" s="29">
        <f t="shared" si="1"/>
        <v>10.15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19.871904761904766</v>
      </c>
      <c r="C36" s="28">
        <f t="shared" si="2"/>
        <v>56.966666666666661</v>
      </c>
      <c r="D36" s="28">
        <f t="shared" si="2"/>
        <v>47.623809523809527</v>
      </c>
      <c r="E36" s="28">
        <f t="shared" si="2"/>
        <v>4.9034999999999993</v>
      </c>
      <c r="F36" s="28">
        <f t="shared" si="2"/>
        <v>4.1191666666666675</v>
      </c>
      <c r="G36" s="28">
        <f t="shared" si="2"/>
        <v>103.82833333333332</v>
      </c>
      <c r="H36" s="28">
        <f t="shared" si="2"/>
        <v>35.827916666666674</v>
      </c>
      <c r="I36" s="28">
        <f t="shared" si="2"/>
        <v>1.5462499999999997</v>
      </c>
      <c r="J36" s="28">
        <f t="shared" si="2"/>
        <v>0.70250000000000001</v>
      </c>
      <c r="K36" s="28">
        <f t="shared" si="2"/>
        <v>297.90000000000003</v>
      </c>
      <c r="L36" s="28">
        <f t="shared" si="2"/>
        <v>26.432916666666657</v>
      </c>
      <c r="M36" s="28">
        <f t="shared" si="2"/>
        <v>59.259583333333332</v>
      </c>
      <c r="N36" s="28">
        <f t="shared" si="2"/>
        <v>215.5958333333333</v>
      </c>
      <c r="O36" s="28">
        <f t="shared" si="2"/>
        <v>0</v>
      </c>
      <c r="P36" s="28">
        <f t="shared" si="2"/>
        <v>0.93916666666666659</v>
      </c>
      <c r="Q36" s="28">
        <f t="shared" si="2"/>
        <v>9.4608333333333352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11.879187101417175</v>
      </c>
      <c r="C37" s="28">
        <f t="shared" si="3" ref="C37:Q37">STDEV(C9:C32)</f>
        <v>5.3088909701870248</v>
      </c>
      <c r="D37" s="28">
        <f t="shared" si="3"/>
        <v>11.569628981168957</v>
      </c>
      <c r="E37" s="28">
        <f t="shared" si="3"/>
        <v>1.0570429210027954</v>
      </c>
      <c r="F37" s="28">
        <f t="shared" si="3"/>
        <v>0.82185853361473249</v>
      </c>
      <c r="G37" s="28">
        <f t="shared" si="3"/>
        <v>48.337527204356348</v>
      </c>
      <c r="H37" s="28">
        <f t="shared" si="3"/>
        <v>11.349488392670484</v>
      </c>
      <c r="I37" s="28">
        <f t="shared" si="3"/>
        <v>0.034238612832526591</v>
      </c>
      <c r="J37" s="28">
        <f t="shared" si="3"/>
        <v>0.35157100835114874</v>
      </c>
      <c r="K37" s="28">
        <f t="shared" si="3"/>
        <v>103.16635055557843</v>
      </c>
      <c r="L37" s="28">
        <f t="shared" si="3"/>
        <v>4.7344808072790325</v>
      </c>
      <c r="M37" s="28">
        <f t="shared" si="3"/>
        <v>16.980139672485095</v>
      </c>
      <c r="N37" s="28">
        <f t="shared" si="3"/>
        <v>258.79344706300742</v>
      </c>
      <c r="O37" s="28">
        <f t="shared" si="3"/>
        <v>0</v>
      </c>
      <c r="P37" s="28">
        <f t="shared" si="3"/>
        <v>0.195890756305134</v>
      </c>
      <c r="Q37" s="28">
        <f t="shared" si="3"/>
        <v>0.3458061365244563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COUNT(B9:B32)+3</f>
        <v>24</v>
      </c>
      <c r="C38" s="32">
        <f>COUNT(C9:C32)+3</f>
        <v>24</v>
      </c>
      <c r="D38" s="32">
        <f>COUNT(D9:D32)+3</f>
        <v>24</v>
      </c>
      <c r="E38" s="32">
        <f>COUNT(E9:E32)+4</f>
        <v>24</v>
      </c>
      <c r="F38" s="32">
        <f t="shared" si="4" ref="F38:Q38">COUNT(F9:F32)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be4fe8-d7c9-415f-a3b2-4e6b43ed78cc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158</v>
      </c>
      <c r="B9" s="54">
        <v>38.78</v>
      </c>
      <c r="C9" s="54">
        <v>61.28</v>
      </c>
      <c r="D9" s="54">
        <v>65.56</v>
      </c>
      <c r="E9" s="54">
        <v>4.95</v>
      </c>
      <c r="F9" s="54">
        <v>3.72</v>
      </c>
      <c r="G9" s="54">
        <v>110.30</v>
      </c>
      <c r="H9" s="54">
        <v>32.409999999999997</v>
      </c>
      <c r="I9" s="54">
        <v>1.55</v>
      </c>
      <c r="J9" s="54">
        <v>0.35</v>
      </c>
      <c r="K9" s="54">
        <v>351.75</v>
      </c>
      <c r="L9" s="54">
        <v>22.35</v>
      </c>
      <c r="M9" s="54">
        <v>69.959999999999994</v>
      </c>
      <c r="N9" s="54">
        <v>22.60</v>
      </c>
      <c r="O9" s="54">
        <v>0</v>
      </c>
      <c r="P9" s="54">
        <v>1.29</v>
      </c>
      <c r="Q9" s="54">
        <v>10.16</v>
      </c>
      <c r="R9" s="43"/>
      <c r="S9" s="43"/>
      <c r="T9" s="43"/>
      <c r="U9" s="43"/>
    </row>
    <row r="10" spans="1:21" s="11" customFormat="1" ht="15">
      <c r="A10" s="53" t="s">
        <v>159</v>
      </c>
      <c r="B10" s="54">
        <v>31.76</v>
      </c>
      <c r="C10" s="54">
        <v>55.89</v>
      </c>
      <c r="D10" s="54">
        <v>56.96</v>
      </c>
      <c r="E10" s="54">
        <v>5.51</v>
      </c>
      <c r="F10" s="54">
        <v>3.59</v>
      </c>
      <c r="G10" s="54">
        <v>110.30</v>
      </c>
      <c r="H10" s="54">
        <v>32.409999999999997</v>
      </c>
      <c r="I10" s="54">
        <v>1.63</v>
      </c>
      <c r="J10" s="54">
        <v>1.1299999999999999</v>
      </c>
      <c r="K10" s="54">
        <v>354.13</v>
      </c>
      <c r="L10" s="54">
        <v>21.91</v>
      </c>
      <c r="M10" s="54">
        <v>70.260000000000005</v>
      </c>
      <c r="N10" s="54">
        <v>22.70</v>
      </c>
      <c r="O10" s="54">
        <v>0</v>
      </c>
      <c r="P10" s="54">
        <v>1.07</v>
      </c>
      <c r="Q10" s="54">
        <v>10.119999999999999</v>
      </c>
      <c r="R10" s="43"/>
      <c r="S10" s="43"/>
      <c r="T10" s="43"/>
      <c r="U10" s="43"/>
    </row>
    <row r="11" spans="1:21" s="11" customFormat="1" ht="15">
      <c r="A11" s="53" t="s">
        <v>160</v>
      </c>
      <c r="B11" s="54">
        <v>24.39</v>
      </c>
      <c r="C11" s="54">
        <v>54.5</v>
      </c>
      <c r="D11" s="54">
        <v>50.11</v>
      </c>
      <c r="E11" s="54">
        <v>4.8600000000000003</v>
      </c>
      <c r="F11" s="54">
        <v>3.74</v>
      </c>
      <c r="G11" s="54">
        <v>91.55</v>
      </c>
      <c r="H11" s="54">
        <v>31.46</v>
      </c>
      <c r="I11" s="54">
        <v>1.52</v>
      </c>
      <c r="J11" s="54">
        <v>1.08</v>
      </c>
      <c r="K11" s="54">
        <v>358.41</v>
      </c>
      <c r="L11" s="54">
        <v>21.53</v>
      </c>
      <c r="M11" s="54">
        <v>72.31</v>
      </c>
      <c r="N11" s="54">
        <v>23</v>
      </c>
      <c r="O11" s="54">
        <v>0</v>
      </c>
      <c r="P11" s="54">
        <v>0.93</v>
      </c>
      <c r="Q11" s="54">
        <v>9.94</v>
      </c>
      <c r="R11" s="43"/>
      <c r="S11" s="43"/>
      <c r="T11" s="43"/>
      <c r="U11" s="43"/>
    </row>
    <row r="12" spans="1:21" s="11" customFormat="1" ht="15">
      <c r="A12" s="53" t="s">
        <v>161</v>
      </c>
      <c r="B12" s="54">
        <v>20.09</v>
      </c>
      <c r="C12" s="54">
        <v>50.31</v>
      </c>
      <c r="D12" s="54">
        <v>44.52</v>
      </c>
      <c r="E12" s="54">
        <v>4.76</v>
      </c>
      <c r="F12" s="54">
        <v>3.59</v>
      </c>
      <c r="G12" s="54">
        <v>63.28</v>
      </c>
      <c r="H12" s="54">
        <v>27.52</v>
      </c>
      <c r="I12" s="54">
        <v>1.53</v>
      </c>
      <c r="J12" s="54">
        <v>0.92</v>
      </c>
      <c r="K12" s="54">
        <v>355.70</v>
      </c>
      <c r="L12" s="54">
        <v>21.03</v>
      </c>
      <c r="M12" s="54">
        <v>71.41</v>
      </c>
      <c r="N12" s="54">
        <v>23.10</v>
      </c>
      <c r="O12" s="54">
        <v>0</v>
      </c>
      <c r="P12" s="54">
        <v>0.82</v>
      </c>
      <c r="Q12" s="54">
        <v>9.7899999999999991</v>
      </c>
      <c r="R12" s="43"/>
      <c r="S12" s="43"/>
      <c r="T12" s="43"/>
      <c r="U12" s="43"/>
    </row>
    <row r="13" spans="1:21" s="11" customFormat="1" ht="15">
      <c r="A13" s="53" t="s">
        <v>162</v>
      </c>
      <c r="B13" s="54">
        <v>17.98</v>
      </c>
      <c r="C13" s="54">
        <v>51.52</v>
      </c>
      <c r="D13" s="54">
        <v>43.17</v>
      </c>
      <c r="E13" s="54">
        <v>2.98</v>
      </c>
      <c r="F13" s="54">
        <v>4.07</v>
      </c>
      <c r="G13" s="54">
        <v>63.45</v>
      </c>
      <c r="H13" s="54">
        <v>25.88</v>
      </c>
      <c r="I13" s="54">
        <v>1.52</v>
      </c>
      <c r="J13" s="54">
        <v>0.89</v>
      </c>
      <c r="K13" s="54">
        <v>356.88</v>
      </c>
      <c r="L13" s="54">
        <v>20.57</v>
      </c>
      <c r="M13" s="54">
        <v>67.45</v>
      </c>
      <c r="N13" s="54">
        <v>23</v>
      </c>
      <c r="O13" s="54">
        <v>0</v>
      </c>
      <c r="P13" s="54">
        <v>0.74</v>
      </c>
      <c r="Q13" s="54">
        <v>9.6300000000000008</v>
      </c>
      <c r="R13" s="43"/>
      <c r="S13" s="43"/>
      <c r="T13" s="43"/>
      <c r="U13" s="43"/>
    </row>
    <row r="14" spans="1:21" s="11" customFormat="1" ht="15">
      <c r="A14" s="53" t="s">
        <v>163</v>
      </c>
      <c r="B14" s="54">
        <v>17.149999999999999</v>
      </c>
      <c r="C14" s="54">
        <v>52.61</v>
      </c>
      <c r="D14" s="54">
        <v>43.44</v>
      </c>
      <c r="E14" s="54">
        <v>3.11</v>
      </c>
      <c r="F14" s="54">
        <v>3.53</v>
      </c>
      <c r="G14" s="54">
        <v>73.239999999999995</v>
      </c>
      <c r="H14" s="54">
        <v>21.5</v>
      </c>
      <c r="I14" s="54">
        <v>1.51</v>
      </c>
      <c r="J14" s="54">
        <v>1</v>
      </c>
      <c r="K14" s="54">
        <v>355.45</v>
      </c>
      <c r="L14" s="54">
        <v>20.25</v>
      </c>
      <c r="M14" s="54">
        <v>68.38</v>
      </c>
      <c r="N14" s="54">
        <v>23.30</v>
      </c>
      <c r="O14" s="54">
        <v>0</v>
      </c>
      <c r="P14" s="54">
        <v>0.69</v>
      </c>
      <c r="Q14" s="54">
        <v>9.6199999999999992</v>
      </c>
      <c r="R14" s="43"/>
      <c r="S14" s="43"/>
      <c r="T14" s="43"/>
      <c r="U14" s="43"/>
    </row>
    <row r="15" spans="1:21" s="11" customFormat="1" ht="15">
      <c r="A15" s="53" t="s">
        <v>164</v>
      </c>
      <c r="B15" s="54">
        <v>18.63</v>
      </c>
      <c r="C15" s="54">
        <v>53.94</v>
      </c>
      <c r="D15" s="54">
        <v>44.89</v>
      </c>
      <c r="E15" s="54">
        <v>3.07</v>
      </c>
      <c r="F15" s="54">
        <v>3.59</v>
      </c>
      <c r="G15" s="54">
        <v>73.239999999999995</v>
      </c>
      <c r="H15" s="54">
        <v>23.42</v>
      </c>
      <c r="I15" s="54">
        <v>1.56</v>
      </c>
      <c r="J15" s="54">
        <v>1.03</v>
      </c>
      <c r="K15" s="54">
        <v>355.97</v>
      </c>
      <c r="L15" s="54">
        <v>19.73</v>
      </c>
      <c r="M15" s="54">
        <v>69.55</v>
      </c>
      <c r="N15" s="54">
        <v>87.30</v>
      </c>
      <c r="O15" s="54">
        <v>0</v>
      </c>
      <c r="P15" s="54">
        <v>0.68</v>
      </c>
      <c r="Q15" s="54">
        <v>9.6999999999999993</v>
      </c>
      <c r="R15" s="43"/>
      <c r="S15" s="43"/>
      <c r="T15" s="43"/>
      <c r="U15" s="43"/>
    </row>
    <row r="16" spans="1:21" s="11" customFormat="1" ht="15">
      <c r="A16" s="53" t="s">
        <v>165</v>
      </c>
      <c r="B16" s="54">
        <v>19.61</v>
      </c>
      <c r="C16" s="54">
        <v>51.45</v>
      </c>
      <c r="D16" s="54">
        <v>44.51</v>
      </c>
      <c r="E16" s="54">
        <v>4.6399999999999997</v>
      </c>
      <c r="F16" s="54">
        <v>3.57</v>
      </c>
      <c r="G16" s="54">
        <v>64.540000000000006</v>
      </c>
      <c r="H16" s="54">
        <v>23.59</v>
      </c>
      <c r="I16" s="54">
        <v>1.56</v>
      </c>
      <c r="J16" s="54">
        <v>1.1100000000000001</v>
      </c>
      <c r="K16" s="54">
        <v>358.35</v>
      </c>
      <c r="L16" s="54">
        <v>22.90</v>
      </c>
      <c r="M16" s="54">
        <v>67.290000000000006</v>
      </c>
      <c r="N16" s="54">
        <v>271.30</v>
      </c>
      <c r="O16" s="54">
        <v>0</v>
      </c>
      <c r="P16" s="54">
        <v>0.65</v>
      </c>
      <c r="Q16" s="54">
        <v>9.73</v>
      </c>
      <c r="R16" s="43"/>
      <c r="S16" s="43"/>
      <c r="T16" s="43"/>
      <c r="U16" s="43"/>
    </row>
    <row r="17" spans="1:21" s="11" customFormat="1" ht="15">
      <c r="A17" s="53" t="s">
        <v>166</v>
      </c>
      <c r="B17" s="54">
        <v>19.440000000000001</v>
      </c>
      <c r="C17" s="54">
        <v>55.14</v>
      </c>
      <c r="D17" s="54">
        <v>46.44</v>
      </c>
      <c r="E17" s="54">
        <v>4.74</v>
      </c>
      <c r="F17" s="54">
        <v>3.58</v>
      </c>
      <c r="G17" s="54">
        <v>59.56</v>
      </c>
      <c r="H17" s="54">
        <v>23.59</v>
      </c>
      <c r="I17" s="54">
        <v>1.51</v>
      </c>
      <c r="J17" s="54">
        <v>1.5</v>
      </c>
      <c r="K17" s="54">
        <v>359.39</v>
      </c>
      <c r="L17" s="54">
        <v>25.11</v>
      </c>
      <c r="M17" s="54">
        <v>57.34</v>
      </c>
      <c r="N17" s="54">
        <v>466.5</v>
      </c>
      <c r="O17" s="54">
        <v>0</v>
      </c>
      <c r="P17" s="54">
        <v>0.61</v>
      </c>
      <c r="Q17" s="54">
        <v>9.7200000000000006</v>
      </c>
      <c r="R17" s="43"/>
      <c r="S17" s="43"/>
      <c r="T17" s="43"/>
      <c r="U17" s="43"/>
    </row>
    <row r="18" spans="1:21" s="11" customFormat="1" ht="15">
      <c r="A18" s="53" t="s">
        <v>167</v>
      </c>
      <c r="B18" s="54">
        <v>19.600000000000001</v>
      </c>
      <c r="C18" s="54">
        <v>57.59</v>
      </c>
      <c r="D18" s="54">
        <v>48.14</v>
      </c>
      <c r="E18" s="54">
        <v>4.3600000000000003</v>
      </c>
      <c r="F18" s="54">
        <v>3.60</v>
      </c>
      <c r="G18" s="54">
        <v>59.56</v>
      </c>
      <c r="H18" s="54">
        <v>19.22</v>
      </c>
      <c r="I18" s="54">
        <v>1.52</v>
      </c>
      <c r="J18" s="54">
        <v>1.1499999999999999</v>
      </c>
      <c r="K18" s="54">
        <v>358.65</v>
      </c>
      <c r="L18" s="54">
        <v>27.93</v>
      </c>
      <c r="M18" s="54">
        <v>50.53</v>
      </c>
      <c r="N18" s="54">
        <v>654</v>
      </c>
      <c r="O18" s="54">
        <v>0</v>
      </c>
      <c r="P18" s="54">
        <v>0.54</v>
      </c>
      <c r="Q18" s="54">
        <v>9.74</v>
      </c>
      <c r="R18" s="43"/>
      <c r="S18" s="43"/>
      <c r="T18" s="43"/>
      <c r="U18" s="43"/>
    </row>
    <row r="19" spans="1:21" s="11" customFormat="1" ht="15">
      <c r="A19" s="53" t="s">
        <v>168</v>
      </c>
      <c r="B19" s="54">
        <v>18.96</v>
      </c>
      <c r="C19" s="54">
        <v>57.61</v>
      </c>
      <c r="D19" s="54">
        <v>47.30</v>
      </c>
      <c r="E19" s="54">
        <v>4.47</v>
      </c>
      <c r="F19" s="54">
        <v>3.79</v>
      </c>
      <c r="G19" s="54">
        <v>58.60</v>
      </c>
      <c r="H19" s="54">
        <v>20.38</v>
      </c>
      <c r="I19" s="54">
        <v>1.51</v>
      </c>
      <c r="J19" s="54">
        <v>0.56000000000000005</v>
      </c>
      <c r="K19" s="54">
        <v>75.23</v>
      </c>
      <c r="L19" s="54">
        <v>29.16</v>
      </c>
      <c r="M19" s="54">
        <v>50.35</v>
      </c>
      <c r="N19" s="54">
        <v>755.90</v>
      </c>
      <c r="O19" s="54">
        <v>0</v>
      </c>
      <c r="P19" s="54">
        <v>0.54</v>
      </c>
      <c r="Q19" s="54">
        <v>9.77</v>
      </c>
      <c r="R19" s="43"/>
      <c r="S19" s="43"/>
      <c r="T19" s="43"/>
      <c r="U19" s="43"/>
    </row>
    <row r="20" spans="1:21" s="11" customFormat="1" ht="15">
      <c r="A20" s="53" t="s">
        <v>169</v>
      </c>
      <c r="B20" s="54">
        <v>15.37</v>
      </c>
      <c r="C20" s="54">
        <v>60.20</v>
      </c>
      <c r="D20" s="54">
        <v>45.26</v>
      </c>
      <c r="E20" s="54">
        <v>4.6399999999999997</v>
      </c>
      <c r="F20" s="54">
        <v>3.91</v>
      </c>
      <c r="G20" s="54">
        <v>62.04</v>
      </c>
      <c r="H20" s="54">
        <v>20.38</v>
      </c>
      <c r="I20" s="54">
        <v>1.53</v>
      </c>
      <c r="J20" s="54">
        <v>0.71</v>
      </c>
      <c r="K20" s="54">
        <v>341</v>
      </c>
      <c r="L20" s="54">
        <v>33.369999999999997</v>
      </c>
      <c r="M20" s="54">
        <v>45.18</v>
      </c>
      <c r="N20" s="54">
        <v>794.70</v>
      </c>
      <c r="O20" s="54">
        <v>0</v>
      </c>
      <c r="P20" s="54">
        <v>0.55000000000000004</v>
      </c>
      <c r="Q20" s="54">
        <v>9.69</v>
      </c>
      <c r="R20" s="43"/>
      <c r="S20" s="43"/>
      <c r="T20" s="43"/>
      <c r="U20" s="43"/>
    </row>
    <row r="21" spans="1:21" s="11" customFormat="1" ht="15">
      <c r="A21" s="53" t="s">
        <v>170</v>
      </c>
      <c r="B21" s="54">
        <v>11.69</v>
      </c>
      <c r="C21" s="54">
        <v>57.96</v>
      </c>
      <c r="D21" s="54">
        <v>42.01</v>
      </c>
      <c r="E21" s="54">
        <v>3.63</v>
      </c>
      <c r="F21" s="54">
        <v>4.03</v>
      </c>
      <c r="G21" s="54">
        <v>62.04</v>
      </c>
      <c r="H21" s="54">
        <v>19.64</v>
      </c>
      <c r="I21" s="54">
        <v>1.58</v>
      </c>
      <c r="J21" s="54">
        <v>0.91</v>
      </c>
      <c r="K21" s="54">
        <v>354.27</v>
      </c>
      <c r="L21" s="54">
        <v>34.909999999999997</v>
      </c>
      <c r="M21" s="54">
        <v>41.10</v>
      </c>
      <c r="N21" s="54">
        <v>765</v>
      </c>
      <c r="O21" s="54">
        <v>0</v>
      </c>
      <c r="P21" s="54">
        <v>0.54</v>
      </c>
      <c r="Q21" s="54">
        <v>9.59</v>
      </c>
      <c r="R21" s="43"/>
      <c r="S21" s="43"/>
      <c r="T21" s="43"/>
      <c r="U21" s="43"/>
    </row>
    <row r="22" spans="1:21" s="11" customFormat="1" ht="15">
      <c r="A22" s="53" t="s">
        <v>171</v>
      </c>
      <c r="B22" s="54">
        <v>7.68</v>
      </c>
      <c r="C22" s="54">
        <v>56.21</v>
      </c>
      <c r="D22" s="54">
        <v>37.83</v>
      </c>
      <c r="E22" s="54">
        <v>3.89</v>
      </c>
      <c r="F22" s="54">
        <v>6.02</v>
      </c>
      <c r="G22" s="54">
        <v>116.41</v>
      </c>
      <c r="H22" s="54">
        <v>24.02</v>
      </c>
      <c r="I22" s="54">
        <v>1.59</v>
      </c>
      <c r="J22" s="54">
        <v>1.03</v>
      </c>
      <c r="K22" s="54">
        <v>161.28</v>
      </c>
      <c r="L22" s="54">
        <v>33.33</v>
      </c>
      <c r="M22" s="54">
        <v>35.19</v>
      </c>
      <c r="N22" s="54">
        <v>740.40</v>
      </c>
      <c r="O22" s="54">
        <v>0</v>
      </c>
      <c r="P22" s="54">
        <v>0.54</v>
      </c>
      <c r="Q22" s="54">
        <v>9.4700000000000006</v>
      </c>
      <c r="R22" s="43"/>
      <c r="S22" s="43"/>
      <c r="T22" s="43"/>
      <c r="U22" s="43"/>
    </row>
    <row r="23" spans="1:21" s="11" customFormat="1" ht="15">
      <c r="A23" s="53" t="s">
        <v>172</v>
      </c>
      <c r="B23" s="56" t="s">
        <v>4</v>
      </c>
      <c r="C23" s="56" t="s">
        <v>4</v>
      </c>
      <c r="D23" s="56" t="s">
        <v>4</v>
      </c>
      <c r="E23" s="56" t="s">
        <v>4</v>
      </c>
      <c r="F23" s="56" t="s">
        <v>4</v>
      </c>
      <c r="G23" s="56" t="s">
        <v>4</v>
      </c>
      <c r="H23" s="56" t="s">
        <v>4</v>
      </c>
      <c r="I23" s="56" t="s">
        <v>4</v>
      </c>
      <c r="J23" s="56" t="s">
        <v>4</v>
      </c>
      <c r="K23" s="56" t="s">
        <v>4</v>
      </c>
      <c r="L23" s="56" t="s">
        <v>4</v>
      </c>
      <c r="M23" s="56" t="s">
        <v>4</v>
      </c>
      <c r="N23" s="56" t="s">
        <v>4</v>
      </c>
      <c r="O23" s="56" t="s">
        <v>4</v>
      </c>
      <c r="P23" s="56" t="s">
        <v>4</v>
      </c>
      <c r="Q23" s="56" t="s">
        <v>4</v>
      </c>
      <c r="R23" s="43"/>
      <c r="S23" s="43"/>
      <c r="T23" s="43"/>
      <c r="U23" s="43"/>
    </row>
    <row r="24" spans="1:21" s="11" customFormat="1" ht="15">
      <c r="A24" s="53" t="s">
        <v>173</v>
      </c>
      <c r="B24" s="58" t="s">
        <v>20</v>
      </c>
      <c r="C24" s="58" t="s">
        <v>20</v>
      </c>
      <c r="D24" s="58" t="s">
        <v>20</v>
      </c>
      <c r="E24" s="54">
        <v>8.57</v>
      </c>
      <c r="F24" s="54">
        <v>5.86</v>
      </c>
      <c r="G24" s="54">
        <v>38.43</v>
      </c>
      <c r="H24" s="54">
        <v>26.73</v>
      </c>
      <c r="I24" s="54">
        <v>1.64</v>
      </c>
      <c r="J24" s="54">
        <v>1.40</v>
      </c>
      <c r="K24" s="54">
        <v>341.16</v>
      </c>
      <c r="L24" s="54">
        <v>32.14</v>
      </c>
      <c r="M24" s="54">
        <v>33.32</v>
      </c>
      <c r="N24" s="54">
        <v>265.10000000000002</v>
      </c>
      <c r="O24" s="54">
        <v>0</v>
      </c>
      <c r="P24" s="54">
        <v>0.35</v>
      </c>
      <c r="Q24" s="54">
        <v>10.65</v>
      </c>
      <c r="R24" s="43"/>
      <c r="S24" s="43"/>
      <c r="T24" s="43"/>
      <c r="U24" s="43"/>
    </row>
    <row r="25" spans="1:21" s="11" customFormat="1" ht="15">
      <c r="A25" s="53" t="s">
        <v>174</v>
      </c>
      <c r="B25" s="57" t="s">
        <v>14</v>
      </c>
      <c r="C25" s="57" t="s">
        <v>14</v>
      </c>
      <c r="D25" s="57" t="s">
        <v>14</v>
      </c>
      <c r="E25" s="54">
        <v>0.03</v>
      </c>
      <c r="F25" s="54">
        <v>5.48</v>
      </c>
      <c r="G25" s="54">
        <v>55.88</v>
      </c>
      <c r="H25" s="54">
        <v>26.73</v>
      </c>
      <c r="I25" s="54">
        <v>1.51</v>
      </c>
      <c r="J25" s="54">
        <v>1.1100000000000001</v>
      </c>
      <c r="K25" s="54">
        <v>348.09</v>
      </c>
      <c r="L25" s="54">
        <v>31.55</v>
      </c>
      <c r="M25" s="54">
        <v>34.49</v>
      </c>
      <c r="N25" s="54">
        <v>148.30000000000001</v>
      </c>
      <c r="O25" s="54">
        <v>0</v>
      </c>
      <c r="P25" s="54">
        <v>0.28999999999999998</v>
      </c>
      <c r="Q25" s="54">
        <v>10.77</v>
      </c>
      <c r="R25" s="43"/>
      <c r="S25" s="43"/>
      <c r="T25" s="43"/>
      <c r="U25" s="43"/>
    </row>
    <row r="26" spans="1:21" s="11" customFormat="1" ht="15">
      <c r="A26" s="53" t="s">
        <v>175</v>
      </c>
      <c r="B26" s="57" t="s">
        <v>14</v>
      </c>
      <c r="C26" s="57" t="s">
        <v>14</v>
      </c>
      <c r="D26" s="57" t="s">
        <v>14</v>
      </c>
      <c r="E26" s="54">
        <v>0</v>
      </c>
      <c r="F26" s="54">
        <v>4.3499999999999996</v>
      </c>
      <c r="G26" s="54">
        <v>56.46</v>
      </c>
      <c r="H26" s="54">
        <v>24.88</v>
      </c>
      <c r="I26" s="54">
        <v>1.55</v>
      </c>
      <c r="J26" s="54">
        <v>1.1299999999999999</v>
      </c>
      <c r="K26" s="54">
        <v>355.33</v>
      </c>
      <c r="L26" s="54">
        <v>29.61</v>
      </c>
      <c r="M26" s="54">
        <v>41.32</v>
      </c>
      <c r="N26" s="54">
        <v>67.599999999999994</v>
      </c>
      <c r="O26" s="54">
        <v>0</v>
      </c>
      <c r="P26" s="54">
        <v>0.34</v>
      </c>
      <c r="Q26" s="54">
        <v>10.84</v>
      </c>
      <c r="R26" s="43"/>
      <c r="S26" s="43"/>
      <c r="T26" s="43"/>
      <c r="U26" s="43"/>
    </row>
    <row r="27" spans="1:21" s="11" customFormat="1" ht="15">
      <c r="A27" s="53" t="s">
        <v>176</v>
      </c>
      <c r="B27" s="57" t="s">
        <v>14</v>
      </c>
      <c r="C27" s="57" t="s">
        <v>14</v>
      </c>
      <c r="D27" s="57" t="s">
        <v>14</v>
      </c>
      <c r="E27" s="54">
        <v>0</v>
      </c>
      <c r="F27" s="54">
        <v>3.93</v>
      </c>
      <c r="G27" s="54">
        <v>67.81</v>
      </c>
      <c r="H27" s="54">
        <v>25.74</v>
      </c>
      <c r="I27" s="54">
        <v>1.54</v>
      </c>
      <c r="J27" s="54">
        <v>0.66</v>
      </c>
      <c r="K27" s="54">
        <v>357.78</v>
      </c>
      <c r="L27" s="54">
        <v>27.37</v>
      </c>
      <c r="M27" s="54">
        <v>47.49</v>
      </c>
      <c r="N27" s="54">
        <v>24.20</v>
      </c>
      <c r="O27" s="54">
        <v>0</v>
      </c>
      <c r="P27" s="54">
        <v>0.48</v>
      </c>
      <c r="Q27" s="54">
        <v>11.02</v>
      </c>
      <c r="R27" s="43"/>
      <c r="S27" s="43"/>
      <c r="T27" s="43"/>
      <c r="U27" s="43"/>
    </row>
    <row r="28" spans="1:21" s="11" customFormat="1" ht="15">
      <c r="A28" s="53" t="s">
        <v>177</v>
      </c>
      <c r="B28" s="57" t="s">
        <v>14</v>
      </c>
      <c r="C28" s="57" t="s">
        <v>14</v>
      </c>
      <c r="D28" s="57" t="s">
        <v>14</v>
      </c>
      <c r="E28" s="54">
        <v>4.41</v>
      </c>
      <c r="F28" s="54">
        <v>3.80</v>
      </c>
      <c r="G28" s="54">
        <v>82.02</v>
      </c>
      <c r="H28" s="54">
        <v>31.99</v>
      </c>
      <c r="I28" s="54">
        <v>1.5</v>
      </c>
      <c r="J28" s="54">
        <v>0.44</v>
      </c>
      <c r="K28" s="54">
        <v>89.58</v>
      </c>
      <c r="L28" s="54">
        <v>25.88</v>
      </c>
      <c r="M28" s="54">
        <v>52.94</v>
      </c>
      <c r="N28" s="54">
        <v>23.10</v>
      </c>
      <c r="O28" s="54">
        <v>0</v>
      </c>
      <c r="P28" s="54">
        <v>0.82</v>
      </c>
      <c r="Q28" s="54">
        <v>11.12</v>
      </c>
      <c r="R28" s="43"/>
      <c r="S28" s="43"/>
      <c r="T28" s="43"/>
      <c r="U28" s="43"/>
    </row>
    <row r="29" spans="1:21" s="11" customFormat="1" ht="15">
      <c r="A29" s="53" t="s">
        <v>178</v>
      </c>
      <c r="B29" s="57" t="s">
        <v>14</v>
      </c>
      <c r="C29" s="57" t="s">
        <v>14</v>
      </c>
      <c r="D29" s="57" t="s">
        <v>14</v>
      </c>
      <c r="E29" s="54">
        <v>4.33</v>
      </c>
      <c r="F29" s="54">
        <v>3.90</v>
      </c>
      <c r="G29" s="54">
        <v>82.02</v>
      </c>
      <c r="H29" s="54">
        <v>31.99</v>
      </c>
      <c r="I29" s="54">
        <v>1.56</v>
      </c>
      <c r="J29" s="54">
        <v>0.31</v>
      </c>
      <c r="K29" s="54">
        <v>356.33</v>
      </c>
      <c r="L29" s="54">
        <v>25</v>
      </c>
      <c r="M29" s="54">
        <v>57.21</v>
      </c>
      <c r="N29" s="54">
        <v>23.20</v>
      </c>
      <c r="O29" s="54">
        <v>0</v>
      </c>
      <c r="P29" s="54">
        <v>1.05</v>
      </c>
      <c r="Q29" s="54">
        <v>11.19</v>
      </c>
      <c r="R29" s="43"/>
      <c r="S29" s="43"/>
      <c r="T29" s="43"/>
      <c r="U29" s="43"/>
    </row>
    <row r="30" spans="1:21" s="11" customFormat="1" ht="15">
      <c r="A30" s="53" t="s">
        <v>179</v>
      </c>
      <c r="B30" s="57" t="s">
        <v>14</v>
      </c>
      <c r="C30" s="57" t="s">
        <v>14</v>
      </c>
      <c r="D30" s="57" t="s">
        <v>14</v>
      </c>
      <c r="E30" s="54">
        <v>4.5199999999999996</v>
      </c>
      <c r="F30" s="54">
        <v>3.75</v>
      </c>
      <c r="G30" s="54">
        <v>83.06</v>
      </c>
      <c r="H30" s="54">
        <v>32.36</v>
      </c>
      <c r="I30" s="54">
        <v>1.59</v>
      </c>
      <c r="J30" s="54">
        <v>0.19</v>
      </c>
      <c r="K30" s="54">
        <v>85.98</v>
      </c>
      <c r="L30" s="54">
        <v>24.06</v>
      </c>
      <c r="M30" s="54">
        <v>58.05</v>
      </c>
      <c r="N30" s="54">
        <v>23.20</v>
      </c>
      <c r="O30" s="54">
        <v>0</v>
      </c>
      <c r="P30" s="54">
        <v>1.24</v>
      </c>
      <c r="Q30" s="54">
        <v>11.40</v>
      </c>
      <c r="R30" s="43"/>
      <c r="S30" s="43"/>
      <c r="T30" s="43"/>
      <c r="U30" s="43"/>
    </row>
    <row r="31" spans="1:21" s="11" customFormat="1" ht="15">
      <c r="A31" s="53" t="s">
        <v>180</v>
      </c>
      <c r="B31" s="57" t="s">
        <v>14</v>
      </c>
      <c r="C31" s="57" t="s">
        <v>14</v>
      </c>
      <c r="D31" s="57" t="s">
        <v>14</v>
      </c>
      <c r="E31" s="54">
        <v>4.43</v>
      </c>
      <c r="F31" s="54">
        <v>3.78</v>
      </c>
      <c r="G31" s="54">
        <v>83.5</v>
      </c>
      <c r="H31" s="54">
        <v>32.36</v>
      </c>
      <c r="I31" s="54">
        <v>1.58</v>
      </c>
      <c r="J31" s="54">
        <v>1.40</v>
      </c>
      <c r="K31" s="54">
        <v>358.85</v>
      </c>
      <c r="L31" s="54">
        <v>23.70</v>
      </c>
      <c r="M31" s="54">
        <v>60.40</v>
      </c>
      <c r="N31" s="54">
        <v>23.40</v>
      </c>
      <c r="O31" s="54">
        <v>0</v>
      </c>
      <c r="P31" s="54">
        <v>1.23</v>
      </c>
      <c r="Q31" s="54">
        <v>11.40</v>
      </c>
      <c r="R31" s="43"/>
      <c r="S31" s="43"/>
      <c r="T31" s="43"/>
      <c r="U31" s="43"/>
    </row>
    <row r="32" spans="1:21" s="11" customFormat="1" ht="15">
      <c r="A32" s="53" t="s">
        <v>181</v>
      </c>
      <c r="B32" s="57" t="s">
        <v>14</v>
      </c>
      <c r="C32" s="57" t="s">
        <v>14</v>
      </c>
      <c r="D32" s="57" t="s">
        <v>14</v>
      </c>
      <c r="E32" s="54">
        <v>4.33</v>
      </c>
      <c r="F32" s="54">
        <v>3.76</v>
      </c>
      <c r="G32" s="54">
        <v>83.5</v>
      </c>
      <c r="H32" s="54">
        <v>32.340000000000003</v>
      </c>
      <c r="I32" s="54">
        <v>1.53</v>
      </c>
      <c r="J32" s="54">
        <v>0.57999999999999996</v>
      </c>
      <c r="K32" s="54">
        <v>357.74</v>
      </c>
      <c r="L32" s="54">
        <v>22.60</v>
      </c>
      <c r="M32" s="54">
        <v>55.87</v>
      </c>
      <c r="N32" s="54">
        <v>23.20</v>
      </c>
      <c r="O32" s="54">
        <v>0</v>
      </c>
      <c r="P32" s="54">
        <v>1.0900000000000001</v>
      </c>
      <c r="Q32" s="54">
        <v>11.34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7.6799999999999997</v>
      </c>
      <c r="C34" s="28">
        <f t="shared" si="0"/>
        <v>50.310000000000002</v>
      </c>
      <c r="D34" s="28">
        <f t="shared" si="0"/>
        <v>37.829999999999998</v>
      </c>
      <c r="E34" s="28">
        <f t="shared" si="0"/>
        <v>0</v>
      </c>
      <c r="F34" s="28">
        <f t="shared" si="0"/>
        <v>3.5299999999999998</v>
      </c>
      <c r="G34" s="28">
        <f t="shared" si="0"/>
        <v>38.43</v>
      </c>
      <c r="H34" s="28">
        <f t="shared" si="0"/>
        <v>19.219999999999999</v>
      </c>
      <c r="I34" s="28">
        <f t="shared" si="0"/>
        <v>1.5</v>
      </c>
      <c r="J34" s="28">
        <f t="shared" si="0"/>
        <v>0.19</v>
      </c>
      <c r="K34" s="28">
        <f t="shared" si="0"/>
        <v>75.230000000000004</v>
      </c>
      <c r="L34" s="28">
        <f t="shared" si="0"/>
        <v>19.73</v>
      </c>
      <c r="M34" s="28">
        <f t="shared" si="0"/>
        <v>33.32</v>
      </c>
      <c r="N34" s="28">
        <f t="shared" si="0"/>
        <v>22.600000000000001</v>
      </c>
      <c r="O34" s="28">
        <f t="shared" si="0"/>
        <v>0</v>
      </c>
      <c r="P34" s="28">
        <f t="shared" si="0"/>
        <v>0.28999999999999998</v>
      </c>
      <c r="Q34" s="28">
        <f t="shared" si="0"/>
        <v>9.4700000000000006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38.780000000000001</v>
      </c>
      <c r="C35" s="29">
        <f t="shared" si="1"/>
        <v>61.280000000000001</v>
      </c>
      <c r="D35" s="29">
        <f t="shared" si="1"/>
        <v>65.560000000000002</v>
      </c>
      <c r="E35" s="29">
        <f t="shared" si="1"/>
        <v>8.5700000000000003</v>
      </c>
      <c r="F35" s="29">
        <f t="shared" si="1"/>
        <v>6.0199999999999996</v>
      </c>
      <c r="G35" s="29">
        <f t="shared" si="1"/>
        <v>116.41</v>
      </c>
      <c r="H35" s="29">
        <f t="shared" si="1"/>
        <v>32.409999999999997</v>
      </c>
      <c r="I35" s="29">
        <f t="shared" si="1"/>
        <v>1.6399999999999999</v>
      </c>
      <c r="J35" s="29">
        <f t="shared" si="1"/>
        <v>1.5</v>
      </c>
      <c r="K35" s="29">
        <f t="shared" si="1"/>
        <v>359.38999999999999</v>
      </c>
      <c r="L35" s="29">
        <f t="shared" si="1"/>
        <v>34.909999999999997</v>
      </c>
      <c r="M35" s="29">
        <f t="shared" si="1"/>
        <v>72.310000000000002</v>
      </c>
      <c r="N35" s="29">
        <f t="shared" si="1"/>
        <v>794.70000000000005</v>
      </c>
      <c r="O35" s="29">
        <f t="shared" si="1"/>
        <v>0</v>
      </c>
      <c r="P35" s="29">
        <f t="shared" si="1"/>
        <v>1.29</v>
      </c>
      <c r="Q35" s="29">
        <f t="shared" si="1"/>
        <v>11.4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20.080714285714286</v>
      </c>
      <c r="C36" s="28">
        <f t="shared" si="2"/>
        <v>55.443571428571438</v>
      </c>
      <c r="D36" s="28">
        <f t="shared" si="2"/>
        <v>47.152857142857144</v>
      </c>
      <c r="E36" s="28">
        <f t="shared" si="2"/>
        <v>3.9230434782608699</v>
      </c>
      <c r="F36" s="28">
        <f t="shared" si="2"/>
        <v>4.0408695652173918</v>
      </c>
      <c r="G36" s="28">
        <f t="shared" si="2"/>
        <v>73.947391304347818</v>
      </c>
      <c r="H36" s="28">
        <f t="shared" si="2"/>
        <v>26.545217391304352</v>
      </c>
      <c r="I36" s="28">
        <f t="shared" si="2"/>
        <v>1.5486956521739133</v>
      </c>
      <c r="J36" s="28">
        <f t="shared" si="2"/>
        <v>0.89521739130434785</v>
      </c>
      <c r="K36" s="28">
        <f t="shared" si="2"/>
        <v>310.75217391304346</v>
      </c>
      <c r="L36" s="28">
        <f t="shared" si="2"/>
        <v>25.912608695652175</v>
      </c>
      <c r="M36" s="28">
        <f t="shared" si="2"/>
        <v>55.538695652173921</v>
      </c>
      <c r="N36" s="28">
        <f t="shared" si="2"/>
        <v>230.17826086956521</v>
      </c>
      <c r="O36" s="28">
        <f t="shared" si="2"/>
        <v>0</v>
      </c>
      <c r="P36" s="28">
        <f t="shared" si="2"/>
        <v>0.74260869565217402</v>
      </c>
      <c r="Q36" s="28">
        <f t="shared" si="2"/>
        <v>10.278260869565219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7.6873397061819597</v>
      </c>
      <c r="C37" s="28">
        <f t="shared" si="3" ref="C37:Q37">STDEV(C9:C32)</f>
        <v>3.3058935883634275</v>
      </c>
      <c r="D37" s="28">
        <f t="shared" si="3"/>
        <v>6.8550098788813392</v>
      </c>
      <c r="E37" s="28">
        <f t="shared" si="3"/>
        <v>1.8879316117780822</v>
      </c>
      <c r="F37" s="28">
        <f t="shared" si="3"/>
        <v>0.7226335236384801</v>
      </c>
      <c r="G37" s="28">
        <f t="shared" si="3"/>
        <v>19.458366328088911</v>
      </c>
      <c r="H37" s="28">
        <f t="shared" si="3"/>
        <v>4.7422097549226505</v>
      </c>
      <c r="I37" s="28">
        <f t="shared" si="3"/>
        <v>0.038530312485589226</v>
      </c>
      <c r="J37" s="28">
        <f t="shared" si="3"/>
        <v>0.36123361322025155</v>
      </c>
      <c r="K37" s="28">
        <f t="shared" si="3"/>
        <v>98.656177706237571</v>
      </c>
      <c r="L37" s="28">
        <f t="shared" si="3"/>
        <v>4.7338368230425614</v>
      </c>
      <c r="M37" s="28">
        <f t="shared" si="3"/>
        <v>12.840670580176738</v>
      </c>
      <c r="N37" s="28">
        <f t="shared" si="3"/>
        <v>297.53604053126031</v>
      </c>
      <c r="O37" s="28">
        <f t="shared" si="3"/>
        <v>0</v>
      </c>
      <c r="P37" s="28">
        <f t="shared" si="3"/>
        <v>0.29986690064554766</v>
      </c>
      <c r="Q37" s="28">
        <f t="shared" si="3"/>
        <v>0.69552238166662139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COUNT(B9:B32)+10</f>
        <v>24</v>
      </c>
      <c r="C38" s="32">
        <f>COUNT(C9:C32)+10</f>
        <v>24</v>
      </c>
      <c r="D38" s="32">
        <f>COUNT(D9:D32)+10</f>
        <v>24</v>
      </c>
      <c r="E38" s="32">
        <f>COUNT(E9:E32)+1</f>
        <v>24</v>
      </c>
      <c r="F38" s="32">
        <f t="shared" si="4" ref="F38:Q38">COUNT(F9:F32)+1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236e399-81d0-4b62-a8a5-ef859b2c7a2c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38" sqref="D38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182</v>
      </c>
      <c r="B9" s="59" t="s">
        <v>8</v>
      </c>
      <c r="C9" s="59" t="s">
        <v>8</v>
      </c>
      <c r="D9" s="59" t="s">
        <v>8</v>
      </c>
      <c r="E9" s="54">
        <v>3.98</v>
      </c>
      <c r="F9" s="54">
        <v>3.41</v>
      </c>
      <c r="G9" s="54">
        <v>72.22</v>
      </c>
      <c r="H9" s="54">
        <v>29.67</v>
      </c>
      <c r="I9" s="54">
        <v>1.51</v>
      </c>
      <c r="J9" s="54">
        <v>0.46</v>
      </c>
      <c r="K9" s="54">
        <v>51.06</v>
      </c>
      <c r="L9" s="54">
        <v>21.99</v>
      </c>
      <c r="M9" s="54">
        <v>52.02</v>
      </c>
      <c r="N9" s="54">
        <v>23.10</v>
      </c>
      <c r="O9" s="54">
        <v>0</v>
      </c>
      <c r="P9" s="54">
        <v>0.96</v>
      </c>
      <c r="Q9" s="54">
        <v>11.34</v>
      </c>
      <c r="R9" s="43"/>
      <c r="S9" s="43"/>
      <c r="T9" s="43"/>
      <c r="U9" s="43"/>
    </row>
    <row r="10" spans="1:21" s="11" customFormat="1" ht="15">
      <c r="A10" s="53" t="s">
        <v>183</v>
      </c>
      <c r="B10" s="59" t="s">
        <v>8</v>
      </c>
      <c r="C10" s="59" t="s">
        <v>8</v>
      </c>
      <c r="D10" s="59" t="s">
        <v>8</v>
      </c>
      <c r="E10" s="54">
        <v>3.69</v>
      </c>
      <c r="F10" s="54">
        <v>3.67</v>
      </c>
      <c r="G10" s="54">
        <v>56.56</v>
      </c>
      <c r="H10" s="54">
        <v>21.36</v>
      </c>
      <c r="I10" s="54">
        <v>1.61</v>
      </c>
      <c r="J10" s="54">
        <v>0.48</v>
      </c>
      <c r="K10" s="54">
        <v>49.60</v>
      </c>
      <c r="L10" s="54">
        <v>21.46</v>
      </c>
      <c r="M10" s="54">
        <v>52.53</v>
      </c>
      <c r="N10" s="54">
        <v>23.30</v>
      </c>
      <c r="O10" s="54">
        <v>0</v>
      </c>
      <c r="P10" s="54">
        <v>0.78</v>
      </c>
      <c r="Q10" s="54">
        <v>11.21</v>
      </c>
      <c r="R10" s="43"/>
      <c r="S10" s="43"/>
      <c r="T10" s="43"/>
      <c r="U10" s="43"/>
    </row>
    <row r="11" spans="1:21" s="11" customFormat="1" ht="15">
      <c r="A11" s="53" t="s">
        <v>184</v>
      </c>
      <c r="B11" s="59" t="s">
        <v>8</v>
      </c>
      <c r="C11" s="59" t="s">
        <v>8</v>
      </c>
      <c r="D11" s="59" t="s">
        <v>8</v>
      </c>
      <c r="E11" s="54">
        <v>3.53</v>
      </c>
      <c r="F11" s="54">
        <v>3.67</v>
      </c>
      <c r="G11" s="54">
        <v>42.94</v>
      </c>
      <c r="H11" s="54">
        <v>19.07</v>
      </c>
      <c r="I11" s="54">
        <v>1.64</v>
      </c>
      <c r="J11" s="54">
        <v>0.42</v>
      </c>
      <c r="K11" s="54">
        <v>71.150000000000006</v>
      </c>
      <c r="L11" s="54">
        <v>20.70</v>
      </c>
      <c r="M11" s="54">
        <v>55.93</v>
      </c>
      <c r="N11" s="54">
        <v>23.20</v>
      </c>
      <c r="O11" s="54">
        <v>0</v>
      </c>
      <c r="P11" s="54">
        <v>0.64</v>
      </c>
      <c r="Q11" s="54">
        <v>11.10</v>
      </c>
      <c r="R11" s="43"/>
      <c r="S11" s="43"/>
      <c r="T11" s="43"/>
      <c r="U11" s="43"/>
    </row>
    <row r="12" spans="1:21" s="11" customFormat="1" ht="15">
      <c r="A12" s="53" t="s">
        <v>185</v>
      </c>
      <c r="B12" s="59" t="s">
        <v>8</v>
      </c>
      <c r="C12" s="59" t="s">
        <v>8</v>
      </c>
      <c r="D12" s="59" t="s">
        <v>8</v>
      </c>
      <c r="E12" s="54">
        <v>3.94</v>
      </c>
      <c r="F12" s="54">
        <v>3.44</v>
      </c>
      <c r="G12" s="54">
        <v>37.42</v>
      </c>
      <c r="H12" s="54">
        <v>14.61</v>
      </c>
      <c r="I12" s="54">
        <v>1.55</v>
      </c>
      <c r="J12" s="54">
        <v>0.93</v>
      </c>
      <c r="K12" s="54">
        <v>98.21</v>
      </c>
      <c r="L12" s="54">
        <v>20.30</v>
      </c>
      <c r="M12" s="54">
        <v>58.68</v>
      </c>
      <c r="N12" s="54">
        <v>23.30</v>
      </c>
      <c r="O12" s="54">
        <v>0</v>
      </c>
      <c r="P12" s="54">
        <v>0.53</v>
      </c>
      <c r="Q12" s="54">
        <v>11.08</v>
      </c>
      <c r="R12" s="43"/>
      <c r="S12" s="43"/>
      <c r="T12" s="43"/>
      <c r="U12" s="43"/>
    </row>
    <row r="13" spans="1:21" s="11" customFormat="1" ht="15">
      <c r="A13" s="53" t="s">
        <v>186</v>
      </c>
      <c r="B13" s="59" t="s">
        <v>8</v>
      </c>
      <c r="C13" s="59" t="s">
        <v>8</v>
      </c>
      <c r="D13" s="59" t="s">
        <v>8</v>
      </c>
      <c r="E13" s="54">
        <v>3.60</v>
      </c>
      <c r="F13" s="54">
        <v>3.51</v>
      </c>
      <c r="G13" s="54">
        <v>37.42</v>
      </c>
      <c r="H13" s="54">
        <v>13.92</v>
      </c>
      <c r="I13" s="54">
        <v>1.53</v>
      </c>
      <c r="J13" s="54">
        <v>0.55000000000000004</v>
      </c>
      <c r="K13" s="54">
        <v>352.92</v>
      </c>
      <c r="L13" s="54">
        <v>20.21</v>
      </c>
      <c r="M13" s="54">
        <v>58.02</v>
      </c>
      <c r="N13" s="54">
        <v>23.40</v>
      </c>
      <c r="O13" s="54">
        <v>0</v>
      </c>
      <c r="P13" s="54">
        <v>0.47</v>
      </c>
      <c r="Q13" s="54">
        <v>11.16</v>
      </c>
      <c r="R13" s="43"/>
      <c r="S13" s="43"/>
      <c r="T13" s="43"/>
      <c r="U13" s="43"/>
    </row>
    <row r="14" spans="1:21" s="11" customFormat="1" ht="15">
      <c r="A14" s="53" t="s">
        <v>187</v>
      </c>
      <c r="B14" s="59" t="s">
        <v>8</v>
      </c>
      <c r="C14" s="59" t="s">
        <v>8</v>
      </c>
      <c r="D14" s="59" t="s">
        <v>8</v>
      </c>
      <c r="E14" s="54">
        <v>3.63</v>
      </c>
      <c r="F14" s="54">
        <v>3.55</v>
      </c>
      <c r="G14" s="54">
        <v>35.83</v>
      </c>
      <c r="H14" s="54">
        <v>13.92</v>
      </c>
      <c r="I14" s="54">
        <v>1.58</v>
      </c>
      <c r="J14" s="54">
        <v>0.24</v>
      </c>
      <c r="K14" s="54">
        <v>82.54</v>
      </c>
      <c r="L14" s="54">
        <v>19.88</v>
      </c>
      <c r="M14" s="54">
        <v>58.83</v>
      </c>
      <c r="N14" s="54">
        <v>23.5</v>
      </c>
      <c r="O14" s="54">
        <v>0</v>
      </c>
      <c r="P14" s="54">
        <v>0.42</v>
      </c>
      <c r="Q14" s="54">
        <v>11.17</v>
      </c>
      <c r="R14" s="43"/>
      <c r="S14" s="43"/>
      <c r="T14" s="43"/>
      <c r="U14" s="43"/>
    </row>
    <row r="15" spans="1:21" s="11" customFormat="1" ht="15">
      <c r="A15" s="53" t="s">
        <v>188</v>
      </c>
      <c r="B15" s="59" t="s">
        <v>8</v>
      </c>
      <c r="C15" s="59" t="s">
        <v>8</v>
      </c>
      <c r="D15" s="59" t="s">
        <v>8</v>
      </c>
      <c r="E15" s="54">
        <v>3.91</v>
      </c>
      <c r="F15" s="54">
        <v>3.51</v>
      </c>
      <c r="G15" s="54">
        <v>43.34</v>
      </c>
      <c r="H15" s="54">
        <v>13.84</v>
      </c>
      <c r="I15" s="54">
        <v>1.57</v>
      </c>
      <c r="J15" s="54">
        <v>0.75</v>
      </c>
      <c r="K15" s="54">
        <v>354.79</v>
      </c>
      <c r="L15" s="54">
        <v>20.239999999999998</v>
      </c>
      <c r="M15" s="54">
        <v>65.459999999999994</v>
      </c>
      <c r="N15" s="54">
        <v>84.70</v>
      </c>
      <c r="O15" s="54">
        <v>0</v>
      </c>
      <c r="P15" s="54">
        <v>0.41</v>
      </c>
      <c r="Q15" s="54">
        <v>11.07</v>
      </c>
      <c r="R15" s="43"/>
      <c r="S15" s="43"/>
      <c r="T15" s="43"/>
      <c r="U15" s="43"/>
    </row>
    <row r="16" spans="1:21" s="11" customFormat="1" ht="15">
      <c r="A16" s="53" t="s">
        <v>189</v>
      </c>
      <c r="B16" s="59" t="s">
        <v>8</v>
      </c>
      <c r="C16" s="59" t="s">
        <v>8</v>
      </c>
      <c r="D16" s="59" t="s">
        <v>8</v>
      </c>
      <c r="E16" s="54">
        <v>3.86</v>
      </c>
      <c r="F16" s="54">
        <v>3.44</v>
      </c>
      <c r="G16" s="54">
        <v>47.38</v>
      </c>
      <c r="H16" s="54">
        <v>16.809999999999999</v>
      </c>
      <c r="I16" s="54">
        <v>1.65</v>
      </c>
      <c r="J16" s="54">
        <v>1.0900000000000001</v>
      </c>
      <c r="K16" s="54">
        <v>96.14</v>
      </c>
      <c r="L16" s="54">
        <v>23.03</v>
      </c>
      <c r="M16" s="54">
        <v>59.17</v>
      </c>
      <c r="N16" s="54">
        <v>275.30</v>
      </c>
      <c r="O16" s="54">
        <v>0</v>
      </c>
      <c r="P16" s="54">
        <v>0.5</v>
      </c>
      <c r="Q16" s="54">
        <v>11.08</v>
      </c>
      <c r="R16" s="43"/>
      <c r="S16" s="43"/>
      <c r="T16" s="43"/>
      <c r="U16" s="43"/>
    </row>
    <row r="17" spans="1:21" s="11" customFormat="1" ht="15">
      <c r="A17" s="53" t="s">
        <v>190</v>
      </c>
      <c r="B17" s="59" t="s">
        <v>8</v>
      </c>
      <c r="C17" s="59" t="s">
        <v>8</v>
      </c>
      <c r="D17" s="59" t="s">
        <v>8</v>
      </c>
      <c r="E17" s="54">
        <v>3.96</v>
      </c>
      <c r="F17" s="54">
        <v>3.28</v>
      </c>
      <c r="G17" s="54">
        <v>49.79</v>
      </c>
      <c r="H17" s="54">
        <v>17.48</v>
      </c>
      <c r="I17" s="54">
        <v>1.53</v>
      </c>
      <c r="J17" s="54">
        <v>0.68</v>
      </c>
      <c r="K17" s="54">
        <v>347.99</v>
      </c>
      <c r="L17" s="54">
        <v>29.66</v>
      </c>
      <c r="M17" s="54">
        <v>50.89</v>
      </c>
      <c r="N17" s="54">
        <v>436.40</v>
      </c>
      <c r="O17" s="54">
        <v>0</v>
      </c>
      <c r="P17" s="54">
        <v>0.52</v>
      </c>
      <c r="Q17" s="54">
        <v>11.20</v>
      </c>
      <c r="R17" s="43"/>
      <c r="S17" s="43"/>
      <c r="T17" s="43"/>
      <c r="U17" s="43"/>
    </row>
    <row r="18" spans="1:21" s="11" customFormat="1" ht="15">
      <c r="A18" s="53" t="s">
        <v>191</v>
      </c>
      <c r="B18" s="59" t="s">
        <v>8</v>
      </c>
      <c r="C18" s="59" t="s">
        <v>8</v>
      </c>
      <c r="D18" s="59" t="s">
        <v>8</v>
      </c>
      <c r="E18" s="54">
        <v>3.77</v>
      </c>
      <c r="F18" s="54">
        <v>3.5</v>
      </c>
      <c r="G18" s="54">
        <v>57.17</v>
      </c>
      <c r="H18" s="54">
        <v>17.48</v>
      </c>
      <c r="I18" s="54">
        <v>1.46</v>
      </c>
      <c r="J18" s="54">
        <v>1.02</v>
      </c>
      <c r="K18" s="54">
        <v>103.72</v>
      </c>
      <c r="L18" s="54">
        <v>28.88</v>
      </c>
      <c r="M18" s="54">
        <v>43.10</v>
      </c>
      <c r="N18" s="54">
        <v>632.90</v>
      </c>
      <c r="O18" s="54">
        <v>0</v>
      </c>
      <c r="P18" s="54">
        <v>0.53</v>
      </c>
      <c r="Q18" s="54">
        <v>11.23</v>
      </c>
      <c r="R18" s="43"/>
      <c r="S18" s="43"/>
      <c r="T18" s="43"/>
      <c r="U18" s="43"/>
    </row>
    <row r="19" spans="1:21" s="11" customFormat="1" ht="15">
      <c r="A19" s="53" t="s">
        <v>192</v>
      </c>
      <c r="B19" s="59" t="s">
        <v>8</v>
      </c>
      <c r="C19" s="59" t="s">
        <v>8</v>
      </c>
      <c r="D19" s="59" t="s">
        <v>8</v>
      </c>
      <c r="E19" s="54">
        <v>4.24</v>
      </c>
      <c r="F19" s="54">
        <v>6.68</v>
      </c>
      <c r="G19" s="54">
        <v>61</v>
      </c>
      <c r="H19" s="54">
        <v>18.82</v>
      </c>
      <c r="I19" s="54">
        <v>1.58</v>
      </c>
      <c r="J19" s="54">
        <v>0.54</v>
      </c>
      <c r="K19" s="54">
        <v>343.11</v>
      </c>
      <c r="L19" s="54">
        <v>32.10</v>
      </c>
      <c r="M19" s="54">
        <v>40.82</v>
      </c>
      <c r="N19" s="54">
        <v>759.80</v>
      </c>
      <c r="O19" s="54">
        <v>0</v>
      </c>
      <c r="P19" s="54">
        <v>0.57999999999999996</v>
      </c>
      <c r="Q19" s="54">
        <v>11.07</v>
      </c>
      <c r="R19" s="43"/>
      <c r="S19" s="43"/>
      <c r="T19" s="43"/>
      <c r="U19" s="43"/>
    </row>
    <row r="20" spans="1:21" s="11" customFormat="1" ht="15">
      <c r="A20" s="53" t="s">
        <v>193</v>
      </c>
      <c r="B20" s="59" t="s">
        <v>8</v>
      </c>
      <c r="C20" s="59" t="s">
        <v>8</v>
      </c>
      <c r="D20" s="59" t="s">
        <v>8</v>
      </c>
      <c r="E20" s="54">
        <v>4.4000000000000004</v>
      </c>
      <c r="F20" s="54">
        <v>5.90</v>
      </c>
      <c r="G20" s="54">
        <v>64.569999999999993</v>
      </c>
      <c r="H20" s="54">
        <v>19.70</v>
      </c>
      <c r="I20" s="54">
        <v>1.61</v>
      </c>
      <c r="J20" s="54">
        <v>0.41</v>
      </c>
      <c r="K20" s="54">
        <v>348.48</v>
      </c>
      <c r="L20" s="54">
        <v>34.68</v>
      </c>
      <c r="M20" s="54">
        <v>33.47</v>
      </c>
      <c r="N20" s="54">
        <v>785.40</v>
      </c>
      <c r="O20" s="54">
        <v>0</v>
      </c>
      <c r="P20" s="54">
        <v>0.61</v>
      </c>
      <c r="Q20" s="54">
        <v>11.06</v>
      </c>
      <c r="R20" s="43"/>
      <c r="S20" s="43"/>
      <c r="T20" s="43"/>
      <c r="U20" s="43"/>
    </row>
    <row r="21" spans="1:21" s="11" customFormat="1" ht="15">
      <c r="A21" s="53" t="s">
        <v>194</v>
      </c>
      <c r="B21" s="59" t="s">
        <v>8</v>
      </c>
      <c r="C21" s="59" t="s">
        <v>8</v>
      </c>
      <c r="D21" s="59" t="s">
        <v>8</v>
      </c>
      <c r="E21" s="54">
        <v>5.04</v>
      </c>
      <c r="F21" s="54">
        <v>22.02</v>
      </c>
      <c r="G21" s="54">
        <v>64.67</v>
      </c>
      <c r="H21" s="54">
        <v>20.05</v>
      </c>
      <c r="I21" s="54">
        <v>1.52</v>
      </c>
      <c r="J21" s="54">
        <v>0.97</v>
      </c>
      <c r="K21" s="54">
        <v>340.20</v>
      </c>
      <c r="L21" s="54">
        <v>34.56</v>
      </c>
      <c r="M21" s="54">
        <v>31.89</v>
      </c>
      <c r="N21" s="54">
        <v>778.5</v>
      </c>
      <c r="O21" s="54">
        <v>0</v>
      </c>
      <c r="P21" s="54">
        <v>0.62</v>
      </c>
      <c r="Q21" s="54">
        <v>11.05</v>
      </c>
      <c r="R21" s="43"/>
      <c r="S21" s="43"/>
      <c r="T21" s="43"/>
      <c r="U21" s="43"/>
    </row>
    <row r="22" spans="1:21" s="11" customFormat="1" ht="15">
      <c r="A22" s="53" t="s">
        <v>195</v>
      </c>
      <c r="B22" s="59" t="s">
        <v>8</v>
      </c>
      <c r="C22" s="59" t="s">
        <v>8</v>
      </c>
      <c r="D22" s="59" t="s">
        <v>8</v>
      </c>
      <c r="E22" s="54">
        <v>5.56</v>
      </c>
      <c r="F22" s="54">
        <v>32.44</v>
      </c>
      <c r="G22" s="54">
        <v>64.67</v>
      </c>
      <c r="H22" s="54">
        <v>20.05</v>
      </c>
      <c r="I22" s="54">
        <v>1.57</v>
      </c>
      <c r="J22" s="54">
        <v>1.25</v>
      </c>
      <c r="K22" s="54">
        <v>166.92</v>
      </c>
      <c r="L22" s="54">
        <v>33.49</v>
      </c>
      <c r="M22" s="54">
        <v>27.56</v>
      </c>
      <c r="N22" s="54">
        <v>722.80</v>
      </c>
      <c r="O22" s="54">
        <v>0</v>
      </c>
      <c r="P22" s="54">
        <v>0.35</v>
      </c>
      <c r="Q22" s="54">
        <v>11.03</v>
      </c>
      <c r="R22" s="43"/>
      <c r="S22" s="43"/>
      <c r="T22" s="43"/>
      <c r="U22" s="43"/>
    </row>
    <row r="23" spans="1:21" s="11" customFormat="1" ht="15">
      <c r="A23" s="53" t="s">
        <v>196</v>
      </c>
      <c r="B23" s="59" t="s">
        <v>8</v>
      </c>
      <c r="C23" s="59" t="s">
        <v>8</v>
      </c>
      <c r="D23" s="59" t="s">
        <v>8</v>
      </c>
      <c r="E23" s="54">
        <v>4.58</v>
      </c>
      <c r="F23" s="54">
        <v>9.2899999999999991</v>
      </c>
      <c r="G23" s="54">
        <v>52.68</v>
      </c>
      <c r="H23" s="54">
        <v>19.760000000000002</v>
      </c>
      <c r="I23" s="54">
        <v>1.52</v>
      </c>
      <c r="J23" s="54">
        <v>0.70</v>
      </c>
      <c r="K23" s="54">
        <v>345.09</v>
      </c>
      <c r="L23" s="54">
        <v>34.82</v>
      </c>
      <c r="M23" s="54">
        <v>26.98</v>
      </c>
      <c r="N23" s="54">
        <v>553.29999999999995</v>
      </c>
      <c r="O23" s="54">
        <v>0</v>
      </c>
      <c r="P23" s="54">
        <v>0.32</v>
      </c>
      <c r="Q23" s="54">
        <v>10.89</v>
      </c>
      <c r="R23" s="43"/>
      <c r="S23" s="43"/>
      <c r="T23" s="43"/>
      <c r="U23" s="43"/>
    </row>
    <row r="24" spans="1:21" s="11" customFormat="1" ht="15">
      <c r="A24" s="53" t="s">
        <v>197</v>
      </c>
      <c r="B24" s="59" t="s">
        <v>8</v>
      </c>
      <c r="C24" s="59" t="s">
        <v>8</v>
      </c>
      <c r="D24" s="59" t="s">
        <v>8</v>
      </c>
      <c r="E24" s="54">
        <v>4.5999999999999996</v>
      </c>
      <c r="F24" s="54">
        <v>11.34</v>
      </c>
      <c r="G24" s="54">
        <v>54.56</v>
      </c>
      <c r="H24" s="54">
        <v>20.57</v>
      </c>
      <c r="I24" s="54">
        <v>1.56</v>
      </c>
      <c r="J24" s="54">
        <v>0.61</v>
      </c>
      <c r="K24" s="54">
        <v>359.5</v>
      </c>
      <c r="L24" s="54">
        <v>33.71</v>
      </c>
      <c r="M24" s="54">
        <v>28.38</v>
      </c>
      <c r="N24" s="54">
        <v>279.80</v>
      </c>
      <c r="O24" s="54">
        <v>0</v>
      </c>
      <c r="P24" s="54">
        <v>0.55000000000000004</v>
      </c>
      <c r="Q24" s="54">
        <v>10.78</v>
      </c>
      <c r="R24" s="43"/>
      <c r="S24" s="43"/>
      <c r="T24" s="43"/>
      <c r="U24" s="43"/>
    </row>
    <row r="25" spans="1:21" s="11" customFormat="1" ht="15">
      <c r="A25" s="53" t="s">
        <v>198</v>
      </c>
      <c r="B25" s="59" t="s">
        <v>8</v>
      </c>
      <c r="C25" s="59" t="s">
        <v>8</v>
      </c>
      <c r="D25" s="59" t="s">
        <v>8</v>
      </c>
      <c r="E25" s="54">
        <v>4.3499999999999996</v>
      </c>
      <c r="F25" s="54">
        <v>8.66</v>
      </c>
      <c r="G25" s="54">
        <v>54.56</v>
      </c>
      <c r="H25" s="54">
        <v>21.54</v>
      </c>
      <c r="I25" s="54">
        <v>1.52</v>
      </c>
      <c r="J25" s="54">
        <v>0.56000000000000005</v>
      </c>
      <c r="K25" s="54">
        <v>340.41</v>
      </c>
      <c r="L25" s="54">
        <v>30.62</v>
      </c>
      <c r="M25" s="54">
        <v>32.07</v>
      </c>
      <c r="N25" s="54">
        <v>119.70</v>
      </c>
      <c r="O25" s="54">
        <v>0</v>
      </c>
      <c r="P25" s="54">
        <v>0.57999999999999996</v>
      </c>
      <c r="Q25" s="54">
        <v>10.74</v>
      </c>
      <c r="R25" s="43"/>
      <c r="S25" s="43"/>
      <c r="T25" s="43"/>
      <c r="U25" s="43"/>
    </row>
    <row r="26" spans="1:21" s="11" customFormat="1" ht="15">
      <c r="A26" s="53" t="s">
        <v>199</v>
      </c>
      <c r="B26" s="59" t="s">
        <v>8</v>
      </c>
      <c r="C26" s="59" t="s">
        <v>8</v>
      </c>
      <c r="D26" s="59" t="s">
        <v>8</v>
      </c>
      <c r="E26" s="54">
        <v>3.95</v>
      </c>
      <c r="F26" s="54">
        <v>4.95</v>
      </c>
      <c r="G26" s="54">
        <v>53.02</v>
      </c>
      <c r="H26" s="54">
        <v>21.54</v>
      </c>
      <c r="I26" s="54">
        <v>1.55</v>
      </c>
      <c r="J26" s="54">
        <v>0.35</v>
      </c>
      <c r="K26" s="54">
        <v>72.41</v>
      </c>
      <c r="L26" s="54">
        <v>30.26</v>
      </c>
      <c r="M26" s="54">
        <v>37.369999999999997</v>
      </c>
      <c r="N26" s="54">
        <v>68.30</v>
      </c>
      <c r="O26" s="54">
        <v>0</v>
      </c>
      <c r="P26" s="54">
        <v>0.65</v>
      </c>
      <c r="Q26" s="54">
        <v>10.78</v>
      </c>
      <c r="R26" s="43"/>
      <c r="S26" s="43"/>
      <c r="T26" s="43"/>
      <c r="U26" s="43"/>
    </row>
    <row r="27" spans="1:21" s="11" customFormat="1" ht="15">
      <c r="A27" s="53" t="s">
        <v>200</v>
      </c>
      <c r="B27" s="59" t="s">
        <v>8</v>
      </c>
      <c r="C27" s="59" t="s">
        <v>8</v>
      </c>
      <c r="D27" s="59" t="s">
        <v>8</v>
      </c>
      <c r="E27" s="54">
        <v>4.1500000000000004</v>
      </c>
      <c r="F27" s="54">
        <v>4.17</v>
      </c>
      <c r="G27" s="54">
        <v>68.03</v>
      </c>
      <c r="H27" s="54">
        <v>25.06</v>
      </c>
      <c r="I27" s="54">
        <v>1.57</v>
      </c>
      <c r="J27" s="54">
        <v>0.38</v>
      </c>
      <c r="K27" s="54">
        <v>87.5</v>
      </c>
      <c r="L27" s="54">
        <v>28.05</v>
      </c>
      <c r="M27" s="54">
        <v>40.46</v>
      </c>
      <c r="N27" s="54">
        <v>22.30</v>
      </c>
      <c r="O27" s="54">
        <v>0</v>
      </c>
      <c r="P27" s="54">
        <v>0.80</v>
      </c>
      <c r="Q27" s="54">
        <v>10.87</v>
      </c>
      <c r="R27" s="43"/>
      <c r="S27" s="43"/>
      <c r="T27" s="43"/>
      <c r="U27" s="43"/>
    </row>
    <row r="28" spans="1:21" s="11" customFormat="1" ht="15">
      <c r="A28" s="53" t="s">
        <v>201</v>
      </c>
      <c r="B28" s="59" t="s">
        <v>8</v>
      </c>
      <c r="C28" s="59" t="s">
        <v>8</v>
      </c>
      <c r="D28" s="59" t="s">
        <v>8</v>
      </c>
      <c r="E28" s="54">
        <v>4.16</v>
      </c>
      <c r="F28" s="54">
        <v>3.88</v>
      </c>
      <c r="G28" s="54">
        <v>86.43</v>
      </c>
      <c r="H28" s="54">
        <v>31.24</v>
      </c>
      <c r="I28" s="54">
        <v>1.56</v>
      </c>
      <c r="J28" s="54">
        <v>0.37</v>
      </c>
      <c r="K28" s="54">
        <v>118.56</v>
      </c>
      <c r="L28" s="54">
        <v>26.65</v>
      </c>
      <c r="M28" s="54">
        <v>44.33</v>
      </c>
      <c r="N28" s="54">
        <v>21.20</v>
      </c>
      <c r="O28" s="54">
        <v>0</v>
      </c>
      <c r="P28" s="54">
        <v>0.93</v>
      </c>
      <c r="Q28" s="54">
        <v>11.11</v>
      </c>
      <c r="R28" s="43"/>
      <c r="S28" s="43"/>
      <c r="T28" s="43"/>
      <c r="U28" s="43"/>
    </row>
    <row r="29" spans="1:21" s="11" customFormat="1" ht="15">
      <c r="A29" s="53" t="s">
        <v>202</v>
      </c>
      <c r="B29" s="59" t="s">
        <v>8</v>
      </c>
      <c r="C29" s="59" t="s">
        <v>8</v>
      </c>
      <c r="D29" s="59" t="s">
        <v>8</v>
      </c>
      <c r="E29" s="54">
        <v>4.5999999999999996</v>
      </c>
      <c r="F29" s="54">
        <v>3.79</v>
      </c>
      <c r="G29" s="54">
        <v>93.64</v>
      </c>
      <c r="H29" s="54">
        <v>35.94</v>
      </c>
      <c r="I29" s="54">
        <v>1.52</v>
      </c>
      <c r="J29" s="54">
        <v>1.20</v>
      </c>
      <c r="K29" s="54">
        <v>105.36</v>
      </c>
      <c r="L29" s="54">
        <v>27.13</v>
      </c>
      <c r="M29" s="54">
        <v>41.39</v>
      </c>
      <c r="N29" s="54">
        <v>21.60</v>
      </c>
      <c r="O29" s="54">
        <v>0</v>
      </c>
      <c r="P29" s="54">
        <v>0.96</v>
      </c>
      <c r="Q29" s="54">
        <v>11.16</v>
      </c>
      <c r="R29" s="43"/>
      <c r="S29" s="43"/>
      <c r="T29" s="43"/>
      <c r="U29" s="43"/>
    </row>
    <row r="30" spans="1:21" s="11" customFormat="1" ht="15">
      <c r="A30" s="53" t="s">
        <v>203</v>
      </c>
      <c r="B30" s="59" t="s">
        <v>8</v>
      </c>
      <c r="C30" s="59" t="s">
        <v>8</v>
      </c>
      <c r="D30" s="59" t="s">
        <v>8</v>
      </c>
      <c r="E30" s="54">
        <v>4.62</v>
      </c>
      <c r="F30" s="54">
        <v>4.47</v>
      </c>
      <c r="G30" s="54">
        <v>104.34</v>
      </c>
      <c r="H30" s="54">
        <v>36.58</v>
      </c>
      <c r="I30" s="54">
        <v>1.49</v>
      </c>
      <c r="J30" s="54">
        <v>1.94</v>
      </c>
      <c r="K30" s="54">
        <v>357.28</v>
      </c>
      <c r="L30" s="54">
        <v>26.02</v>
      </c>
      <c r="M30" s="54">
        <v>59.03</v>
      </c>
      <c r="N30" s="54">
        <v>22.70</v>
      </c>
      <c r="O30" s="54">
        <v>0</v>
      </c>
      <c r="P30" s="54">
        <v>1.02</v>
      </c>
      <c r="Q30" s="54">
        <v>11.14</v>
      </c>
      <c r="R30" s="43"/>
      <c r="S30" s="43"/>
      <c r="T30" s="43"/>
      <c r="U30" s="43"/>
    </row>
    <row r="31" spans="1:21" s="11" customFormat="1" ht="15">
      <c r="A31" s="53" t="s">
        <v>204</v>
      </c>
      <c r="B31" s="59" t="s">
        <v>8</v>
      </c>
      <c r="C31" s="59" t="s">
        <v>8</v>
      </c>
      <c r="D31" s="59" t="s">
        <v>8</v>
      </c>
      <c r="E31" s="54">
        <v>4.38</v>
      </c>
      <c r="F31" s="54">
        <v>4.63</v>
      </c>
      <c r="G31" s="54">
        <v>105.79</v>
      </c>
      <c r="H31" s="54">
        <v>36.58</v>
      </c>
      <c r="I31" s="54">
        <v>1.57</v>
      </c>
      <c r="J31" s="54">
        <v>1.78</v>
      </c>
      <c r="K31" s="54">
        <v>356.70</v>
      </c>
      <c r="L31" s="54">
        <v>23.05</v>
      </c>
      <c r="M31" s="54">
        <v>63.91</v>
      </c>
      <c r="N31" s="54">
        <v>22.20</v>
      </c>
      <c r="O31" s="54">
        <v>0</v>
      </c>
      <c r="P31" s="54">
        <v>0.91</v>
      </c>
      <c r="Q31" s="54">
        <v>11.17</v>
      </c>
      <c r="R31" s="43"/>
      <c r="S31" s="43"/>
      <c r="T31" s="43"/>
      <c r="U31" s="43"/>
    </row>
    <row r="32" spans="1:21" s="11" customFormat="1" ht="15">
      <c r="A32" s="53" t="s">
        <v>205</v>
      </c>
      <c r="B32" s="59" t="s">
        <v>8</v>
      </c>
      <c r="C32" s="59" t="s">
        <v>8</v>
      </c>
      <c r="D32" s="59" t="s">
        <v>8</v>
      </c>
      <c r="E32" s="54">
        <v>4.57</v>
      </c>
      <c r="F32" s="54">
        <v>3.93</v>
      </c>
      <c r="G32" s="54">
        <v>105.79</v>
      </c>
      <c r="H32" s="54">
        <v>33.64</v>
      </c>
      <c r="I32" s="54">
        <v>1.57</v>
      </c>
      <c r="J32" s="54">
        <v>0.73</v>
      </c>
      <c r="K32" s="54">
        <v>53.12</v>
      </c>
      <c r="L32" s="54">
        <v>21.32</v>
      </c>
      <c r="M32" s="54">
        <v>62.96</v>
      </c>
      <c r="N32" s="54">
        <v>21.5</v>
      </c>
      <c r="O32" s="54">
        <v>0</v>
      </c>
      <c r="P32" s="54">
        <v>0.78</v>
      </c>
      <c r="Q32" s="54">
        <v>11.14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3.5299999999999998</v>
      </c>
      <c r="F34" s="28">
        <f t="shared" si="0"/>
        <v>3.2799999999999998</v>
      </c>
      <c r="G34" s="28">
        <f t="shared" si="0"/>
        <v>35.829999999999998</v>
      </c>
      <c r="H34" s="28">
        <f t="shared" si="0"/>
        <v>13.84</v>
      </c>
      <c r="I34" s="28">
        <f t="shared" si="0"/>
        <v>1.46</v>
      </c>
      <c r="J34" s="28">
        <f t="shared" si="0"/>
        <v>0.23999999999999999</v>
      </c>
      <c r="K34" s="28">
        <f t="shared" si="0"/>
        <v>49.600000000000001</v>
      </c>
      <c r="L34" s="28">
        <f t="shared" si="0"/>
        <v>19.879999999999999</v>
      </c>
      <c r="M34" s="28">
        <f t="shared" si="0"/>
        <v>26.98</v>
      </c>
      <c r="N34" s="28">
        <f t="shared" si="0"/>
        <v>21.199999999999999</v>
      </c>
      <c r="O34" s="28">
        <f t="shared" si="0"/>
        <v>0</v>
      </c>
      <c r="P34" s="28">
        <f t="shared" si="0"/>
        <v>0.32000000000000001</v>
      </c>
      <c r="Q34" s="28">
        <f t="shared" si="0"/>
        <v>10.74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5.5599999999999996</v>
      </c>
      <c r="F35" s="29">
        <f t="shared" si="1"/>
        <v>32.439999999999998</v>
      </c>
      <c r="G35" s="29">
        <f t="shared" si="1"/>
        <v>105.79000000000001</v>
      </c>
      <c r="H35" s="29">
        <f t="shared" si="1"/>
        <v>36.579999999999998</v>
      </c>
      <c r="I35" s="29">
        <f t="shared" si="1"/>
        <v>1.6499999999999999</v>
      </c>
      <c r="J35" s="29">
        <f t="shared" si="1"/>
        <v>1.9399999999999999</v>
      </c>
      <c r="K35" s="29">
        <f t="shared" si="1"/>
        <v>359.5</v>
      </c>
      <c r="L35" s="29">
        <f t="shared" si="1"/>
        <v>34.82</v>
      </c>
      <c r="M35" s="29">
        <f t="shared" si="1"/>
        <v>65.459999999999994</v>
      </c>
      <c r="N35" s="29">
        <f t="shared" si="1"/>
        <v>785.39999999999998</v>
      </c>
      <c r="O35" s="29">
        <f t="shared" si="1"/>
        <v>0</v>
      </c>
      <c r="P35" s="29">
        <f t="shared" si="1"/>
        <v>1.02</v>
      </c>
      <c r="Q35" s="29">
        <f t="shared" si="1"/>
        <v>11.34</v>
      </c>
      <c r="R35" s="29"/>
      <c r="S35" s="29"/>
      <c r="T35" s="29"/>
      <c r="U35" s="29"/>
    </row>
    <row r="36" spans="1:21" s="21" customFormat="1" ht="15">
      <c r="A36" s="27" t="s">
        <v>32</v>
      </c>
      <c r="B36" s="28" t="e">
        <f t="shared" si="2" ref="B36:Q36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4.2112499999999997</v>
      </c>
      <c r="F36" s="28">
        <f t="shared" si="2"/>
        <v>6.7137499999999983</v>
      </c>
      <c r="G36" s="28">
        <f t="shared" si="2"/>
        <v>63.075833333333328</v>
      </c>
      <c r="H36" s="28">
        <f t="shared" si="2"/>
        <v>22.467916666666667</v>
      </c>
      <c r="I36" s="28">
        <f t="shared" si="2"/>
        <v>1.5558333333333334</v>
      </c>
      <c r="J36" s="28">
        <f t="shared" si="2"/>
        <v>0.76708333333333323</v>
      </c>
      <c r="K36" s="28">
        <f t="shared" si="2"/>
        <v>208.4483333333333</v>
      </c>
      <c r="L36" s="28">
        <f t="shared" si="2"/>
        <v>26.783749999999998</v>
      </c>
      <c r="M36" s="28">
        <f t="shared" si="2"/>
        <v>46.885416666666679</v>
      </c>
      <c r="N36" s="28">
        <f t="shared" si="2"/>
        <v>240.34166666666667</v>
      </c>
      <c r="O36" s="28">
        <f t="shared" si="2"/>
        <v>0</v>
      </c>
      <c r="P36" s="28">
        <f t="shared" si="2"/>
        <v>0.64249999999999996</v>
      </c>
      <c r="Q36" s="28">
        <f t="shared" si="2"/>
        <v>11.067916666666669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 t="e">
        <f>STDEV(B9:B32)</f>
        <v>#DIV/0!</v>
      </c>
      <c r="C37" s="28" t="e">
        <f t="shared" si="3" ref="C37:Q37">STDEV(C9:C32)</f>
        <v>#DIV/0!</v>
      </c>
      <c r="D37" s="28" t="e">
        <f t="shared" si="3"/>
        <v>#DIV/0!</v>
      </c>
      <c r="E37" s="28">
        <f t="shared" si="3"/>
        <v>0.48656124776444093</v>
      </c>
      <c r="F37" s="28">
        <f t="shared" si="3"/>
        <v>6.8379756809339032</v>
      </c>
      <c r="G37" s="28">
        <f t="shared" si="3"/>
        <v>21.52781232785134</v>
      </c>
      <c r="H37" s="28">
        <f t="shared" si="3"/>
        <v>7.4083865398066608</v>
      </c>
      <c r="I37" s="28">
        <f t="shared" si="3"/>
        <v>0.044810389582023866</v>
      </c>
      <c r="J37" s="28">
        <f t="shared" si="3"/>
        <v>0.43849028710344107</v>
      </c>
      <c r="K37" s="28">
        <f t="shared" si="3"/>
        <v>134.8149529723151</v>
      </c>
      <c r="L37" s="28">
        <f t="shared" si="3"/>
        <v>5.4067516668473452</v>
      </c>
      <c r="M37" s="28">
        <f t="shared" si="3"/>
        <v>12.69993871233642</v>
      </c>
      <c r="N37" s="28">
        <f t="shared" si="3"/>
        <v>296.34344487239895</v>
      </c>
      <c r="O37" s="28">
        <f t="shared" si="3"/>
        <v>0</v>
      </c>
      <c r="P37" s="28">
        <f t="shared" si="3"/>
        <v>0.20456209857623464</v>
      </c>
      <c r="Q37" s="28">
        <f t="shared" si="3"/>
        <v>0.1525430564069406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COUNT(B9:B32)+24</f>
        <v>24</v>
      </c>
      <c r="C38" s="32">
        <f>COUNT(C9:C32)+24</f>
        <v>24</v>
      </c>
      <c r="D38" s="32">
        <f>COUNT(D9:D32)+24</f>
        <v>24</v>
      </c>
      <c r="E38" s="32">
        <f t="shared" si="4" ref="E38:Q38">COUNT(E9:E32)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dfe3a03-d613-453f-866e-bc1ea794cc9e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206</v>
      </c>
      <c r="B9" s="59" t="s">
        <v>8</v>
      </c>
      <c r="C9" s="59" t="s">
        <v>8</v>
      </c>
      <c r="D9" s="59" t="s">
        <v>8</v>
      </c>
      <c r="E9" s="54">
        <v>3.93</v>
      </c>
      <c r="F9" s="54">
        <v>4.30</v>
      </c>
      <c r="G9" s="54">
        <v>88.72</v>
      </c>
      <c r="H9" s="54">
        <v>30.59</v>
      </c>
      <c r="I9" s="54">
        <v>1.52</v>
      </c>
      <c r="J9" s="54">
        <v>1.25</v>
      </c>
      <c r="K9" s="54">
        <v>355.58</v>
      </c>
      <c r="L9" s="54">
        <v>21.36</v>
      </c>
      <c r="M9" s="54">
        <v>65</v>
      </c>
      <c r="N9" s="54">
        <v>21.60</v>
      </c>
      <c r="O9" s="54">
        <v>0</v>
      </c>
      <c r="P9" s="54">
        <v>0.65</v>
      </c>
      <c r="Q9" s="54">
        <v>11.12</v>
      </c>
      <c r="R9" s="43"/>
      <c r="S9" s="43"/>
      <c r="T9" s="43"/>
      <c r="U9" s="43"/>
    </row>
    <row r="10" spans="1:21" s="11" customFormat="1" ht="15">
      <c r="A10" s="53" t="s">
        <v>207</v>
      </c>
      <c r="B10" s="59" t="s">
        <v>8</v>
      </c>
      <c r="C10" s="59" t="s">
        <v>8</v>
      </c>
      <c r="D10" s="59" t="s">
        <v>8</v>
      </c>
      <c r="E10" s="54">
        <v>3.89</v>
      </c>
      <c r="F10" s="54">
        <v>4.78</v>
      </c>
      <c r="G10" s="54">
        <v>66.569999999999993</v>
      </c>
      <c r="H10" s="54">
        <v>24.56</v>
      </c>
      <c r="I10" s="54">
        <v>1.52</v>
      </c>
      <c r="J10" s="54">
        <v>1.69</v>
      </c>
      <c r="K10" s="54">
        <v>356.34</v>
      </c>
      <c r="L10" s="54">
        <v>21.13</v>
      </c>
      <c r="M10" s="54">
        <v>72.11</v>
      </c>
      <c r="N10" s="54">
        <v>22.5</v>
      </c>
      <c r="O10" s="54">
        <v>0</v>
      </c>
      <c r="P10" s="54">
        <v>0.56000000000000005</v>
      </c>
      <c r="Q10" s="54">
        <v>11.08</v>
      </c>
      <c r="R10" s="43"/>
      <c r="S10" s="43"/>
      <c r="T10" s="43"/>
      <c r="U10" s="43"/>
    </row>
    <row r="11" spans="1:21" s="11" customFormat="1" ht="15">
      <c r="A11" s="53" t="s">
        <v>208</v>
      </c>
      <c r="B11" s="59" t="s">
        <v>8</v>
      </c>
      <c r="C11" s="59" t="s">
        <v>8</v>
      </c>
      <c r="D11" s="59" t="s">
        <v>8</v>
      </c>
      <c r="E11" s="54">
        <v>3.70</v>
      </c>
      <c r="F11" s="54">
        <v>4.03</v>
      </c>
      <c r="G11" s="54">
        <v>66.569999999999993</v>
      </c>
      <c r="H11" s="54">
        <v>23.91</v>
      </c>
      <c r="I11" s="54">
        <v>1.57</v>
      </c>
      <c r="J11" s="54">
        <v>0.87</v>
      </c>
      <c r="K11" s="54">
        <v>357.81</v>
      </c>
      <c r="L11" s="54">
        <v>20.14</v>
      </c>
      <c r="M11" s="54">
        <v>68.540000000000006</v>
      </c>
      <c r="N11" s="54">
        <v>21.80</v>
      </c>
      <c r="O11" s="54">
        <v>0</v>
      </c>
      <c r="P11" s="54">
        <v>0.51</v>
      </c>
      <c r="Q11" s="54">
        <v>11.03</v>
      </c>
      <c r="R11" s="43"/>
      <c r="S11" s="43"/>
      <c r="T11" s="43"/>
      <c r="U11" s="43"/>
    </row>
    <row r="12" spans="1:21" s="11" customFormat="1" ht="15">
      <c r="A12" s="53" t="s">
        <v>209</v>
      </c>
      <c r="B12" s="59" t="s">
        <v>8</v>
      </c>
      <c r="C12" s="59" t="s">
        <v>8</v>
      </c>
      <c r="D12" s="59" t="s">
        <v>8</v>
      </c>
      <c r="E12" s="54">
        <v>3.70</v>
      </c>
      <c r="F12" s="54">
        <v>3.59</v>
      </c>
      <c r="G12" s="54">
        <v>65.260000000000005</v>
      </c>
      <c r="H12" s="54">
        <v>22.88</v>
      </c>
      <c r="I12" s="54">
        <v>1.52</v>
      </c>
      <c r="J12" s="54">
        <v>2</v>
      </c>
      <c r="K12" s="54">
        <v>106.06</v>
      </c>
      <c r="L12" s="54">
        <v>20.14</v>
      </c>
      <c r="M12" s="54">
        <v>65.900000000000006</v>
      </c>
      <c r="N12" s="54">
        <v>21.60</v>
      </c>
      <c r="O12" s="54">
        <v>0</v>
      </c>
      <c r="P12" s="54">
        <v>0.48</v>
      </c>
      <c r="Q12" s="54">
        <v>11.03</v>
      </c>
      <c r="R12" s="43"/>
      <c r="S12" s="43"/>
      <c r="T12" s="43"/>
      <c r="U12" s="43"/>
    </row>
    <row r="13" spans="1:21" s="11" customFormat="1" ht="15">
      <c r="A13" s="53" t="s">
        <v>210</v>
      </c>
      <c r="B13" s="59" t="s">
        <v>8</v>
      </c>
      <c r="C13" s="59" t="s">
        <v>8</v>
      </c>
      <c r="D13" s="59" t="s">
        <v>8</v>
      </c>
      <c r="E13" s="54">
        <v>4.5199999999999996</v>
      </c>
      <c r="F13" s="54">
        <v>3.54</v>
      </c>
      <c r="G13" s="54">
        <v>52.28</v>
      </c>
      <c r="H13" s="54">
        <v>22.5</v>
      </c>
      <c r="I13" s="54">
        <v>1.54</v>
      </c>
      <c r="J13" s="54">
        <v>1.93</v>
      </c>
      <c r="K13" s="54">
        <v>353.49</v>
      </c>
      <c r="L13" s="54">
        <v>20.09</v>
      </c>
      <c r="M13" s="54">
        <v>69.209999999999994</v>
      </c>
      <c r="N13" s="54">
        <v>21.80</v>
      </c>
      <c r="O13" s="54">
        <v>0</v>
      </c>
      <c r="P13" s="54">
        <v>0.40</v>
      </c>
      <c r="Q13" s="54">
        <v>10.97</v>
      </c>
      <c r="R13" s="43"/>
      <c r="S13" s="43"/>
      <c r="T13" s="43"/>
      <c r="U13" s="43"/>
    </row>
    <row r="14" spans="1:21" s="11" customFormat="1" ht="15">
      <c r="A14" s="53" t="s">
        <v>211</v>
      </c>
      <c r="B14" s="59" t="s">
        <v>8</v>
      </c>
      <c r="C14" s="59" t="s">
        <v>8</v>
      </c>
      <c r="D14" s="59" t="s">
        <v>8</v>
      </c>
      <c r="E14" s="54">
        <v>4.54</v>
      </c>
      <c r="F14" s="54">
        <v>3.43</v>
      </c>
      <c r="G14" s="54">
        <v>55.29</v>
      </c>
      <c r="H14" s="54">
        <v>20.59</v>
      </c>
      <c r="I14" s="54">
        <v>1.53</v>
      </c>
      <c r="J14" s="54">
        <v>1.0900000000000001</v>
      </c>
      <c r="K14" s="54">
        <v>354.04</v>
      </c>
      <c r="L14" s="54">
        <v>19.04</v>
      </c>
      <c r="M14" s="54">
        <v>84.10</v>
      </c>
      <c r="N14" s="54">
        <v>21.80</v>
      </c>
      <c r="O14" s="54">
        <v>0</v>
      </c>
      <c r="P14" s="54">
        <v>0.41</v>
      </c>
      <c r="Q14" s="54">
        <v>10.96</v>
      </c>
      <c r="R14" s="43"/>
      <c r="S14" s="43"/>
      <c r="T14" s="43"/>
      <c r="U14" s="43"/>
    </row>
    <row r="15" spans="1:21" s="11" customFormat="1" ht="15">
      <c r="A15" s="53" t="s">
        <v>212</v>
      </c>
      <c r="B15" s="59" t="s">
        <v>8</v>
      </c>
      <c r="C15" s="59" t="s">
        <v>8</v>
      </c>
      <c r="D15" s="59" t="s">
        <v>8</v>
      </c>
      <c r="E15" s="54">
        <v>4.66</v>
      </c>
      <c r="F15" s="54">
        <v>3.31</v>
      </c>
      <c r="G15" s="54">
        <v>64.430000000000007</v>
      </c>
      <c r="H15" s="54">
        <v>26.35</v>
      </c>
      <c r="I15" s="54">
        <v>1.54</v>
      </c>
      <c r="J15" s="54">
        <v>0.60</v>
      </c>
      <c r="K15" s="54">
        <v>358.78</v>
      </c>
      <c r="L15" s="54">
        <v>18.68</v>
      </c>
      <c r="M15" s="54">
        <v>85.09</v>
      </c>
      <c r="N15" s="54">
        <v>78.900000000000006</v>
      </c>
      <c r="O15" s="54">
        <v>0</v>
      </c>
      <c r="P15" s="54">
        <v>0.47</v>
      </c>
      <c r="Q15" s="54">
        <v>11.07</v>
      </c>
      <c r="R15" s="43"/>
      <c r="S15" s="43"/>
      <c r="T15" s="43"/>
      <c r="U15" s="43"/>
    </row>
    <row r="16" spans="1:21" s="11" customFormat="1" ht="15">
      <c r="A16" s="53" t="s">
        <v>213</v>
      </c>
      <c r="B16" s="59" t="s">
        <v>8</v>
      </c>
      <c r="C16" s="59" t="s">
        <v>8</v>
      </c>
      <c r="D16" s="59" t="s">
        <v>8</v>
      </c>
      <c r="E16" s="54">
        <v>4.67</v>
      </c>
      <c r="F16" s="54">
        <v>3.49</v>
      </c>
      <c r="G16" s="54">
        <v>72.47</v>
      </c>
      <c r="H16" s="54">
        <v>27.60</v>
      </c>
      <c r="I16" s="54">
        <v>1.53</v>
      </c>
      <c r="J16" s="54">
        <v>0.70</v>
      </c>
      <c r="K16" s="54">
        <v>359.11</v>
      </c>
      <c r="L16" s="54">
        <v>23.85</v>
      </c>
      <c r="M16" s="54">
        <v>77.900000000000006</v>
      </c>
      <c r="N16" s="54">
        <v>250.30</v>
      </c>
      <c r="O16" s="54">
        <v>0</v>
      </c>
      <c r="P16" s="54">
        <v>0.5</v>
      </c>
      <c r="Q16" s="54">
        <v>11.23</v>
      </c>
      <c r="R16" s="43"/>
      <c r="S16" s="43"/>
      <c r="T16" s="43"/>
      <c r="U16" s="43"/>
    </row>
    <row r="17" spans="1:21" s="11" customFormat="1" ht="15">
      <c r="A17" s="53" t="s">
        <v>214</v>
      </c>
      <c r="B17" s="59" t="s">
        <v>8</v>
      </c>
      <c r="C17" s="59" t="s">
        <v>8</v>
      </c>
      <c r="D17" s="59" t="s">
        <v>8</v>
      </c>
      <c r="E17" s="54">
        <v>3.94</v>
      </c>
      <c r="F17" s="54">
        <v>3.46</v>
      </c>
      <c r="G17" s="54">
        <v>72.47</v>
      </c>
      <c r="H17" s="54">
        <v>27.60</v>
      </c>
      <c r="I17" s="54">
        <v>1.56</v>
      </c>
      <c r="J17" s="54">
        <v>1.1100000000000001</v>
      </c>
      <c r="K17" s="54">
        <v>99.32</v>
      </c>
      <c r="L17" s="54">
        <v>22.78</v>
      </c>
      <c r="M17" s="54">
        <v>67.80</v>
      </c>
      <c r="N17" s="54">
        <v>444.30</v>
      </c>
      <c r="O17" s="54">
        <v>0</v>
      </c>
      <c r="P17" s="54">
        <v>0.51</v>
      </c>
      <c r="Q17" s="54">
        <v>11.32</v>
      </c>
      <c r="R17" s="43"/>
      <c r="S17" s="43"/>
      <c r="T17" s="43"/>
      <c r="U17" s="43"/>
    </row>
    <row r="18" spans="1:21" s="11" customFormat="1" ht="15">
      <c r="A18" s="53" t="s">
        <v>215</v>
      </c>
      <c r="B18" s="59" t="s">
        <v>8</v>
      </c>
      <c r="C18" s="59" t="s">
        <v>8</v>
      </c>
      <c r="D18" s="59" t="s">
        <v>8</v>
      </c>
      <c r="E18" s="54">
        <v>3.85</v>
      </c>
      <c r="F18" s="54">
        <v>3.61</v>
      </c>
      <c r="G18" s="54">
        <v>67.55</v>
      </c>
      <c r="H18" s="54">
        <v>24.5</v>
      </c>
      <c r="I18" s="54">
        <v>1.52</v>
      </c>
      <c r="J18" s="54">
        <v>1.54</v>
      </c>
      <c r="K18" s="54">
        <v>105.53</v>
      </c>
      <c r="L18" s="54">
        <v>26.09</v>
      </c>
      <c r="M18" s="54">
        <v>62.66</v>
      </c>
      <c r="N18" s="54">
        <v>607.20000000000005</v>
      </c>
      <c r="O18" s="54">
        <v>0</v>
      </c>
      <c r="P18" s="54">
        <v>0.49</v>
      </c>
      <c r="Q18" s="54">
        <v>11.30</v>
      </c>
      <c r="R18" s="43"/>
      <c r="S18" s="43"/>
      <c r="T18" s="43"/>
      <c r="U18" s="43"/>
    </row>
    <row r="19" spans="1:21" s="11" customFormat="1" ht="15">
      <c r="A19" s="53" t="s">
        <v>216</v>
      </c>
      <c r="B19" s="59" t="s">
        <v>8</v>
      </c>
      <c r="C19" s="59" t="s">
        <v>8</v>
      </c>
      <c r="D19" s="59" t="s">
        <v>8</v>
      </c>
      <c r="E19" s="54">
        <v>5.16</v>
      </c>
      <c r="F19" s="54">
        <v>15.46</v>
      </c>
      <c r="G19" s="54">
        <v>58.03</v>
      </c>
      <c r="H19" s="54">
        <v>21.37</v>
      </c>
      <c r="I19" s="54">
        <v>1.54</v>
      </c>
      <c r="J19" s="54">
        <v>1.58</v>
      </c>
      <c r="K19" s="54">
        <v>98.71</v>
      </c>
      <c r="L19" s="54">
        <v>27.98</v>
      </c>
      <c r="M19" s="54">
        <v>55.82</v>
      </c>
      <c r="N19" s="54">
        <v>700.20</v>
      </c>
      <c r="O19" s="54">
        <v>0</v>
      </c>
      <c r="P19" s="54">
        <v>0.53</v>
      </c>
      <c r="Q19" s="54">
        <v>11.11</v>
      </c>
      <c r="R19" s="43"/>
      <c r="S19" s="43"/>
      <c r="T19" s="43"/>
      <c r="U19" s="43"/>
    </row>
    <row r="20" spans="1:21" s="11" customFormat="1" ht="15">
      <c r="A20" s="53" t="s">
        <v>217</v>
      </c>
      <c r="B20" s="59" t="s">
        <v>8</v>
      </c>
      <c r="C20" s="59" t="s">
        <v>8</v>
      </c>
      <c r="D20" s="59" t="s">
        <v>8</v>
      </c>
      <c r="E20" s="54">
        <v>4.80</v>
      </c>
      <c r="F20" s="54">
        <v>9.9600000000000009</v>
      </c>
      <c r="G20" s="54">
        <v>52.51</v>
      </c>
      <c r="H20" s="54">
        <v>21.73</v>
      </c>
      <c r="I20" s="54">
        <v>1.57</v>
      </c>
      <c r="J20" s="54">
        <v>0.92</v>
      </c>
      <c r="K20" s="54">
        <v>345.03</v>
      </c>
      <c r="L20" s="54">
        <v>30.18</v>
      </c>
      <c r="M20" s="54">
        <v>50.70</v>
      </c>
      <c r="N20" s="54">
        <v>735.5</v>
      </c>
      <c r="O20" s="54">
        <v>0</v>
      </c>
      <c r="P20" s="54">
        <v>0.5</v>
      </c>
      <c r="Q20" s="54">
        <v>10.95</v>
      </c>
      <c r="R20" s="43"/>
      <c r="S20" s="43"/>
      <c r="T20" s="43"/>
      <c r="U20" s="43"/>
    </row>
    <row r="21" spans="1:21" s="11" customFormat="1" ht="15">
      <c r="A21" s="53" t="s">
        <v>218</v>
      </c>
      <c r="B21" s="59" t="s">
        <v>8</v>
      </c>
      <c r="C21" s="59" t="s">
        <v>8</v>
      </c>
      <c r="D21" s="59" t="s">
        <v>8</v>
      </c>
      <c r="E21" s="54">
        <v>3.52</v>
      </c>
      <c r="F21" s="54">
        <v>17.420000000000002</v>
      </c>
      <c r="G21" s="54">
        <v>52.05</v>
      </c>
      <c r="H21" s="54">
        <v>21.73</v>
      </c>
      <c r="I21" s="54">
        <v>1.53</v>
      </c>
      <c r="J21" s="54">
        <v>1.38</v>
      </c>
      <c r="K21" s="54">
        <v>343.02</v>
      </c>
      <c r="L21" s="54">
        <v>33.68</v>
      </c>
      <c r="M21" s="54">
        <v>44.37</v>
      </c>
      <c r="N21" s="54">
        <v>732.40</v>
      </c>
      <c r="O21" s="54">
        <v>0</v>
      </c>
      <c r="P21" s="54">
        <v>0.45</v>
      </c>
      <c r="Q21" s="54">
        <v>10.83</v>
      </c>
      <c r="R21" s="43"/>
      <c r="S21" s="43"/>
      <c r="T21" s="43"/>
      <c r="U21" s="43"/>
    </row>
    <row r="22" spans="1:21" s="11" customFormat="1" ht="15">
      <c r="A22" s="53" t="s">
        <v>219</v>
      </c>
      <c r="B22" s="59" t="s">
        <v>8</v>
      </c>
      <c r="C22" s="59" t="s">
        <v>8</v>
      </c>
      <c r="D22" s="59" t="s">
        <v>8</v>
      </c>
      <c r="E22" s="54">
        <v>4.2300000000000004</v>
      </c>
      <c r="F22" s="54">
        <v>8.99</v>
      </c>
      <c r="G22" s="54">
        <v>52.91</v>
      </c>
      <c r="H22" s="54">
        <v>21.61</v>
      </c>
      <c r="I22" s="54">
        <v>1.51</v>
      </c>
      <c r="J22" s="54">
        <v>0.67</v>
      </c>
      <c r="K22" s="54">
        <v>340.85</v>
      </c>
      <c r="L22" s="54">
        <v>33.200000000000003</v>
      </c>
      <c r="M22" s="54">
        <v>39.46</v>
      </c>
      <c r="N22" s="54">
        <v>670.80</v>
      </c>
      <c r="O22" s="54">
        <v>0</v>
      </c>
      <c r="P22" s="54">
        <v>0.47</v>
      </c>
      <c r="Q22" s="54">
        <v>10.62</v>
      </c>
      <c r="R22" s="43"/>
      <c r="S22" s="43"/>
      <c r="T22" s="43"/>
      <c r="U22" s="43"/>
    </row>
    <row r="23" spans="1:21" s="11" customFormat="1" ht="15">
      <c r="A23" s="53" t="s">
        <v>220</v>
      </c>
      <c r="B23" s="59" t="s">
        <v>8</v>
      </c>
      <c r="C23" s="59" t="s">
        <v>8</v>
      </c>
      <c r="D23" s="59" t="s">
        <v>8</v>
      </c>
      <c r="E23" s="54">
        <v>3.33</v>
      </c>
      <c r="F23" s="54">
        <v>6.27</v>
      </c>
      <c r="G23" s="54">
        <v>52.91</v>
      </c>
      <c r="H23" s="54">
        <v>24.57</v>
      </c>
      <c r="I23" s="54">
        <v>1.56</v>
      </c>
      <c r="J23" s="54">
        <v>1.02</v>
      </c>
      <c r="K23" s="54">
        <v>349.41</v>
      </c>
      <c r="L23" s="54">
        <v>32.5</v>
      </c>
      <c r="M23" s="54">
        <v>39.950000000000003</v>
      </c>
      <c r="N23" s="54">
        <v>535.60</v>
      </c>
      <c r="O23" s="54">
        <v>0</v>
      </c>
      <c r="P23" s="54">
        <v>0.53</v>
      </c>
      <c r="Q23" s="54">
        <v>10.59</v>
      </c>
      <c r="R23" s="43"/>
      <c r="S23" s="43"/>
      <c r="T23" s="43"/>
      <c r="U23" s="43"/>
    </row>
    <row r="24" spans="1:21" s="11" customFormat="1" ht="15">
      <c r="A24" s="53" t="s">
        <v>221</v>
      </c>
      <c r="B24" s="59" t="s">
        <v>8</v>
      </c>
      <c r="C24" s="59" t="s">
        <v>8</v>
      </c>
      <c r="D24" s="59" t="s">
        <v>8</v>
      </c>
      <c r="E24" s="54">
        <v>3.84</v>
      </c>
      <c r="F24" s="54">
        <v>6.97</v>
      </c>
      <c r="G24" s="54">
        <v>70.44</v>
      </c>
      <c r="H24" s="54">
        <v>24.57</v>
      </c>
      <c r="I24" s="54">
        <v>1.46</v>
      </c>
      <c r="J24" s="54">
        <v>1.39</v>
      </c>
      <c r="K24" s="54">
        <v>346.55</v>
      </c>
      <c r="L24" s="54">
        <v>32.07</v>
      </c>
      <c r="M24" s="54">
        <v>36.90</v>
      </c>
      <c r="N24" s="54">
        <v>275.30</v>
      </c>
      <c r="O24" s="54">
        <v>0</v>
      </c>
      <c r="P24" s="54">
        <v>0.54</v>
      </c>
      <c r="Q24" s="54">
        <v>10.53</v>
      </c>
      <c r="R24" s="43"/>
      <c r="S24" s="43"/>
      <c r="T24" s="43"/>
      <c r="U24" s="43"/>
    </row>
    <row r="25" spans="1:21" s="11" customFormat="1" ht="15">
      <c r="A25" s="53" t="s">
        <v>222</v>
      </c>
      <c r="B25" s="59" t="s">
        <v>8</v>
      </c>
      <c r="C25" s="59" t="s">
        <v>8</v>
      </c>
      <c r="D25" s="59" t="s">
        <v>8</v>
      </c>
      <c r="E25" s="54">
        <v>3.30</v>
      </c>
      <c r="F25" s="54">
        <v>6.66</v>
      </c>
      <c r="G25" s="54">
        <v>70.44</v>
      </c>
      <c r="H25" s="54">
        <v>24.14</v>
      </c>
      <c r="I25" s="54">
        <v>1.52</v>
      </c>
      <c r="J25" s="54">
        <v>1.33</v>
      </c>
      <c r="K25" s="54">
        <v>348.73</v>
      </c>
      <c r="L25" s="54">
        <v>29.39</v>
      </c>
      <c r="M25" s="54">
        <v>40.10</v>
      </c>
      <c r="N25" s="54">
        <v>158.5</v>
      </c>
      <c r="O25" s="54">
        <v>0</v>
      </c>
      <c r="P25" s="54">
        <v>0.54</v>
      </c>
      <c r="Q25" s="54">
        <v>10.46</v>
      </c>
      <c r="R25" s="43"/>
      <c r="S25" s="43"/>
      <c r="T25" s="43"/>
      <c r="U25" s="43"/>
    </row>
    <row r="26" spans="1:21" s="11" customFormat="1" ht="15">
      <c r="A26" s="53" t="s">
        <v>223</v>
      </c>
      <c r="B26" s="59" t="s">
        <v>8</v>
      </c>
      <c r="C26" s="59" t="s">
        <v>8</v>
      </c>
      <c r="D26" s="59" t="s">
        <v>8</v>
      </c>
      <c r="E26" s="54">
        <v>4.18</v>
      </c>
      <c r="F26" s="54">
        <v>18.61</v>
      </c>
      <c r="G26" s="54">
        <v>69.52</v>
      </c>
      <c r="H26" s="54">
        <v>25.68</v>
      </c>
      <c r="I26" s="54">
        <v>1.54</v>
      </c>
      <c r="J26" s="54">
        <v>0.30</v>
      </c>
      <c r="K26" s="54">
        <v>94.02</v>
      </c>
      <c r="L26" s="54">
        <v>27.32</v>
      </c>
      <c r="M26" s="54">
        <v>53.25</v>
      </c>
      <c r="N26" s="54">
        <v>65.900000000000006</v>
      </c>
      <c r="O26" s="54">
        <v>0</v>
      </c>
      <c r="P26" s="54">
        <v>0.60</v>
      </c>
      <c r="Q26" s="54">
        <v>10.42</v>
      </c>
      <c r="R26" s="43"/>
      <c r="S26" s="43"/>
      <c r="T26" s="43"/>
      <c r="U26" s="43"/>
    </row>
    <row r="27" spans="1:21" s="11" customFormat="1" ht="15">
      <c r="A27" s="53" t="s">
        <v>224</v>
      </c>
      <c r="B27" s="59" t="s">
        <v>8</v>
      </c>
      <c r="C27" s="59" t="s">
        <v>8</v>
      </c>
      <c r="D27" s="59" t="s">
        <v>8</v>
      </c>
      <c r="E27" s="54">
        <v>3.43</v>
      </c>
      <c r="F27" s="54">
        <v>4.5199999999999996</v>
      </c>
      <c r="G27" s="54">
        <v>65.569999999999993</v>
      </c>
      <c r="H27" s="54">
        <v>26.5</v>
      </c>
      <c r="I27" s="54">
        <v>1.54</v>
      </c>
      <c r="J27" s="54">
        <v>0.38</v>
      </c>
      <c r="K27" s="54">
        <v>357.08</v>
      </c>
      <c r="L27" s="54">
        <v>24.99</v>
      </c>
      <c r="M27" s="54">
        <v>58.27</v>
      </c>
      <c r="N27" s="54">
        <v>21.20</v>
      </c>
      <c r="O27" s="54">
        <v>0</v>
      </c>
      <c r="P27" s="54">
        <v>0.70</v>
      </c>
      <c r="Q27" s="54">
        <v>10.28</v>
      </c>
      <c r="R27" s="43"/>
      <c r="S27" s="43"/>
      <c r="T27" s="43"/>
      <c r="U27" s="43"/>
    </row>
    <row r="28" spans="1:21" s="11" customFormat="1" ht="15">
      <c r="A28" s="53" t="s">
        <v>225</v>
      </c>
      <c r="B28" s="59" t="s">
        <v>8</v>
      </c>
      <c r="C28" s="59" t="s">
        <v>8</v>
      </c>
      <c r="D28" s="59" t="s">
        <v>8</v>
      </c>
      <c r="E28" s="54">
        <v>4.30</v>
      </c>
      <c r="F28" s="54">
        <v>3.85</v>
      </c>
      <c r="G28" s="54">
        <v>72.44</v>
      </c>
      <c r="H28" s="54">
        <v>27.36</v>
      </c>
      <c r="I28" s="54">
        <v>1.54</v>
      </c>
      <c r="J28" s="54">
        <v>0.45</v>
      </c>
      <c r="K28" s="54">
        <v>357.37</v>
      </c>
      <c r="L28" s="54">
        <v>24.30</v>
      </c>
      <c r="M28" s="54">
        <v>57.54</v>
      </c>
      <c r="N28" s="54">
        <v>20.100000000000001</v>
      </c>
      <c r="O28" s="54">
        <v>0</v>
      </c>
      <c r="P28" s="54">
        <v>1.01</v>
      </c>
      <c r="Q28" s="54">
        <v>10.32</v>
      </c>
      <c r="R28" s="43"/>
      <c r="S28" s="43"/>
      <c r="T28" s="43"/>
      <c r="U28" s="43"/>
    </row>
    <row r="29" spans="1:21" s="11" customFormat="1" ht="15">
      <c r="A29" s="53" t="s">
        <v>226</v>
      </c>
      <c r="B29" s="59" t="s">
        <v>8</v>
      </c>
      <c r="C29" s="59" t="s">
        <v>8</v>
      </c>
      <c r="D29" s="59" t="s">
        <v>8</v>
      </c>
      <c r="E29" s="54">
        <v>4.3899999999999997</v>
      </c>
      <c r="F29" s="54">
        <v>3.52</v>
      </c>
      <c r="G29" s="54">
        <v>76.069999999999993</v>
      </c>
      <c r="H29" s="54">
        <v>29.91</v>
      </c>
      <c r="I29" s="54">
        <v>1.56</v>
      </c>
      <c r="J29" s="54">
        <v>0.42</v>
      </c>
      <c r="K29" s="54">
        <v>357.17</v>
      </c>
      <c r="L29" s="54">
        <v>23.77</v>
      </c>
      <c r="M29" s="54">
        <v>60.30</v>
      </c>
      <c r="N29" s="54">
        <v>19.899999999999999</v>
      </c>
      <c r="O29" s="54">
        <v>0</v>
      </c>
      <c r="P29" s="54">
        <v>1.21</v>
      </c>
      <c r="Q29" s="54">
        <v>10.51</v>
      </c>
      <c r="R29" s="43"/>
      <c r="S29" s="43"/>
      <c r="T29" s="43"/>
      <c r="U29" s="43"/>
    </row>
    <row r="30" spans="1:21" s="11" customFormat="1" ht="15">
      <c r="A30" s="53" t="s">
        <v>227</v>
      </c>
      <c r="B30" s="59" t="s">
        <v>8</v>
      </c>
      <c r="C30" s="59" t="s">
        <v>8</v>
      </c>
      <c r="D30" s="59" t="s">
        <v>8</v>
      </c>
      <c r="E30" s="54">
        <v>4.38</v>
      </c>
      <c r="F30" s="54">
        <v>3.97</v>
      </c>
      <c r="G30" s="54">
        <v>88.95</v>
      </c>
      <c r="H30" s="54">
        <v>33.89</v>
      </c>
      <c r="I30" s="54">
        <v>1.59</v>
      </c>
      <c r="J30" s="54">
        <v>0.28000000000000003</v>
      </c>
      <c r="K30" s="54">
        <v>350.13</v>
      </c>
      <c r="L30" s="54">
        <v>23.22</v>
      </c>
      <c r="M30" s="54">
        <v>60.32</v>
      </c>
      <c r="N30" s="54">
        <v>19.899999999999999</v>
      </c>
      <c r="O30" s="54">
        <v>0</v>
      </c>
      <c r="P30" s="54">
        <v>1.34</v>
      </c>
      <c r="Q30" s="54">
        <v>10.62</v>
      </c>
      <c r="R30" s="43"/>
      <c r="S30" s="43"/>
      <c r="T30" s="43"/>
      <c r="U30" s="43"/>
    </row>
    <row r="31" spans="1:21" s="11" customFormat="1" ht="15">
      <c r="A31" s="53" t="s">
        <v>228</v>
      </c>
      <c r="B31" s="59" t="s">
        <v>8</v>
      </c>
      <c r="C31" s="59" t="s">
        <v>8</v>
      </c>
      <c r="D31" s="59" t="s">
        <v>8</v>
      </c>
      <c r="E31" s="54">
        <v>4.5199999999999996</v>
      </c>
      <c r="F31" s="54">
        <v>3.52</v>
      </c>
      <c r="G31" s="54">
        <v>89.29</v>
      </c>
      <c r="H31" s="54">
        <v>35.01</v>
      </c>
      <c r="I31" s="54">
        <v>1.51</v>
      </c>
      <c r="J31" s="54">
        <v>0.28000000000000003</v>
      </c>
      <c r="K31" s="54">
        <v>81.09</v>
      </c>
      <c r="L31" s="54">
        <v>22.61</v>
      </c>
      <c r="M31" s="54">
        <v>64.03</v>
      </c>
      <c r="N31" s="54">
        <v>19.80</v>
      </c>
      <c r="O31" s="54">
        <v>0</v>
      </c>
      <c r="P31" s="54">
        <v>1.35</v>
      </c>
      <c r="Q31" s="54">
        <v>10.61</v>
      </c>
      <c r="R31" s="43"/>
      <c r="S31" s="43"/>
      <c r="T31" s="43"/>
      <c r="U31" s="43"/>
    </row>
    <row r="32" spans="1:21" s="11" customFormat="1" ht="15">
      <c r="A32" s="53" t="s">
        <v>229</v>
      </c>
      <c r="B32" s="59" t="s">
        <v>8</v>
      </c>
      <c r="C32" s="59" t="s">
        <v>8</v>
      </c>
      <c r="D32" s="59" t="s">
        <v>8</v>
      </c>
      <c r="E32" s="54">
        <v>4.57</v>
      </c>
      <c r="F32" s="54">
        <v>3.58</v>
      </c>
      <c r="G32" s="54">
        <v>89.29</v>
      </c>
      <c r="H32" s="54">
        <v>35.01</v>
      </c>
      <c r="I32" s="54">
        <v>1.5</v>
      </c>
      <c r="J32" s="54">
        <v>0.43</v>
      </c>
      <c r="K32" s="54">
        <v>356.39</v>
      </c>
      <c r="L32" s="54">
        <v>22.15</v>
      </c>
      <c r="M32" s="54">
        <v>66.70</v>
      </c>
      <c r="N32" s="54">
        <v>20</v>
      </c>
      <c r="O32" s="54">
        <v>0</v>
      </c>
      <c r="P32" s="54">
        <v>1.30</v>
      </c>
      <c r="Q32" s="54">
        <v>10.58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3.2999999999999998</v>
      </c>
      <c r="F34" s="28">
        <f t="shared" si="0"/>
        <v>3.3100000000000001</v>
      </c>
      <c r="G34" s="28">
        <f t="shared" si="0"/>
        <v>52.049999999999997</v>
      </c>
      <c r="H34" s="28">
        <f t="shared" si="0"/>
        <v>20.59</v>
      </c>
      <c r="I34" s="28">
        <f t="shared" si="0"/>
        <v>1.46</v>
      </c>
      <c r="J34" s="28">
        <f t="shared" si="0"/>
        <v>0.28000000000000003</v>
      </c>
      <c r="K34" s="28">
        <f t="shared" si="0"/>
        <v>81.090000000000003</v>
      </c>
      <c r="L34" s="28">
        <f t="shared" si="0"/>
        <v>18.68</v>
      </c>
      <c r="M34" s="28">
        <f t="shared" si="0"/>
        <v>36.899999999999999</v>
      </c>
      <c r="N34" s="28">
        <f t="shared" si="0"/>
        <v>19.800000000000001</v>
      </c>
      <c r="O34" s="28">
        <f t="shared" si="0"/>
        <v>0</v>
      </c>
      <c r="P34" s="28">
        <f t="shared" si="0"/>
        <v>0.40000000000000002</v>
      </c>
      <c r="Q34" s="28">
        <f t="shared" si="0"/>
        <v>10.279999999999999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5.1600000000000001</v>
      </c>
      <c r="F35" s="29">
        <f t="shared" si="1"/>
        <v>18.609999999999999</v>
      </c>
      <c r="G35" s="29">
        <f t="shared" si="1"/>
        <v>89.290000000000006</v>
      </c>
      <c r="H35" s="29">
        <f t="shared" si="1"/>
        <v>35.009999999999998</v>
      </c>
      <c r="I35" s="29">
        <f t="shared" si="1"/>
        <v>1.5900000000000001</v>
      </c>
      <c r="J35" s="29">
        <f t="shared" si="1"/>
        <v>2</v>
      </c>
      <c r="K35" s="29">
        <f t="shared" si="1"/>
        <v>359.11000000000001</v>
      </c>
      <c r="L35" s="29">
        <f t="shared" si="1"/>
        <v>33.68</v>
      </c>
      <c r="M35" s="29">
        <f t="shared" si="1"/>
        <v>85.090000000000003</v>
      </c>
      <c r="N35" s="29">
        <f t="shared" si="1"/>
        <v>735.5</v>
      </c>
      <c r="O35" s="29">
        <f t="shared" si="1"/>
        <v>0</v>
      </c>
      <c r="P35" s="29">
        <f t="shared" si="1"/>
        <v>1.3500000000000001</v>
      </c>
      <c r="Q35" s="29">
        <f t="shared" si="1"/>
        <v>11.32</v>
      </c>
      <c r="R35" s="29"/>
      <c r="S35" s="29"/>
      <c r="T35" s="29"/>
      <c r="U35" s="29"/>
    </row>
    <row r="36" spans="1:21" s="21" customFormat="1" ht="15">
      <c r="A36" s="27" t="s">
        <v>32</v>
      </c>
      <c r="B36" s="28" t="e">
        <f t="shared" si="2" ref="B36:Q36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4.1395833333333334</v>
      </c>
      <c r="F36" s="28">
        <f t="shared" si="2"/>
        <v>6.2850000000000001</v>
      </c>
      <c r="G36" s="28">
        <f t="shared" si="2"/>
        <v>68.001249999999985</v>
      </c>
      <c r="H36" s="28">
        <f t="shared" si="2"/>
        <v>26.006666666666664</v>
      </c>
      <c r="I36" s="28">
        <f t="shared" si="2"/>
        <v>1.5341666666666667</v>
      </c>
      <c r="J36" s="28">
        <f t="shared" si="2"/>
        <v>0.98375000000000012</v>
      </c>
      <c r="K36" s="28">
        <f t="shared" si="2"/>
        <v>288.81708333333341</v>
      </c>
      <c r="L36" s="28">
        <f t="shared" si="2"/>
        <v>25.0275</v>
      </c>
      <c r="M36" s="28">
        <f t="shared" si="2"/>
        <v>60.250833333333333</v>
      </c>
      <c r="N36" s="28">
        <f t="shared" si="2"/>
        <v>229.45416666666665</v>
      </c>
      <c r="O36" s="28">
        <f t="shared" si="2"/>
        <v>0</v>
      </c>
      <c r="P36" s="28">
        <f t="shared" si="2"/>
        <v>0.66874999999999984</v>
      </c>
      <c r="Q36" s="28">
        <f t="shared" si="2"/>
        <v>10.814166666666665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 t="e">
        <f>STDEV(B9:B32)</f>
        <v>#DIV/0!</v>
      </c>
      <c r="C37" s="28" t="e">
        <f t="shared" si="3" ref="C37:Q37">STDEV(C9:C32)</f>
        <v>#DIV/0!</v>
      </c>
      <c r="D37" s="28" t="e">
        <f t="shared" si="3"/>
        <v>#DIV/0!</v>
      </c>
      <c r="E37" s="28">
        <f t="shared" si="3"/>
        <v>0.50106390433944303</v>
      </c>
      <c r="F37" s="28">
        <f t="shared" si="3"/>
        <v>4.5899540586883392</v>
      </c>
      <c r="G37" s="28">
        <f t="shared" si="3"/>
        <v>12.162020109840938</v>
      </c>
      <c r="H37" s="28">
        <f t="shared" si="3"/>
        <v>4.237925729971419</v>
      </c>
      <c r="I37" s="28">
        <f t="shared" si="3"/>
        <v>0.027013147630876665</v>
      </c>
      <c r="J37" s="28">
        <f t="shared" si="3"/>
        <v>0.54006289891327319</v>
      </c>
      <c r="K37" s="28">
        <f t="shared" si="3"/>
        <v>113.04981881719846</v>
      </c>
      <c r="L37" s="28">
        <f t="shared" si="3"/>
        <v>4.7119148235455111</v>
      </c>
      <c r="M37" s="28">
        <f t="shared" si="3"/>
        <v>13.479541959921162</v>
      </c>
      <c r="N37" s="28">
        <f t="shared" si="3"/>
        <v>278.69542979851627</v>
      </c>
      <c r="O37" s="28">
        <f t="shared" si="3"/>
        <v>0</v>
      </c>
      <c r="P37" s="28">
        <f t="shared" si="3"/>
        <v>0.31298440716820858</v>
      </c>
      <c r="Q37" s="28">
        <f t="shared" si="3"/>
        <v>0.31931879486435383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COUNT(B9:B32)+24</f>
        <v>24</v>
      </c>
      <c r="C38" s="32">
        <f>COUNT(C9:C32)+24</f>
        <v>24</v>
      </c>
      <c r="D38" s="32">
        <f>COUNT(D9:D32)+24</f>
        <v>24</v>
      </c>
      <c r="E38" s="32">
        <f t="shared" si="4" ref="E38:Q38">COUNT(E9:E32)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7526ae-03d9-4d97-9084-a19b306ce517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38" sqref="D3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230</v>
      </c>
      <c r="B9" s="59" t="s">
        <v>8</v>
      </c>
      <c r="C9" s="59" t="s">
        <v>8</v>
      </c>
      <c r="D9" s="59" t="s">
        <v>8</v>
      </c>
      <c r="E9" s="54">
        <v>4.1100000000000003</v>
      </c>
      <c r="F9" s="54">
        <v>3.93</v>
      </c>
      <c r="G9" s="54">
        <v>81.88</v>
      </c>
      <c r="H9" s="54">
        <v>33.60</v>
      </c>
      <c r="I9" s="54">
        <v>1.52</v>
      </c>
      <c r="J9" s="54">
        <v>0.53</v>
      </c>
      <c r="K9" s="54">
        <v>358.72</v>
      </c>
      <c r="L9" s="54">
        <v>21.63</v>
      </c>
      <c r="M9" s="54">
        <v>66.78</v>
      </c>
      <c r="N9" s="54">
        <v>20</v>
      </c>
      <c r="O9" s="54">
        <v>0</v>
      </c>
      <c r="P9" s="54">
        <v>1.18</v>
      </c>
      <c r="Q9" s="54">
        <v>10.66</v>
      </c>
      <c r="R9" s="43"/>
      <c r="S9" s="43"/>
      <c r="T9" s="43"/>
      <c r="U9" s="43"/>
    </row>
    <row r="10" spans="1:21" s="11" customFormat="1" ht="15">
      <c r="A10" s="53" t="s">
        <v>231</v>
      </c>
      <c r="B10" s="59" t="s">
        <v>8</v>
      </c>
      <c r="C10" s="59" t="s">
        <v>8</v>
      </c>
      <c r="D10" s="59" t="s">
        <v>8</v>
      </c>
      <c r="E10" s="54">
        <v>4.0599999999999996</v>
      </c>
      <c r="F10" s="54">
        <v>4.0199999999999996</v>
      </c>
      <c r="G10" s="54">
        <v>75.44</v>
      </c>
      <c r="H10" s="54">
        <v>31.04</v>
      </c>
      <c r="I10" s="54">
        <v>1.53</v>
      </c>
      <c r="J10" s="54">
        <v>0.91</v>
      </c>
      <c r="K10" s="54">
        <v>359.06</v>
      </c>
      <c r="L10" s="54">
        <v>21.47</v>
      </c>
      <c r="M10" s="54">
        <v>55.47</v>
      </c>
      <c r="N10" s="54">
        <v>19.899999999999999</v>
      </c>
      <c r="O10" s="54">
        <v>0</v>
      </c>
      <c r="P10" s="54">
        <v>0.93</v>
      </c>
      <c r="Q10" s="54">
        <v>10.83</v>
      </c>
      <c r="R10" s="43"/>
      <c r="S10" s="43"/>
      <c r="T10" s="43"/>
      <c r="U10" s="43"/>
    </row>
    <row r="11" spans="1:21" s="11" customFormat="1" ht="15">
      <c r="A11" s="53" t="s">
        <v>232</v>
      </c>
      <c r="B11" s="59" t="s">
        <v>8</v>
      </c>
      <c r="C11" s="59" t="s">
        <v>8</v>
      </c>
      <c r="D11" s="59" t="s">
        <v>8</v>
      </c>
      <c r="E11" s="54">
        <v>3.96</v>
      </c>
      <c r="F11" s="54">
        <v>4.05</v>
      </c>
      <c r="G11" s="54">
        <v>67.83</v>
      </c>
      <c r="H11" s="54">
        <v>30.16</v>
      </c>
      <c r="I11" s="54">
        <v>1.52</v>
      </c>
      <c r="J11" s="54">
        <v>0.81</v>
      </c>
      <c r="K11" s="54">
        <v>357.49</v>
      </c>
      <c r="L11" s="54">
        <v>20.62</v>
      </c>
      <c r="M11" s="54">
        <v>47.56</v>
      </c>
      <c r="N11" s="54">
        <v>20.100000000000001</v>
      </c>
      <c r="O11" s="54">
        <v>0</v>
      </c>
      <c r="P11" s="54">
        <v>0.81</v>
      </c>
      <c r="Q11" s="54">
        <v>10.86</v>
      </c>
      <c r="R11" s="43"/>
      <c r="S11" s="43"/>
      <c r="T11" s="43"/>
      <c r="U11" s="43"/>
    </row>
    <row r="12" spans="1:21" s="11" customFormat="1" ht="15">
      <c r="A12" s="53" t="s">
        <v>233</v>
      </c>
      <c r="B12" s="59" t="s">
        <v>8</v>
      </c>
      <c r="C12" s="59" t="s">
        <v>8</v>
      </c>
      <c r="D12" s="59" t="s">
        <v>8</v>
      </c>
      <c r="E12" s="54">
        <v>4.07</v>
      </c>
      <c r="F12" s="54">
        <v>3.97</v>
      </c>
      <c r="G12" s="54">
        <v>50.42</v>
      </c>
      <c r="H12" s="54">
        <v>27.53</v>
      </c>
      <c r="I12" s="54">
        <v>1.55</v>
      </c>
      <c r="J12" s="54">
        <v>0.38</v>
      </c>
      <c r="K12" s="54">
        <v>22.05</v>
      </c>
      <c r="L12" s="54">
        <v>19.670000000000002</v>
      </c>
      <c r="M12" s="54">
        <v>46.28</v>
      </c>
      <c r="N12" s="54">
        <v>19.80</v>
      </c>
      <c r="O12" s="54">
        <v>0</v>
      </c>
      <c r="P12" s="54">
        <v>0.68</v>
      </c>
      <c r="Q12" s="54">
        <v>10.78</v>
      </c>
      <c r="R12" s="43"/>
      <c r="S12" s="43"/>
      <c r="T12" s="43"/>
      <c r="U12" s="43"/>
    </row>
    <row r="13" spans="1:21" s="11" customFormat="1" ht="15">
      <c r="A13" s="53" t="s">
        <v>234</v>
      </c>
      <c r="B13" s="59" t="s">
        <v>8</v>
      </c>
      <c r="C13" s="59" t="s">
        <v>8</v>
      </c>
      <c r="D13" s="59" t="s">
        <v>8</v>
      </c>
      <c r="E13" s="54">
        <v>3.09</v>
      </c>
      <c r="F13" s="54">
        <v>3.65</v>
      </c>
      <c r="G13" s="54">
        <v>44.30</v>
      </c>
      <c r="H13" s="54">
        <v>19.68</v>
      </c>
      <c r="I13" s="54">
        <v>1.5</v>
      </c>
      <c r="J13" s="54">
        <v>0.43</v>
      </c>
      <c r="K13" s="54">
        <v>40.60</v>
      </c>
      <c r="L13" s="54">
        <v>19.21</v>
      </c>
      <c r="M13" s="54">
        <v>45.31</v>
      </c>
      <c r="N13" s="54">
        <v>20</v>
      </c>
      <c r="O13" s="54">
        <v>0</v>
      </c>
      <c r="P13" s="54">
        <v>0.56000000000000005</v>
      </c>
      <c r="Q13" s="54">
        <v>10.86</v>
      </c>
      <c r="R13" s="43"/>
      <c r="S13" s="43"/>
      <c r="T13" s="43"/>
      <c r="U13" s="43"/>
    </row>
    <row r="14" spans="1:21" s="11" customFormat="1" ht="15">
      <c r="A14" s="53" t="s">
        <v>235</v>
      </c>
      <c r="B14" s="59" t="s">
        <v>8</v>
      </c>
      <c r="C14" s="59" t="s">
        <v>8</v>
      </c>
      <c r="D14" s="59" t="s">
        <v>8</v>
      </c>
      <c r="E14" s="54">
        <v>3.19</v>
      </c>
      <c r="F14" s="54">
        <v>3.86</v>
      </c>
      <c r="G14" s="54">
        <v>40.58</v>
      </c>
      <c r="H14" s="54">
        <v>16.13</v>
      </c>
      <c r="I14" s="54">
        <v>1.57</v>
      </c>
      <c r="J14" s="54">
        <v>0.33</v>
      </c>
      <c r="K14" s="54">
        <v>54.25</v>
      </c>
      <c r="L14" s="54">
        <v>18.88</v>
      </c>
      <c r="M14" s="54">
        <v>47.14</v>
      </c>
      <c r="N14" s="54">
        <v>20.100000000000001</v>
      </c>
      <c r="O14" s="54">
        <v>0</v>
      </c>
      <c r="P14" s="54">
        <v>0.47</v>
      </c>
      <c r="Q14" s="54">
        <v>11.03</v>
      </c>
      <c r="R14" s="43"/>
      <c r="S14" s="43"/>
      <c r="T14" s="43"/>
      <c r="U14" s="43"/>
    </row>
    <row r="15" spans="1:21" s="11" customFormat="1" ht="15">
      <c r="A15" s="53" t="s">
        <v>236</v>
      </c>
      <c r="B15" s="59" t="s">
        <v>8</v>
      </c>
      <c r="C15" s="59" t="s">
        <v>8</v>
      </c>
      <c r="D15" s="59" t="s">
        <v>8</v>
      </c>
      <c r="E15" s="54">
        <v>2.93</v>
      </c>
      <c r="F15" s="54">
        <v>3.28</v>
      </c>
      <c r="G15" s="54">
        <v>54.80</v>
      </c>
      <c r="H15" s="54">
        <v>17.670000000000002</v>
      </c>
      <c r="I15" s="54">
        <v>1.52</v>
      </c>
      <c r="J15" s="54">
        <v>0.5</v>
      </c>
      <c r="K15" s="54">
        <v>63.58</v>
      </c>
      <c r="L15" s="54">
        <v>19.03</v>
      </c>
      <c r="M15" s="54">
        <v>43.82</v>
      </c>
      <c r="N15" s="54">
        <v>100.70</v>
      </c>
      <c r="O15" s="54">
        <v>0</v>
      </c>
      <c r="P15" s="54">
        <v>0.43</v>
      </c>
      <c r="Q15" s="54">
        <v>11.12</v>
      </c>
      <c r="R15" s="43"/>
      <c r="S15" s="43"/>
      <c r="T15" s="43"/>
      <c r="U15" s="43"/>
    </row>
    <row r="16" spans="1:21" s="11" customFormat="1" ht="15">
      <c r="A16" s="53" t="s">
        <v>237</v>
      </c>
      <c r="B16" s="59" t="s">
        <v>8</v>
      </c>
      <c r="C16" s="59" t="s">
        <v>8</v>
      </c>
      <c r="D16" s="59" t="s">
        <v>8</v>
      </c>
      <c r="E16" s="54">
        <v>4.55</v>
      </c>
      <c r="F16" s="54">
        <v>3.5</v>
      </c>
      <c r="G16" s="54">
        <v>55.80</v>
      </c>
      <c r="H16" s="54">
        <v>17.670000000000002</v>
      </c>
      <c r="I16" s="54">
        <v>1.53</v>
      </c>
      <c r="J16" s="54">
        <v>0.98</v>
      </c>
      <c r="K16" s="54">
        <v>77.06</v>
      </c>
      <c r="L16" s="54">
        <v>21.67</v>
      </c>
      <c r="M16" s="54">
        <v>39.17</v>
      </c>
      <c r="N16" s="54">
        <v>313.89999999999998</v>
      </c>
      <c r="O16" s="54">
        <v>0</v>
      </c>
      <c r="P16" s="54">
        <v>0.47</v>
      </c>
      <c r="Q16" s="54">
        <v>11.21</v>
      </c>
      <c r="R16" s="43"/>
      <c r="S16" s="43"/>
      <c r="T16" s="43"/>
      <c r="U16" s="43"/>
    </row>
    <row r="17" spans="1:21" s="11" customFormat="1" ht="15">
      <c r="A17" s="53" t="s">
        <v>238</v>
      </c>
      <c r="B17" s="59" t="s">
        <v>8</v>
      </c>
      <c r="C17" s="59" t="s">
        <v>8</v>
      </c>
      <c r="D17" s="59" t="s">
        <v>8</v>
      </c>
      <c r="E17" s="54">
        <v>4.34</v>
      </c>
      <c r="F17" s="54">
        <v>3.63</v>
      </c>
      <c r="G17" s="54">
        <v>55.80</v>
      </c>
      <c r="H17" s="54">
        <v>11.48</v>
      </c>
      <c r="I17" s="54">
        <v>1.54</v>
      </c>
      <c r="J17" s="54">
        <v>0.73</v>
      </c>
      <c r="K17" s="54">
        <v>69.099999999999994</v>
      </c>
      <c r="L17" s="54">
        <v>24.56</v>
      </c>
      <c r="M17" s="54">
        <v>32.65</v>
      </c>
      <c r="N17" s="54">
        <v>513.79999999999995</v>
      </c>
      <c r="O17" s="54">
        <v>0</v>
      </c>
      <c r="P17" s="54">
        <v>0.46</v>
      </c>
      <c r="Q17" s="54">
        <v>11.26</v>
      </c>
      <c r="R17" s="43"/>
      <c r="S17" s="43"/>
      <c r="T17" s="43"/>
      <c r="U17" s="43"/>
    </row>
    <row r="18" spans="1:21" s="11" customFormat="1" ht="15">
      <c r="A18" s="53" t="s">
        <v>239</v>
      </c>
      <c r="B18" s="59" t="s">
        <v>8</v>
      </c>
      <c r="C18" s="59" t="s">
        <v>8</v>
      </c>
      <c r="D18" s="59" t="s">
        <v>8</v>
      </c>
      <c r="E18" s="54">
        <v>4.2300000000000004</v>
      </c>
      <c r="F18" s="54">
        <v>3.40</v>
      </c>
      <c r="G18" s="54">
        <v>53.37</v>
      </c>
      <c r="H18" s="54">
        <v>26.54</v>
      </c>
      <c r="I18" s="54">
        <v>1.55</v>
      </c>
      <c r="J18" s="54">
        <v>1.06</v>
      </c>
      <c r="K18" s="54">
        <v>86.08</v>
      </c>
      <c r="L18" s="54">
        <v>27.07</v>
      </c>
      <c r="M18" s="54">
        <v>29.26</v>
      </c>
      <c r="N18" s="54">
        <v>699.70</v>
      </c>
      <c r="O18" s="54">
        <v>0</v>
      </c>
      <c r="P18" s="54">
        <v>0.46</v>
      </c>
      <c r="Q18" s="54">
        <v>11.27</v>
      </c>
      <c r="R18" s="43"/>
      <c r="S18" s="43"/>
      <c r="T18" s="43"/>
      <c r="U18" s="43"/>
    </row>
    <row r="19" spans="1:21" s="11" customFormat="1" ht="15">
      <c r="A19" s="53" t="s">
        <v>240</v>
      </c>
      <c r="B19" s="59" t="s">
        <v>8</v>
      </c>
      <c r="C19" s="59" t="s">
        <v>8</v>
      </c>
      <c r="D19" s="59" t="s">
        <v>8</v>
      </c>
      <c r="E19" s="54">
        <v>4.4800000000000004</v>
      </c>
      <c r="F19" s="54">
        <v>4.58</v>
      </c>
      <c r="G19" s="54">
        <v>61.08</v>
      </c>
      <c r="H19" s="54">
        <v>26.54</v>
      </c>
      <c r="I19" s="54">
        <v>1.54</v>
      </c>
      <c r="J19" s="54">
        <v>1.24</v>
      </c>
      <c r="K19" s="54">
        <v>85.62</v>
      </c>
      <c r="L19" s="54">
        <v>28.76</v>
      </c>
      <c r="M19" s="54">
        <v>25.08</v>
      </c>
      <c r="N19" s="54">
        <v>795</v>
      </c>
      <c r="O19" s="54">
        <v>0</v>
      </c>
      <c r="P19" s="54">
        <v>0.45</v>
      </c>
      <c r="Q19" s="54">
        <v>11.24</v>
      </c>
      <c r="R19" s="43"/>
      <c r="S19" s="43"/>
      <c r="T19" s="43"/>
      <c r="U19" s="43"/>
    </row>
    <row r="20" spans="1:21" s="11" customFormat="1" ht="15">
      <c r="A20" s="53" t="s">
        <v>241</v>
      </c>
      <c r="B20" s="59" t="s">
        <v>8</v>
      </c>
      <c r="C20" s="59" t="s">
        <v>8</v>
      </c>
      <c r="D20" s="59" t="s">
        <v>8</v>
      </c>
      <c r="E20" s="54">
        <v>4.76</v>
      </c>
      <c r="F20" s="54">
        <v>9.5299999999999994</v>
      </c>
      <c r="G20" s="54">
        <v>61.08</v>
      </c>
      <c r="H20" s="54">
        <v>23.86</v>
      </c>
      <c r="I20" s="54">
        <v>1.52</v>
      </c>
      <c r="J20" s="54">
        <v>0.98</v>
      </c>
      <c r="K20" s="54">
        <v>68.010000000000005</v>
      </c>
      <c r="L20" s="54">
        <v>30.48</v>
      </c>
      <c r="M20" s="54">
        <v>23.22</v>
      </c>
      <c r="N20" s="54">
        <v>810.30</v>
      </c>
      <c r="O20" s="54">
        <v>0</v>
      </c>
      <c r="P20" s="54">
        <v>0.44</v>
      </c>
      <c r="Q20" s="54">
        <v>10.83</v>
      </c>
      <c r="R20" s="43"/>
      <c r="S20" s="43"/>
      <c r="T20" s="43"/>
      <c r="U20" s="43"/>
    </row>
    <row r="21" spans="1:21" s="11" customFormat="1" ht="15">
      <c r="A21" s="53" t="s">
        <v>242</v>
      </c>
      <c r="B21" s="59" t="s">
        <v>8</v>
      </c>
      <c r="C21" s="59" t="s">
        <v>8</v>
      </c>
      <c r="D21" s="59" t="s">
        <v>8</v>
      </c>
      <c r="E21" s="54">
        <v>4.38</v>
      </c>
      <c r="F21" s="54">
        <v>9.9600000000000009</v>
      </c>
      <c r="G21" s="54">
        <v>59.5</v>
      </c>
      <c r="H21" s="54">
        <v>23.86</v>
      </c>
      <c r="I21" s="54">
        <v>1.58</v>
      </c>
      <c r="J21" s="54">
        <v>1.49</v>
      </c>
      <c r="K21" s="54">
        <v>103.52</v>
      </c>
      <c r="L21" s="54">
        <v>31.29</v>
      </c>
      <c r="M21" s="54">
        <v>25.65</v>
      </c>
      <c r="N21" s="54">
        <v>790.10</v>
      </c>
      <c r="O21" s="54">
        <v>0</v>
      </c>
      <c r="P21" s="54">
        <v>0.41</v>
      </c>
      <c r="Q21" s="54">
        <v>10.72</v>
      </c>
      <c r="R21" s="43"/>
      <c r="S21" s="43"/>
      <c r="T21" s="43"/>
      <c r="U21" s="43"/>
    </row>
    <row r="22" spans="1:21" s="11" customFormat="1" ht="15">
      <c r="A22" s="53" t="s">
        <v>243</v>
      </c>
      <c r="B22" s="59" t="s">
        <v>8</v>
      </c>
      <c r="C22" s="59" t="s">
        <v>8</v>
      </c>
      <c r="D22" s="59" t="s">
        <v>8</v>
      </c>
      <c r="E22" s="54">
        <v>4.22</v>
      </c>
      <c r="F22" s="54">
        <v>9.59</v>
      </c>
      <c r="G22" s="54">
        <v>59.5</v>
      </c>
      <c r="H22" s="54">
        <v>22.04</v>
      </c>
      <c r="I22" s="54">
        <v>1.62</v>
      </c>
      <c r="J22" s="54">
        <v>0.98</v>
      </c>
      <c r="K22" s="54">
        <v>98.43</v>
      </c>
      <c r="L22" s="54">
        <v>31.65</v>
      </c>
      <c r="M22" s="54">
        <v>24.59</v>
      </c>
      <c r="N22" s="54">
        <v>739</v>
      </c>
      <c r="O22" s="54">
        <v>0</v>
      </c>
      <c r="P22" s="54">
        <v>0.39</v>
      </c>
      <c r="Q22" s="54">
        <v>10.72</v>
      </c>
      <c r="R22" s="43"/>
      <c r="S22" s="43"/>
      <c r="T22" s="43"/>
      <c r="U22" s="43"/>
    </row>
    <row r="23" spans="1:21" s="11" customFormat="1" ht="15">
      <c r="A23" s="53" t="s">
        <v>244</v>
      </c>
      <c r="B23" s="54">
        <v>1.81</v>
      </c>
      <c r="C23" s="54">
        <v>39.880000000000003</v>
      </c>
      <c r="D23" s="54">
        <v>22.29</v>
      </c>
      <c r="E23" s="54">
        <v>3.97</v>
      </c>
      <c r="F23" s="54">
        <v>6.22</v>
      </c>
      <c r="G23" s="54">
        <v>57.97</v>
      </c>
      <c r="H23" s="54">
        <v>30.48</v>
      </c>
      <c r="I23" s="54">
        <v>1.53</v>
      </c>
      <c r="J23" s="54">
        <v>0.95</v>
      </c>
      <c r="K23" s="54">
        <v>354.12</v>
      </c>
      <c r="L23" s="54">
        <v>34.06</v>
      </c>
      <c r="M23" s="54">
        <v>21.71</v>
      </c>
      <c r="N23" s="54">
        <v>626.29999999999995</v>
      </c>
      <c r="O23" s="54">
        <v>0</v>
      </c>
      <c r="P23" s="54">
        <v>0.40</v>
      </c>
      <c r="Q23" s="54">
        <v>10.97</v>
      </c>
      <c r="R23" s="43"/>
      <c r="S23" s="43"/>
      <c r="T23" s="43"/>
      <c r="U23" s="43"/>
    </row>
    <row r="24" spans="1:21" s="11" customFormat="1" ht="15">
      <c r="A24" s="53" t="s">
        <v>245</v>
      </c>
      <c r="B24" s="54">
        <v>1.58</v>
      </c>
      <c r="C24" s="54">
        <v>37.68</v>
      </c>
      <c r="D24" s="54">
        <v>20.89</v>
      </c>
      <c r="E24" s="54">
        <v>4</v>
      </c>
      <c r="F24" s="54">
        <v>7.03</v>
      </c>
      <c r="G24" s="54">
        <v>56.27</v>
      </c>
      <c r="H24" s="54">
        <v>30.48</v>
      </c>
      <c r="I24" s="54">
        <v>1.5</v>
      </c>
      <c r="J24" s="54">
        <v>1.02</v>
      </c>
      <c r="K24" s="54">
        <v>347.39</v>
      </c>
      <c r="L24" s="54">
        <v>30.76</v>
      </c>
      <c r="M24" s="54">
        <v>25.52</v>
      </c>
      <c r="N24" s="54">
        <v>286.39999999999998</v>
      </c>
      <c r="O24" s="54">
        <v>0</v>
      </c>
      <c r="P24" s="54">
        <v>0.39</v>
      </c>
      <c r="Q24" s="54">
        <v>11.08</v>
      </c>
      <c r="R24" s="43"/>
      <c r="S24" s="43"/>
      <c r="T24" s="43"/>
      <c r="U24" s="43"/>
    </row>
    <row r="25" spans="1:21" s="11" customFormat="1" ht="15">
      <c r="A25" s="53" t="s">
        <v>246</v>
      </c>
      <c r="B25" s="54">
        <v>2.67</v>
      </c>
      <c r="C25" s="54">
        <v>40.020000000000003</v>
      </c>
      <c r="D25" s="54">
        <v>23.05</v>
      </c>
      <c r="E25" s="54">
        <v>4.3600000000000003</v>
      </c>
      <c r="F25" s="54">
        <v>5.72</v>
      </c>
      <c r="G25" s="54">
        <v>59.51</v>
      </c>
      <c r="H25" s="54">
        <v>29.20</v>
      </c>
      <c r="I25" s="54">
        <v>1.51</v>
      </c>
      <c r="J25" s="54">
        <v>1.1200000000000001</v>
      </c>
      <c r="K25" s="54">
        <v>354.13</v>
      </c>
      <c r="L25" s="54">
        <v>29.95</v>
      </c>
      <c r="M25" s="54">
        <v>25.82</v>
      </c>
      <c r="N25" s="54">
        <v>158.90</v>
      </c>
      <c r="O25" s="54">
        <v>0</v>
      </c>
      <c r="P25" s="54">
        <v>0.45</v>
      </c>
      <c r="Q25" s="54">
        <v>11.04</v>
      </c>
      <c r="R25" s="43"/>
      <c r="S25" s="43"/>
      <c r="T25" s="43"/>
      <c r="U25" s="43"/>
    </row>
    <row r="26" spans="1:21" s="11" customFormat="1" ht="15">
      <c r="A26" s="53" t="s">
        <v>247</v>
      </c>
      <c r="B26" s="54">
        <v>4.8600000000000003</v>
      </c>
      <c r="C26" s="54">
        <v>45.30</v>
      </c>
      <c r="D26" s="54">
        <v>27.57</v>
      </c>
      <c r="E26" s="54">
        <v>4.13</v>
      </c>
      <c r="F26" s="54">
        <v>4.82</v>
      </c>
      <c r="G26" s="54">
        <v>59.51</v>
      </c>
      <c r="H26" s="54">
        <v>22.58</v>
      </c>
      <c r="I26" s="54">
        <v>1.54</v>
      </c>
      <c r="J26" s="54">
        <v>1.01</v>
      </c>
      <c r="K26" s="54">
        <v>356.60</v>
      </c>
      <c r="L26" s="54">
        <v>28.67</v>
      </c>
      <c r="M26" s="54">
        <v>30.35</v>
      </c>
      <c r="N26" s="54">
        <v>64</v>
      </c>
      <c r="O26" s="54">
        <v>0</v>
      </c>
      <c r="P26" s="54">
        <v>0.60</v>
      </c>
      <c r="Q26" s="54">
        <v>10.98</v>
      </c>
      <c r="R26" s="43"/>
      <c r="S26" s="43"/>
      <c r="T26" s="43"/>
      <c r="U26" s="43"/>
    </row>
    <row r="27" spans="1:21" s="11" customFormat="1" ht="15">
      <c r="A27" s="53" t="s">
        <v>248</v>
      </c>
      <c r="B27" s="54">
        <v>7.92</v>
      </c>
      <c r="C27" s="54">
        <v>46.43</v>
      </c>
      <c r="D27" s="54">
        <v>30.40</v>
      </c>
      <c r="E27" s="54">
        <v>3.95</v>
      </c>
      <c r="F27" s="54">
        <v>3.98</v>
      </c>
      <c r="G27" s="54">
        <v>75.69</v>
      </c>
      <c r="H27" s="54">
        <v>27.84</v>
      </c>
      <c r="I27" s="54">
        <v>1.58</v>
      </c>
      <c r="J27" s="54">
        <v>0.70</v>
      </c>
      <c r="K27" s="54">
        <v>357.51</v>
      </c>
      <c r="L27" s="54">
        <v>26.53</v>
      </c>
      <c r="M27" s="54">
        <v>36.03</v>
      </c>
      <c r="N27" s="54">
        <v>22.20</v>
      </c>
      <c r="O27" s="54">
        <v>0</v>
      </c>
      <c r="P27" s="54">
        <v>0.88</v>
      </c>
      <c r="Q27" s="54">
        <v>11.02</v>
      </c>
      <c r="R27" s="43"/>
      <c r="S27" s="43"/>
      <c r="T27" s="43"/>
      <c r="U27" s="43"/>
    </row>
    <row r="28" spans="1:21" s="11" customFormat="1" ht="15">
      <c r="A28" s="53" t="s">
        <v>249</v>
      </c>
      <c r="B28" s="54">
        <v>13.18</v>
      </c>
      <c r="C28" s="54">
        <v>46.15</v>
      </c>
      <c r="D28" s="54">
        <v>32.99</v>
      </c>
      <c r="E28" s="54">
        <v>4.09</v>
      </c>
      <c r="F28" s="54">
        <v>3.74</v>
      </c>
      <c r="G28" s="54">
        <v>93.60</v>
      </c>
      <c r="H28" s="54">
        <v>35.409999999999997</v>
      </c>
      <c r="I28" s="54">
        <v>1.53</v>
      </c>
      <c r="J28" s="54">
        <v>0.31</v>
      </c>
      <c r="K28" s="54">
        <v>81.77</v>
      </c>
      <c r="L28" s="54">
        <v>24.95</v>
      </c>
      <c r="M28" s="54">
        <v>44.06</v>
      </c>
      <c r="N28" s="54">
        <v>21.30</v>
      </c>
      <c r="O28" s="54">
        <v>0</v>
      </c>
      <c r="P28" s="54">
        <v>1.19</v>
      </c>
      <c r="Q28" s="54">
        <v>11.17</v>
      </c>
      <c r="R28" s="43"/>
      <c r="S28" s="43"/>
      <c r="T28" s="43"/>
      <c r="U28" s="43"/>
    </row>
    <row r="29" spans="1:21" s="11" customFormat="1" ht="15">
      <c r="A29" s="53" t="s">
        <v>250</v>
      </c>
      <c r="B29" s="54">
        <v>22.10</v>
      </c>
      <c r="C29" s="54">
        <v>40.840000000000003</v>
      </c>
      <c r="D29" s="54">
        <v>37</v>
      </c>
      <c r="E29" s="54">
        <v>3.89</v>
      </c>
      <c r="F29" s="54">
        <v>3.51</v>
      </c>
      <c r="G29" s="54">
        <v>116.82</v>
      </c>
      <c r="H29" s="54">
        <v>47</v>
      </c>
      <c r="I29" s="54">
        <v>1.57</v>
      </c>
      <c r="J29" s="54">
        <v>0.34</v>
      </c>
      <c r="K29" s="54">
        <v>83.90</v>
      </c>
      <c r="L29" s="54">
        <v>24</v>
      </c>
      <c r="M29" s="54">
        <v>45.09</v>
      </c>
      <c r="N29" s="54">
        <v>21.10</v>
      </c>
      <c r="O29" s="54">
        <v>0</v>
      </c>
      <c r="P29" s="54">
        <v>1.56</v>
      </c>
      <c r="Q29" s="54">
        <v>11.38</v>
      </c>
      <c r="R29" s="43"/>
      <c r="S29" s="43"/>
      <c r="T29" s="43"/>
      <c r="U29" s="43"/>
    </row>
    <row r="30" spans="1:21" s="11" customFormat="1" ht="15">
      <c r="A30" s="53" t="s">
        <v>251</v>
      </c>
      <c r="B30" s="54">
        <v>26.5</v>
      </c>
      <c r="C30" s="54">
        <v>35.75</v>
      </c>
      <c r="D30" s="54">
        <v>39.82</v>
      </c>
      <c r="E30" s="54">
        <v>4.07</v>
      </c>
      <c r="F30" s="54">
        <v>3.49</v>
      </c>
      <c r="G30" s="54">
        <v>119.97</v>
      </c>
      <c r="H30" s="54">
        <v>47</v>
      </c>
      <c r="I30" s="54">
        <v>1.60</v>
      </c>
      <c r="J30" s="54">
        <v>0.39</v>
      </c>
      <c r="K30" s="54">
        <v>30.44</v>
      </c>
      <c r="L30" s="54">
        <v>23.39</v>
      </c>
      <c r="M30" s="54">
        <v>39.51</v>
      </c>
      <c r="N30" s="54">
        <v>20.5</v>
      </c>
      <c r="O30" s="54">
        <v>0</v>
      </c>
      <c r="P30" s="54">
        <v>1.67</v>
      </c>
      <c r="Q30" s="54">
        <v>11.54</v>
      </c>
      <c r="R30" s="43"/>
      <c r="S30" s="43"/>
      <c r="T30" s="43"/>
      <c r="U30" s="43"/>
    </row>
    <row r="31" spans="1:21" s="11" customFormat="1" ht="15">
      <c r="A31" s="53" t="s">
        <v>252</v>
      </c>
      <c r="B31" s="54">
        <v>26.31</v>
      </c>
      <c r="C31" s="54">
        <v>38.53</v>
      </c>
      <c r="D31" s="54">
        <v>40.200000000000003</v>
      </c>
      <c r="E31" s="54">
        <v>4</v>
      </c>
      <c r="F31" s="54">
        <v>3.64</v>
      </c>
      <c r="G31" s="54">
        <v>119.97</v>
      </c>
      <c r="H31" s="54">
        <v>41.95</v>
      </c>
      <c r="I31" s="54">
        <v>1.52</v>
      </c>
      <c r="J31" s="54">
        <v>0.51</v>
      </c>
      <c r="K31" s="54">
        <v>62.77</v>
      </c>
      <c r="L31" s="54">
        <v>23.02</v>
      </c>
      <c r="M31" s="54">
        <v>41.78</v>
      </c>
      <c r="N31" s="54">
        <v>20.90</v>
      </c>
      <c r="O31" s="54">
        <v>0</v>
      </c>
      <c r="P31" s="54">
        <v>1.65</v>
      </c>
      <c r="Q31" s="54">
        <v>11.49</v>
      </c>
      <c r="R31" s="43"/>
      <c r="S31" s="43"/>
      <c r="T31" s="43"/>
      <c r="U31" s="43"/>
    </row>
    <row r="32" spans="1:21" s="11" customFormat="1" ht="15">
      <c r="A32" s="53" t="s">
        <v>253</v>
      </c>
      <c r="B32" s="54">
        <v>22.27</v>
      </c>
      <c r="C32" s="54">
        <v>39.74</v>
      </c>
      <c r="D32" s="54">
        <v>38.18</v>
      </c>
      <c r="E32" s="54">
        <v>3.87</v>
      </c>
      <c r="F32" s="54">
        <v>3.91</v>
      </c>
      <c r="G32" s="54">
        <v>100.25</v>
      </c>
      <c r="H32" s="54">
        <v>38.68</v>
      </c>
      <c r="I32" s="54">
        <v>1.64</v>
      </c>
      <c r="J32" s="54">
        <v>1.22</v>
      </c>
      <c r="K32" s="54">
        <v>104.65</v>
      </c>
      <c r="L32" s="54">
        <v>22.55</v>
      </c>
      <c r="M32" s="54">
        <v>41.28</v>
      </c>
      <c r="N32" s="54">
        <v>20.60</v>
      </c>
      <c r="O32" s="54">
        <v>0</v>
      </c>
      <c r="P32" s="54">
        <v>1.49</v>
      </c>
      <c r="Q32" s="54">
        <v>11.45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1.5800000000000001</v>
      </c>
      <c r="C34" s="28">
        <f t="shared" si="0"/>
        <v>35.75</v>
      </c>
      <c r="D34" s="28">
        <f t="shared" si="0"/>
        <v>20.890000000000001</v>
      </c>
      <c r="E34" s="28">
        <f t="shared" si="0"/>
        <v>2.9300000000000002</v>
      </c>
      <c r="F34" s="28">
        <f t="shared" si="0"/>
        <v>3.2799999999999998</v>
      </c>
      <c r="G34" s="28">
        <f t="shared" si="0"/>
        <v>40.579999999999998</v>
      </c>
      <c r="H34" s="28">
        <f t="shared" si="0"/>
        <v>11.48</v>
      </c>
      <c r="I34" s="28">
        <f t="shared" si="0"/>
        <v>1.5</v>
      </c>
      <c r="J34" s="28">
        <f t="shared" si="0"/>
        <v>0.31</v>
      </c>
      <c r="K34" s="28">
        <f t="shared" si="0"/>
        <v>22.050000000000001</v>
      </c>
      <c r="L34" s="28">
        <f t="shared" si="0"/>
        <v>18.879999999999999</v>
      </c>
      <c r="M34" s="28">
        <f t="shared" si="0"/>
        <v>21.710000000000001</v>
      </c>
      <c r="N34" s="28">
        <f t="shared" si="0"/>
        <v>19.800000000000001</v>
      </c>
      <c r="O34" s="28">
        <f t="shared" si="0"/>
        <v>0</v>
      </c>
      <c r="P34" s="28">
        <f t="shared" si="0"/>
        <v>0.39000000000000001</v>
      </c>
      <c r="Q34" s="28">
        <f t="shared" si="0"/>
        <v>10.66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26.5</v>
      </c>
      <c r="C35" s="29">
        <f t="shared" si="1"/>
        <v>46.43</v>
      </c>
      <c r="D35" s="29">
        <f t="shared" si="1"/>
        <v>40.200000000000003</v>
      </c>
      <c r="E35" s="29">
        <f t="shared" si="1"/>
        <v>4.7599999999999998</v>
      </c>
      <c r="F35" s="29">
        <f t="shared" si="1"/>
        <v>9.9600000000000009</v>
      </c>
      <c r="G35" s="29">
        <f t="shared" si="1"/>
        <v>119.97</v>
      </c>
      <c r="H35" s="29">
        <f t="shared" si="1"/>
        <v>47</v>
      </c>
      <c r="I35" s="29">
        <f t="shared" si="1"/>
        <v>1.6399999999999999</v>
      </c>
      <c r="J35" s="29">
        <f t="shared" si="1"/>
        <v>1.49</v>
      </c>
      <c r="K35" s="29">
        <f t="shared" si="1"/>
        <v>359.06</v>
      </c>
      <c r="L35" s="29">
        <f t="shared" si="1"/>
        <v>34.060000000000002</v>
      </c>
      <c r="M35" s="29">
        <f t="shared" si="1"/>
        <v>66.780000000000001</v>
      </c>
      <c r="N35" s="29">
        <f t="shared" si="1"/>
        <v>810.29999999999995</v>
      </c>
      <c r="O35" s="29">
        <f t="shared" si="1"/>
        <v>0</v>
      </c>
      <c r="P35" s="29">
        <f t="shared" si="1"/>
        <v>1.6699999999999999</v>
      </c>
      <c r="Q35" s="29">
        <f t="shared" si="1"/>
        <v>11.539999999999999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12.920000000000002</v>
      </c>
      <c r="C36" s="28">
        <f t="shared" si="2"/>
        <v>41.032000000000004</v>
      </c>
      <c r="D36" s="28">
        <f t="shared" si="2"/>
        <v>31.239000000000004</v>
      </c>
      <c r="E36" s="28">
        <f t="shared" si="2"/>
        <v>4.0291666666666677</v>
      </c>
      <c r="F36" s="28">
        <f t="shared" si="2"/>
        <v>4.8754166666666672</v>
      </c>
      <c r="G36" s="28">
        <f t="shared" si="2"/>
        <v>70.039166666666674</v>
      </c>
      <c r="H36" s="28">
        <f t="shared" si="2"/>
        <v>28.267500000000002</v>
      </c>
      <c r="I36" s="28">
        <f t="shared" si="2"/>
        <v>1.5462500000000003</v>
      </c>
      <c r="J36" s="28">
        <f t="shared" si="2"/>
        <v>0.78833333333333344</v>
      </c>
      <c r="K36" s="28">
        <f t="shared" si="2"/>
        <v>165.70208333333332</v>
      </c>
      <c r="L36" s="28">
        <f t="shared" si="2"/>
        <v>25.161249999999999</v>
      </c>
      <c r="M36" s="28">
        <f t="shared" si="2"/>
        <v>37.630416666666669</v>
      </c>
      <c r="N36" s="28">
        <f t="shared" si="2"/>
        <v>256.02500000000003</v>
      </c>
      <c r="O36" s="28">
        <f t="shared" si="2"/>
        <v>0</v>
      </c>
      <c r="P36" s="28">
        <f t="shared" si="2"/>
        <v>0.76749999999999996</v>
      </c>
      <c r="Q36" s="28">
        <f t="shared" si="2"/>
        <v>11.062916666666666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10.448417211339821</v>
      </c>
      <c r="C37" s="28">
        <f t="shared" si="3" ref="C37:Q37">STDEV(C9:C32)</f>
        <v>3.6968599288224762</v>
      </c>
      <c r="D37" s="28">
        <f t="shared" si="3"/>
        <v>7.5039048353359181</v>
      </c>
      <c r="E37" s="28">
        <f t="shared" si="3"/>
        <v>0.4321122707037468</v>
      </c>
      <c r="F37" s="28">
        <f t="shared" si="3"/>
        <v>2.0763324253547921</v>
      </c>
      <c r="G37" s="28">
        <f t="shared" si="3"/>
        <v>23.423454784851234</v>
      </c>
      <c r="H37" s="28">
        <f t="shared" si="3"/>
        <v>9.1912010143917779</v>
      </c>
      <c r="I37" s="28">
        <f t="shared" si="3"/>
        <v>0.036571847095819489</v>
      </c>
      <c r="J37" s="28">
        <f t="shared" si="3"/>
        <v>0.33963748790203607</v>
      </c>
      <c r="K37" s="28">
        <f t="shared" si="3"/>
        <v>138.63376660574835</v>
      </c>
      <c r="L37" s="28">
        <f t="shared" si="3"/>
        <v>4.6157549785207559</v>
      </c>
      <c r="M37" s="28">
        <f t="shared" si="3"/>
        <v>11.480237264313294</v>
      </c>
      <c r="N37" s="28">
        <f t="shared" si="3"/>
        <v>313.24071900613154</v>
      </c>
      <c r="O37" s="28">
        <f t="shared" si="3"/>
        <v>0</v>
      </c>
      <c r="P37" s="28">
        <f t="shared" si="3"/>
        <v>0.44470068096661813</v>
      </c>
      <c r="Q37" s="28">
        <f t="shared" si="3"/>
        <v>0.2551637013619954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COUNT(B9:B32)+14</f>
        <v>24</v>
      </c>
      <c r="C38" s="32">
        <f>COUNT(C9:C32)+14</f>
        <v>24</v>
      </c>
      <c r="D38" s="32">
        <f>COUNT(D9:D32)+14</f>
        <v>24</v>
      </c>
      <c r="E38" s="32">
        <f t="shared" si="4" ref="E38:Q38">COUNT(E9:E32)</f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ee5672-5606-4e2a-b506-5aea2a6504d9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254</v>
      </c>
      <c r="B9" s="54">
        <v>14.87</v>
      </c>
      <c r="C9" s="54">
        <v>38.479999999999997</v>
      </c>
      <c r="D9" s="54">
        <v>32.03</v>
      </c>
      <c r="E9" s="54">
        <v>3.98</v>
      </c>
      <c r="F9" s="54">
        <v>3.47</v>
      </c>
      <c r="G9" s="54">
        <v>81.459999999999994</v>
      </c>
      <c r="H9" s="54">
        <v>36.06</v>
      </c>
      <c r="I9" s="54">
        <v>1.53</v>
      </c>
      <c r="J9" s="54">
        <v>1.1399999999999999</v>
      </c>
      <c r="K9" s="54">
        <v>102.16</v>
      </c>
      <c r="L9" s="54">
        <v>22.13</v>
      </c>
      <c r="M9" s="54">
        <v>41.01</v>
      </c>
      <c r="N9" s="54">
        <v>20.90</v>
      </c>
      <c r="O9" s="54">
        <v>0</v>
      </c>
      <c r="P9" s="54">
        <v>1.28</v>
      </c>
      <c r="Q9" s="54">
        <v>11.26</v>
      </c>
      <c r="R9" s="43"/>
      <c r="S9" s="43"/>
      <c r="T9" s="43"/>
      <c r="U9" s="43"/>
    </row>
    <row r="10" spans="1:21" s="11" customFormat="1" ht="15">
      <c r="A10" s="53" t="s">
        <v>255</v>
      </c>
      <c r="B10" s="54">
        <v>11.51</v>
      </c>
      <c r="C10" s="54">
        <v>36.020000000000003</v>
      </c>
      <c r="D10" s="54">
        <v>28.05</v>
      </c>
      <c r="E10" s="54">
        <v>3.96</v>
      </c>
      <c r="F10" s="54">
        <v>3.42</v>
      </c>
      <c r="G10" s="54">
        <v>62.44</v>
      </c>
      <c r="H10" s="54">
        <v>31.21</v>
      </c>
      <c r="I10" s="54">
        <v>1.53</v>
      </c>
      <c r="J10" s="54">
        <v>0.51</v>
      </c>
      <c r="K10" s="54">
        <v>77.25</v>
      </c>
      <c r="L10" s="54">
        <v>21.17</v>
      </c>
      <c r="M10" s="54">
        <v>40.29</v>
      </c>
      <c r="N10" s="54">
        <v>21</v>
      </c>
      <c r="O10" s="54">
        <v>0</v>
      </c>
      <c r="P10" s="54">
        <v>1.04</v>
      </c>
      <c r="Q10" s="54">
        <v>11.18</v>
      </c>
      <c r="R10" s="43"/>
      <c r="S10" s="43"/>
      <c r="T10" s="43"/>
      <c r="U10" s="43"/>
    </row>
    <row r="11" spans="1:21" s="11" customFormat="1" ht="15">
      <c r="A11" s="53" t="s">
        <v>256</v>
      </c>
      <c r="B11" s="54">
        <v>9.15</v>
      </c>
      <c r="C11" s="54">
        <v>33.700000000000003</v>
      </c>
      <c r="D11" s="54">
        <v>24.39</v>
      </c>
      <c r="E11" s="54">
        <v>3.60</v>
      </c>
      <c r="F11" s="54">
        <v>3.64</v>
      </c>
      <c r="G11" s="54">
        <v>62.44</v>
      </c>
      <c r="H11" s="54">
        <v>28.04</v>
      </c>
      <c r="I11" s="54">
        <v>1.57</v>
      </c>
      <c r="J11" s="54">
        <v>0.43</v>
      </c>
      <c r="K11" s="54">
        <v>66.02</v>
      </c>
      <c r="L11" s="54">
        <v>20.53</v>
      </c>
      <c r="M11" s="54">
        <v>39.270000000000003</v>
      </c>
      <c r="N11" s="54">
        <v>21</v>
      </c>
      <c r="O11" s="54">
        <v>0</v>
      </c>
      <c r="P11" s="54">
        <v>0.92</v>
      </c>
      <c r="Q11" s="54">
        <v>11.07</v>
      </c>
      <c r="R11" s="43"/>
      <c r="S11" s="43"/>
      <c r="T11" s="43"/>
      <c r="U11" s="43"/>
    </row>
    <row r="12" spans="1:21" s="11" customFormat="1" ht="15">
      <c r="A12" s="53" t="s">
        <v>257</v>
      </c>
      <c r="B12" s="54">
        <v>6.15</v>
      </c>
      <c r="C12" s="54">
        <v>34.67</v>
      </c>
      <c r="D12" s="54">
        <v>22.94</v>
      </c>
      <c r="E12" s="54">
        <v>3.57</v>
      </c>
      <c r="F12" s="54">
        <v>3.71</v>
      </c>
      <c r="G12" s="54">
        <v>47.65</v>
      </c>
      <c r="H12" s="54">
        <v>23.87</v>
      </c>
      <c r="I12" s="54">
        <v>1.56</v>
      </c>
      <c r="J12" s="54">
        <v>0.51</v>
      </c>
      <c r="K12" s="54">
        <v>23.38</v>
      </c>
      <c r="L12" s="54">
        <v>19.850000000000001</v>
      </c>
      <c r="M12" s="54">
        <v>44.21</v>
      </c>
      <c r="N12" s="54">
        <v>21.20</v>
      </c>
      <c r="O12" s="54">
        <v>0</v>
      </c>
      <c r="P12" s="54">
        <v>0.76</v>
      </c>
      <c r="Q12" s="54">
        <v>10.83</v>
      </c>
      <c r="R12" s="43"/>
      <c r="S12" s="43"/>
      <c r="T12" s="43"/>
      <c r="U12" s="43"/>
    </row>
    <row r="13" spans="1:21" s="11" customFormat="1" ht="15">
      <c r="A13" s="53" t="s">
        <v>258</v>
      </c>
      <c r="B13" s="54">
        <v>7.09</v>
      </c>
      <c r="C13" s="54">
        <v>34.35</v>
      </c>
      <c r="D13" s="54">
        <v>23.20</v>
      </c>
      <c r="E13" s="54">
        <v>4.01</v>
      </c>
      <c r="F13" s="54">
        <v>3.69</v>
      </c>
      <c r="G13" s="54">
        <v>47.35</v>
      </c>
      <c r="H13" s="54">
        <v>15.72</v>
      </c>
      <c r="I13" s="54">
        <v>1.57</v>
      </c>
      <c r="J13" s="54">
        <v>0.41</v>
      </c>
      <c r="K13" s="54">
        <v>30.33</v>
      </c>
      <c r="L13" s="54">
        <v>18.850000000000001</v>
      </c>
      <c r="M13" s="54">
        <v>45</v>
      </c>
      <c r="N13" s="54">
        <v>21.10</v>
      </c>
      <c r="O13" s="54">
        <v>0</v>
      </c>
      <c r="P13" s="54">
        <v>0.64</v>
      </c>
      <c r="Q13" s="54">
        <v>10.75</v>
      </c>
      <c r="R13" s="43"/>
      <c r="S13" s="43"/>
      <c r="T13" s="43"/>
      <c r="U13" s="43"/>
    </row>
    <row r="14" spans="1:21" s="11" customFormat="1" ht="15">
      <c r="A14" s="53" t="s">
        <v>259</v>
      </c>
      <c r="B14" s="54">
        <v>10.16</v>
      </c>
      <c r="C14" s="54">
        <v>33.67</v>
      </c>
      <c r="D14" s="54">
        <v>25.27</v>
      </c>
      <c r="E14" s="54">
        <v>3.74</v>
      </c>
      <c r="F14" s="54">
        <v>3.31</v>
      </c>
      <c r="G14" s="54">
        <v>47.24</v>
      </c>
      <c r="H14" s="54">
        <v>9.43</v>
      </c>
      <c r="I14" s="54">
        <v>1.59</v>
      </c>
      <c r="J14" s="54">
        <v>0.67</v>
      </c>
      <c r="K14" s="54">
        <v>357.87</v>
      </c>
      <c r="L14" s="54">
        <v>18.34</v>
      </c>
      <c r="M14" s="54">
        <v>46.81</v>
      </c>
      <c r="N14" s="54">
        <v>21.5</v>
      </c>
      <c r="O14" s="54">
        <v>0</v>
      </c>
      <c r="P14" s="54">
        <v>0.55000000000000004</v>
      </c>
      <c r="Q14" s="54">
        <v>10.88</v>
      </c>
      <c r="R14" s="43"/>
      <c r="S14" s="43"/>
      <c r="T14" s="43"/>
      <c r="U14" s="43"/>
    </row>
    <row r="15" spans="1:21" s="11" customFormat="1" ht="15">
      <c r="A15" s="53" t="s">
        <v>260</v>
      </c>
      <c r="B15" s="54">
        <v>13.86</v>
      </c>
      <c r="C15" s="54">
        <v>32.380000000000003</v>
      </c>
      <c r="D15" s="54">
        <v>26.97</v>
      </c>
      <c r="E15" s="54">
        <v>3.69</v>
      </c>
      <c r="F15" s="54">
        <v>3.36</v>
      </c>
      <c r="G15" s="54">
        <v>56.35</v>
      </c>
      <c r="H15" s="54">
        <v>6.84</v>
      </c>
      <c r="I15" s="54">
        <v>1.55</v>
      </c>
      <c r="J15" s="54">
        <v>0.82</v>
      </c>
      <c r="K15" s="54">
        <v>359.02</v>
      </c>
      <c r="L15" s="54">
        <v>18.920000000000002</v>
      </c>
      <c r="M15" s="54">
        <v>48.27</v>
      </c>
      <c r="N15" s="54">
        <v>109.80</v>
      </c>
      <c r="O15" s="54">
        <v>0</v>
      </c>
      <c r="P15" s="54">
        <v>0.49</v>
      </c>
      <c r="Q15" s="54">
        <v>10.90</v>
      </c>
      <c r="R15" s="43"/>
      <c r="S15" s="43"/>
      <c r="T15" s="43"/>
      <c r="U15" s="43"/>
    </row>
    <row r="16" spans="1:21" s="11" customFormat="1" ht="15">
      <c r="A16" s="53" t="s">
        <v>261</v>
      </c>
      <c r="B16" s="54">
        <v>18.350000000000001</v>
      </c>
      <c r="C16" s="54">
        <v>31.45</v>
      </c>
      <c r="D16" s="54">
        <v>31.10</v>
      </c>
      <c r="E16" s="54">
        <v>4.13</v>
      </c>
      <c r="F16" s="54">
        <v>3.35</v>
      </c>
      <c r="G16" s="54">
        <v>60.58</v>
      </c>
      <c r="H16" s="54">
        <v>20.88</v>
      </c>
      <c r="I16" s="54">
        <v>1.51</v>
      </c>
      <c r="J16" s="54">
        <v>0.86</v>
      </c>
      <c r="K16" s="54">
        <v>358.95</v>
      </c>
      <c r="L16" s="54">
        <v>23.31</v>
      </c>
      <c r="M16" s="54">
        <v>41.37</v>
      </c>
      <c r="N16" s="54">
        <v>327.60000000000002</v>
      </c>
      <c r="O16" s="54">
        <v>0</v>
      </c>
      <c r="P16" s="54">
        <v>0.49</v>
      </c>
      <c r="Q16" s="54">
        <v>10.91</v>
      </c>
      <c r="R16" s="43"/>
      <c r="S16" s="43"/>
      <c r="T16" s="43"/>
      <c r="U16" s="43"/>
    </row>
    <row r="17" spans="1:21" s="11" customFormat="1" ht="15">
      <c r="A17" s="53" t="s">
        <v>262</v>
      </c>
      <c r="B17" s="54">
        <v>20.98</v>
      </c>
      <c r="C17" s="54">
        <v>32.409999999999997</v>
      </c>
      <c r="D17" s="54">
        <v>33.76</v>
      </c>
      <c r="E17" s="54">
        <v>3.89</v>
      </c>
      <c r="F17" s="54">
        <v>3.47</v>
      </c>
      <c r="G17" s="54">
        <v>60.58</v>
      </c>
      <c r="H17" s="54">
        <v>20.88</v>
      </c>
      <c r="I17" s="54">
        <v>1.57</v>
      </c>
      <c r="J17" s="54">
        <v>0.66</v>
      </c>
      <c r="K17" s="54">
        <v>46.81</v>
      </c>
      <c r="L17" s="54">
        <v>25.62</v>
      </c>
      <c r="M17" s="54">
        <v>32.78</v>
      </c>
      <c r="N17" s="54">
        <v>529.20000000000005</v>
      </c>
      <c r="O17" s="54">
        <v>0</v>
      </c>
      <c r="P17" s="54">
        <v>0.49</v>
      </c>
      <c r="Q17" s="54">
        <v>10.94</v>
      </c>
      <c r="R17" s="43"/>
      <c r="S17" s="43"/>
      <c r="T17" s="43"/>
      <c r="U17" s="43"/>
    </row>
    <row r="18" spans="1:21" s="11" customFormat="1" ht="15">
      <c r="A18" s="53" t="s">
        <v>263</v>
      </c>
      <c r="B18" s="54">
        <v>21.13</v>
      </c>
      <c r="C18" s="54">
        <v>34.33</v>
      </c>
      <c r="D18" s="54">
        <v>34.08</v>
      </c>
      <c r="E18" s="54">
        <v>3.85</v>
      </c>
      <c r="F18" s="54">
        <v>3.32</v>
      </c>
      <c r="G18" s="54">
        <v>55.94</v>
      </c>
      <c r="H18" s="54">
        <v>19.37</v>
      </c>
      <c r="I18" s="54">
        <v>1.54</v>
      </c>
      <c r="J18" s="54">
        <v>1.0900000000000001</v>
      </c>
      <c r="K18" s="54">
        <v>75.66</v>
      </c>
      <c r="L18" s="54">
        <v>26.87</v>
      </c>
      <c r="M18" s="54">
        <v>31.29</v>
      </c>
      <c r="N18" s="54">
        <v>715.60</v>
      </c>
      <c r="O18" s="54">
        <v>0</v>
      </c>
      <c r="P18" s="54">
        <v>0.48</v>
      </c>
      <c r="Q18" s="54">
        <v>10.97</v>
      </c>
      <c r="R18" s="43"/>
      <c r="S18" s="43"/>
      <c r="T18" s="43"/>
      <c r="U18" s="43"/>
    </row>
    <row r="19" spans="1:21" s="11" customFormat="1" ht="15">
      <c r="A19" s="53" t="s">
        <v>264</v>
      </c>
      <c r="B19" s="54">
        <v>17.649999999999999</v>
      </c>
      <c r="C19" s="54">
        <v>36.14</v>
      </c>
      <c r="D19" s="54">
        <v>32.51</v>
      </c>
      <c r="E19" s="54">
        <v>3.80</v>
      </c>
      <c r="F19" s="54">
        <v>3.53</v>
      </c>
      <c r="G19" s="54">
        <v>55.94</v>
      </c>
      <c r="H19" s="54">
        <v>19.89</v>
      </c>
      <c r="I19" s="54">
        <v>1.5</v>
      </c>
      <c r="J19" s="54">
        <v>1.23</v>
      </c>
      <c r="K19" s="54">
        <v>87.95</v>
      </c>
      <c r="L19" s="54">
        <v>27.71</v>
      </c>
      <c r="M19" s="54">
        <v>30.94</v>
      </c>
      <c r="N19" s="54">
        <v>809.10</v>
      </c>
      <c r="O19" s="54">
        <v>0</v>
      </c>
      <c r="P19" s="54">
        <v>0.45</v>
      </c>
      <c r="Q19" s="54">
        <v>11.04</v>
      </c>
      <c r="R19" s="43"/>
      <c r="S19" s="43"/>
      <c r="T19" s="43"/>
      <c r="U19" s="43"/>
    </row>
    <row r="20" spans="1:21" s="11" customFormat="1" ht="15">
      <c r="A20" s="53" t="s">
        <v>265</v>
      </c>
      <c r="B20" s="54">
        <v>11.03</v>
      </c>
      <c r="C20" s="54">
        <v>39.090000000000003</v>
      </c>
      <c r="D20" s="54">
        <v>27.68</v>
      </c>
      <c r="E20" s="54">
        <v>4.01</v>
      </c>
      <c r="F20" s="54">
        <v>4.18</v>
      </c>
      <c r="G20" s="54">
        <v>57.86</v>
      </c>
      <c r="H20" s="54">
        <v>21.56</v>
      </c>
      <c r="I20" s="54">
        <v>1.55</v>
      </c>
      <c r="J20" s="54">
        <v>1.04</v>
      </c>
      <c r="K20" s="54">
        <v>95.64</v>
      </c>
      <c r="L20" s="54">
        <v>30.29</v>
      </c>
      <c r="M20" s="54">
        <v>33.020000000000003</v>
      </c>
      <c r="N20" s="54">
        <v>830.90</v>
      </c>
      <c r="O20" s="54">
        <v>0</v>
      </c>
      <c r="P20" s="54">
        <v>0.42</v>
      </c>
      <c r="Q20" s="54">
        <v>10.89</v>
      </c>
      <c r="R20" s="43"/>
      <c r="S20" s="43"/>
      <c r="T20" s="43"/>
      <c r="U20" s="43"/>
    </row>
    <row r="21" spans="1:21" s="11" customFormat="1" ht="15">
      <c r="A21" s="53" t="s">
        <v>266</v>
      </c>
      <c r="B21" s="54">
        <v>4.3600000000000003</v>
      </c>
      <c r="C21" s="54">
        <v>39.81</v>
      </c>
      <c r="D21" s="54">
        <v>24.25</v>
      </c>
      <c r="E21" s="54">
        <v>3.46</v>
      </c>
      <c r="F21" s="54">
        <v>5.30</v>
      </c>
      <c r="G21" s="54">
        <v>57.86</v>
      </c>
      <c r="H21" s="54">
        <v>23.31</v>
      </c>
      <c r="I21" s="54">
        <v>1.48</v>
      </c>
      <c r="J21" s="54">
        <v>1.1100000000000001</v>
      </c>
      <c r="K21" s="54">
        <v>130.44999999999999</v>
      </c>
      <c r="L21" s="54">
        <v>30.53</v>
      </c>
      <c r="M21" s="54">
        <v>31.94</v>
      </c>
      <c r="N21" s="54">
        <v>814.5</v>
      </c>
      <c r="O21" s="54">
        <v>0</v>
      </c>
      <c r="P21" s="54">
        <v>0.42</v>
      </c>
      <c r="Q21" s="54">
        <v>10.76</v>
      </c>
      <c r="R21" s="43"/>
      <c r="S21" s="43"/>
      <c r="T21" s="43"/>
      <c r="U21" s="43"/>
    </row>
    <row r="22" spans="1:21" s="11" customFormat="1" ht="15">
      <c r="A22" s="53" t="s">
        <v>267</v>
      </c>
      <c r="B22" s="54">
        <v>1.53</v>
      </c>
      <c r="C22" s="54">
        <v>38.229999999999997</v>
      </c>
      <c r="D22" s="54">
        <v>21.20</v>
      </c>
      <c r="E22" s="54">
        <v>3.58</v>
      </c>
      <c r="F22" s="54">
        <v>5.85</v>
      </c>
      <c r="G22" s="54">
        <v>52.81</v>
      </c>
      <c r="H22" s="54">
        <v>23.31</v>
      </c>
      <c r="I22" s="54">
        <v>1.47</v>
      </c>
      <c r="J22" s="54">
        <v>0.87</v>
      </c>
      <c r="K22" s="54">
        <v>349.30</v>
      </c>
      <c r="L22" s="54">
        <v>33.15</v>
      </c>
      <c r="M22" s="54">
        <v>29.69</v>
      </c>
      <c r="N22" s="54">
        <v>745.60</v>
      </c>
      <c r="O22" s="54">
        <v>0</v>
      </c>
      <c r="P22" s="54">
        <v>0.39</v>
      </c>
      <c r="Q22" s="54">
        <v>10.80</v>
      </c>
      <c r="R22" s="43"/>
      <c r="S22" s="43"/>
      <c r="T22" s="43"/>
      <c r="U22" s="43"/>
    </row>
    <row r="23" spans="1:21" s="11" customFormat="1" ht="15">
      <c r="A23" s="53" t="s">
        <v>268</v>
      </c>
      <c r="B23" s="54">
        <v>1.75</v>
      </c>
      <c r="C23" s="54">
        <v>36.79</v>
      </c>
      <c r="D23" s="54">
        <v>20.63</v>
      </c>
      <c r="E23" s="54">
        <v>3.66</v>
      </c>
      <c r="F23" s="54">
        <v>5.14</v>
      </c>
      <c r="G23" s="54">
        <v>52.67</v>
      </c>
      <c r="H23" s="54">
        <v>23.73</v>
      </c>
      <c r="I23" s="54">
        <v>1.57</v>
      </c>
      <c r="J23" s="54">
        <v>0.99</v>
      </c>
      <c r="K23" s="54">
        <v>359.20</v>
      </c>
      <c r="L23" s="54">
        <v>34.72</v>
      </c>
      <c r="M23" s="54">
        <v>26.03</v>
      </c>
      <c r="N23" s="54">
        <v>638.90</v>
      </c>
      <c r="O23" s="54">
        <v>0</v>
      </c>
      <c r="P23" s="54">
        <v>0.39</v>
      </c>
      <c r="Q23" s="54">
        <v>10.87</v>
      </c>
      <c r="R23" s="43"/>
      <c r="S23" s="43"/>
      <c r="T23" s="43"/>
      <c r="U23" s="43"/>
    </row>
    <row r="24" spans="1:21" s="11" customFormat="1" ht="15">
      <c r="A24" s="53" t="s">
        <v>269</v>
      </c>
      <c r="B24" s="54">
        <v>1.89</v>
      </c>
      <c r="C24" s="54">
        <v>36.92</v>
      </c>
      <c r="D24" s="54">
        <v>20.76</v>
      </c>
      <c r="E24" s="54">
        <v>3.84</v>
      </c>
      <c r="F24" s="54">
        <v>5.14</v>
      </c>
      <c r="G24" s="54">
        <v>52.12</v>
      </c>
      <c r="H24" s="54">
        <v>23.73</v>
      </c>
      <c r="I24" s="54">
        <v>1.51</v>
      </c>
      <c r="J24" s="54">
        <v>1.23</v>
      </c>
      <c r="K24" s="54">
        <v>356.62</v>
      </c>
      <c r="L24" s="54">
        <v>32.049999999999997</v>
      </c>
      <c r="M24" s="54">
        <v>23.86</v>
      </c>
      <c r="N24" s="54">
        <v>254.30</v>
      </c>
      <c r="O24" s="54">
        <v>0</v>
      </c>
      <c r="P24" s="54">
        <v>0.40</v>
      </c>
      <c r="Q24" s="54">
        <v>10.87</v>
      </c>
      <c r="R24" s="43"/>
      <c r="S24" s="43"/>
      <c r="T24" s="43"/>
      <c r="U24" s="43"/>
    </row>
    <row r="25" spans="1:21" s="11" customFormat="1" ht="15">
      <c r="A25" s="53" t="s">
        <v>270</v>
      </c>
      <c r="B25" s="54">
        <v>2.04</v>
      </c>
      <c r="C25" s="54">
        <v>40.18</v>
      </c>
      <c r="D25" s="54">
        <v>22.59</v>
      </c>
      <c r="E25" s="54">
        <v>3.61</v>
      </c>
      <c r="F25" s="54">
        <v>5.46</v>
      </c>
      <c r="G25" s="54">
        <v>56.72</v>
      </c>
      <c r="H25" s="54">
        <v>22.26</v>
      </c>
      <c r="I25" s="54">
        <v>1.59</v>
      </c>
      <c r="J25" s="54">
        <v>1.38</v>
      </c>
      <c r="K25" s="54">
        <v>359.69</v>
      </c>
      <c r="L25" s="54">
        <v>30.93</v>
      </c>
      <c r="M25" s="54">
        <v>25.46</v>
      </c>
      <c r="N25" s="54">
        <v>201.5</v>
      </c>
      <c r="O25" s="54">
        <v>0</v>
      </c>
      <c r="P25" s="54">
        <v>0.46</v>
      </c>
      <c r="Q25" s="54">
        <v>10.74</v>
      </c>
      <c r="R25" s="43"/>
      <c r="S25" s="43"/>
      <c r="T25" s="43"/>
      <c r="U25" s="43"/>
    </row>
    <row r="26" spans="1:21" s="11" customFormat="1" ht="15">
      <c r="A26" s="53" t="s">
        <v>271</v>
      </c>
      <c r="B26" s="54">
        <v>5.47</v>
      </c>
      <c r="C26" s="54">
        <v>43.98</v>
      </c>
      <c r="D26" s="54">
        <v>27.36</v>
      </c>
      <c r="E26" s="54">
        <v>3.42</v>
      </c>
      <c r="F26" s="54">
        <v>5.40</v>
      </c>
      <c r="G26" s="54">
        <v>57.54</v>
      </c>
      <c r="H26" s="54">
        <v>21.70</v>
      </c>
      <c r="I26" s="54">
        <v>1.54</v>
      </c>
      <c r="J26" s="54">
        <v>1.22</v>
      </c>
      <c r="K26" s="54">
        <v>356.80</v>
      </c>
      <c r="L26" s="54">
        <v>29.12</v>
      </c>
      <c r="M26" s="54">
        <v>30.42</v>
      </c>
      <c r="N26" s="54">
        <v>64</v>
      </c>
      <c r="O26" s="54">
        <v>0</v>
      </c>
      <c r="P26" s="54">
        <v>0.55000000000000004</v>
      </c>
      <c r="Q26" s="54">
        <v>10.73</v>
      </c>
      <c r="R26" s="43"/>
      <c r="S26" s="43"/>
      <c r="T26" s="43"/>
      <c r="U26" s="43"/>
    </row>
    <row r="27" spans="1:21" s="11" customFormat="1" ht="15">
      <c r="A27" s="53" t="s">
        <v>272</v>
      </c>
      <c r="B27" s="54">
        <v>6.58</v>
      </c>
      <c r="C27" s="54">
        <v>45.19</v>
      </c>
      <c r="D27" s="54">
        <v>28.89</v>
      </c>
      <c r="E27" s="54">
        <v>3.60</v>
      </c>
      <c r="F27" s="54">
        <v>3.90</v>
      </c>
      <c r="G27" s="54">
        <v>70.989999999999995</v>
      </c>
      <c r="H27" s="54">
        <v>25.29</v>
      </c>
      <c r="I27" s="54">
        <v>1.52</v>
      </c>
      <c r="J27" s="54">
        <v>0.88</v>
      </c>
      <c r="K27" s="54">
        <v>358.75</v>
      </c>
      <c r="L27" s="54">
        <v>26.98</v>
      </c>
      <c r="M27" s="54">
        <v>38.64</v>
      </c>
      <c r="N27" s="54">
        <v>21.10</v>
      </c>
      <c r="O27" s="54">
        <v>0</v>
      </c>
      <c r="P27" s="54">
        <v>0.76</v>
      </c>
      <c r="Q27" s="54">
        <v>10.82</v>
      </c>
      <c r="R27" s="43"/>
      <c r="S27" s="43"/>
      <c r="T27" s="43"/>
      <c r="U27" s="43"/>
    </row>
    <row r="28" spans="1:21" s="11" customFormat="1" ht="15">
      <c r="A28" s="53" t="s">
        <v>273</v>
      </c>
      <c r="B28" s="54">
        <v>9.4600000000000009</v>
      </c>
      <c r="C28" s="54">
        <v>45.12</v>
      </c>
      <c r="D28" s="54">
        <v>30.31</v>
      </c>
      <c r="E28" s="54">
        <v>3.77</v>
      </c>
      <c r="F28" s="54">
        <v>3.56</v>
      </c>
      <c r="G28" s="54">
        <v>84.06</v>
      </c>
      <c r="H28" s="54">
        <v>33.71</v>
      </c>
      <c r="I28" s="54">
        <v>1.48</v>
      </c>
      <c r="J28" s="54">
        <v>0.44</v>
      </c>
      <c r="K28" s="54">
        <v>89.62</v>
      </c>
      <c r="L28" s="54">
        <v>25.04</v>
      </c>
      <c r="M28" s="54">
        <v>42.27</v>
      </c>
      <c r="N28" s="54">
        <v>19.70</v>
      </c>
      <c r="O28" s="54">
        <v>0</v>
      </c>
      <c r="P28" s="54">
        <v>1</v>
      </c>
      <c r="Q28" s="54">
        <v>11.02</v>
      </c>
      <c r="R28" s="43"/>
      <c r="S28" s="43"/>
      <c r="T28" s="43"/>
      <c r="U28" s="43"/>
    </row>
    <row r="29" spans="1:21" s="11" customFormat="1" ht="15">
      <c r="A29" s="53" t="s">
        <v>274</v>
      </c>
      <c r="B29" s="54">
        <v>16.47</v>
      </c>
      <c r="C29" s="54">
        <v>41.97</v>
      </c>
      <c r="D29" s="54">
        <v>34.549999999999997</v>
      </c>
      <c r="E29" s="54">
        <v>4</v>
      </c>
      <c r="F29" s="54">
        <v>3.42</v>
      </c>
      <c r="G29" s="54">
        <v>94.53</v>
      </c>
      <c r="H29" s="54">
        <v>33.71</v>
      </c>
      <c r="I29" s="54">
        <v>1.56</v>
      </c>
      <c r="J29" s="54">
        <v>0.24</v>
      </c>
      <c r="K29" s="54">
        <v>358.32</v>
      </c>
      <c r="L29" s="54">
        <v>23.67</v>
      </c>
      <c r="M29" s="54">
        <v>55.07</v>
      </c>
      <c r="N29" s="54">
        <v>19.80</v>
      </c>
      <c r="O29" s="54">
        <v>0</v>
      </c>
      <c r="P29" s="54">
        <v>1.26</v>
      </c>
      <c r="Q29" s="54">
        <v>11.04</v>
      </c>
      <c r="R29" s="43"/>
      <c r="S29" s="43"/>
      <c r="T29" s="43"/>
      <c r="U29" s="43"/>
    </row>
    <row r="30" spans="1:21" s="11" customFormat="1" ht="15">
      <c r="A30" s="53" t="s">
        <v>275</v>
      </c>
      <c r="B30" s="54">
        <v>43.09</v>
      </c>
      <c r="C30" s="54">
        <v>39.130000000000003</v>
      </c>
      <c r="D30" s="54">
        <v>52.01</v>
      </c>
      <c r="E30" s="54">
        <v>4.41</v>
      </c>
      <c r="F30" s="54">
        <v>3.62</v>
      </c>
      <c r="G30" s="54">
        <v>103.56</v>
      </c>
      <c r="H30" s="54">
        <v>43.01</v>
      </c>
      <c r="I30" s="54">
        <v>1.59</v>
      </c>
      <c r="J30" s="54">
        <v>0.26</v>
      </c>
      <c r="K30" s="54">
        <v>30.99</v>
      </c>
      <c r="L30" s="54">
        <v>22.54</v>
      </c>
      <c r="M30" s="54">
        <v>56</v>
      </c>
      <c r="N30" s="54">
        <v>19.70</v>
      </c>
      <c r="O30" s="54">
        <v>0</v>
      </c>
      <c r="P30" s="54">
        <v>1.76</v>
      </c>
      <c r="Q30" s="54">
        <v>11.58</v>
      </c>
      <c r="R30" s="43"/>
      <c r="S30" s="43"/>
      <c r="T30" s="43"/>
      <c r="U30" s="43"/>
    </row>
    <row r="31" spans="1:21" s="11" customFormat="1" ht="15">
      <c r="A31" s="53" t="s">
        <v>276</v>
      </c>
      <c r="B31" s="54">
        <v>43.75</v>
      </c>
      <c r="C31" s="54">
        <v>35.40</v>
      </c>
      <c r="D31" s="54">
        <v>52.70</v>
      </c>
      <c r="E31" s="54">
        <v>4.51</v>
      </c>
      <c r="F31" s="54">
        <v>3.44</v>
      </c>
      <c r="G31" s="54">
        <v>103.56</v>
      </c>
      <c r="H31" s="54">
        <v>43.01</v>
      </c>
      <c r="I31" s="54">
        <v>1.56</v>
      </c>
      <c r="J31" s="54">
        <v>0.40</v>
      </c>
      <c r="K31" s="54">
        <v>98.53</v>
      </c>
      <c r="L31" s="54">
        <v>23.06</v>
      </c>
      <c r="M31" s="54">
        <v>46.03</v>
      </c>
      <c r="N31" s="54">
        <v>19.600000000000001</v>
      </c>
      <c r="O31" s="54">
        <v>0</v>
      </c>
      <c r="P31" s="54">
        <v>1.76</v>
      </c>
      <c r="Q31" s="54">
        <v>11.86</v>
      </c>
      <c r="R31" s="43"/>
      <c r="S31" s="43"/>
      <c r="T31" s="43"/>
      <c r="U31" s="43"/>
    </row>
    <row r="32" spans="1:21" s="11" customFormat="1" ht="15">
      <c r="A32" s="53" t="s">
        <v>277</v>
      </c>
      <c r="B32" s="54">
        <v>34.90</v>
      </c>
      <c r="C32" s="54">
        <v>34.090000000000003</v>
      </c>
      <c r="D32" s="54">
        <v>45.40</v>
      </c>
      <c r="E32" s="54">
        <v>4.12</v>
      </c>
      <c r="F32" s="54">
        <v>3.41</v>
      </c>
      <c r="G32" s="54">
        <v>101.53</v>
      </c>
      <c r="H32" s="54">
        <v>40.57</v>
      </c>
      <c r="I32" s="54">
        <v>1.54</v>
      </c>
      <c r="J32" s="54">
        <v>0.62</v>
      </c>
      <c r="K32" s="54">
        <v>96.19</v>
      </c>
      <c r="L32" s="54">
        <v>22.39</v>
      </c>
      <c r="M32" s="54">
        <v>47.54</v>
      </c>
      <c r="N32" s="54">
        <v>19.70</v>
      </c>
      <c r="O32" s="54">
        <v>0</v>
      </c>
      <c r="P32" s="54">
        <v>1.56</v>
      </c>
      <c r="Q32" s="54">
        <v>11.64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1.53</v>
      </c>
      <c r="C34" s="28">
        <f t="shared" si="0"/>
        <v>31.449999999999999</v>
      </c>
      <c r="D34" s="28">
        <f t="shared" si="0"/>
        <v>20.629999999999999</v>
      </c>
      <c r="E34" s="28">
        <f t="shared" si="0"/>
        <v>3.4199999999999999</v>
      </c>
      <c r="F34" s="28">
        <f t="shared" si="0"/>
        <v>3.3100000000000001</v>
      </c>
      <c r="G34" s="28">
        <f t="shared" si="0"/>
        <v>47.240000000000002</v>
      </c>
      <c r="H34" s="28">
        <f t="shared" si="0"/>
        <v>6.8399999999999999</v>
      </c>
      <c r="I34" s="28">
        <f t="shared" si="0"/>
        <v>1.47</v>
      </c>
      <c r="J34" s="28">
        <f t="shared" si="0"/>
        <v>0.23999999999999999</v>
      </c>
      <c r="K34" s="28">
        <f t="shared" si="0"/>
        <v>23.379999999999999</v>
      </c>
      <c r="L34" s="28">
        <f t="shared" si="0"/>
        <v>18.34</v>
      </c>
      <c r="M34" s="28">
        <f t="shared" si="0"/>
        <v>23.859999999999999</v>
      </c>
      <c r="N34" s="28">
        <f t="shared" si="0"/>
        <v>19.600000000000001</v>
      </c>
      <c r="O34" s="28">
        <f t="shared" si="0"/>
        <v>0</v>
      </c>
      <c r="P34" s="28">
        <f t="shared" si="0"/>
        <v>0.39000000000000001</v>
      </c>
      <c r="Q34" s="28">
        <f t="shared" si="0"/>
        <v>10.73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43.75</v>
      </c>
      <c r="C35" s="29">
        <f t="shared" si="1"/>
        <v>45.189999999999998</v>
      </c>
      <c r="D35" s="29">
        <f t="shared" si="1"/>
        <v>52.700000000000003</v>
      </c>
      <c r="E35" s="29">
        <f t="shared" si="1"/>
        <v>4.5099999999999998</v>
      </c>
      <c r="F35" s="29">
        <f t="shared" si="1"/>
        <v>5.8499999999999996</v>
      </c>
      <c r="G35" s="29">
        <f t="shared" si="1"/>
        <v>103.56</v>
      </c>
      <c r="H35" s="29">
        <f t="shared" si="1"/>
        <v>43.009999999999998</v>
      </c>
      <c r="I35" s="29">
        <f t="shared" si="1"/>
        <v>1.5900000000000001</v>
      </c>
      <c r="J35" s="29">
        <f t="shared" si="1"/>
        <v>1.3799999999999999</v>
      </c>
      <c r="K35" s="29">
        <f t="shared" si="1"/>
        <v>359.69</v>
      </c>
      <c r="L35" s="29">
        <f t="shared" si="1"/>
        <v>34.719999999999999</v>
      </c>
      <c r="M35" s="29">
        <f t="shared" si="1"/>
        <v>56</v>
      </c>
      <c r="N35" s="29">
        <f t="shared" si="1"/>
        <v>830.89999999999998</v>
      </c>
      <c r="O35" s="29">
        <f t="shared" si="1"/>
        <v>0</v>
      </c>
      <c r="P35" s="29">
        <f t="shared" si="1"/>
        <v>1.76</v>
      </c>
      <c r="Q35" s="29">
        <f t="shared" si="1"/>
        <v>11.859999999999999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13.884166666666667</v>
      </c>
      <c r="C36" s="28">
        <f t="shared" si="2"/>
        <v>37.229166666666664</v>
      </c>
      <c r="D36" s="28">
        <f t="shared" si="2"/>
        <v>30.10958333333333</v>
      </c>
      <c r="E36" s="28">
        <f t="shared" si="2"/>
        <v>3.8420833333333331</v>
      </c>
      <c r="F36" s="28">
        <f t="shared" si="2"/>
        <v>4.003750000000001</v>
      </c>
      <c r="G36" s="28">
        <f t="shared" si="2"/>
        <v>65.990833333333327</v>
      </c>
      <c r="H36" s="28">
        <f t="shared" si="2"/>
        <v>25.462083333333336</v>
      </c>
      <c r="I36" s="28">
        <f t="shared" si="2"/>
        <v>1.5408333333333335</v>
      </c>
      <c r="J36" s="28">
        <f t="shared" si="2"/>
        <v>0.79208333333333325</v>
      </c>
      <c r="K36" s="28">
        <f t="shared" si="2"/>
        <v>192.72916666666663</v>
      </c>
      <c r="L36" s="28">
        <f t="shared" si="2"/>
        <v>25.323749999999993</v>
      </c>
      <c r="M36" s="28">
        <f t="shared" si="2"/>
        <v>38.633749999999999</v>
      </c>
      <c r="N36" s="28">
        <f t="shared" si="2"/>
        <v>261.97083333333336</v>
      </c>
      <c r="O36" s="28">
        <f t="shared" si="2"/>
        <v>0</v>
      </c>
      <c r="P36" s="28">
        <f t="shared" si="2"/>
        <v>0.78000000000000014</v>
      </c>
      <c r="Q36" s="28">
        <f t="shared" si="2"/>
        <v>11.014583333333334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11.988642421118799</v>
      </c>
      <c r="C37" s="28">
        <f t="shared" si="3" ref="C37:Q37">STDEV(C9:C32)</f>
        <v>3.9745986033775913</v>
      </c>
      <c r="D37" s="28">
        <f t="shared" si="3"/>
        <v>8.8830485753908786</v>
      </c>
      <c r="E37" s="28">
        <f t="shared" si="3"/>
        <v>0.27638944116663677</v>
      </c>
      <c r="F37" s="28">
        <f t="shared" si="3"/>
        <v>0.84392876528150063</v>
      </c>
      <c r="G37" s="28">
        <f t="shared" si="3"/>
        <v>18.342826086527133</v>
      </c>
      <c r="H37" s="28">
        <f t="shared" si="3"/>
        <v>9.3215388630505807</v>
      </c>
      <c r="I37" s="28">
        <f t="shared" si="3"/>
        <v>0.035252710862973477</v>
      </c>
      <c r="J37" s="28">
        <f t="shared" si="3"/>
        <v>0.34305506170630823</v>
      </c>
      <c r="K37" s="28">
        <f t="shared" si="3"/>
        <v>144.21161148198814</v>
      </c>
      <c r="L37" s="28">
        <f t="shared" si="3"/>
        <v>4.8622126046732639</v>
      </c>
      <c r="M37" s="28">
        <f t="shared" si="3"/>
        <v>9.0612225936296529</v>
      </c>
      <c r="N37" s="28">
        <f t="shared" si="3"/>
        <v>319.74263764738998</v>
      </c>
      <c r="O37" s="28">
        <f t="shared" si="3"/>
        <v>0</v>
      </c>
      <c r="P37" s="28">
        <f t="shared" si="3"/>
        <v>0.44393497369498269</v>
      </c>
      <c r="Q37" s="28">
        <f t="shared" si="3"/>
        <v>0.29736493706740441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da8266-221c-42b1-a083-d016a5cc2399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278</v>
      </c>
      <c r="B9" s="54">
        <v>29.59</v>
      </c>
      <c r="C9" s="54">
        <v>33.659999999999997</v>
      </c>
      <c r="D9" s="54">
        <v>41.03</v>
      </c>
      <c r="E9" s="54">
        <v>4.3499999999999996</v>
      </c>
      <c r="F9" s="54">
        <v>3.30</v>
      </c>
      <c r="G9" s="54">
        <v>87.35</v>
      </c>
      <c r="H9" s="54">
        <v>23.97</v>
      </c>
      <c r="I9" s="54">
        <v>1.53</v>
      </c>
      <c r="J9" s="54">
        <v>1.59</v>
      </c>
      <c r="K9" s="54">
        <v>102.47</v>
      </c>
      <c r="L9" s="54">
        <v>22.31</v>
      </c>
      <c r="M9" s="54">
        <v>48.79</v>
      </c>
      <c r="N9" s="54">
        <v>19.600000000000001</v>
      </c>
      <c r="O9" s="54">
        <v>0</v>
      </c>
      <c r="P9" s="54">
        <v>1.45</v>
      </c>
      <c r="Q9" s="54">
        <v>11.61</v>
      </c>
      <c r="R9" s="43"/>
      <c r="S9" s="43"/>
      <c r="T9" s="43"/>
      <c r="U9" s="43"/>
    </row>
    <row r="10" spans="1:21" s="11" customFormat="1" ht="15">
      <c r="A10" s="53" t="s">
        <v>279</v>
      </c>
      <c r="B10" s="54">
        <v>20.25</v>
      </c>
      <c r="C10" s="54">
        <v>38.68</v>
      </c>
      <c r="D10" s="54">
        <v>34.51</v>
      </c>
      <c r="E10" s="54">
        <v>4.1500000000000004</v>
      </c>
      <c r="F10" s="54">
        <v>3.68</v>
      </c>
      <c r="G10" s="54">
        <v>74.38</v>
      </c>
      <c r="H10" s="54">
        <v>17.16</v>
      </c>
      <c r="I10" s="54">
        <v>1.55</v>
      </c>
      <c r="J10" s="54">
        <v>0.56999999999999995</v>
      </c>
      <c r="K10" s="54">
        <v>83.32</v>
      </c>
      <c r="L10" s="54">
        <v>21.80</v>
      </c>
      <c r="M10" s="54">
        <v>52.35</v>
      </c>
      <c r="N10" s="54">
        <v>19.80</v>
      </c>
      <c r="O10" s="54">
        <v>0</v>
      </c>
      <c r="P10" s="54">
        <v>1.1100000000000001</v>
      </c>
      <c r="Q10" s="54">
        <v>11.43</v>
      </c>
      <c r="R10" s="43"/>
      <c r="S10" s="43"/>
      <c r="T10" s="43"/>
      <c r="U10" s="43"/>
    </row>
    <row r="11" spans="1:21" s="11" customFormat="1" ht="15">
      <c r="A11" s="53" t="s">
        <v>280</v>
      </c>
      <c r="B11" s="54">
        <v>9.9499999999999993</v>
      </c>
      <c r="C11" s="54">
        <v>40.42</v>
      </c>
      <c r="D11" s="54">
        <v>28.54</v>
      </c>
      <c r="E11" s="54">
        <v>4.0599999999999996</v>
      </c>
      <c r="F11" s="54">
        <v>4.07</v>
      </c>
      <c r="G11" s="54">
        <v>68.180000000000007</v>
      </c>
      <c r="H11" s="54">
        <v>37.229999999999997</v>
      </c>
      <c r="I11" s="54">
        <v>1.56</v>
      </c>
      <c r="J11" s="54">
        <v>0.43</v>
      </c>
      <c r="K11" s="54">
        <v>90.72</v>
      </c>
      <c r="L11" s="54">
        <v>20.99</v>
      </c>
      <c r="M11" s="54">
        <v>56.14</v>
      </c>
      <c r="N11" s="54">
        <v>19.80</v>
      </c>
      <c r="O11" s="54">
        <v>0</v>
      </c>
      <c r="P11" s="54">
        <v>0.95</v>
      </c>
      <c r="Q11" s="54">
        <v>11.20</v>
      </c>
      <c r="R11" s="43"/>
      <c r="S11" s="43"/>
      <c r="T11" s="43"/>
      <c r="U11" s="43"/>
    </row>
    <row r="12" spans="1:21" s="11" customFormat="1" ht="15">
      <c r="A12" s="53" t="s">
        <v>281</v>
      </c>
      <c r="B12" s="54">
        <v>4.91</v>
      </c>
      <c r="C12" s="54">
        <v>39.67</v>
      </c>
      <c r="D12" s="54">
        <v>24.67</v>
      </c>
      <c r="E12" s="54">
        <v>4.07</v>
      </c>
      <c r="F12" s="54">
        <v>3.93</v>
      </c>
      <c r="G12" s="54">
        <v>62.07</v>
      </c>
      <c r="H12" s="54">
        <v>37.229999999999997</v>
      </c>
      <c r="I12" s="54">
        <v>1.52</v>
      </c>
      <c r="J12" s="54">
        <v>0.70</v>
      </c>
      <c r="K12" s="54">
        <v>358.20</v>
      </c>
      <c r="L12" s="54">
        <v>20.16</v>
      </c>
      <c r="M12" s="54">
        <v>53.36</v>
      </c>
      <c r="N12" s="54">
        <v>19.600000000000001</v>
      </c>
      <c r="O12" s="54">
        <v>0</v>
      </c>
      <c r="P12" s="54">
        <v>0.77</v>
      </c>
      <c r="Q12" s="54">
        <v>11</v>
      </c>
      <c r="R12" s="43"/>
      <c r="S12" s="43"/>
      <c r="T12" s="43"/>
      <c r="U12" s="43"/>
    </row>
    <row r="13" spans="1:21" s="11" customFormat="1" ht="15">
      <c r="A13" s="53" t="s">
        <v>282</v>
      </c>
      <c r="B13" s="54">
        <v>4.9400000000000004</v>
      </c>
      <c r="C13" s="54">
        <v>36.31</v>
      </c>
      <c r="D13" s="54">
        <v>22.93</v>
      </c>
      <c r="E13" s="54">
        <v>3.77</v>
      </c>
      <c r="F13" s="54">
        <v>3.93</v>
      </c>
      <c r="G13" s="54">
        <v>62.07</v>
      </c>
      <c r="H13" s="54">
        <v>35.24</v>
      </c>
      <c r="I13" s="54">
        <v>1.52</v>
      </c>
      <c r="J13" s="54">
        <v>0.85</v>
      </c>
      <c r="K13" s="54">
        <v>358.32</v>
      </c>
      <c r="L13" s="54">
        <v>19.48</v>
      </c>
      <c r="M13" s="54">
        <v>52.57</v>
      </c>
      <c r="N13" s="54">
        <v>19.70</v>
      </c>
      <c r="O13" s="54">
        <v>0</v>
      </c>
      <c r="P13" s="54">
        <v>0.66</v>
      </c>
      <c r="Q13" s="54">
        <v>10.98</v>
      </c>
      <c r="R13" s="43"/>
      <c r="S13" s="43"/>
      <c r="T13" s="43"/>
      <c r="U13" s="43"/>
    </row>
    <row r="14" spans="1:21" s="11" customFormat="1" ht="15">
      <c r="A14" s="53" t="s">
        <v>283</v>
      </c>
      <c r="B14" s="54">
        <v>8.27</v>
      </c>
      <c r="C14" s="54">
        <v>36.299999999999997</v>
      </c>
      <c r="D14" s="54">
        <v>25.47</v>
      </c>
      <c r="E14" s="54">
        <v>4.20</v>
      </c>
      <c r="F14" s="54">
        <v>3.60</v>
      </c>
      <c r="G14" s="54">
        <v>72.650000000000006</v>
      </c>
      <c r="H14" s="54">
        <v>33.200000000000003</v>
      </c>
      <c r="I14" s="54">
        <v>1.56</v>
      </c>
      <c r="J14" s="54">
        <v>0.85</v>
      </c>
      <c r="K14" s="54">
        <v>356.78</v>
      </c>
      <c r="L14" s="54">
        <v>19.14</v>
      </c>
      <c r="M14" s="54">
        <v>54.04</v>
      </c>
      <c r="N14" s="54">
        <v>20.30</v>
      </c>
      <c r="O14" s="54">
        <v>0</v>
      </c>
      <c r="P14" s="54">
        <v>0.64</v>
      </c>
      <c r="Q14" s="54">
        <v>11.03</v>
      </c>
      <c r="R14" s="43"/>
      <c r="S14" s="43"/>
      <c r="T14" s="43"/>
      <c r="U14" s="43"/>
    </row>
    <row r="15" spans="1:21" s="11" customFormat="1" ht="15">
      <c r="A15" s="53" t="s">
        <v>284</v>
      </c>
      <c r="B15" s="54">
        <v>13.60</v>
      </c>
      <c r="C15" s="54">
        <v>36.19</v>
      </c>
      <c r="D15" s="54">
        <v>29.53</v>
      </c>
      <c r="E15" s="54">
        <v>4.38</v>
      </c>
      <c r="F15" s="54">
        <v>3.13</v>
      </c>
      <c r="G15" s="54">
        <v>94.29</v>
      </c>
      <c r="H15" s="54">
        <v>33.200000000000003</v>
      </c>
      <c r="I15" s="54">
        <v>1.53</v>
      </c>
      <c r="J15" s="54">
        <v>0.68</v>
      </c>
      <c r="K15" s="54">
        <v>354.75</v>
      </c>
      <c r="L15" s="54">
        <v>19.600000000000001</v>
      </c>
      <c r="M15" s="54">
        <v>54.95</v>
      </c>
      <c r="N15" s="54">
        <v>101.60</v>
      </c>
      <c r="O15" s="54">
        <v>0</v>
      </c>
      <c r="P15" s="54">
        <v>0.68</v>
      </c>
      <c r="Q15" s="54">
        <v>11.01</v>
      </c>
      <c r="R15" s="43"/>
      <c r="S15" s="43"/>
      <c r="T15" s="43"/>
      <c r="U15" s="43"/>
    </row>
    <row r="16" spans="1:21" s="11" customFormat="1" ht="15">
      <c r="A16" s="53" t="s">
        <v>285</v>
      </c>
      <c r="B16" s="54">
        <v>15.12</v>
      </c>
      <c r="C16" s="54">
        <v>35.520000000000003</v>
      </c>
      <c r="D16" s="54">
        <v>30.57</v>
      </c>
      <c r="E16" s="54">
        <v>4.22</v>
      </c>
      <c r="F16" s="54">
        <v>3.46</v>
      </c>
      <c r="G16" s="54">
        <v>94.29</v>
      </c>
      <c r="H16" s="54">
        <v>12.62</v>
      </c>
      <c r="I16" s="54">
        <v>1.57</v>
      </c>
      <c r="J16" s="54">
        <v>0.52</v>
      </c>
      <c r="K16" s="54">
        <v>87.95</v>
      </c>
      <c r="L16" s="54">
        <v>22.73</v>
      </c>
      <c r="M16" s="54">
        <v>46.99</v>
      </c>
      <c r="N16" s="54">
        <v>312.39999999999998</v>
      </c>
      <c r="O16" s="54">
        <v>0</v>
      </c>
      <c r="P16" s="54">
        <v>0.77</v>
      </c>
      <c r="Q16" s="54">
        <v>11.05</v>
      </c>
      <c r="R16" s="43"/>
      <c r="S16" s="43"/>
      <c r="T16" s="43"/>
      <c r="U16" s="43"/>
    </row>
    <row r="17" spans="1:21" s="11" customFormat="1" ht="15">
      <c r="A17" s="53" t="s">
        <v>286</v>
      </c>
      <c r="B17" s="54">
        <v>15.20</v>
      </c>
      <c r="C17" s="54">
        <v>35.35</v>
      </c>
      <c r="D17" s="54">
        <v>30.56</v>
      </c>
      <c r="E17" s="54">
        <v>3.91</v>
      </c>
      <c r="F17" s="54">
        <v>3.29</v>
      </c>
      <c r="G17" s="57" t="s">
        <v>14</v>
      </c>
      <c r="H17" s="57" t="s">
        <v>14</v>
      </c>
      <c r="I17" s="54">
        <v>1.55</v>
      </c>
      <c r="J17" s="54">
        <v>0.82</v>
      </c>
      <c r="K17" s="54">
        <v>69.37</v>
      </c>
      <c r="L17" s="54">
        <v>28.61</v>
      </c>
      <c r="M17" s="54">
        <v>39.40</v>
      </c>
      <c r="N17" s="54">
        <v>506.80</v>
      </c>
      <c r="O17" s="54">
        <v>0</v>
      </c>
      <c r="P17" s="54">
        <v>0.74</v>
      </c>
      <c r="Q17" s="54">
        <v>11.06</v>
      </c>
      <c r="R17" s="43"/>
      <c r="S17" s="43"/>
      <c r="T17" s="43"/>
      <c r="U17" s="43"/>
    </row>
    <row r="18" spans="1:21" s="11" customFormat="1" ht="15">
      <c r="A18" s="53" t="s">
        <v>287</v>
      </c>
      <c r="B18" s="54">
        <v>14.27</v>
      </c>
      <c r="C18" s="54">
        <v>36.94</v>
      </c>
      <c r="D18" s="54">
        <v>30.14</v>
      </c>
      <c r="E18" s="54">
        <v>3.92</v>
      </c>
      <c r="F18" s="54">
        <v>3.34</v>
      </c>
      <c r="G18" s="57" t="s">
        <v>14</v>
      </c>
      <c r="H18" s="57" t="s">
        <v>14</v>
      </c>
      <c r="I18" s="54">
        <v>1.53</v>
      </c>
      <c r="J18" s="54">
        <v>0.56999999999999995</v>
      </c>
      <c r="K18" s="54">
        <v>340.47</v>
      </c>
      <c r="L18" s="54">
        <v>32.69</v>
      </c>
      <c r="M18" s="54">
        <v>30.33</v>
      </c>
      <c r="N18" s="54">
        <v>682.30</v>
      </c>
      <c r="O18" s="54">
        <v>0</v>
      </c>
      <c r="P18" s="54">
        <v>0.71</v>
      </c>
      <c r="Q18" s="54">
        <v>11.11</v>
      </c>
      <c r="R18" s="43"/>
      <c r="S18" s="43"/>
      <c r="T18" s="43"/>
      <c r="U18" s="43"/>
    </row>
    <row r="19" spans="1:21" s="11" customFormat="1" ht="15">
      <c r="A19" s="53" t="s">
        <v>288</v>
      </c>
      <c r="B19" s="54">
        <v>11.09</v>
      </c>
      <c r="C19" s="54">
        <v>42.70</v>
      </c>
      <c r="D19" s="54">
        <v>28.44</v>
      </c>
      <c r="E19" s="54">
        <v>4.1100000000000003</v>
      </c>
      <c r="F19" s="54">
        <v>4.1100000000000003</v>
      </c>
      <c r="G19" s="57" t="s">
        <v>14</v>
      </c>
      <c r="H19" s="57" t="s">
        <v>14</v>
      </c>
      <c r="I19" s="54">
        <v>1.59</v>
      </c>
      <c r="J19" s="54">
        <v>0.80</v>
      </c>
      <c r="K19" s="54">
        <v>348</v>
      </c>
      <c r="L19" s="54">
        <v>35.22</v>
      </c>
      <c r="M19" s="54">
        <v>30.65</v>
      </c>
      <c r="N19" s="54">
        <v>782</v>
      </c>
      <c r="O19" s="54">
        <v>0</v>
      </c>
      <c r="P19" s="54">
        <v>0.70</v>
      </c>
      <c r="Q19" s="54">
        <v>11.07</v>
      </c>
      <c r="R19" s="43"/>
      <c r="S19" s="43"/>
      <c r="T19" s="43"/>
      <c r="U19" s="43"/>
    </row>
    <row r="20" spans="1:21" s="11" customFormat="1" ht="15">
      <c r="A20" s="53" t="s">
        <v>289</v>
      </c>
      <c r="B20" s="54">
        <v>5.53</v>
      </c>
      <c r="C20" s="54">
        <v>46.30</v>
      </c>
      <c r="D20" s="54">
        <v>27.56</v>
      </c>
      <c r="E20" s="54">
        <v>4.28</v>
      </c>
      <c r="F20" s="54">
        <v>4.87</v>
      </c>
      <c r="G20" s="57" t="s">
        <v>14</v>
      </c>
      <c r="H20" s="57" t="s">
        <v>14</v>
      </c>
      <c r="I20" s="54">
        <v>1.55</v>
      </c>
      <c r="J20" s="54">
        <v>0.67</v>
      </c>
      <c r="K20" s="54">
        <v>337.56</v>
      </c>
      <c r="L20" s="54">
        <v>35.71</v>
      </c>
      <c r="M20" s="54">
        <v>28.97</v>
      </c>
      <c r="N20" s="54">
        <v>796.5</v>
      </c>
      <c r="O20" s="54">
        <v>0</v>
      </c>
      <c r="P20" s="54">
        <v>0.70</v>
      </c>
      <c r="Q20" s="54">
        <v>10.96</v>
      </c>
      <c r="R20" s="43"/>
      <c r="S20" s="43"/>
      <c r="T20" s="43"/>
      <c r="U20" s="43"/>
    </row>
    <row r="21" spans="1:21" s="11" customFormat="1" ht="15">
      <c r="A21" s="53" t="s">
        <v>290</v>
      </c>
      <c r="B21" s="54">
        <v>2.0699999999999998</v>
      </c>
      <c r="C21" s="54">
        <v>45.51</v>
      </c>
      <c r="D21" s="54">
        <v>25.44</v>
      </c>
      <c r="E21" s="54">
        <v>3.48</v>
      </c>
      <c r="F21" s="54">
        <v>5.92</v>
      </c>
      <c r="G21" s="54">
        <v>75.260000000000005</v>
      </c>
      <c r="H21" s="54">
        <v>25.49</v>
      </c>
      <c r="I21" s="54">
        <v>1.56</v>
      </c>
      <c r="J21" s="54">
        <v>0.26</v>
      </c>
      <c r="K21" s="54">
        <v>352.25</v>
      </c>
      <c r="L21" s="54">
        <v>33.409999999999997</v>
      </c>
      <c r="M21" s="54">
        <v>25.80</v>
      </c>
      <c r="N21" s="54">
        <v>787.20</v>
      </c>
      <c r="O21" s="54">
        <v>0</v>
      </c>
      <c r="P21" s="54">
        <v>0.68</v>
      </c>
      <c r="Q21" s="54">
        <v>10.89</v>
      </c>
      <c r="R21" s="43"/>
      <c r="S21" s="43"/>
      <c r="T21" s="43"/>
      <c r="U21" s="43"/>
    </row>
    <row r="22" spans="1:21" s="11" customFormat="1" ht="15">
      <c r="A22" s="53" t="s">
        <v>291</v>
      </c>
      <c r="B22" s="54">
        <v>1.23</v>
      </c>
      <c r="C22" s="54">
        <v>42.33</v>
      </c>
      <c r="D22" s="54">
        <v>23.10</v>
      </c>
      <c r="E22" s="54">
        <v>3.69</v>
      </c>
      <c r="F22" s="54">
        <v>6.83</v>
      </c>
      <c r="G22" s="54">
        <v>70.459999999999994</v>
      </c>
      <c r="H22" s="54">
        <v>29.28</v>
      </c>
      <c r="I22" s="54">
        <v>1.56</v>
      </c>
      <c r="J22" s="54">
        <v>1.24</v>
      </c>
      <c r="K22" s="54">
        <v>193.41</v>
      </c>
      <c r="L22" s="54">
        <v>32.200000000000003</v>
      </c>
      <c r="M22" s="54">
        <v>24.40</v>
      </c>
      <c r="N22" s="54">
        <v>769.10</v>
      </c>
      <c r="O22" s="54">
        <v>0</v>
      </c>
      <c r="P22" s="54">
        <v>0.56999999999999995</v>
      </c>
      <c r="Q22" s="54">
        <v>10.90</v>
      </c>
      <c r="R22" s="43"/>
      <c r="S22" s="43"/>
      <c r="T22" s="43"/>
      <c r="U22" s="43"/>
    </row>
    <row r="23" spans="1:21" s="11" customFormat="1" ht="15">
      <c r="A23" s="53" t="s">
        <v>292</v>
      </c>
      <c r="B23" s="54">
        <v>1.29</v>
      </c>
      <c r="C23" s="54">
        <v>37.729999999999997</v>
      </c>
      <c r="D23" s="54">
        <v>20.62</v>
      </c>
      <c r="E23" s="54">
        <v>3.23</v>
      </c>
      <c r="F23" s="54">
        <v>6.14</v>
      </c>
      <c r="G23" s="54">
        <v>61.44</v>
      </c>
      <c r="H23" s="54">
        <v>29.28</v>
      </c>
      <c r="I23" s="54">
        <v>1.56</v>
      </c>
      <c r="J23" s="54">
        <v>0.99</v>
      </c>
      <c r="K23" s="54">
        <v>351.93</v>
      </c>
      <c r="L23" s="54">
        <v>33.729999999999997</v>
      </c>
      <c r="M23" s="54">
        <v>23.53</v>
      </c>
      <c r="N23" s="54">
        <v>618.20000000000005</v>
      </c>
      <c r="O23" s="54">
        <v>0</v>
      </c>
      <c r="P23" s="54">
        <v>0.5</v>
      </c>
      <c r="Q23" s="54">
        <v>10.83</v>
      </c>
      <c r="R23" s="43"/>
      <c r="S23" s="43"/>
      <c r="T23" s="43"/>
      <c r="U23" s="43"/>
    </row>
    <row r="24" spans="1:21" s="11" customFormat="1" ht="15">
      <c r="A24" s="53" t="s">
        <v>293</v>
      </c>
      <c r="B24" s="54">
        <v>1.1599999999999999</v>
      </c>
      <c r="C24" s="54">
        <v>35.99</v>
      </c>
      <c r="D24" s="54">
        <v>19.73</v>
      </c>
      <c r="E24" s="54">
        <v>3.60</v>
      </c>
      <c r="F24" s="54">
        <v>6.07</v>
      </c>
      <c r="G24" s="54">
        <v>55.15</v>
      </c>
      <c r="H24" s="54">
        <v>22.44</v>
      </c>
      <c r="I24" s="54">
        <v>1.56</v>
      </c>
      <c r="J24" s="54">
        <v>1.05</v>
      </c>
      <c r="K24" s="54">
        <v>356.41</v>
      </c>
      <c r="L24" s="54">
        <v>32.04</v>
      </c>
      <c r="M24" s="54">
        <v>24.83</v>
      </c>
      <c r="N24" s="54">
        <v>243.30</v>
      </c>
      <c r="O24" s="54">
        <v>0</v>
      </c>
      <c r="P24" s="54">
        <v>0.47</v>
      </c>
      <c r="Q24" s="54">
        <v>10.74</v>
      </c>
      <c r="R24" s="43"/>
      <c r="S24" s="43"/>
      <c r="T24" s="43"/>
      <c r="U24" s="43"/>
    </row>
    <row r="25" spans="1:21" s="11" customFormat="1" ht="15">
      <c r="A25" s="53" t="s">
        <v>294</v>
      </c>
      <c r="B25" s="54">
        <v>1.40</v>
      </c>
      <c r="C25" s="54">
        <v>38.72</v>
      </c>
      <c r="D25" s="54">
        <v>21.16</v>
      </c>
      <c r="E25" s="54">
        <v>4.05</v>
      </c>
      <c r="F25" s="54">
        <v>6.56</v>
      </c>
      <c r="G25" s="54">
        <v>53.88</v>
      </c>
      <c r="H25" s="54">
        <v>29.29</v>
      </c>
      <c r="I25" s="54">
        <v>1.59</v>
      </c>
      <c r="J25" s="54">
        <v>0.85</v>
      </c>
      <c r="K25" s="54">
        <v>344.66</v>
      </c>
      <c r="L25" s="54">
        <v>32.15</v>
      </c>
      <c r="M25" s="54">
        <v>26.81</v>
      </c>
      <c r="N25" s="54">
        <v>186.60</v>
      </c>
      <c r="O25" s="54">
        <v>0</v>
      </c>
      <c r="P25" s="54">
        <v>0.51</v>
      </c>
      <c r="Q25" s="54">
        <v>10.72</v>
      </c>
      <c r="R25" s="43"/>
      <c r="S25" s="43"/>
      <c r="T25" s="43"/>
      <c r="U25" s="43"/>
    </row>
    <row r="26" spans="1:21" s="11" customFormat="1" ht="15">
      <c r="A26" s="53" t="s">
        <v>295</v>
      </c>
      <c r="B26" s="54">
        <v>1.78</v>
      </c>
      <c r="C26" s="54">
        <v>42.77</v>
      </c>
      <c r="D26" s="54">
        <v>23.77</v>
      </c>
      <c r="E26" s="54">
        <v>3.98</v>
      </c>
      <c r="F26" s="54">
        <v>6.30</v>
      </c>
      <c r="G26" s="54">
        <v>59.79</v>
      </c>
      <c r="H26" s="54">
        <v>29.29</v>
      </c>
      <c r="I26" s="54">
        <v>1.57</v>
      </c>
      <c r="J26" s="54">
        <v>0.71</v>
      </c>
      <c r="K26" s="54">
        <v>356.35</v>
      </c>
      <c r="L26" s="54">
        <v>30.55</v>
      </c>
      <c r="M26" s="54">
        <v>30.30</v>
      </c>
      <c r="N26" s="54">
        <v>63.5</v>
      </c>
      <c r="O26" s="54">
        <v>0</v>
      </c>
      <c r="P26" s="54">
        <v>0.68</v>
      </c>
      <c r="Q26" s="54">
        <v>10.80</v>
      </c>
      <c r="R26" s="43"/>
      <c r="S26" s="43"/>
      <c r="T26" s="43"/>
      <c r="U26" s="43"/>
    </row>
    <row r="27" spans="1:21" s="11" customFormat="1" ht="15">
      <c r="A27" s="53" t="s">
        <v>296</v>
      </c>
      <c r="B27" s="54">
        <v>3.03</v>
      </c>
      <c r="C27" s="54">
        <v>45.27</v>
      </c>
      <c r="D27" s="54">
        <v>26.02</v>
      </c>
      <c r="E27" s="54">
        <v>4</v>
      </c>
      <c r="F27" s="54">
        <v>4.41</v>
      </c>
      <c r="G27" s="54">
        <v>75.23</v>
      </c>
      <c r="H27" s="54">
        <v>37.54</v>
      </c>
      <c r="I27" s="54">
        <v>1.55</v>
      </c>
      <c r="J27" s="54">
        <v>0.60</v>
      </c>
      <c r="K27" s="54">
        <v>357.19</v>
      </c>
      <c r="L27" s="54">
        <v>28.43</v>
      </c>
      <c r="M27" s="54">
        <v>35.24</v>
      </c>
      <c r="N27" s="54">
        <v>20.5</v>
      </c>
      <c r="O27" s="54">
        <v>0</v>
      </c>
      <c r="P27" s="54">
        <v>0.91</v>
      </c>
      <c r="Q27" s="54">
        <v>10.92</v>
      </c>
      <c r="R27" s="43"/>
      <c r="S27" s="43"/>
      <c r="T27" s="43"/>
      <c r="U27" s="43"/>
    </row>
    <row r="28" spans="1:21" s="11" customFormat="1" ht="15">
      <c r="A28" s="53" t="s">
        <v>297</v>
      </c>
      <c r="B28" s="54">
        <v>4.1900000000000004</v>
      </c>
      <c r="C28" s="54">
        <v>47.65</v>
      </c>
      <c r="D28" s="54">
        <v>28.09</v>
      </c>
      <c r="E28" s="54">
        <v>3.99</v>
      </c>
      <c r="F28" s="54">
        <v>4.07</v>
      </c>
      <c r="G28" s="54">
        <v>89.06</v>
      </c>
      <c r="H28" s="54">
        <v>45.65</v>
      </c>
      <c r="I28" s="54">
        <v>1.49</v>
      </c>
      <c r="J28" s="54">
        <v>0.65</v>
      </c>
      <c r="K28" s="54">
        <v>88.31</v>
      </c>
      <c r="L28" s="54">
        <v>26.46</v>
      </c>
      <c r="M28" s="54">
        <v>36.81</v>
      </c>
      <c r="N28" s="54">
        <v>19.600000000000001</v>
      </c>
      <c r="O28" s="54">
        <v>0</v>
      </c>
      <c r="P28" s="54">
        <v>1.02</v>
      </c>
      <c r="Q28" s="54">
        <v>10.97</v>
      </c>
      <c r="R28" s="43"/>
      <c r="S28" s="43"/>
      <c r="T28" s="43"/>
      <c r="U28" s="43"/>
    </row>
    <row r="29" spans="1:21" s="11" customFormat="1" ht="15">
      <c r="A29" s="53" t="s">
        <v>298</v>
      </c>
      <c r="B29" s="54">
        <v>3.55</v>
      </c>
      <c r="C29" s="54">
        <v>47.37</v>
      </c>
      <c r="D29" s="54">
        <v>27.43</v>
      </c>
      <c r="E29" s="54">
        <v>3.03</v>
      </c>
      <c r="F29" s="54">
        <v>4.6500000000000004</v>
      </c>
      <c r="G29" s="54">
        <v>89.06</v>
      </c>
      <c r="H29" s="54">
        <v>45.65</v>
      </c>
      <c r="I29" s="54">
        <v>1.53</v>
      </c>
      <c r="J29" s="54">
        <v>0.94</v>
      </c>
      <c r="K29" s="54">
        <v>102.31</v>
      </c>
      <c r="L29" s="54">
        <v>26.43</v>
      </c>
      <c r="M29" s="54">
        <v>38.090000000000003</v>
      </c>
      <c r="N29" s="54">
        <v>19.100000000000001</v>
      </c>
      <c r="O29" s="54">
        <v>0</v>
      </c>
      <c r="P29" s="54">
        <v>1.06</v>
      </c>
      <c r="Q29" s="54">
        <v>10.96</v>
      </c>
      <c r="R29" s="43"/>
      <c r="S29" s="43"/>
      <c r="T29" s="43"/>
      <c r="U29" s="43"/>
    </row>
    <row r="30" spans="1:21" s="11" customFormat="1" ht="15">
      <c r="A30" s="53" t="s">
        <v>299</v>
      </c>
      <c r="B30" s="54">
        <v>5.74</v>
      </c>
      <c r="C30" s="54">
        <v>48.27</v>
      </c>
      <c r="D30" s="54">
        <v>29.83</v>
      </c>
      <c r="E30" s="54">
        <v>2.70</v>
      </c>
      <c r="F30" s="54">
        <v>3.80</v>
      </c>
      <c r="G30" s="54">
        <v>83.30</v>
      </c>
      <c r="H30" s="54">
        <v>28.92</v>
      </c>
      <c r="I30" s="54">
        <v>1.52</v>
      </c>
      <c r="J30" s="54">
        <v>0.40</v>
      </c>
      <c r="K30" s="54">
        <v>95.59</v>
      </c>
      <c r="L30" s="54">
        <v>25.67</v>
      </c>
      <c r="M30" s="54">
        <v>39.32</v>
      </c>
      <c r="N30" s="54">
        <v>19.20</v>
      </c>
      <c r="O30" s="54">
        <v>0</v>
      </c>
      <c r="P30" s="54">
        <v>1.08</v>
      </c>
      <c r="Q30" s="54">
        <v>11</v>
      </c>
      <c r="R30" s="43"/>
      <c r="S30" s="43"/>
      <c r="T30" s="43"/>
      <c r="U30" s="43"/>
    </row>
    <row r="31" spans="1:21" s="11" customFormat="1" ht="15">
      <c r="A31" s="53" t="s">
        <v>300</v>
      </c>
      <c r="B31" s="54">
        <v>4.97</v>
      </c>
      <c r="C31" s="54">
        <v>46.74</v>
      </c>
      <c r="D31" s="54">
        <v>28.40</v>
      </c>
      <c r="E31" s="54">
        <v>2.85</v>
      </c>
      <c r="F31" s="54">
        <v>4.0199999999999996</v>
      </c>
      <c r="G31" s="54">
        <v>86.42</v>
      </c>
      <c r="H31" s="54">
        <v>51.02</v>
      </c>
      <c r="I31" s="54">
        <v>1.55</v>
      </c>
      <c r="J31" s="54">
        <v>0.70</v>
      </c>
      <c r="K31" s="54">
        <v>93.29</v>
      </c>
      <c r="L31" s="54">
        <v>25.43</v>
      </c>
      <c r="M31" s="54">
        <v>39.78</v>
      </c>
      <c r="N31" s="54">
        <v>18.899999999999999</v>
      </c>
      <c r="O31" s="54">
        <v>0</v>
      </c>
      <c r="P31" s="54">
        <v>1</v>
      </c>
      <c r="Q31" s="54">
        <v>11.05</v>
      </c>
      <c r="R31" s="43"/>
      <c r="S31" s="43"/>
      <c r="T31" s="43"/>
      <c r="U31" s="43"/>
    </row>
    <row r="32" spans="1:21" s="11" customFormat="1" ht="15">
      <c r="A32" s="53" t="s">
        <v>301</v>
      </c>
      <c r="B32" s="54">
        <v>4.3499999999999996</v>
      </c>
      <c r="C32" s="54">
        <v>43.07</v>
      </c>
      <c r="D32" s="54">
        <v>25.99</v>
      </c>
      <c r="E32" s="54">
        <v>4.97</v>
      </c>
      <c r="F32" s="54">
        <v>3.94</v>
      </c>
      <c r="G32" s="54">
        <v>86.42</v>
      </c>
      <c r="H32" s="54">
        <v>51.02</v>
      </c>
      <c r="I32" s="54">
        <v>1.58</v>
      </c>
      <c r="J32" s="54">
        <v>0.86</v>
      </c>
      <c r="K32" s="54">
        <v>187.35</v>
      </c>
      <c r="L32" s="54">
        <v>24.99</v>
      </c>
      <c r="M32" s="54">
        <v>41.97</v>
      </c>
      <c r="N32" s="54">
        <v>19.399999999999999</v>
      </c>
      <c r="O32" s="54">
        <v>0</v>
      </c>
      <c r="P32" s="54">
        <v>0.93</v>
      </c>
      <c r="Q32" s="54">
        <v>11.08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1.1599999999999999</v>
      </c>
      <c r="C34" s="28">
        <f t="shared" si="0"/>
        <v>33.659999999999997</v>
      </c>
      <c r="D34" s="28">
        <f t="shared" si="0"/>
        <v>19.73</v>
      </c>
      <c r="E34" s="28">
        <f t="shared" si="0"/>
        <v>2.7000000000000002</v>
      </c>
      <c r="F34" s="28">
        <f t="shared" si="0"/>
        <v>3.1299999999999999</v>
      </c>
      <c r="G34" s="28">
        <f t="shared" si="0"/>
        <v>53.880000000000003</v>
      </c>
      <c r="H34" s="28">
        <f t="shared" si="0"/>
        <v>12.619999999999999</v>
      </c>
      <c r="I34" s="28">
        <f t="shared" si="0"/>
        <v>1.49</v>
      </c>
      <c r="J34" s="28">
        <f t="shared" si="0"/>
        <v>0.26000000000000001</v>
      </c>
      <c r="K34" s="28">
        <f t="shared" si="0"/>
        <v>69.370000000000005</v>
      </c>
      <c r="L34" s="28">
        <f t="shared" si="0"/>
        <v>19.140000000000001</v>
      </c>
      <c r="M34" s="28">
        <f t="shared" si="0"/>
        <v>23.530000000000001</v>
      </c>
      <c r="N34" s="28">
        <f t="shared" si="0"/>
        <v>18.899999999999999</v>
      </c>
      <c r="O34" s="28">
        <f t="shared" si="0"/>
        <v>0</v>
      </c>
      <c r="P34" s="28">
        <f t="shared" si="0"/>
        <v>0.46999999999999997</v>
      </c>
      <c r="Q34" s="28">
        <f t="shared" si="0"/>
        <v>10.720000000000001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29.59</v>
      </c>
      <c r="C35" s="29">
        <f t="shared" si="1"/>
        <v>48.270000000000003</v>
      </c>
      <c r="D35" s="29">
        <f t="shared" si="1"/>
        <v>41.030000000000001</v>
      </c>
      <c r="E35" s="29">
        <f t="shared" si="1"/>
        <v>4.9699999999999998</v>
      </c>
      <c r="F35" s="29">
        <f t="shared" si="1"/>
        <v>6.8300000000000001</v>
      </c>
      <c r="G35" s="29">
        <f t="shared" si="1"/>
        <v>94.290000000000006</v>
      </c>
      <c r="H35" s="29">
        <f t="shared" si="1"/>
        <v>51.020000000000003</v>
      </c>
      <c r="I35" s="29">
        <f t="shared" si="1"/>
        <v>1.5900000000000001</v>
      </c>
      <c r="J35" s="29">
        <f t="shared" si="1"/>
        <v>1.5900000000000001</v>
      </c>
      <c r="K35" s="29">
        <f t="shared" si="1"/>
        <v>358.31999999999999</v>
      </c>
      <c r="L35" s="29">
        <f t="shared" si="1"/>
        <v>35.710000000000001</v>
      </c>
      <c r="M35" s="29">
        <f t="shared" si="1"/>
        <v>56.140000000000001</v>
      </c>
      <c r="N35" s="29">
        <f t="shared" si="1"/>
        <v>796.5</v>
      </c>
      <c r="O35" s="29">
        <f t="shared" si="1"/>
        <v>0</v>
      </c>
      <c r="P35" s="29">
        <f t="shared" si="1"/>
        <v>1.45</v>
      </c>
      <c r="Q35" s="29">
        <f t="shared" si="1"/>
        <v>11.609999999999999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7.8116666666666665</v>
      </c>
      <c r="C36" s="28">
        <f t="shared" si="2"/>
        <v>40.810833333333335</v>
      </c>
      <c r="D36" s="28">
        <f t="shared" si="2"/>
        <v>27.23041666666667</v>
      </c>
      <c r="E36" s="28">
        <f t="shared" si="2"/>
        <v>3.8745833333333333</v>
      </c>
      <c r="F36" s="28">
        <f t="shared" si="2"/>
        <v>4.4758333333333331</v>
      </c>
      <c r="G36" s="28">
        <f t="shared" si="2"/>
        <v>75.037499999999994</v>
      </c>
      <c r="H36" s="28">
        <f t="shared" si="2"/>
        <v>32.735999999999997</v>
      </c>
      <c r="I36" s="28">
        <f t="shared" si="2"/>
        <v>1.5491666666666664</v>
      </c>
      <c r="J36" s="28">
        <f t="shared" si="2"/>
        <v>0.76250000000000007</v>
      </c>
      <c r="K36" s="28">
        <f t="shared" si="2"/>
        <v>240.29000000000005</v>
      </c>
      <c r="L36" s="28">
        <f t="shared" si="2"/>
        <v>27.080416666666665</v>
      </c>
      <c r="M36" s="28">
        <f t="shared" si="2"/>
        <v>38.975833333333327</v>
      </c>
      <c r="N36" s="28">
        <f t="shared" si="2"/>
        <v>253.54166666666666</v>
      </c>
      <c r="O36" s="28">
        <f t="shared" si="2"/>
        <v>0</v>
      </c>
      <c r="P36" s="28">
        <f t="shared" si="2"/>
        <v>0.80374999999999996</v>
      </c>
      <c r="Q36" s="28">
        <f t="shared" si="2"/>
        <v>11.015416666666669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7.1282327016782618</v>
      </c>
      <c r="C37" s="28">
        <f t="shared" si="3" ref="C37:Q37">STDEV(C9:C32)</f>
        <v>4.6461493328548844</v>
      </c>
      <c r="D37" s="28">
        <f t="shared" si="3"/>
        <v>4.6241384430593682</v>
      </c>
      <c r="E37" s="28">
        <f t="shared" si="3"/>
        <v>0.51850100974004865</v>
      </c>
      <c r="F37" s="28">
        <f t="shared" si="3"/>
        <v>1.1634503284054161</v>
      </c>
      <c r="G37" s="28">
        <f t="shared" si="3"/>
        <v>13.14816051773022</v>
      </c>
      <c r="H37" s="28">
        <f t="shared" si="3"/>
        <v>10.30366025919151</v>
      </c>
      <c r="I37" s="28">
        <f t="shared" si="3"/>
        <v>0.024122273068079954</v>
      </c>
      <c r="J37" s="28">
        <f t="shared" si="3"/>
        <v>0.28039180661601221</v>
      </c>
      <c r="K37" s="28">
        <f t="shared" si="3"/>
        <v>126.87291059748821</v>
      </c>
      <c r="L37" s="28">
        <f t="shared" si="3"/>
        <v>5.4787855518525923</v>
      </c>
      <c r="M37" s="28">
        <f t="shared" si="3"/>
        <v>11.091266802099904</v>
      </c>
      <c r="N37" s="28">
        <f t="shared" si="3"/>
        <v>311.3415333075863</v>
      </c>
      <c r="O37" s="28">
        <f t="shared" si="3"/>
        <v>0</v>
      </c>
      <c r="P37" s="28">
        <f t="shared" si="3"/>
        <v>0.23423905477654408</v>
      </c>
      <c r="Q37" s="28">
        <f t="shared" si="3"/>
        <v>0.19473458339754235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COUNT(G9:G32)+4</f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f8e861-4a6e-401e-a652-fc90821b60c9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302</v>
      </c>
      <c r="B9" s="54">
        <v>3.09</v>
      </c>
      <c r="C9" s="54">
        <v>39.5</v>
      </c>
      <c r="D9" s="54">
        <v>23.11</v>
      </c>
      <c r="E9" s="54">
        <v>4.1900000000000004</v>
      </c>
      <c r="F9" s="54">
        <v>4.29</v>
      </c>
      <c r="G9" s="54">
        <v>73.819999999999993</v>
      </c>
      <c r="H9" s="54">
        <v>30.07</v>
      </c>
      <c r="I9" s="54">
        <v>1.51</v>
      </c>
      <c r="J9" s="54">
        <v>0.49</v>
      </c>
      <c r="K9" s="54">
        <v>174.35</v>
      </c>
      <c r="L9" s="54">
        <v>24.02</v>
      </c>
      <c r="M9" s="54">
        <v>46.59</v>
      </c>
      <c r="N9" s="54">
        <v>19.5</v>
      </c>
      <c r="O9" s="54">
        <v>0</v>
      </c>
      <c r="P9" s="54">
        <v>0.83</v>
      </c>
      <c r="Q9" s="54">
        <v>10.99</v>
      </c>
      <c r="R9" s="43"/>
      <c r="S9" s="43"/>
      <c r="T9" s="43"/>
      <c r="U9" s="43"/>
    </row>
    <row r="10" spans="1:21" s="11" customFormat="1" ht="15">
      <c r="A10" s="53" t="s">
        <v>303</v>
      </c>
      <c r="B10" s="54">
        <v>2.40</v>
      </c>
      <c r="C10" s="54">
        <v>37.71</v>
      </c>
      <c r="D10" s="54">
        <v>21.40</v>
      </c>
      <c r="E10" s="54">
        <v>4.28</v>
      </c>
      <c r="F10" s="54">
        <v>4.1100000000000003</v>
      </c>
      <c r="G10" s="54">
        <v>64.33</v>
      </c>
      <c r="H10" s="54">
        <v>9.02</v>
      </c>
      <c r="I10" s="54">
        <v>1.5</v>
      </c>
      <c r="J10" s="54">
        <v>0.28000000000000003</v>
      </c>
      <c r="K10" s="54">
        <v>298.05</v>
      </c>
      <c r="L10" s="54">
        <v>22.95</v>
      </c>
      <c r="M10" s="54">
        <v>55.05</v>
      </c>
      <c r="N10" s="54">
        <v>19.80</v>
      </c>
      <c r="O10" s="54">
        <v>0</v>
      </c>
      <c r="P10" s="54">
        <v>0.68</v>
      </c>
      <c r="Q10" s="54">
        <v>10.92</v>
      </c>
      <c r="R10" s="43"/>
      <c r="S10" s="43"/>
      <c r="T10" s="43"/>
      <c r="U10" s="43"/>
    </row>
    <row r="11" spans="1:21" s="11" customFormat="1" ht="15">
      <c r="A11" s="53" t="s">
        <v>304</v>
      </c>
      <c r="B11" s="54">
        <v>4.1100000000000003</v>
      </c>
      <c r="C11" s="54">
        <v>36.21</v>
      </c>
      <c r="D11" s="54">
        <v>21.63</v>
      </c>
      <c r="E11" s="54">
        <v>4.5199999999999996</v>
      </c>
      <c r="F11" s="54">
        <v>3.82</v>
      </c>
      <c r="G11" s="54">
        <v>61.18</v>
      </c>
      <c r="H11" s="54">
        <v>34.44</v>
      </c>
      <c r="I11" s="54">
        <v>1.51</v>
      </c>
      <c r="J11" s="54">
        <v>0.28000000000000003</v>
      </c>
      <c r="K11" s="54">
        <v>313.64</v>
      </c>
      <c r="L11" s="54">
        <v>21.72</v>
      </c>
      <c r="M11" s="54">
        <v>69.790000000000006</v>
      </c>
      <c r="N11" s="54">
        <v>19.70</v>
      </c>
      <c r="O11" s="54">
        <v>0</v>
      </c>
      <c r="P11" s="54">
        <v>0.62</v>
      </c>
      <c r="Q11" s="54">
        <v>11.02</v>
      </c>
      <c r="R11" s="43"/>
      <c r="S11" s="43"/>
      <c r="T11" s="43"/>
      <c r="U11" s="43"/>
    </row>
    <row r="12" spans="1:21" s="11" customFormat="1" ht="15">
      <c r="A12" s="53" t="s">
        <v>305</v>
      </c>
      <c r="B12" s="54">
        <v>5.42</v>
      </c>
      <c r="C12" s="54">
        <v>35.18</v>
      </c>
      <c r="D12" s="54">
        <v>22.66</v>
      </c>
      <c r="E12" s="54">
        <v>4.32</v>
      </c>
      <c r="F12" s="54">
        <v>3.36</v>
      </c>
      <c r="G12" s="54">
        <v>69.20</v>
      </c>
      <c r="H12" s="54">
        <v>43.88</v>
      </c>
      <c r="I12" s="54">
        <v>1.53</v>
      </c>
      <c r="J12" s="54">
        <v>1.34</v>
      </c>
      <c r="K12" s="54">
        <v>343.32</v>
      </c>
      <c r="L12" s="54">
        <v>20.72</v>
      </c>
      <c r="M12" s="54">
        <v>68.41</v>
      </c>
      <c r="N12" s="54">
        <v>19.399999999999999</v>
      </c>
      <c r="O12" s="54">
        <v>0</v>
      </c>
      <c r="P12" s="54">
        <v>0.62</v>
      </c>
      <c r="Q12" s="54">
        <v>11.12</v>
      </c>
      <c r="R12" s="43"/>
      <c r="S12" s="43"/>
      <c r="T12" s="43"/>
      <c r="U12" s="43"/>
    </row>
    <row r="13" spans="1:21" s="11" customFormat="1" ht="15">
      <c r="A13" s="53" t="s">
        <v>306</v>
      </c>
      <c r="B13" s="54">
        <v>7.81</v>
      </c>
      <c r="C13" s="54">
        <v>34.68</v>
      </c>
      <c r="D13" s="54">
        <v>24.09</v>
      </c>
      <c r="E13" s="54">
        <v>3.91</v>
      </c>
      <c r="F13" s="54">
        <v>3.43</v>
      </c>
      <c r="G13" s="54">
        <v>95.13</v>
      </c>
      <c r="H13" s="54">
        <v>64.040000000000006</v>
      </c>
      <c r="I13" s="54">
        <v>1.54</v>
      </c>
      <c r="J13" s="54">
        <v>0.98</v>
      </c>
      <c r="K13" s="54">
        <v>357.20</v>
      </c>
      <c r="L13" s="54">
        <v>20.56</v>
      </c>
      <c r="M13" s="54">
        <v>66.87</v>
      </c>
      <c r="N13" s="54">
        <v>19.600000000000001</v>
      </c>
      <c r="O13" s="54">
        <v>0</v>
      </c>
      <c r="P13" s="54">
        <v>0.68</v>
      </c>
      <c r="Q13" s="54">
        <v>11.14</v>
      </c>
      <c r="R13" s="43"/>
      <c r="S13" s="43"/>
      <c r="T13" s="43"/>
      <c r="U13" s="43"/>
    </row>
    <row r="14" spans="1:21" s="11" customFormat="1" ht="15">
      <c r="A14" s="53" t="s">
        <v>307</v>
      </c>
      <c r="B14" s="54">
        <v>9.18</v>
      </c>
      <c r="C14" s="54">
        <v>35.630000000000003</v>
      </c>
      <c r="D14" s="54">
        <v>25.98</v>
      </c>
      <c r="E14" s="54">
        <v>4.30</v>
      </c>
      <c r="F14" s="54">
        <v>3.52</v>
      </c>
      <c r="G14" s="54">
        <v>110.63</v>
      </c>
      <c r="H14" s="54">
        <v>72.42</v>
      </c>
      <c r="I14" s="54">
        <v>1.52</v>
      </c>
      <c r="J14" s="54">
        <v>0.39</v>
      </c>
      <c r="K14" s="54">
        <v>64.89</v>
      </c>
      <c r="L14" s="54">
        <v>20.420000000000002</v>
      </c>
      <c r="M14" s="54">
        <v>69.25</v>
      </c>
      <c r="N14" s="54">
        <v>19.600000000000001</v>
      </c>
      <c r="O14" s="54">
        <v>0</v>
      </c>
      <c r="P14" s="54">
        <v>0.74</v>
      </c>
      <c r="Q14" s="54">
        <v>11.16</v>
      </c>
      <c r="R14" s="43"/>
      <c r="S14" s="43"/>
      <c r="T14" s="43"/>
      <c r="U14" s="43"/>
    </row>
    <row r="15" spans="1:21" s="11" customFormat="1" ht="15">
      <c r="A15" s="53" t="s">
        <v>308</v>
      </c>
      <c r="B15" s="54">
        <v>10.37</v>
      </c>
      <c r="C15" s="54">
        <v>35.81</v>
      </c>
      <c r="D15" s="54">
        <v>27.02</v>
      </c>
      <c r="E15" s="54">
        <v>4.01</v>
      </c>
      <c r="F15" s="54">
        <v>3.52</v>
      </c>
      <c r="G15" s="54">
        <v>110.63</v>
      </c>
      <c r="H15" s="54">
        <v>72.42</v>
      </c>
      <c r="I15" s="54">
        <v>1.63</v>
      </c>
      <c r="J15" s="54">
        <v>0.46</v>
      </c>
      <c r="K15" s="54">
        <v>356.31</v>
      </c>
      <c r="L15" s="54">
        <v>21.41</v>
      </c>
      <c r="M15" s="54">
        <v>69.91</v>
      </c>
      <c r="N15" s="54">
        <v>92</v>
      </c>
      <c r="O15" s="54">
        <v>0</v>
      </c>
      <c r="P15" s="54">
        <v>0.74</v>
      </c>
      <c r="Q15" s="54">
        <v>11.15</v>
      </c>
      <c r="R15" s="43"/>
      <c r="S15" s="43"/>
      <c r="T15" s="43"/>
      <c r="U15" s="43"/>
    </row>
    <row r="16" spans="1:21" s="11" customFormat="1" ht="15">
      <c r="A16" s="53" t="s">
        <v>309</v>
      </c>
      <c r="B16" s="54">
        <v>12.49</v>
      </c>
      <c r="C16" s="54">
        <v>36.07</v>
      </c>
      <c r="D16" s="54">
        <v>28.71</v>
      </c>
      <c r="E16" s="54">
        <v>3.88</v>
      </c>
      <c r="F16" s="54">
        <v>3.37</v>
      </c>
      <c r="G16" s="54">
        <v>113.77</v>
      </c>
      <c r="H16" s="54">
        <v>51.63</v>
      </c>
      <c r="I16" s="54">
        <v>1.48</v>
      </c>
      <c r="J16" s="54">
        <v>0.89</v>
      </c>
      <c r="K16" s="54">
        <v>355.75</v>
      </c>
      <c r="L16" s="54">
        <v>25.98</v>
      </c>
      <c r="M16" s="54">
        <v>57.92</v>
      </c>
      <c r="N16" s="54">
        <v>264.10000000000002</v>
      </c>
      <c r="O16" s="54">
        <v>0</v>
      </c>
      <c r="P16" s="54">
        <v>0.73</v>
      </c>
      <c r="Q16" s="54">
        <v>11.26</v>
      </c>
      <c r="R16" s="43"/>
      <c r="S16" s="43"/>
      <c r="T16" s="43"/>
      <c r="U16" s="43"/>
    </row>
    <row r="17" spans="1:21" s="11" customFormat="1" ht="15">
      <c r="A17" s="53" t="s">
        <v>310</v>
      </c>
      <c r="B17" s="54">
        <v>13.36</v>
      </c>
      <c r="C17" s="54">
        <v>37.369999999999997</v>
      </c>
      <c r="D17" s="54">
        <v>30.16</v>
      </c>
      <c r="E17" s="54">
        <v>3.61</v>
      </c>
      <c r="F17" s="54">
        <v>3.32</v>
      </c>
      <c r="G17" s="54">
        <v>113.77</v>
      </c>
      <c r="H17" s="54">
        <v>30.57</v>
      </c>
      <c r="I17" s="54">
        <v>1.56</v>
      </c>
      <c r="J17" s="54">
        <v>0.96</v>
      </c>
      <c r="K17" s="54">
        <v>358.61</v>
      </c>
      <c r="L17" s="54">
        <v>29.58</v>
      </c>
      <c r="M17" s="54">
        <v>45.12</v>
      </c>
      <c r="N17" s="54">
        <v>451</v>
      </c>
      <c r="O17" s="54">
        <v>0</v>
      </c>
      <c r="P17" s="54">
        <v>0.74</v>
      </c>
      <c r="Q17" s="54">
        <v>11.32</v>
      </c>
      <c r="R17" s="43"/>
      <c r="S17" s="43"/>
      <c r="T17" s="43"/>
      <c r="U17" s="43"/>
    </row>
    <row r="18" spans="1:21" s="11" customFormat="1" ht="15">
      <c r="A18" s="53" t="s">
        <v>311</v>
      </c>
      <c r="B18" s="54">
        <v>11.57</v>
      </c>
      <c r="C18" s="54">
        <v>41.49</v>
      </c>
      <c r="D18" s="54">
        <v>28.89</v>
      </c>
      <c r="E18" s="54">
        <v>3.54</v>
      </c>
      <c r="F18" s="54">
        <v>4.03</v>
      </c>
      <c r="G18" s="54">
        <v>100.31</v>
      </c>
      <c r="H18" s="57" t="s">
        <v>14</v>
      </c>
      <c r="I18" s="54">
        <v>1.55</v>
      </c>
      <c r="J18" s="54">
        <v>0.90</v>
      </c>
      <c r="K18" s="54">
        <v>113.99</v>
      </c>
      <c r="L18" s="54">
        <v>29.02</v>
      </c>
      <c r="M18" s="54">
        <v>46.65</v>
      </c>
      <c r="N18" s="54">
        <v>615.20000000000005</v>
      </c>
      <c r="O18" s="54">
        <v>0</v>
      </c>
      <c r="P18" s="54">
        <v>0.73</v>
      </c>
      <c r="Q18" s="54">
        <v>11.27</v>
      </c>
      <c r="R18" s="43"/>
      <c r="S18" s="43"/>
      <c r="T18" s="43"/>
      <c r="U18" s="43"/>
    </row>
    <row r="19" spans="1:21" s="11" customFormat="1" ht="15">
      <c r="A19" s="53" t="s">
        <v>312</v>
      </c>
      <c r="B19" s="54">
        <v>5.69</v>
      </c>
      <c r="C19" s="54">
        <v>47.34</v>
      </c>
      <c r="D19" s="54">
        <v>26.85</v>
      </c>
      <c r="E19" s="54">
        <v>4.53</v>
      </c>
      <c r="F19" s="54">
        <v>11.31</v>
      </c>
      <c r="G19" s="54">
        <v>82.13</v>
      </c>
      <c r="H19" s="57" t="s">
        <v>14</v>
      </c>
      <c r="I19" s="54">
        <v>1.60</v>
      </c>
      <c r="J19" s="54">
        <v>0.35</v>
      </c>
      <c r="K19" s="54">
        <v>352.58</v>
      </c>
      <c r="L19" s="54">
        <v>33.82</v>
      </c>
      <c r="M19" s="54">
        <v>37.39</v>
      </c>
      <c r="N19" s="54">
        <v>693.30</v>
      </c>
      <c r="O19" s="54">
        <v>0</v>
      </c>
      <c r="P19" s="54">
        <v>0.68</v>
      </c>
      <c r="Q19" s="54">
        <v>11.10</v>
      </c>
      <c r="R19" s="43"/>
      <c r="S19" s="43"/>
      <c r="T19" s="43"/>
      <c r="U19" s="43"/>
    </row>
    <row r="20" spans="1:21" s="11" customFormat="1" ht="15">
      <c r="A20" s="53" t="s">
        <v>313</v>
      </c>
      <c r="B20" s="54">
        <v>1.97</v>
      </c>
      <c r="C20" s="54">
        <v>48.56</v>
      </c>
      <c r="D20" s="54">
        <v>26.95</v>
      </c>
      <c r="E20" s="54">
        <v>4.54</v>
      </c>
      <c r="F20" s="54">
        <v>9.98</v>
      </c>
      <c r="G20" s="54">
        <v>72.92</v>
      </c>
      <c r="H20" s="54">
        <v>64.34</v>
      </c>
      <c r="I20" s="54">
        <v>1.55</v>
      </c>
      <c r="J20" s="54">
        <v>0.49</v>
      </c>
      <c r="K20" s="54">
        <v>349.16</v>
      </c>
      <c r="L20" s="54">
        <v>34.799999999999997</v>
      </c>
      <c r="M20" s="54">
        <v>36.24</v>
      </c>
      <c r="N20" s="54">
        <v>718.40</v>
      </c>
      <c r="O20" s="54">
        <v>0</v>
      </c>
      <c r="P20" s="54">
        <v>0.74</v>
      </c>
      <c r="Q20" s="54">
        <v>11.05</v>
      </c>
      <c r="R20" s="43"/>
      <c r="S20" s="43"/>
      <c r="T20" s="43"/>
      <c r="U20" s="43"/>
    </row>
    <row r="21" spans="1:21" s="11" customFormat="1" ht="15">
      <c r="A21" s="53" t="s">
        <v>314</v>
      </c>
      <c r="B21" s="54">
        <v>1.64</v>
      </c>
      <c r="C21" s="54">
        <v>41.5</v>
      </c>
      <c r="D21" s="54">
        <v>23</v>
      </c>
      <c r="E21" s="54">
        <v>4.26</v>
      </c>
      <c r="F21" s="54">
        <v>8.3000000000000007</v>
      </c>
      <c r="G21" s="54">
        <v>82.06</v>
      </c>
      <c r="H21" s="54">
        <v>64.34</v>
      </c>
      <c r="I21" s="54">
        <v>1.54</v>
      </c>
      <c r="J21" s="54">
        <v>0.27</v>
      </c>
      <c r="K21" s="54">
        <v>308.07</v>
      </c>
      <c r="L21" s="54">
        <v>34.10</v>
      </c>
      <c r="M21" s="54">
        <v>35.479999999999997</v>
      </c>
      <c r="N21" s="54">
        <v>719.5</v>
      </c>
      <c r="O21" s="54">
        <v>0</v>
      </c>
      <c r="P21" s="54">
        <v>0.73</v>
      </c>
      <c r="Q21" s="54">
        <v>11.02</v>
      </c>
      <c r="R21" s="43"/>
      <c r="S21" s="43"/>
      <c r="T21" s="43"/>
      <c r="U21" s="43"/>
    </row>
    <row r="22" spans="1:21" s="11" customFormat="1" ht="15">
      <c r="A22" s="53" t="s">
        <v>315</v>
      </c>
      <c r="B22" s="54">
        <v>1.68</v>
      </c>
      <c r="C22" s="54">
        <v>34.42</v>
      </c>
      <c r="D22" s="54">
        <v>19.21</v>
      </c>
      <c r="E22" s="54">
        <v>4.4800000000000004</v>
      </c>
      <c r="F22" s="54">
        <v>5.69</v>
      </c>
      <c r="G22" s="54">
        <v>82.06</v>
      </c>
      <c r="H22" s="54">
        <v>20.85</v>
      </c>
      <c r="I22" s="54">
        <v>1.54</v>
      </c>
      <c r="J22" s="54">
        <v>0.43</v>
      </c>
      <c r="K22" s="54">
        <v>336.30</v>
      </c>
      <c r="L22" s="54">
        <v>34.47</v>
      </c>
      <c r="M22" s="54">
        <v>32.22</v>
      </c>
      <c r="N22" s="54">
        <v>632.79999999999995</v>
      </c>
      <c r="O22" s="54">
        <v>0</v>
      </c>
      <c r="P22" s="54">
        <v>0.66</v>
      </c>
      <c r="Q22" s="54">
        <v>10.78</v>
      </c>
      <c r="R22" s="43"/>
      <c r="S22" s="43"/>
      <c r="T22" s="43"/>
      <c r="U22" s="43"/>
    </row>
    <row r="23" spans="1:21" s="11" customFormat="1" ht="15">
      <c r="A23" s="53" t="s">
        <v>316</v>
      </c>
      <c r="B23" s="54">
        <v>1.61</v>
      </c>
      <c r="C23" s="54">
        <v>32.10</v>
      </c>
      <c r="D23" s="54">
        <v>18.05</v>
      </c>
      <c r="E23" s="54">
        <v>4.0199999999999996</v>
      </c>
      <c r="F23" s="54">
        <v>6.26</v>
      </c>
      <c r="G23" s="54">
        <v>71.87</v>
      </c>
      <c r="H23" s="54">
        <v>20.85</v>
      </c>
      <c r="I23" s="54">
        <v>1.58</v>
      </c>
      <c r="J23" s="54">
        <v>0.72</v>
      </c>
      <c r="K23" s="54">
        <v>347.26</v>
      </c>
      <c r="L23" s="54">
        <v>36.14</v>
      </c>
      <c r="M23" s="54">
        <v>31.39</v>
      </c>
      <c r="N23" s="54">
        <v>570.90</v>
      </c>
      <c r="O23" s="54">
        <v>0</v>
      </c>
      <c r="P23" s="54">
        <v>0.60</v>
      </c>
      <c r="Q23" s="54">
        <v>10.65</v>
      </c>
      <c r="R23" s="43"/>
      <c r="S23" s="43"/>
      <c r="T23" s="43"/>
      <c r="U23" s="43"/>
    </row>
    <row r="24" spans="1:21" s="11" customFormat="1" ht="15">
      <c r="A24" s="53" t="s">
        <v>317</v>
      </c>
      <c r="B24" s="54">
        <v>1.62</v>
      </c>
      <c r="C24" s="54">
        <v>31.83</v>
      </c>
      <c r="D24" s="54">
        <v>17.89</v>
      </c>
      <c r="E24" s="54">
        <v>3.96</v>
      </c>
      <c r="F24" s="54">
        <v>6</v>
      </c>
      <c r="G24" s="57" t="s">
        <v>14</v>
      </c>
      <c r="H24" s="57" t="s">
        <v>14</v>
      </c>
      <c r="I24" s="54">
        <v>1.52</v>
      </c>
      <c r="J24" s="54">
        <v>0.62</v>
      </c>
      <c r="K24" s="54">
        <v>351.31</v>
      </c>
      <c r="L24" s="54">
        <v>33.840000000000003</v>
      </c>
      <c r="M24" s="54">
        <v>32.29</v>
      </c>
      <c r="N24" s="54">
        <v>249.20</v>
      </c>
      <c r="O24" s="54">
        <v>0</v>
      </c>
      <c r="P24" s="54">
        <v>0.53</v>
      </c>
      <c r="Q24" s="54">
        <v>10.62</v>
      </c>
      <c r="R24" s="43"/>
      <c r="S24" s="43"/>
      <c r="T24" s="43"/>
      <c r="U24" s="43"/>
    </row>
    <row r="25" spans="1:21" s="11" customFormat="1" ht="15">
      <c r="A25" s="53" t="s">
        <v>318</v>
      </c>
      <c r="B25" s="54">
        <v>2.5</v>
      </c>
      <c r="C25" s="54">
        <v>38.340000000000003</v>
      </c>
      <c r="D25" s="54">
        <v>21.83</v>
      </c>
      <c r="E25" s="54">
        <v>2.69</v>
      </c>
      <c r="F25" s="54">
        <v>5.72</v>
      </c>
      <c r="G25" s="57" t="s">
        <v>14</v>
      </c>
      <c r="H25" s="57" t="s">
        <v>14</v>
      </c>
      <c r="I25" s="54">
        <v>1.5</v>
      </c>
      <c r="J25" s="54">
        <v>0.28000000000000003</v>
      </c>
      <c r="K25" s="54">
        <v>338.15</v>
      </c>
      <c r="L25" s="54">
        <v>32.22</v>
      </c>
      <c r="M25" s="54">
        <v>33.40</v>
      </c>
      <c r="N25" s="54">
        <v>164.5</v>
      </c>
      <c r="O25" s="54">
        <v>0</v>
      </c>
      <c r="P25" s="54">
        <v>0.51</v>
      </c>
      <c r="Q25" s="54">
        <v>10.79</v>
      </c>
      <c r="R25" s="43"/>
      <c r="S25" s="43"/>
      <c r="T25" s="43"/>
      <c r="U25" s="43"/>
    </row>
    <row r="26" spans="1:21" s="11" customFormat="1" ht="15">
      <c r="A26" s="53" t="s">
        <v>319</v>
      </c>
      <c r="B26" s="54">
        <v>3.44</v>
      </c>
      <c r="C26" s="54">
        <v>38.35</v>
      </c>
      <c r="D26" s="54">
        <v>22.79</v>
      </c>
      <c r="E26" s="54">
        <v>2.86</v>
      </c>
      <c r="F26" s="54">
        <v>6.12</v>
      </c>
      <c r="G26" s="57" t="s">
        <v>14</v>
      </c>
      <c r="H26" s="57" t="s">
        <v>14</v>
      </c>
      <c r="I26" s="54">
        <v>1.62</v>
      </c>
      <c r="J26" s="54">
        <v>0.16</v>
      </c>
      <c r="K26" s="54">
        <v>38.81</v>
      </c>
      <c r="L26" s="54">
        <v>31</v>
      </c>
      <c r="M26" s="54">
        <v>37.56</v>
      </c>
      <c r="N26" s="54">
        <v>67.400000000000006</v>
      </c>
      <c r="O26" s="54">
        <v>0</v>
      </c>
      <c r="P26" s="54">
        <v>0.5</v>
      </c>
      <c r="Q26" s="54">
        <v>10.79</v>
      </c>
      <c r="R26" s="43"/>
      <c r="S26" s="43"/>
      <c r="T26" s="43"/>
      <c r="U26" s="43"/>
    </row>
    <row r="27" spans="1:21" s="11" customFormat="1" ht="15">
      <c r="A27" s="53" t="s">
        <v>320</v>
      </c>
      <c r="B27" s="54">
        <v>3.87</v>
      </c>
      <c r="C27" s="54">
        <v>40.06</v>
      </c>
      <c r="D27" s="54">
        <v>24.02</v>
      </c>
      <c r="E27" s="54">
        <v>2.73</v>
      </c>
      <c r="F27" s="54">
        <v>3.87</v>
      </c>
      <c r="G27" s="54">
        <v>53.31</v>
      </c>
      <c r="H27" s="54">
        <v>31.85</v>
      </c>
      <c r="I27" s="54">
        <v>1.53</v>
      </c>
      <c r="J27" s="54">
        <v>0.28000000000000003</v>
      </c>
      <c r="K27" s="54">
        <v>225.81</v>
      </c>
      <c r="L27" s="54">
        <v>29.40</v>
      </c>
      <c r="M27" s="54">
        <v>44.39</v>
      </c>
      <c r="N27" s="54">
        <v>20.70</v>
      </c>
      <c r="O27" s="54">
        <v>0</v>
      </c>
      <c r="P27" s="54">
        <v>0.55000000000000004</v>
      </c>
      <c r="Q27" s="54">
        <v>10.75</v>
      </c>
      <c r="R27" s="43"/>
      <c r="S27" s="43"/>
      <c r="T27" s="43"/>
      <c r="U27" s="43"/>
    </row>
    <row r="28" spans="1:21" s="11" customFormat="1" ht="15">
      <c r="A28" s="53" t="s">
        <v>321</v>
      </c>
      <c r="B28" s="54">
        <v>14.33</v>
      </c>
      <c r="C28" s="54">
        <v>39.31</v>
      </c>
      <c r="D28" s="54">
        <v>31.15</v>
      </c>
      <c r="E28" s="54">
        <v>4.04</v>
      </c>
      <c r="F28" s="54">
        <v>3.74</v>
      </c>
      <c r="G28" s="54">
        <v>74.760000000000005</v>
      </c>
      <c r="H28" s="54">
        <v>28.15</v>
      </c>
      <c r="I28" s="54">
        <v>1.59</v>
      </c>
      <c r="J28" s="54">
        <v>0.20</v>
      </c>
      <c r="K28" s="54">
        <v>345.85</v>
      </c>
      <c r="L28" s="54">
        <v>27.84</v>
      </c>
      <c r="M28" s="54">
        <v>53.46</v>
      </c>
      <c r="N28" s="54">
        <v>19.5</v>
      </c>
      <c r="O28" s="54">
        <v>0</v>
      </c>
      <c r="P28" s="54">
        <v>0.84</v>
      </c>
      <c r="Q28" s="54">
        <v>10.76</v>
      </c>
      <c r="R28" s="43"/>
      <c r="S28" s="43"/>
      <c r="T28" s="43"/>
      <c r="U28" s="43"/>
    </row>
    <row r="29" spans="1:21" s="11" customFormat="1" ht="15">
      <c r="A29" s="53" t="s">
        <v>322</v>
      </c>
      <c r="B29" s="54">
        <v>26.77</v>
      </c>
      <c r="C29" s="54">
        <v>35.31</v>
      </c>
      <c r="D29" s="54">
        <v>39.549999999999997</v>
      </c>
      <c r="E29" s="54">
        <v>4.1100000000000003</v>
      </c>
      <c r="F29" s="54">
        <v>3.58</v>
      </c>
      <c r="G29" s="54">
        <v>88.25</v>
      </c>
      <c r="H29" s="54">
        <v>28.15</v>
      </c>
      <c r="I29" s="54">
        <v>1.59</v>
      </c>
      <c r="J29" s="54">
        <v>0.18</v>
      </c>
      <c r="K29" s="54">
        <v>345.86</v>
      </c>
      <c r="L29" s="54">
        <v>26.99</v>
      </c>
      <c r="M29" s="54">
        <v>55.82</v>
      </c>
      <c r="N29" s="54">
        <v>19.5</v>
      </c>
      <c r="O29" s="54">
        <v>0</v>
      </c>
      <c r="P29" s="54">
        <v>1.0900000000000001</v>
      </c>
      <c r="Q29" s="54">
        <v>11.27</v>
      </c>
      <c r="R29" s="43"/>
      <c r="S29" s="43"/>
      <c r="T29" s="43"/>
      <c r="U29" s="43"/>
    </row>
    <row r="30" spans="1:21" s="11" customFormat="1" ht="15">
      <c r="A30" s="53" t="s">
        <v>323</v>
      </c>
      <c r="B30" s="54">
        <v>29.69</v>
      </c>
      <c r="C30" s="54">
        <v>33.200000000000003</v>
      </c>
      <c r="D30" s="54">
        <v>39.590000000000003</v>
      </c>
      <c r="E30" s="54">
        <v>4.1399999999999997</v>
      </c>
      <c r="F30" s="54">
        <v>3.69</v>
      </c>
      <c r="G30" s="54">
        <v>88.25</v>
      </c>
      <c r="H30" s="54">
        <v>2.81</v>
      </c>
      <c r="I30" s="54">
        <v>1.55</v>
      </c>
      <c r="J30" s="54">
        <v>0.15</v>
      </c>
      <c r="K30" s="54">
        <v>87.11</v>
      </c>
      <c r="L30" s="54">
        <v>25.72</v>
      </c>
      <c r="M30" s="54">
        <v>56.33</v>
      </c>
      <c r="N30" s="54">
        <v>19.399999999999999</v>
      </c>
      <c r="O30" s="54">
        <v>0</v>
      </c>
      <c r="P30" s="54">
        <v>1.1599999999999999</v>
      </c>
      <c r="Q30" s="54">
        <v>11.37</v>
      </c>
      <c r="R30" s="43"/>
      <c r="S30" s="43"/>
      <c r="T30" s="43"/>
      <c r="U30" s="43"/>
    </row>
    <row r="31" spans="1:21" s="11" customFormat="1" ht="15">
      <c r="A31" s="53" t="s">
        <v>324</v>
      </c>
      <c r="B31" s="54">
        <v>31.95</v>
      </c>
      <c r="C31" s="54">
        <v>31.54</v>
      </c>
      <c r="D31" s="54">
        <v>42.10</v>
      </c>
      <c r="E31" s="54">
        <v>4.08</v>
      </c>
      <c r="F31" s="54">
        <v>3.55</v>
      </c>
      <c r="G31" s="54">
        <v>83.05</v>
      </c>
      <c r="H31" s="54">
        <v>0.34</v>
      </c>
      <c r="I31" s="54">
        <v>1.57</v>
      </c>
      <c r="J31" s="54">
        <v>0.12</v>
      </c>
      <c r="K31" s="54">
        <v>351.17</v>
      </c>
      <c r="L31" s="54">
        <v>25</v>
      </c>
      <c r="M31" s="54">
        <v>59.40</v>
      </c>
      <c r="N31" s="54">
        <v>19.399999999999999</v>
      </c>
      <c r="O31" s="54">
        <v>0</v>
      </c>
      <c r="P31" s="54">
        <v>1.17</v>
      </c>
      <c r="Q31" s="54">
        <v>11.40</v>
      </c>
      <c r="R31" s="43"/>
      <c r="S31" s="43"/>
      <c r="T31" s="43"/>
      <c r="U31" s="43"/>
    </row>
    <row r="32" spans="1:21" s="11" customFormat="1" ht="15">
      <c r="A32" s="53" t="s">
        <v>325</v>
      </c>
      <c r="B32" s="54">
        <v>31.98</v>
      </c>
      <c r="C32" s="54">
        <v>34.40</v>
      </c>
      <c r="D32" s="54">
        <v>42.84</v>
      </c>
      <c r="E32" s="54">
        <v>4.29</v>
      </c>
      <c r="F32" s="54">
        <v>3.61</v>
      </c>
      <c r="G32" s="54">
        <v>77.33</v>
      </c>
      <c r="H32" s="54">
        <v>0.05</v>
      </c>
      <c r="I32" s="54">
        <v>1.55</v>
      </c>
      <c r="J32" s="54">
        <v>0.32</v>
      </c>
      <c r="K32" s="54">
        <v>292.43</v>
      </c>
      <c r="L32" s="54">
        <v>25.03</v>
      </c>
      <c r="M32" s="54">
        <v>59.44</v>
      </c>
      <c r="N32" s="54">
        <v>19.399999999999999</v>
      </c>
      <c r="O32" s="54">
        <v>0</v>
      </c>
      <c r="P32" s="54">
        <v>1.18</v>
      </c>
      <c r="Q32" s="54">
        <v>11.63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1.6100000000000001</v>
      </c>
      <c r="C34" s="28">
        <f t="shared" si="0"/>
        <v>31.539999999999999</v>
      </c>
      <c r="D34" s="28">
        <f t="shared" si="0"/>
        <v>17.890000000000001</v>
      </c>
      <c r="E34" s="28">
        <f t="shared" si="0"/>
        <v>2.6899999999999999</v>
      </c>
      <c r="F34" s="28">
        <f t="shared" si="0"/>
        <v>3.3199999999999998</v>
      </c>
      <c r="G34" s="28">
        <f t="shared" si="0"/>
        <v>53.310000000000002</v>
      </c>
      <c r="H34" s="28">
        <f t="shared" si="0"/>
        <v>0.050000000000000003</v>
      </c>
      <c r="I34" s="28">
        <f t="shared" si="0"/>
        <v>1.48</v>
      </c>
      <c r="J34" s="28">
        <f t="shared" si="0"/>
        <v>0.12</v>
      </c>
      <c r="K34" s="28">
        <f t="shared" si="0"/>
        <v>38.810000000000002</v>
      </c>
      <c r="L34" s="28">
        <f t="shared" si="0"/>
        <v>20.420000000000002</v>
      </c>
      <c r="M34" s="28">
        <f t="shared" si="0"/>
        <v>31.390000000000001</v>
      </c>
      <c r="N34" s="28">
        <f t="shared" si="0"/>
        <v>19.399999999999999</v>
      </c>
      <c r="O34" s="28">
        <f t="shared" si="0"/>
        <v>0</v>
      </c>
      <c r="P34" s="28">
        <f t="shared" si="0"/>
        <v>0.5</v>
      </c>
      <c r="Q34" s="28">
        <f t="shared" si="0"/>
        <v>10.619999999999999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31.98</v>
      </c>
      <c r="C35" s="29">
        <f t="shared" si="1"/>
        <v>48.560000000000002</v>
      </c>
      <c r="D35" s="29">
        <f t="shared" si="1"/>
        <v>42.840000000000003</v>
      </c>
      <c r="E35" s="29">
        <f t="shared" si="1"/>
        <v>4.54</v>
      </c>
      <c r="F35" s="29">
        <f t="shared" si="1"/>
        <v>11.31</v>
      </c>
      <c r="G35" s="29">
        <f t="shared" si="1"/>
        <v>113.77</v>
      </c>
      <c r="H35" s="29">
        <f t="shared" si="1"/>
        <v>72.420000000000002</v>
      </c>
      <c r="I35" s="29">
        <f t="shared" si="1"/>
        <v>1.6299999999999999</v>
      </c>
      <c r="J35" s="29">
        <f t="shared" si="1"/>
        <v>1.3400000000000001</v>
      </c>
      <c r="K35" s="29">
        <f t="shared" si="1"/>
        <v>358.61000000000001</v>
      </c>
      <c r="L35" s="29">
        <f t="shared" si="1"/>
        <v>36.140000000000001</v>
      </c>
      <c r="M35" s="29">
        <f t="shared" si="1"/>
        <v>69.909999999999997</v>
      </c>
      <c r="N35" s="29">
        <f t="shared" si="1"/>
        <v>719.5</v>
      </c>
      <c r="O35" s="29">
        <f t="shared" si="1"/>
        <v>0</v>
      </c>
      <c r="P35" s="29">
        <f t="shared" si="1"/>
        <v>1.1799999999999999</v>
      </c>
      <c r="Q35" s="29">
        <f t="shared" si="1"/>
        <v>11.630000000000001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9.9391666666666669</v>
      </c>
      <c r="C36" s="28">
        <f t="shared" si="2"/>
        <v>37.329583333333332</v>
      </c>
      <c r="D36" s="28">
        <f t="shared" si="2"/>
        <v>27.061250000000001</v>
      </c>
      <c r="E36" s="28">
        <f t="shared" si="2"/>
        <v>3.9704166666666669</v>
      </c>
      <c r="F36" s="28">
        <f t="shared" si="2"/>
        <v>4.9245833333333335</v>
      </c>
      <c r="G36" s="28">
        <f t="shared" si="2"/>
        <v>84.226666666666659</v>
      </c>
      <c r="H36" s="28">
        <f t="shared" si="2"/>
        <v>35.274736842105263</v>
      </c>
      <c r="I36" s="28">
        <f t="shared" si="2"/>
        <v>1.5483333333333331</v>
      </c>
      <c r="J36" s="28">
        <f t="shared" si="2"/>
        <v>0.48083333333333322</v>
      </c>
      <c r="K36" s="28">
        <f t="shared" si="2"/>
        <v>283.58250000000004</v>
      </c>
      <c r="L36" s="28">
        <f t="shared" si="2"/>
        <v>27.781250000000004</v>
      </c>
      <c r="M36" s="28">
        <f t="shared" si="2"/>
        <v>50.015416666666674</v>
      </c>
      <c r="N36" s="28">
        <f t="shared" si="2"/>
        <v>228.0749999999999</v>
      </c>
      <c r="O36" s="28">
        <f t="shared" si="2"/>
        <v>0</v>
      </c>
      <c r="P36" s="28">
        <f t="shared" si="2"/>
        <v>0.75208333333333333</v>
      </c>
      <c r="Q36" s="28">
        <f t="shared" si="2"/>
        <v>11.055416666666668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10.084198968712375</v>
      </c>
      <c r="C37" s="28">
        <f t="shared" si="3" ref="C37:Q37">STDEV(C9:C32)</f>
        <v>4.315295827600969</v>
      </c>
      <c r="D37" s="28">
        <f t="shared" si="3"/>
        <v>7.2990501541073023</v>
      </c>
      <c r="E37" s="28">
        <f t="shared" si="3"/>
        <v>0.53436251468591012</v>
      </c>
      <c r="F37" s="28">
        <f t="shared" si="3"/>
        <v>2.1817643023513087</v>
      </c>
      <c r="G37" s="28">
        <f t="shared" si="3"/>
        <v>17.606340997871563</v>
      </c>
      <c r="H37" s="28">
        <f t="shared" si="3"/>
        <v>24.039219429096153</v>
      </c>
      <c r="I37" s="28">
        <f t="shared" si="3"/>
        <v>0.038636169882487151</v>
      </c>
      <c r="J37" s="28">
        <f t="shared" si="3"/>
        <v>0.32361969987151229</v>
      </c>
      <c r="K37" s="28">
        <f t="shared" si="3"/>
        <v>104.8935775067944</v>
      </c>
      <c r="L37" s="28">
        <f t="shared" si="3"/>
        <v>5.1451474077839316</v>
      </c>
      <c r="M37" s="28">
        <f t="shared" si="3"/>
        <v>13.477009079609743</v>
      </c>
      <c r="N37" s="28">
        <f t="shared" si="3"/>
        <v>275.90019028627006</v>
      </c>
      <c r="O37" s="28">
        <f t="shared" si="3"/>
        <v>0</v>
      </c>
      <c r="P37" s="28">
        <f t="shared" si="3"/>
        <v>0.20308445804996805</v>
      </c>
      <c r="Q37" s="28">
        <f t="shared" si="3"/>
        <v>0.26055090742946752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COUNT(H9:H32)+5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62367e-d97e-49fc-9228-90b19fec380a}">
  <sheetPr codeName=""/>
  <dimension ref="A1:U119"/>
  <sheetViews>
    <sheetView zoomScale="85" zoomScaleNormal="85" workbookViewId="0" topLeftCell="A1">
      <pane xSplit="2" ySplit="8" topLeftCell="C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326</v>
      </c>
      <c r="B9" s="54">
        <v>27.82</v>
      </c>
      <c r="C9" s="54">
        <v>34.119999999999997</v>
      </c>
      <c r="D9" s="54">
        <v>40.01</v>
      </c>
      <c r="E9" s="54">
        <v>3.90</v>
      </c>
      <c r="F9" s="54">
        <v>3.61</v>
      </c>
      <c r="G9" s="54">
        <v>76.77</v>
      </c>
      <c r="H9" s="57" t="s">
        <v>14</v>
      </c>
      <c r="I9" s="54">
        <v>1.53</v>
      </c>
      <c r="J9" s="54">
        <v>0.89</v>
      </c>
      <c r="K9" s="54">
        <v>339.88</v>
      </c>
      <c r="L9" s="54">
        <v>24.59</v>
      </c>
      <c r="M9" s="54">
        <v>64.819999999999993</v>
      </c>
      <c r="N9" s="54">
        <v>19.70</v>
      </c>
      <c r="O9" s="54">
        <v>0</v>
      </c>
      <c r="P9" s="54">
        <v>1.1100000000000001</v>
      </c>
      <c r="Q9" s="54">
        <v>11.59</v>
      </c>
      <c r="R9" s="43"/>
      <c r="S9" s="43"/>
      <c r="T9" s="43"/>
      <c r="U9" s="43"/>
    </row>
    <row r="10" spans="1:21" s="11" customFormat="1" ht="15">
      <c r="A10" s="53" t="s">
        <v>327</v>
      </c>
      <c r="B10" s="54">
        <v>21.81</v>
      </c>
      <c r="C10" s="54">
        <v>34.520000000000003</v>
      </c>
      <c r="D10" s="54">
        <v>34.950000000000003</v>
      </c>
      <c r="E10" s="54">
        <v>3.94</v>
      </c>
      <c r="F10" s="54">
        <v>3.58</v>
      </c>
      <c r="G10" s="54">
        <v>78.400000000000006</v>
      </c>
      <c r="H10" s="57" t="s">
        <v>14</v>
      </c>
      <c r="I10" s="54">
        <v>1.55</v>
      </c>
      <c r="J10" s="54">
        <v>0.27</v>
      </c>
      <c r="K10" s="54">
        <v>316.10000000000002</v>
      </c>
      <c r="L10" s="54">
        <v>23.45</v>
      </c>
      <c r="M10" s="54">
        <v>67.709999999999994</v>
      </c>
      <c r="N10" s="54">
        <v>19.5</v>
      </c>
      <c r="O10" s="54">
        <v>0</v>
      </c>
      <c r="P10" s="54">
        <v>0.97</v>
      </c>
      <c r="Q10" s="54">
        <v>11.49</v>
      </c>
      <c r="R10" s="43"/>
      <c r="S10" s="43"/>
      <c r="T10" s="43"/>
      <c r="U10" s="43"/>
    </row>
    <row r="11" spans="1:21" s="11" customFormat="1" ht="15">
      <c r="A11" s="53" t="s">
        <v>328</v>
      </c>
      <c r="B11" s="54">
        <v>19.66</v>
      </c>
      <c r="C11" s="54">
        <v>31.87</v>
      </c>
      <c r="D11" s="54">
        <v>32.42</v>
      </c>
      <c r="E11" s="54">
        <v>3.85</v>
      </c>
      <c r="F11" s="54">
        <v>3.70</v>
      </c>
      <c r="G11" s="54">
        <v>78.400000000000006</v>
      </c>
      <c r="H11" s="57" t="s">
        <v>14</v>
      </c>
      <c r="I11" s="54">
        <v>1.56</v>
      </c>
      <c r="J11" s="54">
        <v>0.49</v>
      </c>
      <c r="K11" s="54">
        <v>354.67</v>
      </c>
      <c r="L11" s="54">
        <v>23.07</v>
      </c>
      <c r="M11" s="54">
        <v>66.30</v>
      </c>
      <c r="N11" s="54">
        <v>19.70</v>
      </c>
      <c r="O11" s="54">
        <v>0</v>
      </c>
      <c r="P11" s="54">
        <v>0.91</v>
      </c>
      <c r="Q11" s="54">
        <v>11.39</v>
      </c>
      <c r="R11" s="43"/>
      <c r="S11" s="43"/>
      <c r="T11" s="43"/>
      <c r="U11" s="43"/>
    </row>
    <row r="12" spans="1:21" s="11" customFormat="1" ht="15">
      <c r="A12" s="53" t="s">
        <v>329</v>
      </c>
      <c r="B12" s="54">
        <v>18.39</v>
      </c>
      <c r="C12" s="54">
        <v>32.58</v>
      </c>
      <c r="D12" s="54">
        <v>31.07</v>
      </c>
      <c r="E12" s="54">
        <v>3.73</v>
      </c>
      <c r="F12" s="54">
        <v>3.79</v>
      </c>
      <c r="G12" s="54">
        <v>65.72</v>
      </c>
      <c r="H12" s="54">
        <v>39.950000000000003</v>
      </c>
      <c r="I12" s="54">
        <v>1.55</v>
      </c>
      <c r="J12" s="54">
        <v>0.28000000000000003</v>
      </c>
      <c r="K12" s="54">
        <v>337.29</v>
      </c>
      <c r="L12" s="54">
        <v>22.82</v>
      </c>
      <c r="M12" s="54">
        <v>63.11</v>
      </c>
      <c r="N12" s="54">
        <v>19.80</v>
      </c>
      <c r="O12" s="54">
        <v>0</v>
      </c>
      <c r="P12" s="54">
        <v>0.82</v>
      </c>
      <c r="Q12" s="54">
        <v>11.33</v>
      </c>
      <c r="R12" s="43"/>
      <c r="S12" s="43"/>
      <c r="T12" s="43"/>
      <c r="U12" s="43"/>
    </row>
    <row r="13" spans="1:21" s="11" customFormat="1" ht="15">
      <c r="A13" s="53" t="s">
        <v>330</v>
      </c>
      <c r="B13" s="54">
        <v>15.18</v>
      </c>
      <c r="C13" s="54">
        <v>33.74</v>
      </c>
      <c r="D13" s="54">
        <v>29.42</v>
      </c>
      <c r="E13" s="54">
        <v>4.05</v>
      </c>
      <c r="F13" s="54">
        <v>3.75</v>
      </c>
      <c r="G13" s="54">
        <v>146.72999999999999</v>
      </c>
      <c r="H13" s="54">
        <v>76.349999999999994</v>
      </c>
      <c r="I13" s="54">
        <v>1.54</v>
      </c>
      <c r="J13" s="54">
        <v>0.11</v>
      </c>
      <c r="K13" s="54">
        <v>353.62</v>
      </c>
      <c r="L13" s="54">
        <v>22.39</v>
      </c>
      <c r="M13" s="54">
        <v>57.54</v>
      </c>
      <c r="N13" s="54">
        <v>19.80</v>
      </c>
      <c r="O13" s="54">
        <v>0</v>
      </c>
      <c r="P13" s="54">
        <v>0.89</v>
      </c>
      <c r="Q13" s="54">
        <v>11.34</v>
      </c>
      <c r="R13" s="43"/>
      <c r="S13" s="43"/>
      <c r="T13" s="43"/>
      <c r="U13" s="43"/>
    </row>
    <row r="14" spans="1:21" s="11" customFormat="1" ht="15">
      <c r="A14" s="53" t="s">
        <v>331</v>
      </c>
      <c r="B14" s="54">
        <v>16.95</v>
      </c>
      <c r="C14" s="54">
        <v>34.39</v>
      </c>
      <c r="D14" s="54">
        <v>30.23</v>
      </c>
      <c r="E14" s="54">
        <v>4.09</v>
      </c>
      <c r="F14" s="54">
        <v>3.56</v>
      </c>
      <c r="G14" s="54">
        <v>146.72999999999999</v>
      </c>
      <c r="H14" s="54">
        <v>76.349999999999994</v>
      </c>
      <c r="I14" s="54">
        <v>1.55</v>
      </c>
      <c r="J14" s="54">
        <v>0.33</v>
      </c>
      <c r="K14" s="54">
        <v>335.44</v>
      </c>
      <c r="L14" s="54">
        <v>22.31</v>
      </c>
      <c r="M14" s="54">
        <v>72.819999999999993</v>
      </c>
      <c r="N14" s="54">
        <v>21</v>
      </c>
      <c r="O14" s="54">
        <v>0</v>
      </c>
      <c r="P14" s="54">
        <v>0.83</v>
      </c>
      <c r="Q14" s="54">
        <v>11.34</v>
      </c>
      <c r="R14" s="43"/>
      <c r="S14" s="43"/>
      <c r="T14" s="43"/>
      <c r="U14" s="43"/>
    </row>
    <row r="15" spans="1:21" s="11" customFormat="1" ht="15">
      <c r="A15" s="53" t="s">
        <v>332</v>
      </c>
      <c r="B15" s="54">
        <v>22.41</v>
      </c>
      <c r="C15" s="54">
        <v>31.25</v>
      </c>
      <c r="D15" s="54">
        <v>33.630000000000003</v>
      </c>
      <c r="E15" s="54">
        <v>4.1399999999999997</v>
      </c>
      <c r="F15" s="54">
        <v>3.62</v>
      </c>
      <c r="G15" s="54">
        <v>135.65</v>
      </c>
      <c r="H15" s="54">
        <v>41.62</v>
      </c>
      <c r="I15" s="54">
        <v>1.60</v>
      </c>
      <c r="J15" s="54">
        <v>0.17</v>
      </c>
      <c r="K15" s="54">
        <v>326.70999999999998</v>
      </c>
      <c r="L15" s="54">
        <v>23.51</v>
      </c>
      <c r="M15" s="54">
        <v>74.78</v>
      </c>
      <c r="N15" s="54">
        <v>101.10</v>
      </c>
      <c r="O15" s="54">
        <v>0</v>
      </c>
      <c r="P15" s="54">
        <v>0.76</v>
      </c>
      <c r="Q15" s="54">
        <v>11.5</v>
      </c>
      <c r="R15" s="43"/>
      <c r="S15" s="43"/>
      <c r="T15" s="43"/>
      <c r="U15" s="43"/>
    </row>
    <row r="16" spans="1:21" s="11" customFormat="1" ht="15">
      <c r="A16" s="53" t="s">
        <v>333</v>
      </c>
      <c r="B16" s="54">
        <v>24.20</v>
      </c>
      <c r="C16" s="54">
        <v>29.67</v>
      </c>
      <c r="D16" s="54">
        <v>34.86</v>
      </c>
      <c r="E16" s="54">
        <v>4.43</v>
      </c>
      <c r="F16" s="54">
        <v>3.65</v>
      </c>
      <c r="G16" s="54">
        <v>135.65</v>
      </c>
      <c r="H16" s="54">
        <v>41.62</v>
      </c>
      <c r="I16" s="54">
        <v>1.54</v>
      </c>
      <c r="J16" s="54">
        <v>0.27</v>
      </c>
      <c r="K16" s="54">
        <v>320.36</v>
      </c>
      <c r="L16" s="54">
        <v>30.89</v>
      </c>
      <c r="M16" s="54">
        <v>56</v>
      </c>
      <c r="N16" s="54">
        <v>297.80</v>
      </c>
      <c r="O16" s="54">
        <v>0</v>
      </c>
      <c r="P16" s="54">
        <v>0.77</v>
      </c>
      <c r="Q16" s="54">
        <v>11.55</v>
      </c>
      <c r="R16" s="43"/>
      <c r="S16" s="43"/>
      <c r="T16" s="43"/>
      <c r="U16" s="43"/>
    </row>
    <row r="17" spans="1:21" s="11" customFormat="1" ht="15">
      <c r="A17" s="53" t="s">
        <v>334</v>
      </c>
      <c r="B17" s="54">
        <v>23.64</v>
      </c>
      <c r="C17" s="54">
        <v>34.19</v>
      </c>
      <c r="D17" s="54">
        <v>34.5</v>
      </c>
      <c r="E17" s="54">
        <v>4.16</v>
      </c>
      <c r="F17" s="54">
        <v>3.87</v>
      </c>
      <c r="G17" s="54">
        <v>95.75</v>
      </c>
      <c r="H17" s="54">
        <v>28.73</v>
      </c>
      <c r="I17" s="54">
        <v>1.54</v>
      </c>
      <c r="J17" s="54">
        <v>0.69</v>
      </c>
      <c r="K17" s="54">
        <v>344.68</v>
      </c>
      <c r="L17" s="54">
        <v>34.57</v>
      </c>
      <c r="M17" s="54">
        <v>35.51</v>
      </c>
      <c r="N17" s="54">
        <v>484.80</v>
      </c>
      <c r="O17" s="54">
        <v>0</v>
      </c>
      <c r="P17" s="54">
        <v>0.78</v>
      </c>
      <c r="Q17" s="54">
        <v>11.54</v>
      </c>
      <c r="R17" s="43"/>
      <c r="S17" s="43"/>
      <c r="T17" s="43"/>
      <c r="U17" s="43"/>
    </row>
    <row r="18" spans="1:21" s="11" customFormat="1" ht="15">
      <c r="A18" s="53" t="s">
        <v>335</v>
      </c>
      <c r="B18" s="54">
        <v>17.55</v>
      </c>
      <c r="C18" s="54">
        <v>43.20</v>
      </c>
      <c r="D18" s="54">
        <v>32.96</v>
      </c>
      <c r="E18" s="54">
        <v>4.16</v>
      </c>
      <c r="F18" s="54">
        <v>4.3499999999999996</v>
      </c>
      <c r="G18" s="54">
        <v>75.900000000000006</v>
      </c>
      <c r="H18" s="54">
        <v>27.13</v>
      </c>
      <c r="I18" s="54">
        <v>1.51</v>
      </c>
      <c r="J18" s="54">
        <v>0.41</v>
      </c>
      <c r="K18" s="54">
        <v>346.97</v>
      </c>
      <c r="L18" s="54">
        <v>34.130000000000003</v>
      </c>
      <c r="M18" s="54">
        <v>39.71</v>
      </c>
      <c r="N18" s="54">
        <v>654.60</v>
      </c>
      <c r="O18" s="54">
        <v>0</v>
      </c>
      <c r="P18" s="54">
        <v>0.75</v>
      </c>
      <c r="Q18" s="54">
        <v>11.44</v>
      </c>
      <c r="R18" s="43"/>
      <c r="S18" s="43"/>
      <c r="T18" s="43"/>
      <c r="U18" s="43"/>
    </row>
    <row r="19" spans="1:21" s="11" customFormat="1" ht="15">
      <c r="A19" s="53" t="s">
        <v>336</v>
      </c>
      <c r="B19" s="54">
        <v>4.97</v>
      </c>
      <c r="C19" s="54">
        <v>43.59</v>
      </c>
      <c r="D19" s="54">
        <v>26.66</v>
      </c>
      <c r="E19" s="54">
        <v>3.89</v>
      </c>
      <c r="F19" s="54">
        <v>5.05</v>
      </c>
      <c r="G19" s="54">
        <v>52.94</v>
      </c>
      <c r="H19" s="54">
        <v>27.13</v>
      </c>
      <c r="I19" s="54">
        <v>1.61</v>
      </c>
      <c r="J19" s="54">
        <v>0.34</v>
      </c>
      <c r="K19" s="54">
        <v>337.24</v>
      </c>
      <c r="L19" s="54">
        <v>34.82</v>
      </c>
      <c r="M19" s="54">
        <v>36.10</v>
      </c>
      <c r="N19" s="54">
        <v>737.90</v>
      </c>
      <c r="O19" s="54">
        <v>0</v>
      </c>
      <c r="P19" s="54">
        <v>0.72</v>
      </c>
      <c r="Q19" s="54">
        <v>11.21</v>
      </c>
      <c r="R19" s="43"/>
      <c r="S19" s="43"/>
      <c r="T19" s="43"/>
      <c r="U19" s="43"/>
    </row>
    <row r="20" spans="1:21" s="11" customFormat="1" ht="15">
      <c r="A20" s="53" t="s">
        <v>337</v>
      </c>
      <c r="B20" s="54">
        <v>2.02</v>
      </c>
      <c r="C20" s="54">
        <v>41.43</v>
      </c>
      <c r="D20" s="54">
        <v>23.20</v>
      </c>
      <c r="E20" s="54">
        <v>3.93</v>
      </c>
      <c r="F20" s="54">
        <v>5.39</v>
      </c>
      <c r="G20" s="54">
        <v>67.62</v>
      </c>
      <c r="H20" s="54">
        <v>30.64</v>
      </c>
      <c r="I20" s="54">
        <v>1.51</v>
      </c>
      <c r="J20" s="54">
        <v>0.31</v>
      </c>
      <c r="K20" s="54">
        <v>317.52999999999997</v>
      </c>
      <c r="L20" s="54">
        <v>34.96</v>
      </c>
      <c r="M20" s="54">
        <v>36.99</v>
      </c>
      <c r="N20" s="54">
        <v>776.10</v>
      </c>
      <c r="O20" s="54">
        <v>0</v>
      </c>
      <c r="P20" s="54">
        <v>0.77</v>
      </c>
      <c r="Q20" s="54">
        <v>11.07</v>
      </c>
      <c r="R20" s="43"/>
      <c r="S20" s="43"/>
      <c r="T20" s="43"/>
      <c r="U20" s="43"/>
    </row>
    <row r="21" spans="1:21" s="11" customFormat="1" ht="15">
      <c r="A21" s="53" t="s">
        <v>338</v>
      </c>
      <c r="B21" s="54">
        <v>1.33</v>
      </c>
      <c r="C21" s="54">
        <v>43.03</v>
      </c>
      <c r="D21" s="54">
        <v>23.48</v>
      </c>
      <c r="E21" s="54">
        <v>4.03</v>
      </c>
      <c r="F21" s="54">
        <v>6.67</v>
      </c>
      <c r="G21" s="54">
        <v>67.62</v>
      </c>
      <c r="H21" s="54">
        <v>30.64</v>
      </c>
      <c r="I21" s="54">
        <v>1.58</v>
      </c>
      <c r="J21" s="54">
        <v>0.28000000000000003</v>
      </c>
      <c r="K21" s="54">
        <v>328.30</v>
      </c>
      <c r="L21" s="54">
        <v>34.39</v>
      </c>
      <c r="M21" s="54">
        <v>30.64</v>
      </c>
      <c r="N21" s="54">
        <v>756.5</v>
      </c>
      <c r="O21" s="54">
        <v>0</v>
      </c>
      <c r="P21" s="54">
        <v>0.76</v>
      </c>
      <c r="Q21" s="54">
        <v>11.06</v>
      </c>
      <c r="R21" s="43"/>
      <c r="S21" s="43"/>
      <c r="T21" s="43"/>
      <c r="U21" s="43"/>
    </row>
    <row r="22" spans="1:21" s="11" customFormat="1" ht="15">
      <c r="A22" s="53" t="s">
        <v>339</v>
      </c>
      <c r="B22" s="54">
        <v>1</v>
      </c>
      <c r="C22" s="54">
        <v>38.700000000000003</v>
      </c>
      <c r="D22" s="54">
        <v>21.02</v>
      </c>
      <c r="E22" s="54">
        <v>4.03</v>
      </c>
      <c r="F22" s="54">
        <v>6.79</v>
      </c>
      <c r="G22" s="54">
        <v>62.66</v>
      </c>
      <c r="H22" s="54">
        <v>38.33</v>
      </c>
      <c r="I22" s="54">
        <v>1.56</v>
      </c>
      <c r="J22" s="54">
        <v>0.40</v>
      </c>
      <c r="K22" s="54">
        <v>319.92</v>
      </c>
      <c r="L22" s="54">
        <v>35.86</v>
      </c>
      <c r="M22" s="54">
        <v>26.68</v>
      </c>
      <c r="N22" s="54">
        <v>685.90</v>
      </c>
      <c r="O22" s="54">
        <v>0</v>
      </c>
      <c r="P22" s="54">
        <v>0.67</v>
      </c>
      <c r="Q22" s="54">
        <v>10.97</v>
      </c>
      <c r="R22" s="43"/>
      <c r="S22" s="43"/>
      <c r="T22" s="43"/>
      <c r="U22" s="43"/>
    </row>
    <row r="23" spans="1:21" s="11" customFormat="1" ht="15">
      <c r="A23" s="53" t="s">
        <v>340</v>
      </c>
      <c r="B23" s="54">
        <v>1.55</v>
      </c>
      <c r="C23" s="54">
        <v>39.29</v>
      </c>
      <c r="D23" s="54">
        <v>21.77</v>
      </c>
      <c r="E23" s="54">
        <v>3.75</v>
      </c>
      <c r="F23" s="54">
        <v>6.44</v>
      </c>
      <c r="G23" s="54">
        <v>55.26</v>
      </c>
      <c r="H23" s="54">
        <v>38.33</v>
      </c>
      <c r="I23" s="54">
        <v>1.5</v>
      </c>
      <c r="J23" s="54">
        <v>0.89</v>
      </c>
      <c r="K23" s="54">
        <v>350.52</v>
      </c>
      <c r="L23" s="54">
        <v>38.22</v>
      </c>
      <c r="M23" s="54">
        <v>23.52</v>
      </c>
      <c r="N23" s="54">
        <v>629.70000000000005</v>
      </c>
      <c r="O23" s="54">
        <v>0</v>
      </c>
      <c r="P23" s="54">
        <v>0.61</v>
      </c>
      <c r="Q23" s="54">
        <v>10.84</v>
      </c>
      <c r="R23" s="43"/>
      <c r="S23" s="43"/>
      <c r="T23" s="43"/>
      <c r="U23" s="43"/>
    </row>
    <row r="24" spans="1:21" s="11" customFormat="1" ht="15">
      <c r="A24" s="53" t="s">
        <v>341</v>
      </c>
      <c r="B24" s="54">
        <v>2.13</v>
      </c>
      <c r="C24" s="54">
        <v>39.65</v>
      </c>
      <c r="D24" s="54">
        <v>22.42</v>
      </c>
      <c r="E24" s="54">
        <v>3.77</v>
      </c>
      <c r="F24" s="54">
        <v>4.78</v>
      </c>
      <c r="G24" s="54">
        <v>48.94</v>
      </c>
      <c r="H24" s="54">
        <v>46.36</v>
      </c>
      <c r="I24" s="54">
        <v>1.58</v>
      </c>
      <c r="J24" s="54">
        <v>0.38</v>
      </c>
      <c r="K24" s="54">
        <v>358.45</v>
      </c>
      <c r="L24" s="54">
        <v>34.520000000000003</v>
      </c>
      <c r="M24" s="54">
        <v>23.5</v>
      </c>
      <c r="N24" s="54">
        <v>294.60000000000002</v>
      </c>
      <c r="O24" s="54">
        <v>0</v>
      </c>
      <c r="P24" s="54">
        <v>0.57999999999999996</v>
      </c>
      <c r="Q24" s="54">
        <v>10.95</v>
      </c>
      <c r="R24" s="43"/>
      <c r="S24" s="43"/>
      <c r="T24" s="43"/>
      <c r="U24" s="43"/>
    </row>
    <row r="25" spans="1:21" s="11" customFormat="1" ht="15">
      <c r="A25" s="53" t="s">
        <v>342</v>
      </c>
      <c r="B25" s="54">
        <v>1.83</v>
      </c>
      <c r="C25" s="54">
        <v>41.90</v>
      </c>
      <c r="D25" s="54">
        <v>23.29</v>
      </c>
      <c r="E25" s="54">
        <v>3.07</v>
      </c>
      <c r="F25" s="54">
        <v>4.88</v>
      </c>
      <c r="G25" s="54">
        <v>43.87</v>
      </c>
      <c r="H25" s="54">
        <v>46.36</v>
      </c>
      <c r="I25" s="54">
        <v>1.52</v>
      </c>
      <c r="J25" s="54">
        <v>0.19</v>
      </c>
      <c r="K25" s="54">
        <v>326.16000000000003</v>
      </c>
      <c r="L25" s="54">
        <v>32.909999999999997</v>
      </c>
      <c r="M25" s="54">
        <v>26.13</v>
      </c>
      <c r="N25" s="54">
        <v>198.5</v>
      </c>
      <c r="O25" s="54">
        <v>0</v>
      </c>
      <c r="P25" s="54">
        <v>0.53</v>
      </c>
      <c r="Q25" s="54">
        <v>10.99</v>
      </c>
      <c r="R25" s="43"/>
      <c r="S25" s="43"/>
      <c r="T25" s="43"/>
      <c r="U25" s="43"/>
    </row>
    <row r="26" spans="1:21" s="11" customFormat="1" ht="15">
      <c r="A26" s="53" t="s">
        <v>343</v>
      </c>
      <c r="B26" s="54">
        <v>2.10</v>
      </c>
      <c r="C26" s="54">
        <v>43.26</v>
      </c>
      <c r="D26" s="54">
        <v>24.28</v>
      </c>
      <c r="E26" s="54">
        <v>3.01</v>
      </c>
      <c r="F26" s="54">
        <v>5.34</v>
      </c>
      <c r="G26" s="54">
        <v>43.87</v>
      </c>
      <c r="H26" s="54">
        <v>34.83</v>
      </c>
      <c r="I26" s="54">
        <v>1.5</v>
      </c>
      <c r="J26" s="54">
        <v>1.25</v>
      </c>
      <c r="K26" s="54">
        <v>305.94</v>
      </c>
      <c r="L26" s="54">
        <v>31.83</v>
      </c>
      <c r="M26" s="54">
        <v>27.42</v>
      </c>
      <c r="N26" s="54">
        <v>111.70</v>
      </c>
      <c r="O26" s="54">
        <v>0</v>
      </c>
      <c r="P26" s="54">
        <v>0.55000000000000004</v>
      </c>
      <c r="Q26" s="54">
        <v>10.96</v>
      </c>
      <c r="R26" s="43"/>
      <c r="S26" s="43"/>
      <c r="T26" s="43"/>
      <c r="U26" s="43"/>
    </row>
    <row r="27" spans="1:21" s="11" customFormat="1" ht="15">
      <c r="A27" s="53" t="s">
        <v>344</v>
      </c>
      <c r="B27" s="54">
        <v>9.98</v>
      </c>
      <c r="C27" s="54">
        <v>43.47</v>
      </c>
      <c r="D27" s="54">
        <v>29.84</v>
      </c>
      <c r="E27" s="54">
        <v>2.81</v>
      </c>
      <c r="F27" s="54">
        <v>4.17</v>
      </c>
      <c r="G27" s="54">
        <v>48.09</v>
      </c>
      <c r="H27" s="54">
        <v>34.83</v>
      </c>
      <c r="I27" s="54">
        <v>1.54</v>
      </c>
      <c r="J27" s="54">
        <v>0.17</v>
      </c>
      <c r="K27" s="54">
        <v>301.25</v>
      </c>
      <c r="L27" s="54">
        <v>29.82</v>
      </c>
      <c r="M27" s="54">
        <v>27.96</v>
      </c>
      <c r="N27" s="54">
        <v>69</v>
      </c>
      <c r="O27" s="54">
        <v>0</v>
      </c>
      <c r="P27" s="54">
        <v>0.77</v>
      </c>
      <c r="Q27" s="54">
        <v>11.02</v>
      </c>
      <c r="R27" s="43"/>
      <c r="S27" s="43"/>
      <c r="T27" s="43"/>
      <c r="U27" s="43"/>
    </row>
    <row r="28" spans="1:21" s="11" customFormat="1" ht="15">
      <c r="A28" s="53" t="s">
        <v>345</v>
      </c>
      <c r="B28" s="54">
        <v>17.079999999999998</v>
      </c>
      <c r="C28" s="54">
        <v>40.700000000000003</v>
      </c>
      <c r="D28" s="54">
        <v>32.89</v>
      </c>
      <c r="E28" s="54">
        <v>3.28</v>
      </c>
      <c r="F28" s="54">
        <v>3.45</v>
      </c>
      <c r="G28" s="54">
        <v>57.79</v>
      </c>
      <c r="H28" s="54">
        <v>29.86</v>
      </c>
      <c r="I28" s="54">
        <v>1.55</v>
      </c>
      <c r="J28" s="54">
        <v>0.14000000000000001</v>
      </c>
      <c r="K28" s="54">
        <v>279.44</v>
      </c>
      <c r="L28" s="54">
        <v>27.95</v>
      </c>
      <c r="M28" s="54">
        <v>31.08</v>
      </c>
      <c r="N28" s="54">
        <v>64.099999999999994</v>
      </c>
      <c r="O28" s="54">
        <v>0</v>
      </c>
      <c r="P28" s="54">
        <v>1.07</v>
      </c>
      <c r="Q28" s="54">
        <v>11.08</v>
      </c>
      <c r="R28" s="43"/>
      <c r="S28" s="43"/>
      <c r="T28" s="43"/>
      <c r="U28" s="43"/>
    </row>
    <row r="29" spans="1:21" s="11" customFormat="1" ht="15">
      <c r="A29" s="53" t="s">
        <v>346</v>
      </c>
      <c r="B29" s="54">
        <v>28.77</v>
      </c>
      <c r="C29" s="54">
        <v>34.92</v>
      </c>
      <c r="D29" s="54">
        <v>39.020000000000003</v>
      </c>
      <c r="E29" s="54">
        <v>4.24</v>
      </c>
      <c r="F29" s="54">
        <v>3.30</v>
      </c>
      <c r="G29" s="54">
        <v>73.91</v>
      </c>
      <c r="H29" s="54">
        <v>18.47</v>
      </c>
      <c r="I29" s="54">
        <v>1.54</v>
      </c>
      <c r="J29" s="54">
        <v>0.27</v>
      </c>
      <c r="K29" s="54">
        <v>276.55</v>
      </c>
      <c r="L29" s="54">
        <v>26.32</v>
      </c>
      <c r="M29" s="54">
        <v>43.11</v>
      </c>
      <c r="N29" s="54">
        <v>66</v>
      </c>
      <c r="O29" s="54">
        <v>0</v>
      </c>
      <c r="P29" s="54">
        <v>1.25</v>
      </c>
      <c r="Q29" s="54">
        <v>11.42</v>
      </c>
      <c r="R29" s="43"/>
      <c r="S29" s="43"/>
      <c r="T29" s="43"/>
      <c r="U29" s="43"/>
    </row>
    <row r="30" spans="1:21" s="11" customFormat="1" ht="15">
      <c r="A30" s="53" t="s">
        <v>347</v>
      </c>
      <c r="B30" s="54">
        <v>52.97</v>
      </c>
      <c r="C30" s="54">
        <v>28.36</v>
      </c>
      <c r="D30" s="54">
        <v>52.77</v>
      </c>
      <c r="E30" s="54">
        <v>4.18</v>
      </c>
      <c r="F30" s="54">
        <v>3.34</v>
      </c>
      <c r="G30" s="54">
        <v>105.23</v>
      </c>
      <c r="H30" s="54">
        <v>30.53</v>
      </c>
      <c r="I30" s="54">
        <v>1.59</v>
      </c>
      <c r="J30" s="54">
        <v>0.13</v>
      </c>
      <c r="K30" s="54">
        <v>259.14</v>
      </c>
      <c r="L30" s="54">
        <v>25.06</v>
      </c>
      <c r="M30" s="54">
        <v>45.63</v>
      </c>
      <c r="N30" s="54">
        <v>59.60</v>
      </c>
      <c r="O30" s="54">
        <v>0</v>
      </c>
      <c r="P30" s="54">
        <v>1.23</v>
      </c>
      <c r="Q30" s="54">
        <v>11.75</v>
      </c>
      <c r="R30" s="43"/>
      <c r="S30" s="43"/>
      <c r="T30" s="43"/>
      <c r="U30" s="43"/>
    </row>
    <row r="31" spans="1:21" s="11" customFormat="1" ht="15">
      <c r="A31" s="53" t="s">
        <v>348</v>
      </c>
      <c r="B31" s="54">
        <v>89.23</v>
      </c>
      <c r="C31" s="54">
        <v>15.95</v>
      </c>
      <c r="D31" s="54">
        <v>74.819999999999993</v>
      </c>
      <c r="E31" s="54">
        <v>4.82</v>
      </c>
      <c r="F31" s="54">
        <v>3.24</v>
      </c>
      <c r="G31" s="54">
        <v>113.22</v>
      </c>
      <c r="H31" s="54">
        <v>32.89</v>
      </c>
      <c r="I31" s="54">
        <v>1.61</v>
      </c>
      <c r="J31" s="54">
        <v>0.14000000000000001</v>
      </c>
      <c r="K31" s="54">
        <v>332.75</v>
      </c>
      <c r="L31" s="54">
        <v>23.54</v>
      </c>
      <c r="M31" s="54">
        <v>53.89</v>
      </c>
      <c r="N31" s="54">
        <v>59.20</v>
      </c>
      <c r="O31" s="54">
        <v>0</v>
      </c>
      <c r="P31" s="54">
        <v>1.34</v>
      </c>
      <c r="Q31" s="54">
        <v>12.62</v>
      </c>
      <c r="R31" s="43"/>
      <c r="S31" s="43"/>
      <c r="T31" s="43"/>
      <c r="U31" s="43"/>
    </row>
    <row r="32" spans="1:21" s="11" customFormat="1" ht="15">
      <c r="A32" s="53" t="s">
        <v>349</v>
      </c>
      <c r="B32" s="54">
        <v>112.64</v>
      </c>
      <c r="C32" s="54">
        <v>2.34</v>
      </c>
      <c r="D32" s="54">
        <v>87.94</v>
      </c>
      <c r="E32" s="54">
        <v>5.09</v>
      </c>
      <c r="F32" s="54">
        <v>3.29</v>
      </c>
      <c r="G32" s="54">
        <v>119.64</v>
      </c>
      <c r="H32" s="54">
        <v>35.36</v>
      </c>
      <c r="I32" s="54">
        <v>1.55</v>
      </c>
      <c r="J32" s="54">
        <v>0.18</v>
      </c>
      <c r="K32" s="54">
        <v>358.88</v>
      </c>
      <c r="L32" s="54">
        <v>23.46</v>
      </c>
      <c r="M32" s="54">
        <v>56.32</v>
      </c>
      <c r="N32" s="54">
        <v>59.40</v>
      </c>
      <c r="O32" s="54">
        <v>0</v>
      </c>
      <c r="P32" s="54">
        <v>1.43</v>
      </c>
      <c r="Q32" s="54">
        <v>13.42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</v>
      </c>
      <c r="C34" s="28">
        <f t="shared" si="0"/>
        <v>2.3399999999999999</v>
      </c>
      <c r="D34" s="28">
        <f t="shared" si="0"/>
        <v>21.02</v>
      </c>
      <c r="E34" s="28">
        <f t="shared" si="0"/>
        <v>2.8100000000000001</v>
      </c>
      <c r="F34" s="28">
        <f t="shared" si="0"/>
        <v>3.2400000000000002</v>
      </c>
      <c r="G34" s="28">
        <f t="shared" si="0"/>
        <v>43.869999999999997</v>
      </c>
      <c r="H34" s="28">
        <f t="shared" si="0"/>
        <v>18.469999999999999</v>
      </c>
      <c r="I34" s="28">
        <f t="shared" si="0"/>
        <v>1.5</v>
      </c>
      <c r="J34" s="28">
        <f t="shared" si="0"/>
        <v>0.11</v>
      </c>
      <c r="K34" s="28">
        <f t="shared" si="0"/>
        <v>259.13999999999999</v>
      </c>
      <c r="L34" s="28">
        <f t="shared" si="0"/>
        <v>22.309999999999999</v>
      </c>
      <c r="M34" s="28">
        <f t="shared" si="0"/>
        <v>23.5</v>
      </c>
      <c r="N34" s="28">
        <f t="shared" si="0"/>
        <v>19.5</v>
      </c>
      <c r="O34" s="28">
        <f t="shared" si="0"/>
        <v>0</v>
      </c>
      <c r="P34" s="28">
        <f t="shared" si="0"/>
        <v>0.53000000000000003</v>
      </c>
      <c r="Q34" s="28">
        <f t="shared" si="0"/>
        <v>10.84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112.64</v>
      </c>
      <c r="C35" s="29">
        <f t="shared" si="1"/>
        <v>43.590000000000003</v>
      </c>
      <c r="D35" s="29">
        <f t="shared" si="1"/>
        <v>87.939999999999998</v>
      </c>
      <c r="E35" s="29">
        <f t="shared" si="1"/>
        <v>5.0899999999999999</v>
      </c>
      <c r="F35" s="29">
        <f t="shared" si="1"/>
        <v>6.79</v>
      </c>
      <c r="G35" s="29">
        <f t="shared" si="1"/>
        <v>146.72999999999999</v>
      </c>
      <c r="H35" s="29">
        <f t="shared" si="1"/>
        <v>76.349999999999994</v>
      </c>
      <c r="I35" s="29">
        <f t="shared" si="1"/>
        <v>1.6100000000000001</v>
      </c>
      <c r="J35" s="29">
        <f t="shared" si="1"/>
        <v>1.25</v>
      </c>
      <c r="K35" s="29">
        <f t="shared" si="1"/>
        <v>358.88</v>
      </c>
      <c r="L35" s="29">
        <f t="shared" si="1"/>
        <v>38.219999999999999</v>
      </c>
      <c r="M35" s="29">
        <f t="shared" si="1"/>
        <v>74.780000000000001</v>
      </c>
      <c r="N35" s="29">
        <f t="shared" si="1"/>
        <v>776.10000000000002</v>
      </c>
      <c r="O35" s="29">
        <f t="shared" si="1"/>
        <v>0</v>
      </c>
      <c r="P35" s="29">
        <f t="shared" si="1"/>
        <v>1.4299999999999999</v>
      </c>
      <c r="Q35" s="29">
        <f t="shared" si="1"/>
        <v>13.42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22.300416666666667</v>
      </c>
      <c r="C36" s="28">
        <f t="shared" si="2"/>
        <v>34.838333333333338</v>
      </c>
      <c r="D36" s="28">
        <f t="shared" si="2"/>
        <v>34.893750000000004</v>
      </c>
      <c r="E36" s="28">
        <f t="shared" si="2"/>
        <v>3.9312499999999999</v>
      </c>
      <c r="F36" s="28">
        <f t="shared" si="2"/>
        <v>4.3170833333333336</v>
      </c>
      <c r="G36" s="28">
        <f t="shared" si="2"/>
        <v>83.181666666666672</v>
      </c>
      <c r="H36" s="28">
        <f t="shared" si="2"/>
        <v>38.395714285714291</v>
      </c>
      <c r="I36" s="28">
        <f t="shared" si="2"/>
        <v>1.5504166666666668</v>
      </c>
      <c r="J36" s="28">
        <f t="shared" si="2"/>
        <v>0.37416666666666676</v>
      </c>
      <c r="K36" s="28">
        <f t="shared" si="2"/>
        <v>326.15791666666661</v>
      </c>
      <c r="L36" s="28">
        <f t="shared" si="2"/>
        <v>28.974583333333332</v>
      </c>
      <c r="M36" s="28">
        <f t="shared" si="2"/>
        <v>45.302916666666668</v>
      </c>
      <c r="N36" s="28">
        <f t="shared" si="2"/>
        <v>259.41666666666669</v>
      </c>
      <c r="O36" s="28">
        <f t="shared" si="2"/>
        <v>0</v>
      </c>
      <c r="P36" s="28">
        <f t="shared" si="2"/>
        <v>0.86958333333333326</v>
      </c>
      <c r="Q36" s="28">
        <f t="shared" si="2"/>
        <v>11.411250000000001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27.37202387700238</v>
      </c>
      <c r="C37" s="28">
        <f t="shared" si="3" ref="C37:Q37">STDEV(C9:C32)</f>
        <v>9.4533893929369253</v>
      </c>
      <c r="D37" s="28">
        <f t="shared" si="3"/>
        <v>16.125453229221996</v>
      </c>
      <c r="E37" s="28">
        <f t="shared" si="3"/>
        <v>0.51609160376648289</v>
      </c>
      <c r="F37" s="28">
        <f t="shared" si="3"/>
        <v>1.1059187766647713</v>
      </c>
      <c r="G37" s="28">
        <f t="shared" si="3"/>
        <v>33.445664392663254</v>
      </c>
      <c r="H37" s="28">
        <f t="shared" si="3"/>
        <v>14.30980732624605</v>
      </c>
      <c r="I37" s="28">
        <f t="shared" si="3"/>
        <v>0.031825497935469634</v>
      </c>
      <c r="J37" s="28">
        <f t="shared" si="3"/>
        <v>0.28483277575610472</v>
      </c>
      <c r="K37" s="28">
        <f t="shared" si="3"/>
        <v>26.401651789426829</v>
      </c>
      <c r="L37" s="28">
        <f t="shared" si="3"/>
        <v>5.4067598423412084</v>
      </c>
      <c r="M37" s="28">
        <f t="shared" si="3"/>
        <v>17.085946800798286</v>
      </c>
      <c r="N37" s="28">
        <f t="shared" si="3"/>
        <v>287.28652818286201</v>
      </c>
      <c r="O37" s="28">
        <f t="shared" si="3"/>
        <v>0</v>
      </c>
      <c r="P37" s="28">
        <f t="shared" si="3"/>
        <v>0.24944249431685586</v>
      </c>
      <c r="Q37" s="28">
        <f t="shared" si="3"/>
        <v>0.56602590584438484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139daf-3b73-4b1e-9f08-ab3d631a9df0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C39" sqref="C3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350</v>
      </c>
      <c r="B9" s="54">
        <v>112.65</v>
      </c>
      <c r="C9" s="57" t="s">
        <v>14</v>
      </c>
      <c r="D9" s="54">
        <v>87.59</v>
      </c>
      <c r="E9" s="54">
        <v>5</v>
      </c>
      <c r="F9" s="54">
        <v>3.41</v>
      </c>
      <c r="G9" s="54">
        <v>119.64</v>
      </c>
      <c r="H9" s="54">
        <v>35.36</v>
      </c>
      <c r="I9" s="54">
        <v>1.55</v>
      </c>
      <c r="J9" s="54">
        <v>0.52</v>
      </c>
      <c r="K9" s="54">
        <v>355.42</v>
      </c>
      <c r="L9" s="54">
        <v>23.45</v>
      </c>
      <c r="M9" s="54">
        <v>59.05</v>
      </c>
      <c r="N9" s="54">
        <v>66.599999999999994</v>
      </c>
      <c r="O9" s="54">
        <v>0</v>
      </c>
      <c r="P9" s="54">
        <v>1.46</v>
      </c>
      <c r="Q9" s="54">
        <v>13.47</v>
      </c>
      <c r="R9" s="43"/>
      <c r="S9" s="43"/>
      <c r="T9" s="43"/>
      <c r="U9" s="43"/>
    </row>
    <row r="10" spans="1:21" s="11" customFormat="1" ht="15">
      <c r="A10" s="53" t="s">
        <v>351</v>
      </c>
      <c r="B10" s="54">
        <v>104.55</v>
      </c>
      <c r="C10" s="57" t="s">
        <v>14</v>
      </c>
      <c r="D10" s="54">
        <v>81.55</v>
      </c>
      <c r="E10" s="54">
        <v>4.93</v>
      </c>
      <c r="F10" s="54">
        <v>3.52</v>
      </c>
      <c r="G10" s="54">
        <v>113.59</v>
      </c>
      <c r="H10" s="54">
        <v>34.22</v>
      </c>
      <c r="I10" s="54">
        <v>1.56</v>
      </c>
      <c r="J10" s="54">
        <v>0.38</v>
      </c>
      <c r="K10" s="54">
        <v>232.65</v>
      </c>
      <c r="L10" s="54">
        <v>23.31</v>
      </c>
      <c r="M10" s="54">
        <v>56.09</v>
      </c>
      <c r="N10" s="54">
        <v>90.5</v>
      </c>
      <c r="O10" s="54">
        <v>0</v>
      </c>
      <c r="P10" s="54">
        <v>1.39</v>
      </c>
      <c r="Q10" s="54">
        <v>13.48</v>
      </c>
      <c r="R10" s="43"/>
      <c r="S10" s="43"/>
      <c r="T10" s="43"/>
      <c r="U10" s="43"/>
    </row>
    <row r="11" spans="1:21" s="11" customFormat="1" ht="15">
      <c r="A11" s="53" t="s">
        <v>352</v>
      </c>
      <c r="B11" s="54">
        <v>96.40</v>
      </c>
      <c r="C11" s="54">
        <v>2.62</v>
      </c>
      <c r="D11" s="54">
        <v>76</v>
      </c>
      <c r="E11" s="54">
        <v>4.96</v>
      </c>
      <c r="F11" s="54">
        <v>3.56</v>
      </c>
      <c r="G11" s="54">
        <v>104.46</v>
      </c>
      <c r="H11" s="54">
        <v>33.880000000000003</v>
      </c>
      <c r="I11" s="54">
        <v>1.56</v>
      </c>
      <c r="J11" s="54">
        <v>0.30</v>
      </c>
      <c r="K11" s="54">
        <v>219.77</v>
      </c>
      <c r="L11" s="54">
        <v>22.73</v>
      </c>
      <c r="M11" s="54">
        <v>55.62</v>
      </c>
      <c r="N11" s="54">
        <v>59.30</v>
      </c>
      <c r="O11" s="54">
        <v>0</v>
      </c>
      <c r="P11" s="54">
        <v>1.35</v>
      </c>
      <c r="Q11" s="54">
        <v>13.32</v>
      </c>
      <c r="R11" s="43"/>
      <c r="S11" s="43"/>
      <c r="T11" s="43"/>
      <c r="U11" s="43"/>
    </row>
    <row r="12" spans="1:21" s="11" customFormat="1" ht="15">
      <c r="A12" s="53" t="s">
        <v>353</v>
      </c>
      <c r="B12" s="54">
        <v>75.84</v>
      </c>
      <c r="C12" s="54">
        <v>9.06</v>
      </c>
      <c r="D12" s="54">
        <v>63.30</v>
      </c>
      <c r="E12" s="54">
        <v>4.6399999999999997</v>
      </c>
      <c r="F12" s="54">
        <v>3.24</v>
      </c>
      <c r="G12" s="54">
        <v>93.46</v>
      </c>
      <c r="H12" s="54">
        <v>32.450000000000003</v>
      </c>
      <c r="I12" s="54">
        <v>1.54</v>
      </c>
      <c r="J12" s="54">
        <v>0.18</v>
      </c>
      <c r="K12" s="54">
        <v>344.28</v>
      </c>
      <c r="L12" s="54">
        <v>21.59</v>
      </c>
      <c r="M12" s="54">
        <v>64.56</v>
      </c>
      <c r="N12" s="54">
        <v>55.60</v>
      </c>
      <c r="O12" s="54">
        <v>0</v>
      </c>
      <c r="P12" s="54">
        <v>1.1299999999999999</v>
      </c>
      <c r="Q12" s="54">
        <v>12.87</v>
      </c>
      <c r="R12" s="43"/>
      <c r="S12" s="43"/>
      <c r="T12" s="43"/>
      <c r="U12" s="43"/>
    </row>
    <row r="13" spans="1:21" s="11" customFormat="1" ht="15">
      <c r="A13" s="53" t="s">
        <v>354</v>
      </c>
      <c r="B13" s="54">
        <v>62.63</v>
      </c>
      <c r="C13" s="54">
        <v>12.96</v>
      </c>
      <c r="D13" s="54">
        <v>55.71</v>
      </c>
      <c r="E13" s="54">
        <v>4.03</v>
      </c>
      <c r="F13" s="54">
        <v>3.33</v>
      </c>
      <c r="G13" s="54">
        <v>70.209999999999994</v>
      </c>
      <c r="H13" s="54">
        <v>25.07</v>
      </c>
      <c r="I13" s="54">
        <v>1.52</v>
      </c>
      <c r="J13" s="54">
        <v>0.26</v>
      </c>
      <c r="K13" s="54">
        <v>297.42</v>
      </c>
      <c r="L13" s="54">
        <v>20.98</v>
      </c>
      <c r="M13" s="54">
        <v>64.64</v>
      </c>
      <c r="N13" s="54">
        <v>53.40</v>
      </c>
      <c r="O13" s="54">
        <v>0</v>
      </c>
      <c r="P13" s="54">
        <v>0.99</v>
      </c>
      <c r="Q13" s="54">
        <v>12.46</v>
      </c>
      <c r="R13" s="43"/>
      <c r="S13" s="43"/>
      <c r="T13" s="43"/>
      <c r="U13" s="43"/>
    </row>
    <row r="14" spans="1:21" s="11" customFormat="1" ht="15">
      <c r="A14" s="53" t="s">
        <v>355</v>
      </c>
      <c r="B14" s="54">
        <v>59.46</v>
      </c>
      <c r="C14" s="54">
        <v>11.74</v>
      </c>
      <c r="D14" s="54">
        <v>53.82</v>
      </c>
      <c r="E14" s="54">
        <v>4.0599999999999996</v>
      </c>
      <c r="F14" s="54">
        <v>3.32</v>
      </c>
      <c r="G14" s="54">
        <v>80.73</v>
      </c>
      <c r="H14" s="54">
        <v>24.12</v>
      </c>
      <c r="I14" s="54">
        <v>1.56</v>
      </c>
      <c r="J14" s="54">
        <v>0.63</v>
      </c>
      <c r="K14" s="54">
        <v>340.81</v>
      </c>
      <c r="L14" s="54">
        <v>20.92</v>
      </c>
      <c r="M14" s="54">
        <v>66.84</v>
      </c>
      <c r="N14" s="54">
        <v>56.20</v>
      </c>
      <c r="O14" s="54">
        <v>0</v>
      </c>
      <c r="P14" s="54">
        <v>0.90</v>
      </c>
      <c r="Q14" s="54">
        <v>12.42</v>
      </c>
      <c r="R14" s="43"/>
      <c r="S14" s="43"/>
      <c r="T14" s="43"/>
      <c r="U14" s="43"/>
    </row>
    <row r="15" spans="1:21" s="11" customFormat="1" ht="15">
      <c r="A15" s="53" t="s">
        <v>356</v>
      </c>
      <c r="B15" s="54">
        <v>57.19</v>
      </c>
      <c r="C15" s="54">
        <v>13.12</v>
      </c>
      <c r="D15" s="54">
        <v>52.27</v>
      </c>
      <c r="E15" s="54">
        <v>4.0199999999999996</v>
      </c>
      <c r="F15" s="54">
        <v>3.53</v>
      </c>
      <c r="G15" s="54">
        <v>96.32</v>
      </c>
      <c r="H15" s="54">
        <v>32.35</v>
      </c>
      <c r="I15" s="54">
        <v>1.51</v>
      </c>
      <c r="J15" s="54">
        <v>0.33</v>
      </c>
      <c r="K15" s="54">
        <v>210.32</v>
      </c>
      <c r="L15" s="54">
        <v>21.75</v>
      </c>
      <c r="M15" s="54">
        <v>67.02</v>
      </c>
      <c r="N15" s="54">
        <v>137.30000000000001</v>
      </c>
      <c r="O15" s="54">
        <v>0</v>
      </c>
      <c r="P15" s="54">
        <v>0.89</v>
      </c>
      <c r="Q15" s="54">
        <v>12.40</v>
      </c>
      <c r="R15" s="43"/>
      <c r="S15" s="43"/>
      <c r="T15" s="43"/>
      <c r="U15" s="43"/>
    </row>
    <row r="16" spans="1:21" s="11" customFormat="1" ht="15">
      <c r="A16" s="53" t="s">
        <v>357</v>
      </c>
      <c r="B16" s="54">
        <v>53.26</v>
      </c>
      <c r="C16" s="54">
        <v>19.82</v>
      </c>
      <c r="D16" s="54">
        <v>49.42</v>
      </c>
      <c r="E16" s="54">
        <v>4.0599999999999996</v>
      </c>
      <c r="F16" s="54">
        <v>3.26</v>
      </c>
      <c r="G16" s="54">
        <v>96.32</v>
      </c>
      <c r="H16" s="54">
        <v>32.35</v>
      </c>
      <c r="I16" s="54">
        <v>1.56</v>
      </c>
      <c r="J16" s="54">
        <v>0.26</v>
      </c>
      <c r="K16" s="54">
        <v>354.86</v>
      </c>
      <c r="L16" s="54">
        <v>28.02</v>
      </c>
      <c r="M16" s="54">
        <v>51.90</v>
      </c>
      <c r="N16" s="54">
        <v>311.89999999999998</v>
      </c>
      <c r="O16" s="54">
        <v>0</v>
      </c>
      <c r="P16" s="54">
        <v>0.92</v>
      </c>
      <c r="Q16" s="54">
        <v>12.20</v>
      </c>
      <c r="R16" s="43"/>
      <c r="S16" s="43"/>
      <c r="T16" s="43"/>
      <c r="U16" s="43"/>
    </row>
    <row r="17" spans="1:21" s="11" customFormat="1" ht="15">
      <c r="A17" s="53" t="s">
        <v>358</v>
      </c>
      <c r="B17" s="54">
        <v>42.97</v>
      </c>
      <c r="C17" s="54">
        <v>29.64</v>
      </c>
      <c r="D17" s="54">
        <v>45.75</v>
      </c>
      <c r="E17" s="54">
        <v>4.0999999999999996</v>
      </c>
      <c r="F17" s="54">
        <v>3.33</v>
      </c>
      <c r="G17" s="54">
        <v>92.26</v>
      </c>
      <c r="H17" s="54">
        <v>32.10</v>
      </c>
      <c r="I17" s="54">
        <v>1.57</v>
      </c>
      <c r="J17" s="54">
        <v>0.37</v>
      </c>
      <c r="K17" s="54">
        <v>324.41000000000003</v>
      </c>
      <c r="L17" s="54">
        <v>32.880000000000003</v>
      </c>
      <c r="M17" s="54">
        <v>34.840000000000003</v>
      </c>
      <c r="N17" s="54">
        <v>475</v>
      </c>
      <c r="O17" s="54">
        <v>0</v>
      </c>
      <c r="P17" s="54">
        <v>0.92</v>
      </c>
      <c r="Q17" s="54">
        <v>12</v>
      </c>
      <c r="R17" s="43"/>
      <c r="S17" s="43"/>
      <c r="T17" s="43"/>
      <c r="U17" s="43"/>
    </row>
    <row r="18" spans="1:21" s="11" customFormat="1" ht="15">
      <c r="A18" s="53" t="s">
        <v>359</v>
      </c>
      <c r="B18" s="54">
        <v>30.53</v>
      </c>
      <c r="C18" s="54">
        <v>41.96</v>
      </c>
      <c r="D18" s="54">
        <v>41.46</v>
      </c>
      <c r="E18" s="54">
        <v>3.85</v>
      </c>
      <c r="F18" s="54">
        <v>4.2300000000000004</v>
      </c>
      <c r="G18" s="54">
        <v>101.54</v>
      </c>
      <c r="H18" s="54">
        <v>31.01</v>
      </c>
      <c r="I18" s="54">
        <v>1.56</v>
      </c>
      <c r="J18" s="54">
        <v>0.51</v>
      </c>
      <c r="K18" s="54">
        <v>337.51</v>
      </c>
      <c r="L18" s="54">
        <v>34.96</v>
      </c>
      <c r="M18" s="54">
        <v>35.81</v>
      </c>
      <c r="N18" s="54">
        <v>645.90</v>
      </c>
      <c r="O18" s="54">
        <v>0</v>
      </c>
      <c r="P18" s="54">
        <v>0.99</v>
      </c>
      <c r="Q18" s="54">
        <v>11.76</v>
      </c>
      <c r="R18" s="43"/>
      <c r="S18" s="43"/>
      <c r="T18" s="43"/>
      <c r="U18" s="43"/>
    </row>
    <row r="19" spans="1:21" s="11" customFormat="1" ht="15">
      <c r="A19" s="53" t="s">
        <v>360</v>
      </c>
      <c r="B19" s="54">
        <v>12.98</v>
      </c>
      <c r="C19" s="54">
        <v>57.53</v>
      </c>
      <c r="D19" s="54">
        <v>35.450000000000003</v>
      </c>
      <c r="E19" s="54">
        <v>4.88</v>
      </c>
      <c r="F19" s="54">
        <v>9.11</v>
      </c>
      <c r="G19" s="54">
        <v>101.54</v>
      </c>
      <c r="H19" s="54">
        <v>31.01</v>
      </c>
      <c r="I19" s="54">
        <v>1.56</v>
      </c>
      <c r="J19" s="54">
        <v>0.81</v>
      </c>
      <c r="K19" s="54">
        <v>336.34</v>
      </c>
      <c r="L19" s="54">
        <v>36.21</v>
      </c>
      <c r="M19" s="54">
        <v>36.869999999999997</v>
      </c>
      <c r="N19" s="54">
        <v>698.20</v>
      </c>
      <c r="O19" s="54">
        <v>0</v>
      </c>
      <c r="P19" s="54">
        <v>1.06</v>
      </c>
      <c r="Q19" s="54">
        <v>11.66</v>
      </c>
      <c r="R19" s="43"/>
      <c r="S19" s="43"/>
      <c r="T19" s="43"/>
      <c r="U19" s="43"/>
    </row>
    <row r="20" spans="1:21" s="11" customFormat="1" ht="15">
      <c r="A20" s="53" t="s">
        <v>361</v>
      </c>
      <c r="B20" s="54">
        <v>2</v>
      </c>
      <c r="C20" s="54">
        <v>53.04</v>
      </c>
      <c r="D20" s="54">
        <v>29.17</v>
      </c>
      <c r="E20" s="54">
        <v>2.72</v>
      </c>
      <c r="F20" s="54">
        <v>10.10</v>
      </c>
      <c r="G20" s="55" t="s">
        <v>12</v>
      </c>
      <c r="H20" s="55" t="s">
        <v>12</v>
      </c>
      <c r="I20" s="54">
        <v>1.53</v>
      </c>
      <c r="J20" s="54">
        <v>0.85</v>
      </c>
      <c r="K20" s="54">
        <v>319.27</v>
      </c>
      <c r="L20" s="54">
        <v>37.909999999999997</v>
      </c>
      <c r="M20" s="54">
        <v>26.16</v>
      </c>
      <c r="N20" s="54">
        <v>724.60</v>
      </c>
      <c r="O20" s="54">
        <v>0</v>
      </c>
      <c r="P20" s="54">
        <v>1.1200000000000001</v>
      </c>
      <c r="Q20" s="54">
        <v>11.14</v>
      </c>
      <c r="R20" s="43"/>
      <c r="S20" s="43"/>
      <c r="T20" s="43"/>
      <c r="U20" s="43"/>
    </row>
    <row r="21" spans="1:21" s="11" customFormat="1" ht="15">
      <c r="A21" s="53" t="s">
        <v>362</v>
      </c>
      <c r="B21" s="54">
        <v>0.64</v>
      </c>
      <c r="C21" s="54">
        <v>57.60</v>
      </c>
      <c r="D21" s="54">
        <v>30.61</v>
      </c>
      <c r="E21" s="54">
        <v>3.32</v>
      </c>
      <c r="F21" s="54">
        <v>11.16</v>
      </c>
      <c r="G21" s="54">
        <v>74.239999999999995</v>
      </c>
      <c r="H21" s="54">
        <v>25.98</v>
      </c>
      <c r="I21" s="54">
        <v>1.52</v>
      </c>
      <c r="J21" s="54">
        <v>0.69</v>
      </c>
      <c r="K21" s="54">
        <v>324.12</v>
      </c>
      <c r="L21" s="54">
        <v>37.479999999999997</v>
      </c>
      <c r="M21" s="54">
        <v>22.72</v>
      </c>
      <c r="N21" s="54">
        <v>727.80</v>
      </c>
      <c r="O21" s="54">
        <v>0</v>
      </c>
      <c r="P21" s="54">
        <v>0.93</v>
      </c>
      <c r="Q21" s="54">
        <v>11.10</v>
      </c>
      <c r="R21" s="43"/>
      <c r="S21" s="43"/>
      <c r="T21" s="43"/>
      <c r="U21" s="43"/>
    </row>
    <row r="22" spans="1:21" s="11" customFormat="1" ht="15">
      <c r="A22" s="53" t="s">
        <v>363</v>
      </c>
      <c r="B22" s="54">
        <v>0.75</v>
      </c>
      <c r="C22" s="54">
        <v>54.93</v>
      </c>
      <c r="D22" s="54">
        <v>29.13</v>
      </c>
      <c r="E22" s="54">
        <v>3.79</v>
      </c>
      <c r="F22" s="54">
        <v>15.03</v>
      </c>
      <c r="G22" s="54">
        <v>74.260000000000005</v>
      </c>
      <c r="H22" s="54">
        <v>28.56</v>
      </c>
      <c r="I22" s="54">
        <v>1.54</v>
      </c>
      <c r="J22" s="54">
        <v>0.78</v>
      </c>
      <c r="K22" s="54">
        <v>347.99</v>
      </c>
      <c r="L22" s="54">
        <v>38.33</v>
      </c>
      <c r="M22" s="54">
        <v>20.76</v>
      </c>
      <c r="N22" s="54">
        <v>681.90</v>
      </c>
      <c r="O22" s="54">
        <v>0</v>
      </c>
      <c r="P22" s="54">
        <v>0.68</v>
      </c>
      <c r="Q22" s="54">
        <v>10.91</v>
      </c>
      <c r="R22" s="43"/>
      <c r="S22" s="43"/>
      <c r="T22" s="43"/>
      <c r="U22" s="43"/>
    </row>
    <row r="23" spans="1:21" s="11" customFormat="1" ht="15">
      <c r="A23" s="53" t="s">
        <v>364</v>
      </c>
      <c r="B23" s="54">
        <v>0.82</v>
      </c>
      <c r="C23" s="54">
        <v>52.09</v>
      </c>
      <c r="D23" s="54">
        <v>27.73</v>
      </c>
      <c r="E23" s="54">
        <v>3.48</v>
      </c>
      <c r="F23" s="54">
        <v>12.41</v>
      </c>
      <c r="G23" s="54">
        <v>74.260000000000005</v>
      </c>
      <c r="H23" s="54">
        <v>28.56</v>
      </c>
      <c r="I23" s="54">
        <v>1.56</v>
      </c>
      <c r="J23" s="54">
        <v>0.49</v>
      </c>
      <c r="K23" s="54">
        <v>339.43</v>
      </c>
      <c r="L23" s="54">
        <v>36.14</v>
      </c>
      <c r="M23" s="54">
        <v>20.47</v>
      </c>
      <c r="N23" s="54">
        <v>601.70000000000005</v>
      </c>
      <c r="O23" s="54">
        <v>0</v>
      </c>
      <c r="P23" s="54">
        <v>0.56000000000000005</v>
      </c>
      <c r="Q23" s="54">
        <v>10.94</v>
      </c>
      <c r="R23" s="43"/>
      <c r="S23" s="43"/>
      <c r="T23" s="43"/>
      <c r="U23" s="43"/>
    </row>
    <row r="24" spans="1:21" s="11" customFormat="1" ht="15">
      <c r="A24" s="53" t="s">
        <v>365</v>
      </c>
      <c r="B24" s="54">
        <v>35.11</v>
      </c>
      <c r="C24" s="54">
        <v>49.69</v>
      </c>
      <c r="D24" s="54">
        <v>27.32</v>
      </c>
      <c r="E24" s="54">
        <v>4.45</v>
      </c>
      <c r="F24" s="54">
        <v>29.49</v>
      </c>
      <c r="G24" s="54">
        <v>61.89</v>
      </c>
      <c r="H24" s="54">
        <v>28.40</v>
      </c>
      <c r="I24" s="54">
        <v>1.55</v>
      </c>
      <c r="J24" s="54">
        <v>0.32</v>
      </c>
      <c r="K24" s="54">
        <v>294.31</v>
      </c>
      <c r="L24" s="54">
        <v>34.35</v>
      </c>
      <c r="M24" s="54">
        <v>22.21</v>
      </c>
      <c r="N24" s="54">
        <v>315.5</v>
      </c>
      <c r="O24" s="54">
        <v>0</v>
      </c>
      <c r="P24" s="54">
        <v>0.44</v>
      </c>
      <c r="Q24" s="54">
        <v>10.78</v>
      </c>
      <c r="R24" s="43"/>
      <c r="S24" s="43"/>
      <c r="T24" s="43"/>
      <c r="U24" s="43"/>
    </row>
    <row r="25" spans="1:21" s="11" customFormat="1" ht="15">
      <c r="A25" s="53" t="s">
        <v>366</v>
      </c>
      <c r="B25" s="54">
        <v>2.23</v>
      </c>
      <c r="C25" s="54">
        <v>50.06</v>
      </c>
      <c r="D25" s="54">
        <v>27.86</v>
      </c>
      <c r="E25" s="54">
        <v>1.72</v>
      </c>
      <c r="F25" s="54">
        <v>7.68</v>
      </c>
      <c r="G25" s="54">
        <v>59.86</v>
      </c>
      <c r="H25" s="54">
        <v>26.18</v>
      </c>
      <c r="I25" s="54">
        <v>1.56</v>
      </c>
      <c r="J25" s="54">
        <v>0.33</v>
      </c>
      <c r="K25" s="54">
        <v>31.49</v>
      </c>
      <c r="L25" s="54">
        <v>33.35</v>
      </c>
      <c r="M25" s="54">
        <v>23.5</v>
      </c>
      <c r="N25" s="54">
        <v>218.70</v>
      </c>
      <c r="O25" s="54">
        <v>0</v>
      </c>
      <c r="P25" s="54">
        <v>0.43</v>
      </c>
      <c r="Q25" s="54">
        <v>10.82</v>
      </c>
      <c r="R25" s="43"/>
      <c r="S25" s="43"/>
      <c r="T25" s="43"/>
      <c r="U25" s="43"/>
    </row>
    <row r="26" spans="1:21" s="11" customFormat="1" ht="15">
      <c r="A26" s="53" t="s">
        <v>367</v>
      </c>
      <c r="B26" s="54">
        <v>5.53</v>
      </c>
      <c r="C26" s="54">
        <v>60.94</v>
      </c>
      <c r="D26" s="54">
        <v>36.19</v>
      </c>
      <c r="E26" s="54">
        <v>1.73</v>
      </c>
      <c r="F26" s="54">
        <v>6.85</v>
      </c>
      <c r="G26" s="54">
        <v>55.29</v>
      </c>
      <c r="H26" s="54">
        <v>22.65</v>
      </c>
      <c r="I26" s="54">
        <v>1.57</v>
      </c>
      <c r="J26" s="54">
        <v>0.26</v>
      </c>
      <c r="K26" s="54">
        <v>353.06</v>
      </c>
      <c r="L26" s="54">
        <v>32.229999999999997</v>
      </c>
      <c r="M26" s="54">
        <v>27.56</v>
      </c>
      <c r="N26" s="54">
        <v>101.60</v>
      </c>
      <c r="O26" s="54">
        <v>0</v>
      </c>
      <c r="P26" s="54">
        <v>0.53</v>
      </c>
      <c r="Q26" s="54">
        <v>10.91</v>
      </c>
      <c r="R26" s="43"/>
      <c r="S26" s="43"/>
      <c r="T26" s="43"/>
      <c r="U26" s="43"/>
    </row>
    <row r="27" spans="1:21" s="11" customFormat="1" ht="15">
      <c r="A27" s="53" t="s">
        <v>368</v>
      </c>
      <c r="B27" s="54">
        <v>10.64</v>
      </c>
      <c r="C27" s="54">
        <v>64.17</v>
      </c>
      <c r="D27" s="54">
        <v>41.04</v>
      </c>
      <c r="E27" s="54">
        <v>1.72</v>
      </c>
      <c r="F27" s="54">
        <v>3.93</v>
      </c>
      <c r="G27" s="54">
        <v>58.88</v>
      </c>
      <c r="H27" s="54">
        <v>23.98</v>
      </c>
      <c r="I27" s="54">
        <v>1.52</v>
      </c>
      <c r="J27" s="54">
        <v>0.57999999999999996</v>
      </c>
      <c r="K27" s="54">
        <v>346.47</v>
      </c>
      <c r="L27" s="54">
        <v>29.79</v>
      </c>
      <c r="M27" s="54">
        <v>32.450000000000003</v>
      </c>
      <c r="N27" s="54">
        <v>54</v>
      </c>
      <c r="O27" s="54">
        <v>0</v>
      </c>
      <c r="P27" s="54">
        <v>0.78</v>
      </c>
      <c r="Q27" s="54">
        <v>11.05</v>
      </c>
      <c r="R27" s="43"/>
      <c r="S27" s="43"/>
      <c r="T27" s="43"/>
      <c r="U27" s="43"/>
    </row>
    <row r="28" spans="1:21" s="11" customFormat="1" ht="15">
      <c r="A28" s="53" t="s">
        <v>369</v>
      </c>
      <c r="B28" s="54">
        <v>14.52</v>
      </c>
      <c r="C28" s="54">
        <v>61.73</v>
      </c>
      <c r="D28" s="54">
        <v>42.97</v>
      </c>
      <c r="E28" s="54">
        <v>1.82</v>
      </c>
      <c r="F28" s="54">
        <v>3.42</v>
      </c>
      <c r="G28" s="54">
        <v>63.22</v>
      </c>
      <c r="H28" s="54">
        <v>23.98</v>
      </c>
      <c r="I28" s="54">
        <v>1.55</v>
      </c>
      <c r="J28" s="54">
        <v>0.45</v>
      </c>
      <c r="K28" s="54">
        <v>340.52</v>
      </c>
      <c r="L28" s="54">
        <v>27.90</v>
      </c>
      <c r="M28" s="54">
        <v>34.340000000000003</v>
      </c>
      <c r="N28" s="54">
        <v>63.20</v>
      </c>
      <c r="O28" s="54">
        <v>0</v>
      </c>
      <c r="P28" s="54">
        <v>0.93</v>
      </c>
      <c r="Q28" s="54">
        <v>11.27</v>
      </c>
      <c r="R28" s="43"/>
      <c r="S28" s="43"/>
      <c r="T28" s="43"/>
      <c r="U28" s="43"/>
    </row>
    <row r="29" spans="1:21" s="11" customFormat="1" ht="15">
      <c r="A29" s="53" t="s">
        <v>370</v>
      </c>
      <c r="B29" s="54">
        <v>19.510000000000002</v>
      </c>
      <c r="C29" s="54">
        <v>59.18</v>
      </c>
      <c r="D29" s="54">
        <v>45.97</v>
      </c>
      <c r="E29" s="54">
        <v>1.42</v>
      </c>
      <c r="F29" s="54">
        <v>3.44</v>
      </c>
      <c r="G29" s="54">
        <v>65.150000000000006</v>
      </c>
      <c r="H29" s="54">
        <v>24.10</v>
      </c>
      <c r="I29" s="54">
        <v>1.51</v>
      </c>
      <c r="J29" s="54">
        <v>0.43</v>
      </c>
      <c r="K29" s="54">
        <v>357.54</v>
      </c>
      <c r="L29" s="54">
        <v>26.81</v>
      </c>
      <c r="M29" s="54">
        <v>36.89</v>
      </c>
      <c r="N29" s="54">
        <v>54.60</v>
      </c>
      <c r="O29" s="54">
        <v>0</v>
      </c>
      <c r="P29" s="54">
        <v>1.06</v>
      </c>
      <c r="Q29" s="54">
        <v>11.34</v>
      </c>
      <c r="R29" s="43"/>
      <c r="S29" s="43"/>
      <c r="T29" s="43"/>
      <c r="U29" s="43"/>
    </row>
    <row r="30" spans="1:21" s="11" customFormat="1" ht="15">
      <c r="A30" s="53" t="s">
        <v>371</v>
      </c>
      <c r="B30" s="54">
        <v>35.729999999999997</v>
      </c>
      <c r="C30" s="54">
        <v>63.39</v>
      </c>
      <c r="D30" s="54">
        <v>61.69</v>
      </c>
      <c r="E30" s="54">
        <v>1.97</v>
      </c>
      <c r="F30" s="54">
        <v>3.47</v>
      </c>
      <c r="G30" s="54">
        <v>79.47</v>
      </c>
      <c r="H30" s="54">
        <v>29.97</v>
      </c>
      <c r="I30" s="54">
        <v>1.59</v>
      </c>
      <c r="J30" s="54">
        <v>0.18</v>
      </c>
      <c r="K30" s="54">
        <v>55.81</v>
      </c>
      <c r="L30" s="54">
        <v>25.88</v>
      </c>
      <c r="M30" s="54">
        <v>39.659999999999997</v>
      </c>
      <c r="N30" s="54">
        <v>57.30</v>
      </c>
      <c r="O30" s="54">
        <v>0</v>
      </c>
      <c r="P30" s="54">
        <v>1.34</v>
      </c>
      <c r="Q30" s="54">
        <v>11.54</v>
      </c>
      <c r="R30" s="43"/>
      <c r="S30" s="43"/>
      <c r="T30" s="43"/>
      <c r="U30" s="43"/>
    </row>
    <row r="31" spans="1:21" s="11" customFormat="1" ht="15">
      <c r="A31" s="53" t="s">
        <v>372</v>
      </c>
      <c r="B31" s="54">
        <v>38.130000000000003</v>
      </c>
      <c r="C31" s="54">
        <v>64.37</v>
      </c>
      <c r="D31" s="54">
        <v>64.040000000000006</v>
      </c>
      <c r="E31" s="54">
        <v>1.94</v>
      </c>
      <c r="F31" s="54">
        <v>3.45</v>
      </c>
      <c r="G31" s="54">
        <v>79.91</v>
      </c>
      <c r="H31" s="54">
        <v>30.5</v>
      </c>
      <c r="I31" s="54">
        <v>1.56</v>
      </c>
      <c r="J31" s="54">
        <v>0.70</v>
      </c>
      <c r="K31" s="54">
        <v>236.95</v>
      </c>
      <c r="L31" s="54">
        <v>25.54</v>
      </c>
      <c r="M31" s="54">
        <v>44.18</v>
      </c>
      <c r="N31" s="54">
        <v>64.70</v>
      </c>
      <c r="O31" s="54">
        <v>0</v>
      </c>
      <c r="P31" s="54">
        <v>1.36</v>
      </c>
      <c r="Q31" s="54">
        <v>11.79</v>
      </c>
      <c r="R31" s="43"/>
      <c r="S31" s="43"/>
      <c r="T31" s="43"/>
      <c r="U31" s="43"/>
    </row>
    <row r="32" spans="1:21" s="11" customFormat="1" ht="15">
      <c r="A32" s="53" t="s">
        <v>373</v>
      </c>
      <c r="B32" s="54">
        <v>29.09</v>
      </c>
      <c r="C32" s="54">
        <v>61.03</v>
      </c>
      <c r="D32" s="54">
        <v>55.14</v>
      </c>
      <c r="E32" s="54">
        <v>1.93</v>
      </c>
      <c r="F32" s="54">
        <v>3.26</v>
      </c>
      <c r="G32" s="54">
        <v>79.91</v>
      </c>
      <c r="H32" s="54">
        <v>30.5</v>
      </c>
      <c r="I32" s="54">
        <v>1.53</v>
      </c>
      <c r="J32" s="54">
        <v>0.76</v>
      </c>
      <c r="K32" s="54">
        <v>323.64</v>
      </c>
      <c r="L32" s="54">
        <v>24.45</v>
      </c>
      <c r="M32" s="54">
        <v>48.69</v>
      </c>
      <c r="N32" s="54">
        <v>66.099999999999994</v>
      </c>
      <c r="O32" s="54">
        <v>0</v>
      </c>
      <c r="P32" s="54">
        <v>1.17</v>
      </c>
      <c r="Q32" s="54">
        <v>11.70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0.64000000000000001</v>
      </c>
      <c r="C34" s="28">
        <f t="shared" si="0"/>
        <v>2.6200000000000001</v>
      </c>
      <c r="D34" s="28">
        <f t="shared" si="0"/>
        <v>27.32</v>
      </c>
      <c r="E34" s="28">
        <f t="shared" si="0"/>
        <v>1.4199999999999999</v>
      </c>
      <c r="F34" s="28">
        <f t="shared" si="0"/>
        <v>3.2400000000000002</v>
      </c>
      <c r="G34" s="28">
        <f t="shared" si="0"/>
        <v>55.289999999999999</v>
      </c>
      <c r="H34" s="28">
        <f t="shared" si="0"/>
        <v>22.649999999999999</v>
      </c>
      <c r="I34" s="28">
        <f t="shared" si="0"/>
        <v>1.51</v>
      </c>
      <c r="J34" s="28">
        <f t="shared" si="0"/>
        <v>0.17999999999999999</v>
      </c>
      <c r="K34" s="28">
        <f t="shared" si="0"/>
        <v>31.489999999999998</v>
      </c>
      <c r="L34" s="28">
        <f t="shared" si="0"/>
        <v>20.920000000000002</v>
      </c>
      <c r="M34" s="28">
        <f t="shared" si="0"/>
        <v>20.469999999999999</v>
      </c>
      <c r="N34" s="28">
        <f t="shared" si="0"/>
        <v>53.399999999999999</v>
      </c>
      <c r="O34" s="28">
        <f t="shared" si="0"/>
        <v>0</v>
      </c>
      <c r="P34" s="28">
        <f t="shared" si="0"/>
        <v>0.42999999999999999</v>
      </c>
      <c r="Q34" s="28">
        <f t="shared" si="0"/>
        <v>10.779999999999999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112.65000000000001</v>
      </c>
      <c r="C35" s="29">
        <f t="shared" si="1"/>
        <v>64.370000000000005</v>
      </c>
      <c r="D35" s="29">
        <f t="shared" si="1"/>
        <v>87.590000000000003</v>
      </c>
      <c r="E35" s="29">
        <f t="shared" si="1"/>
        <v>5</v>
      </c>
      <c r="F35" s="29">
        <f t="shared" si="1"/>
        <v>29.489999999999998</v>
      </c>
      <c r="G35" s="29">
        <f t="shared" si="1"/>
        <v>119.64</v>
      </c>
      <c r="H35" s="29">
        <f t="shared" si="1"/>
        <v>35.359999999999999</v>
      </c>
      <c r="I35" s="29">
        <f t="shared" si="1"/>
        <v>1.5900000000000001</v>
      </c>
      <c r="J35" s="29">
        <f t="shared" si="1"/>
        <v>0.84999999999999998</v>
      </c>
      <c r="K35" s="29">
        <f t="shared" si="1"/>
        <v>357.54000000000002</v>
      </c>
      <c r="L35" s="29">
        <f t="shared" si="1"/>
        <v>38.329999999999998</v>
      </c>
      <c r="M35" s="29">
        <f t="shared" si="1"/>
        <v>67.019999999999996</v>
      </c>
      <c r="N35" s="29">
        <f t="shared" si="1"/>
        <v>727.79999999999995</v>
      </c>
      <c r="O35" s="29">
        <f t="shared" si="1"/>
        <v>0</v>
      </c>
      <c r="P35" s="29">
        <f t="shared" si="1"/>
        <v>1.46</v>
      </c>
      <c r="Q35" s="29">
        <f t="shared" si="1"/>
        <v>13.48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37.631666666666668</v>
      </c>
      <c r="C36" s="28">
        <f t="shared" si="2"/>
        <v>43.212272727272719</v>
      </c>
      <c r="D36" s="28">
        <f t="shared" si="2"/>
        <v>48.382500000000014</v>
      </c>
      <c r="E36" s="28">
        <f t="shared" si="2"/>
        <v>3.3558333333333334</v>
      </c>
      <c r="F36" s="28">
        <f t="shared" si="2"/>
        <v>6.5637499999999989</v>
      </c>
      <c r="G36" s="28">
        <f t="shared" si="2"/>
        <v>82.452608695652174</v>
      </c>
      <c r="H36" s="28">
        <f t="shared" si="2"/>
        <v>29.012173913043483</v>
      </c>
      <c r="I36" s="28">
        <f t="shared" si="2"/>
        <v>1.5475000000000003</v>
      </c>
      <c r="J36" s="28">
        <f t="shared" si="2"/>
        <v>0.47374999999999989</v>
      </c>
      <c r="K36" s="28">
        <f t="shared" si="2"/>
        <v>292.6829166666667</v>
      </c>
      <c r="L36" s="28">
        <f t="shared" si="2"/>
        <v>29.039999999999996</v>
      </c>
      <c r="M36" s="28">
        <f t="shared" si="2"/>
        <v>41.367916666666666</v>
      </c>
      <c r="N36" s="28">
        <f t="shared" si="2"/>
        <v>265.89999999999998</v>
      </c>
      <c r="O36" s="28">
        <f t="shared" si="2"/>
        <v>0</v>
      </c>
      <c r="P36" s="28">
        <f t="shared" si="2"/>
        <v>0.9720833333333333</v>
      </c>
      <c r="Q36" s="28">
        <f t="shared" si="2"/>
        <v>11.805416666666668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34.1006421801914</v>
      </c>
      <c r="C37" s="28">
        <f t="shared" si="3" ref="C37:Q37">STDEV(C9:C32)</f>
        <v>21.487013560092585</v>
      </c>
      <c r="D37" s="28">
        <f t="shared" si="3"/>
        <v>17.441431495398959</v>
      </c>
      <c r="E37" s="28">
        <f t="shared" si="3"/>
        <v>1.2559144136814218</v>
      </c>
      <c r="F37" s="28">
        <f t="shared" si="3"/>
        <v>5.9925728034249053</v>
      </c>
      <c r="G37" s="28">
        <f t="shared" si="3"/>
        <v>18.389390275470227</v>
      </c>
      <c r="H37" s="28">
        <f t="shared" si="3"/>
        <v>3.8186158326637423</v>
      </c>
      <c r="I37" s="28">
        <f t="shared" si="3"/>
        <v>0.02090350501086196</v>
      </c>
      <c r="J37" s="28">
        <f t="shared" si="3"/>
        <v>0.20794674276383129</v>
      </c>
      <c r="K37" s="28">
        <f t="shared" si="3"/>
        <v>88.90615929556499</v>
      </c>
      <c r="L37" s="28">
        <f t="shared" si="3"/>
        <v>6.0411437154982908</v>
      </c>
      <c r="M37" s="28">
        <f t="shared" si="3"/>
        <v>15.954130711993139</v>
      </c>
      <c r="N37" s="28">
        <f t="shared" si="3"/>
        <v>266.70250157774319</v>
      </c>
      <c r="O37" s="28">
        <f t="shared" si="3"/>
        <v>0</v>
      </c>
      <c r="P37" s="28">
        <f t="shared" si="3"/>
        <v>0.29699918264660868</v>
      </c>
      <c r="Q37" s="28">
        <f t="shared" si="3"/>
        <v>0.85592553092705081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>COUNT(C9:C32)+2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f5a3d0-687c-4dfc-b79d-bbf9889e9656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4" sqref="G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374</v>
      </c>
      <c r="B9" s="54">
        <v>25.24</v>
      </c>
      <c r="C9" s="54">
        <v>54.73</v>
      </c>
      <c r="D9" s="54">
        <v>48.75</v>
      </c>
      <c r="E9" s="54">
        <v>2.0699999999999998</v>
      </c>
      <c r="F9" s="54">
        <v>3.35</v>
      </c>
      <c r="G9" s="54">
        <v>77.83</v>
      </c>
      <c r="H9" s="54">
        <v>29.96</v>
      </c>
      <c r="I9" s="54">
        <v>1.60</v>
      </c>
      <c r="J9" s="54">
        <v>0.21</v>
      </c>
      <c r="K9" s="54">
        <v>301.01</v>
      </c>
      <c r="L9" s="54">
        <v>23.54</v>
      </c>
      <c r="M9" s="54">
        <v>45.89</v>
      </c>
      <c r="N9" s="54">
        <v>65</v>
      </c>
      <c r="O9" s="54">
        <v>0</v>
      </c>
      <c r="P9" s="54">
        <v>1.07</v>
      </c>
      <c r="Q9" s="54">
        <v>11.60</v>
      </c>
      <c r="R9" s="43"/>
      <c r="S9" s="43"/>
      <c r="T9" s="43"/>
      <c r="U9" s="43"/>
    </row>
    <row r="10" spans="1:21" s="11" customFormat="1" ht="15">
      <c r="A10" s="53" t="s">
        <v>375</v>
      </c>
      <c r="B10" s="54">
        <v>23.36</v>
      </c>
      <c r="C10" s="54">
        <v>49.75</v>
      </c>
      <c r="D10" s="54">
        <v>44.64</v>
      </c>
      <c r="E10" s="54">
        <v>1.96</v>
      </c>
      <c r="F10" s="54">
        <v>3.40</v>
      </c>
      <c r="G10" s="54">
        <v>71.760000000000005</v>
      </c>
      <c r="H10" s="54">
        <v>25.41</v>
      </c>
      <c r="I10" s="54">
        <v>1.55</v>
      </c>
      <c r="J10" s="54">
        <v>0.20</v>
      </c>
      <c r="K10" s="54">
        <v>318.98</v>
      </c>
      <c r="L10" s="54">
        <v>22.83</v>
      </c>
      <c r="M10" s="54">
        <v>51.27</v>
      </c>
      <c r="N10" s="54">
        <v>64.900000000000006</v>
      </c>
      <c r="O10" s="54">
        <v>0</v>
      </c>
      <c r="P10" s="54">
        <v>0.94</v>
      </c>
      <c r="Q10" s="54">
        <v>11.51</v>
      </c>
      <c r="R10" s="43"/>
      <c r="S10" s="43"/>
      <c r="T10" s="43"/>
      <c r="U10" s="43"/>
    </row>
    <row r="11" spans="1:21" s="11" customFormat="1" ht="15">
      <c r="A11" s="53" t="s">
        <v>376</v>
      </c>
      <c r="B11" s="54">
        <v>20.74</v>
      </c>
      <c r="C11" s="54">
        <v>49.86</v>
      </c>
      <c r="D11" s="54">
        <v>42.39</v>
      </c>
      <c r="E11" s="54">
        <v>2.1800000000000002</v>
      </c>
      <c r="F11" s="54">
        <v>3.56</v>
      </c>
      <c r="G11" s="54">
        <v>68.20</v>
      </c>
      <c r="H11" s="54">
        <v>24.10</v>
      </c>
      <c r="I11" s="54">
        <v>1.58</v>
      </c>
      <c r="J11" s="54">
        <v>0.27</v>
      </c>
      <c r="K11" s="54">
        <v>307.16000000000003</v>
      </c>
      <c r="L11" s="54">
        <v>22.39</v>
      </c>
      <c r="M11" s="54">
        <v>49.36</v>
      </c>
      <c r="N11" s="54">
        <v>73.900000000000006</v>
      </c>
      <c r="O11" s="54">
        <v>0</v>
      </c>
      <c r="P11" s="54">
        <v>0.85</v>
      </c>
      <c r="Q11" s="54">
        <v>11.40</v>
      </c>
      <c r="R11" s="43"/>
      <c r="S11" s="43"/>
      <c r="T11" s="43"/>
      <c r="U11" s="43"/>
    </row>
    <row r="12" spans="1:21" s="11" customFormat="1" ht="15">
      <c r="A12" s="53" t="s">
        <v>377</v>
      </c>
      <c r="B12" s="54">
        <v>16.399999999999999</v>
      </c>
      <c r="C12" s="54">
        <v>49.30</v>
      </c>
      <c r="D12" s="54">
        <v>38.619999999999997</v>
      </c>
      <c r="E12" s="54">
        <v>2.08</v>
      </c>
      <c r="F12" s="54">
        <v>3.27</v>
      </c>
      <c r="G12" s="54">
        <v>63.58</v>
      </c>
      <c r="H12" s="54">
        <v>25.34</v>
      </c>
      <c r="I12" s="54">
        <v>1.49</v>
      </c>
      <c r="J12" s="54">
        <v>0.68</v>
      </c>
      <c r="K12" s="54">
        <v>354.36</v>
      </c>
      <c r="L12" s="54">
        <v>22.03</v>
      </c>
      <c r="M12" s="54">
        <v>45.11</v>
      </c>
      <c r="N12" s="54">
        <v>66</v>
      </c>
      <c r="O12" s="54">
        <v>0</v>
      </c>
      <c r="P12" s="54">
        <v>0.73</v>
      </c>
      <c r="Q12" s="54">
        <v>11.24</v>
      </c>
      <c r="R12" s="43"/>
      <c r="S12" s="43"/>
      <c r="T12" s="43"/>
      <c r="U12" s="43"/>
    </row>
    <row r="13" spans="1:21" s="11" customFormat="1" ht="15">
      <c r="A13" s="53" t="s">
        <v>378</v>
      </c>
      <c r="B13" s="54">
        <v>16.32</v>
      </c>
      <c r="C13" s="54">
        <v>47.81</v>
      </c>
      <c r="D13" s="54">
        <v>37.42</v>
      </c>
      <c r="E13" s="54">
        <v>1.49</v>
      </c>
      <c r="F13" s="54">
        <v>3.47</v>
      </c>
      <c r="G13" s="54">
        <v>77.09</v>
      </c>
      <c r="H13" s="54">
        <v>29.77</v>
      </c>
      <c r="I13" s="54">
        <v>1.52</v>
      </c>
      <c r="J13" s="54">
        <v>0.16</v>
      </c>
      <c r="K13" s="54">
        <v>298.08999999999997</v>
      </c>
      <c r="L13" s="54">
        <v>21.71</v>
      </c>
      <c r="M13" s="54">
        <v>45.37</v>
      </c>
      <c r="N13" s="54">
        <v>72</v>
      </c>
      <c r="O13" s="54">
        <v>0</v>
      </c>
      <c r="P13" s="54">
        <v>0.69</v>
      </c>
      <c r="Q13" s="54">
        <v>11.20</v>
      </c>
      <c r="R13" s="43"/>
      <c r="S13" s="43"/>
      <c r="T13" s="43"/>
      <c r="U13" s="43"/>
    </row>
    <row r="14" spans="1:21" s="11" customFormat="1" ht="15">
      <c r="A14" s="53" t="s">
        <v>379</v>
      </c>
      <c r="B14" s="54">
        <v>20.39</v>
      </c>
      <c r="C14" s="54">
        <v>46.57</v>
      </c>
      <c r="D14" s="54">
        <v>39.99</v>
      </c>
      <c r="E14" s="54">
        <v>1.62</v>
      </c>
      <c r="F14" s="54">
        <v>3.45</v>
      </c>
      <c r="G14" s="54">
        <v>93.75</v>
      </c>
      <c r="H14" s="54">
        <v>35.46</v>
      </c>
      <c r="I14" s="54">
        <v>1.57</v>
      </c>
      <c r="J14" s="54">
        <v>0.65</v>
      </c>
      <c r="K14" s="54">
        <v>339.70</v>
      </c>
      <c r="L14" s="54">
        <v>20.47</v>
      </c>
      <c r="M14" s="54">
        <v>57</v>
      </c>
      <c r="N14" s="54">
        <v>71.80</v>
      </c>
      <c r="O14" s="54">
        <v>0</v>
      </c>
      <c r="P14" s="54">
        <v>0.69</v>
      </c>
      <c r="Q14" s="54">
        <v>11.22</v>
      </c>
      <c r="R14" s="43"/>
      <c r="S14" s="43"/>
      <c r="T14" s="43"/>
      <c r="U14" s="43"/>
    </row>
    <row r="15" spans="1:21" s="11" customFormat="1" ht="15">
      <c r="A15" s="53" t="s">
        <v>380</v>
      </c>
      <c r="B15" s="54">
        <v>24.79</v>
      </c>
      <c r="C15" s="54">
        <v>47.60</v>
      </c>
      <c r="D15" s="54">
        <v>44.67</v>
      </c>
      <c r="E15" s="54">
        <v>1.73</v>
      </c>
      <c r="F15" s="54">
        <v>3.35</v>
      </c>
      <c r="G15" s="54">
        <v>93.75</v>
      </c>
      <c r="H15" s="54">
        <v>35.46</v>
      </c>
      <c r="I15" s="54">
        <v>1.51</v>
      </c>
      <c r="J15" s="54">
        <v>0.17</v>
      </c>
      <c r="K15" s="54">
        <v>80.41</v>
      </c>
      <c r="L15" s="54">
        <v>21.83</v>
      </c>
      <c r="M15" s="54">
        <v>50.47</v>
      </c>
      <c r="N15" s="54">
        <v>147.40</v>
      </c>
      <c r="O15" s="54">
        <v>0</v>
      </c>
      <c r="P15" s="54">
        <v>0.68</v>
      </c>
      <c r="Q15" s="54">
        <v>11.23</v>
      </c>
      <c r="R15" s="43"/>
      <c r="S15" s="43"/>
      <c r="T15" s="43"/>
      <c r="U15" s="43"/>
    </row>
    <row r="16" spans="1:21" s="11" customFormat="1" ht="15">
      <c r="A16" s="53" t="s">
        <v>381</v>
      </c>
      <c r="B16" s="54">
        <v>31.57</v>
      </c>
      <c r="C16" s="54">
        <v>52.41</v>
      </c>
      <c r="D16" s="54">
        <v>52.62</v>
      </c>
      <c r="E16" s="54">
        <v>2.48</v>
      </c>
      <c r="F16" s="54">
        <v>3.38</v>
      </c>
      <c r="G16" s="54">
        <v>91.17</v>
      </c>
      <c r="H16" s="54">
        <v>34.96</v>
      </c>
      <c r="I16" s="54">
        <v>1.55</v>
      </c>
      <c r="J16" s="54">
        <v>0.60</v>
      </c>
      <c r="K16" s="54">
        <v>354.71</v>
      </c>
      <c r="L16" s="54">
        <v>29.31</v>
      </c>
      <c r="M16" s="54">
        <v>41.69</v>
      </c>
      <c r="N16" s="54">
        <v>338.20</v>
      </c>
      <c r="O16" s="54">
        <v>0</v>
      </c>
      <c r="P16" s="54">
        <v>0.77</v>
      </c>
      <c r="Q16" s="54">
        <v>11.33</v>
      </c>
      <c r="R16" s="43"/>
      <c r="S16" s="43"/>
      <c r="T16" s="43"/>
      <c r="U16" s="43"/>
    </row>
    <row r="17" spans="1:21" s="11" customFormat="1" ht="15">
      <c r="A17" s="53" t="s">
        <v>382</v>
      </c>
      <c r="B17" s="54">
        <v>32.75</v>
      </c>
      <c r="C17" s="54">
        <v>56.39</v>
      </c>
      <c r="D17" s="54">
        <v>55.06</v>
      </c>
      <c r="E17" s="54">
        <v>2.5299999999999998</v>
      </c>
      <c r="F17" s="54">
        <v>3.35</v>
      </c>
      <c r="G17" s="54">
        <v>93.48</v>
      </c>
      <c r="H17" s="54">
        <v>34.96</v>
      </c>
      <c r="I17" s="54">
        <v>1.52</v>
      </c>
      <c r="J17" s="54">
        <v>0.84</v>
      </c>
      <c r="K17" s="54">
        <v>355.47</v>
      </c>
      <c r="L17" s="54">
        <v>30.72</v>
      </c>
      <c r="M17" s="54">
        <v>33.020000000000003</v>
      </c>
      <c r="N17" s="54">
        <v>520.10</v>
      </c>
      <c r="O17" s="54">
        <v>0</v>
      </c>
      <c r="P17" s="54">
        <v>0.79</v>
      </c>
      <c r="Q17" s="54">
        <v>11.46</v>
      </c>
      <c r="R17" s="43"/>
      <c r="S17" s="43"/>
      <c r="T17" s="43"/>
      <c r="U17" s="43"/>
    </row>
    <row r="18" spans="1:21" s="11" customFormat="1" ht="15">
      <c r="A18" s="53" t="s">
        <v>383</v>
      </c>
      <c r="B18" s="54">
        <v>30.78</v>
      </c>
      <c r="C18" s="54">
        <v>57.40</v>
      </c>
      <c r="D18" s="54">
        <v>54.16</v>
      </c>
      <c r="E18" s="54">
        <v>2.12</v>
      </c>
      <c r="F18" s="54">
        <v>3.41</v>
      </c>
      <c r="G18" s="54">
        <v>93.48</v>
      </c>
      <c r="H18" s="54">
        <v>34.46</v>
      </c>
      <c r="I18" s="54">
        <v>1.52</v>
      </c>
      <c r="J18" s="54">
        <v>1.36</v>
      </c>
      <c r="K18" s="54">
        <v>114.39</v>
      </c>
      <c r="L18" s="54">
        <v>30.53</v>
      </c>
      <c r="M18" s="54">
        <v>35.700000000000003</v>
      </c>
      <c r="N18" s="54">
        <v>695.60</v>
      </c>
      <c r="O18" s="54">
        <v>0</v>
      </c>
      <c r="P18" s="54">
        <v>0.78</v>
      </c>
      <c r="Q18" s="54">
        <v>11.52</v>
      </c>
      <c r="R18" s="43"/>
      <c r="S18" s="43"/>
      <c r="T18" s="43"/>
      <c r="U18" s="43"/>
    </row>
    <row r="19" spans="1:21" s="11" customFormat="1" ht="15">
      <c r="A19" s="53" t="s">
        <v>384</v>
      </c>
      <c r="B19" s="54">
        <v>22.40</v>
      </c>
      <c r="C19" s="54">
        <v>74.430000000000007</v>
      </c>
      <c r="D19" s="54">
        <v>47.84</v>
      </c>
      <c r="E19" s="54">
        <v>2.56</v>
      </c>
      <c r="F19" s="54">
        <v>4.9800000000000004</v>
      </c>
      <c r="G19" s="54">
        <v>92.68</v>
      </c>
      <c r="H19" s="54">
        <v>34.46</v>
      </c>
      <c r="I19" s="54">
        <v>1.55</v>
      </c>
      <c r="J19" s="54">
        <v>0.77</v>
      </c>
      <c r="K19" s="54">
        <v>354.73</v>
      </c>
      <c r="L19" s="54">
        <v>36.54</v>
      </c>
      <c r="M19" s="54">
        <v>30.14</v>
      </c>
      <c r="N19" s="54">
        <v>792.30</v>
      </c>
      <c r="O19" s="54">
        <v>0</v>
      </c>
      <c r="P19" s="54">
        <v>0.74</v>
      </c>
      <c r="Q19" s="54">
        <v>11.47</v>
      </c>
      <c r="R19" s="43"/>
      <c r="S19" s="43"/>
      <c r="T19" s="43"/>
      <c r="U19" s="43"/>
    </row>
    <row r="20" spans="1:21" s="11" customFormat="1" ht="15">
      <c r="A20" s="53" t="s">
        <v>385</v>
      </c>
      <c r="B20" s="54">
        <v>7.41</v>
      </c>
      <c r="C20" s="54">
        <v>74.63</v>
      </c>
      <c r="D20" s="54">
        <v>44.85</v>
      </c>
      <c r="E20" s="54">
        <v>2.23</v>
      </c>
      <c r="F20" s="54">
        <v>8.09</v>
      </c>
      <c r="G20" s="54">
        <v>76.739999999999995</v>
      </c>
      <c r="H20" s="54">
        <v>29.11</v>
      </c>
      <c r="I20" s="54">
        <v>1.51</v>
      </c>
      <c r="J20" s="54">
        <v>0.48</v>
      </c>
      <c r="K20" s="54">
        <v>337.69</v>
      </c>
      <c r="L20" s="54">
        <v>36.590000000000003</v>
      </c>
      <c r="M20" s="54">
        <v>21.89</v>
      </c>
      <c r="N20" s="54">
        <v>814.20</v>
      </c>
      <c r="O20" s="54">
        <v>0</v>
      </c>
      <c r="P20" s="54">
        <v>0.70</v>
      </c>
      <c r="Q20" s="54">
        <v>11.15</v>
      </c>
      <c r="R20" s="43"/>
      <c r="S20" s="43"/>
      <c r="T20" s="43"/>
      <c r="U20" s="43"/>
    </row>
    <row r="21" spans="1:21" s="11" customFormat="1" ht="15">
      <c r="A21" s="53" t="s">
        <v>386</v>
      </c>
      <c r="B21" s="54">
        <v>3.43</v>
      </c>
      <c r="C21" s="54">
        <v>63.64</v>
      </c>
      <c r="D21" s="54">
        <v>35.76</v>
      </c>
      <c r="E21" s="54">
        <v>4.13</v>
      </c>
      <c r="F21" s="54">
        <v>11.76</v>
      </c>
      <c r="G21" s="54">
        <v>64.73</v>
      </c>
      <c r="H21" s="54">
        <v>26.11</v>
      </c>
      <c r="I21" s="54">
        <v>1.54</v>
      </c>
      <c r="J21" s="54">
        <v>0.73</v>
      </c>
      <c r="K21" s="54">
        <v>343.52</v>
      </c>
      <c r="L21" s="54">
        <v>36.11</v>
      </c>
      <c r="M21" s="54">
        <v>19.82</v>
      </c>
      <c r="N21" s="54">
        <v>719.5</v>
      </c>
      <c r="O21" s="54">
        <v>0</v>
      </c>
      <c r="P21" s="54">
        <v>0.61</v>
      </c>
      <c r="Q21" s="54">
        <v>11.02</v>
      </c>
      <c r="R21" s="43"/>
      <c r="S21" s="43"/>
      <c r="T21" s="43"/>
      <c r="U21" s="43"/>
    </row>
    <row r="22" spans="1:21" s="11" customFormat="1" ht="15">
      <c r="A22" s="53" t="s">
        <v>387</v>
      </c>
      <c r="B22" s="54">
        <v>2.97</v>
      </c>
      <c r="C22" s="54">
        <v>63.60</v>
      </c>
      <c r="D22" s="54">
        <v>35.03</v>
      </c>
      <c r="E22" s="54">
        <v>3.83</v>
      </c>
      <c r="F22" s="54">
        <v>8.75</v>
      </c>
      <c r="G22" s="54">
        <v>63.72</v>
      </c>
      <c r="H22" s="54">
        <v>25.57</v>
      </c>
      <c r="I22" s="54">
        <v>1.52</v>
      </c>
      <c r="J22" s="54">
        <v>1.32</v>
      </c>
      <c r="K22" s="54">
        <v>345.25</v>
      </c>
      <c r="L22" s="54">
        <v>37.58</v>
      </c>
      <c r="M22" s="54">
        <v>13.37</v>
      </c>
      <c r="N22" s="54">
        <v>716.60</v>
      </c>
      <c r="O22" s="54">
        <v>0</v>
      </c>
      <c r="P22" s="54">
        <v>0.55000000000000004</v>
      </c>
      <c r="Q22" s="54">
        <v>10.95</v>
      </c>
      <c r="R22" s="43"/>
      <c r="S22" s="43"/>
      <c r="T22" s="43"/>
      <c r="U22" s="43"/>
    </row>
    <row r="23" spans="1:21" s="11" customFormat="1" ht="15">
      <c r="A23" s="53" t="s">
        <v>388</v>
      </c>
      <c r="B23" s="54">
        <v>3.05</v>
      </c>
      <c r="C23" s="54">
        <v>57.20</v>
      </c>
      <c r="D23" s="54">
        <v>32.01</v>
      </c>
      <c r="E23" s="54">
        <v>3.23</v>
      </c>
      <c r="F23" s="54">
        <v>7.11</v>
      </c>
      <c r="G23" s="54">
        <v>54.35</v>
      </c>
      <c r="H23" s="54">
        <v>24.36</v>
      </c>
      <c r="I23" s="54">
        <v>1.55</v>
      </c>
      <c r="J23" s="54">
        <v>1.1200000000000001</v>
      </c>
      <c r="K23" s="54">
        <v>352.95</v>
      </c>
      <c r="L23" s="54">
        <v>36.729999999999997</v>
      </c>
      <c r="M23" s="54">
        <v>13.5</v>
      </c>
      <c r="N23" s="54">
        <v>641.79999999999995</v>
      </c>
      <c r="O23" s="54">
        <v>0</v>
      </c>
      <c r="P23" s="54">
        <v>0.52</v>
      </c>
      <c r="Q23" s="54">
        <v>10.94</v>
      </c>
      <c r="R23" s="43"/>
      <c r="S23" s="43"/>
      <c r="T23" s="43"/>
      <c r="U23" s="43"/>
    </row>
    <row r="24" spans="1:21" s="11" customFormat="1" ht="15">
      <c r="A24" s="53" t="s">
        <v>389</v>
      </c>
      <c r="B24" s="54">
        <v>2.78</v>
      </c>
      <c r="C24" s="54">
        <v>50.54</v>
      </c>
      <c r="D24" s="54">
        <v>28.52</v>
      </c>
      <c r="E24" s="54">
        <v>3.30</v>
      </c>
      <c r="F24" s="54">
        <v>9.75</v>
      </c>
      <c r="G24" s="54">
        <v>54.35</v>
      </c>
      <c r="H24" s="54">
        <v>24.36</v>
      </c>
      <c r="I24" s="54">
        <v>1.58</v>
      </c>
      <c r="J24" s="54">
        <v>1.02</v>
      </c>
      <c r="K24" s="54">
        <v>346.83</v>
      </c>
      <c r="L24" s="54">
        <v>35.92</v>
      </c>
      <c r="M24" s="54">
        <v>13.91</v>
      </c>
      <c r="N24" s="54">
        <v>292.89999999999998</v>
      </c>
      <c r="O24" s="54">
        <v>0</v>
      </c>
      <c r="P24" s="54">
        <v>0.44</v>
      </c>
      <c r="Q24" s="54">
        <v>10.68</v>
      </c>
      <c r="R24" s="43"/>
      <c r="S24" s="43"/>
      <c r="T24" s="43"/>
      <c r="U24" s="43"/>
    </row>
    <row r="25" spans="1:21" s="11" customFormat="1" ht="15">
      <c r="A25" s="53" t="s">
        <v>390</v>
      </c>
      <c r="B25" s="54">
        <v>2.35</v>
      </c>
      <c r="C25" s="54">
        <v>48.79</v>
      </c>
      <c r="D25" s="54">
        <v>27.30</v>
      </c>
      <c r="E25" s="54">
        <v>1.69</v>
      </c>
      <c r="F25" s="54">
        <v>10.96</v>
      </c>
      <c r="G25" s="54">
        <v>52.84</v>
      </c>
      <c r="H25" s="54">
        <v>23.15</v>
      </c>
      <c r="I25" s="54">
        <v>1.51</v>
      </c>
      <c r="J25" s="54">
        <v>0.69</v>
      </c>
      <c r="K25" s="54">
        <v>321.37</v>
      </c>
      <c r="L25" s="54">
        <v>33.14</v>
      </c>
      <c r="M25" s="54">
        <v>15.07</v>
      </c>
      <c r="N25" s="54">
        <v>202.40</v>
      </c>
      <c r="O25" s="54">
        <v>0</v>
      </c>
      <c r="P25" s="54">
        <v>0.39</v>
      </c>
      <c r="Q25" s="54">
        <v>10.55</v>
      </c>
      <c r="R25" s="43"/>
      <c r="S25" s="43"/>
      <c r="T25" s="43"/>
      <c r="U25" s="43"/>
    </row>
    <row r="26" spans="1:21" s="11" customFormat="1" ht="15">
      <c r="A26" s="53" t="s">
        <v>391</v>
      </c>
      <c r="B26" s="54">
        <v>2.2200000000000002</v>
      </c>
      <c r="C26" s="54">
        <v>50.82</v>
      </c>
      <c r="D26" s="54">
        <v>28.10</v>
      </c>
      <c r="E26" s="54">
        <v>1.74</v>
      </c>
      <c r="F26" s="54">
        <v>7.61</v>
      </c>
      <c r="G26" s="54">
        <v>33.90</v>
      </c>
      <c r="H26" s="54">
        <v>21.91</v>
      </c>
      <c r="I26" s="54">
        <v>1.53</v>
      </c>
      <c r="J26" s="54">
        <v>0.28999999999999998</v>
      </c>
      <c r="K26" s="54">
        <v>225.18</v>
      </c>
      <c r="L26" s="54">
        <v>31.30</v>
      </c>
      <c r="M26" s="54">
        <v>20.88</v>
      </c>
      <c r="N26" s="54">
        <v>72.599999999999994</v>
      </c>
      <c r="O26" s="54">
        <v>0</v>
      </c>
      <c r="P26" s="54">
        <v>0.48</v>
      </c>
      <c r="Q26" s="54">
        <v>10.54</v>
      </c>
      <c r="R26" s="43"/>
      <c r="S26" s="43"/>
      <c r="T26" s="43"/>
      <c r="U26" s="43"/>
    </row>
    <row r="27" spans="1:21" s="11" customFormat="1" ht="15">
      <c r="A27" s="53" t="s">
        <v>392</v>
      </c>
      <c r="B27" s="54">
        <v>10.49</v>
      </c>
      <c r="C27" s="54">
        <v>55</v>
      </c>
      <c r="D27" s="54">
        <v>37.06</v>
      </c>
      <c r="E27" s="54">
        <v>1.54</v>
      </c>
      <c r="F27" s="54">
        <v>4.83</v>
      </c>
      <c r="G27" s="54">
        <v>126.89</v>
      </c>
      <c r="H27" s="54">
        <v>23.29</v>
      </c>
      <c r="I27" s="54">
        <v>1.56</v>
      </c>
      <c r="J27" s="54">
        <v>0.23</v>
      </c>
      <c r="K27" s="54">
        <v>278.39</v>
      </c>
      <c r="L27" s="54">
        <v>28.80</v>
      </c>
      <c r="M27" s="54">
        <v>34.840000000000003</v>
      </c>
      <c r="N27" s="54">
        <v>28.90</v>
      </c>
      <c r="O27" s="54">
        <v>0</v>
      </c>
      <c r="P27" s="54">
        <v>0.91</v>
      </c>
      <c r="Q27" s="54">
        <v>10.66</v>
      </c>
      <c r="R27" s="43"/>
      <c r="S27" s="43"/>
      <c r="T27" s="43"/>
      <c r="U27" s="43"/>
    </row>
    <row r="28" spans="1:21" s="11" customFormat="1" ht="15">
      <c r="A28" s="53" t="s">
        <v>393</v>
      </c>
      <c r="B28" s="54">
        <v>27.61</v>
      </c>
      <c r="C28" s="54">
        <v>59.48</v>
      </c>
      <c r="D28" s="54">
        <v>53.13</v>
      </c>
      <c r="E28" s="54">
        <v>1.85</v>
      </c>
      <c r="F28" s="54">
        <v>3.20</v>
      </c>
      <c r="G28" s="54">
        <v>126.89</v>
      </c>
      <c r="H28" s="54">
        <v>27.80</v>
      </c>
      <c r="I28" s="54">
        <v>1.57</v>
      </c>
      <c r="J28" s="54">
        <v>0.16</v>
      </c>
      <c r="K28" s="54">
        <v>285.63</v>
      </c>
      <c r="L28" s="54">
        <v>25.83</v>
      </c>
      <c r="M28" s="54">
        <v>33.83</v>
      </c>
      <c r="N28" s="54">
        <v>27.30</v>
      </c>
      <c r="O28" s="54">
        <v>0</v>
      </c>
      <c r="P28" s="54">
        <v>1.1100000000000001</v>
      </c>
      <c r="Q28" s="54">
        <v>11.18</v>
      </c>
      <c r="R28" s="43"/>
      <c r="S28" s="43"/>
      <c r="T28" s="43"/>
      <c r="U28" s="43"/>
    </row>
    <row r="29" spans="1:21" s="11" customFormat="1" ht="15">
      <c r="A29" s="53" t="s">
        <v>394</v>
      </c>
      <c r="B29" s="54">
        <v>31.45</v>
      </c>
      <c r="C29" s="54">
        <v>62.88</v>
      </c>
      <c r="D29" s="54">
        <v>58</v>
      </c>
      <c r="E29" s="54">
        <v>1.45</v>
      </c>
      <c r="F29" s="54">
        <v>3.56</v>
      </c>
      <c r="G29" s="54">
        <v>123.71</v>
      </c>
      <c r="H29" s="54">
        <v>27.80</v>
      </c>
      <c r="I29" s="54">
        <v>1.54</v>
      </c>
      <c r="J29" s="54">
        <v>0.21</v>
      </c>
      <c r="K29" s="54">
        <v>304.79000000000002</v>
      </c>
      <c r="L29" s="54">
        <v>25.97</v>
      </c>
      <c r="M29" s="54">
        <v>24.72</v>
      </c>
      <c r="N29" s="54">
        <v>27.40</v>
      </c>
      <c r="O29" s="54">
        <v>0</v>
      </c>
      <c r="P29" s="54">
        <v>1.18</v>
      </c>
      <c r="Q29" s="54">
        <v>11.32</v>
      </c>
      <c r="R29" s="43"/>
      <c r="S29" s="43"/>
      <c r="T29" s="43"/>
      <c r="U29" s="43"/>
    </row>
    <row r="30" spans="1:21" s="11" customFormat="1" ht="15">
      <c r="A30" s="53" t="s">
        <v>395</v>
      </c>
      <c r="B30" s="54">
        <v>36.04</v>
      </c>
      <c r="C30" s="54">
        <v>62.54</v>
      </c>
      <c r="D30" s="54">
        <v>61.02</v>
      </c>
      <c r="E30" s="54">
        <v>1.52</v>
      </c>
      <c r="F30" s="54">
        <v>3.28</v>
      </c>
      <c r="G30" s="54">
        <v>74.180000000000007</v>
      </c>
      <c r="H30" s="54">
        <v>25.41</v>
      </c>
      <c r="I30" s="54">
        <v>1.55</v>
      </c>
      <c r="J30" s="54">
        <v>0.33</v>
      </c>
      <c r="K30" s="54">
        <v>331.62</v>
      </c>
      <c r="L30" s="54">
        <v>25.26</v>
      </c>
      <c r="M30" s="54">
        <v>29.65</v>
      </c>
      <c r="N30" s="54">
        <v>27.90</v>
      </c>
      <c r="O30" s="54">
        <v>0</v>
      </c>
      <c r="P30" s="54">
        <v>1.21</v>
      </c>
      <c r="Q30" s="54">
        <v>11.34</v>
      </c>
      <c r="R30" s="43"/>
      <c r="S30" s="43"/>
      <c r="T30" s="43"/>
      <c r="U30" s="43"/>
    </row>
    <row r="31" spans="1:21" s="11" customFormat="1" ht="15">
      <c r="A31" s="53" t="s">
        <v>396</v>
      </c>
      <c r="B31" s="54">
        <v>38.33</v>
      </c>
      <c r="C31" s="54">
        <v>60.96</v>
      </c>
      <c r="D31" s="54">
        <v>61.60</v>
      </c>
      <c r="E31" s="54">
        <v>1.30</v>
      </c>
      <c r="F31" s="54">
        <v>3.37</v>
      </c>
      <c r="G31" s="54">
        <v>71.260000000000005</v>
      </c>
      <c r="H31" s="54">
        <v>25.08</v>
      </c>
      <c r="I31" s="54">
        <v>1.54</v>
      </c>
      <c r="J31" s="54">
        <v>0.31</v>
      </c>
      <c r="K31" s="54">
        <v>327.83</v>
      </c>
      <c r="L31" s="54">
        <v>23.49</v>
      </c>
      <c r="M31" s="54">
        <v>30.33</v>
      </c>
      <c r="N31" s="54">
        <v>28.20</v>
      </c>
      <c r="O31" s="54">
        <v>0</v>
      </c>
      <c r="P31" s="54">
        <v>1.20</v>
      </c>
      <c r="Q31" s="54">
        <v>11.46</v>
      </c>
      <c r="R31" s="43"/>
      <c r="S31" s="43"/>
      <c r="T31" s="43"/>
      <c r="U31" s="43"/>
    </row>
    <row r="32" spans="1:21" s="11" customFormat="1" ht="15">
      <c r="A32" s="53" t="s">
        <v>397</v>
      </c>
      <c r="B32" s="54">
        <v>37.979999999999997</v>
      </c>
      <c r="C32" s="54">
        <v>56.21</v>
      </c>
      <c r="D32" s="54">
        <v>59.74</v>
      </c>
      <c r="E32" s="54">
        <v>1.97</v>
      </c>
      <c r="F32" s="54">
        <v>3.42</v>
      </c>
      <c r="G32" s="54">
        <v>68.20</v>
      </c>
      <c r="H32" s="54">
        <v>22.71</v>
      </c>
      <c r="I32" s="54">
        <v>1.51</v>
      </c>
      <c r="J32" s="54">
        <v>0.52</v>
      </c>
      <c r="K32" s="54">
        <v>348.66</v>
      </c>
      <c r="L32" s="54">
        <v>23.80</v>
      </c>
      <c r="M32" s="54">
        <v>30.43</v>
      </c>
      <c r="N32" s="54">
        <v>28.5</v>
      </c>
      <c r="O32" s="54">
        <v>0</v>
      </c>
      <c r="P32" s="54">
        <v>1.1399999999999999</v>
      </c>
      <c r="Q32" s="54">
        <v>11.52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2.2200000000000002</v>
      </c>
      <c r="C34" s="28">
        <f t="shared" si="0"/>
        <v>46.57</v>
      </c>
      <c r="D34" s="28">
        <f t="shared" si="0"/>
        <v>27.300000000000001</v>
      </c>
      <c r="E34" s="28">
        <f t="shared" si="0"/>
        <v>1.3</v>
      </c>
      <c r="F34" s="28">
        <f t="shared" si="0"/>
        <v>3.2000000000000002</v>
      </c>
      <c r="G34" s="28">
        <f t="shared" si="0"/>
        <v>33.899999999999999</v>
      </c>
      <c r="H34" s="28">
        <f t="shared" si="0"/>
        <v>21.91</v>
      </c>
      <c r="I34" s="28">
        <f t="shared" si="0"/>
        <v>1.49</v>
      </c>
      <c r="J34" s="28">
        <f t="shared" si="0"/>
        <v>0.16</v>
      </c>
      <c r="K34" s="28">
        <f t="shared" si="0"/>
        <v>80.409999999999997</v>
      </c>
      <c r="L34" s="28">
        <f t="shared" si="0"/>
        <v>20.469999999999999</v>
      </c>
      <c r="M34" s="28">
        <f t="shared" si="0"/>
        <v>13.369999999999999</v>
      </c>
      <c r="N34" s="28">
        <f t="shared" si="0"/>
        <v>27.300000000000001</v>
      </c>
      <c r="O34" s="28">
        <f t="shared" si="0"/>
        <v>0</v>
      </c>
      <c r="P34" s="28">
        <f t="shared" si="0"/>
        <v>0.39000000000000001</v>
      </c>
      <c r="Q34" s="28">
        <f t="shared" si="0"/>
        <v>10.539999999999999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38.329999999999998</v>
      </c>
      <c r="C35" s="29">
        <f t="shared" si="1"/>
        <v>74.629999999999995</v>
      </c>
      <c r="D35" s="29">
        <f t="shared" si="1"/>
        <v>61.600000000000001</v>
      </c>
      <c r="E35" s="29">
        <f t="shared" si="1"/>
        <v>4.1299999999999999</v>
      </c>
      <c r="F35" s="29">
        <f t="shared" si="1"/>
        <v>11.76</v>
      </c>
      <c r="G35" s="29">
        <f t="shared" si="1"/>
        <v>126.89</v>
      </c>
      <c r="H35" s="29">
        <f t="shared" si="1"/>
        <v>35.460000000000001</v>
      </c>
      <c r="I35" s="29">
        <f t="shared" si="1"/>
        <v>1.6000000000000001</v>
      </c>
      <c r="J35" s="29">
        <f t="shared" si="1"/>
        <v>1.3600000000000001</v>
      </c>
      <c r="K35" s="29">
        <f t="shared" si="1"/>
        <v>355.47000000000003</v>
      </c>
      <c r="L35" s="29">
        <f t="shared" si="1"/>
        <v>37.579999999999998</v>
      </c>
      <c r="M35" s="29">
        <f t="shared" si="1"/>
        <v>57</v>
      </c>
      <c r="N35" s="29">
        <f t="shared" si="1"/>
        <v>814.20000000000005</v>
      </c>
      <c r="O35" s="29">
        <f t="shared" si="1"/>
        <v>0</v>
      </c>
      <c r="P35" s="29">
        <f t="shared" si="1"/>
        <v>1.21</v>
      </c>
      <c r="Q35" s="29">
        <f t="shared" si="1"/>
        <v>11.6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19.618750000000002</v>
      </c>
      <c r="C36" s="28">
        <f t="shared" si="2"/>
        <v>56.355833333333344</v>
      </c>
      <c r="D36" s="28">
        <f t="shared" si="2"/>
        <v>44.511666666666663</v>
      </c>
      <c r="E36" s="28">
        <f t="shared" si="2"/>
        <v>2.1916666666666664</v>
      </c>
      <c r="F36" s="28">
        <f t="shared" si="2"/>
        <v>5.1941666666666668</v>
      </c>
      <c r="G36" s="28">
        <f t="shared" si="2"/>
        <v>79.522083333333342</v>
      </c>
      <c r="H36" s="28">
        <f t="shared" si="2"/>
        <v>27.958333333333329</v>
      </c>
      <c r="I36" s="28">
        <f t="shared" si="2"/>
        <v>1.5404166666666665</v>
      </c>
      <c r="J36" s="28">
        <f t="shared" si="2"/>
        <v>0.55500000000000005</v>
      </c>
      <c r="K36" s="28">
        <f t="shared" si="2"/>
        <v>305.36333333333334</v>
      </c>
      <c r="L36" s="28">
        <f t="shared" si="2"/>
        <v>28.434166666666666</v>
      </c>
      <c r="M36" s="28">
        <f t="shared" si="2"/>
        <v>32.802500000000002</v>
      </c>
      <c r="N36" s="28">
        <f t="shared" si="2"/>
        <v>272.30833333333328</v>
      </c>
      <c r="O36" s="28">
        <f t="shared" si="2"/>
        <v>0</v>
      </c>
      <c r="P36" s="28">
        <f t="shared" si="2"/>
        <v>0.79874999999999996</v>
      </c>
      <c r="Q36" s="28">
        <f t="shared" si="2"/>
        <v>11.187083333333332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12.570465839142294</v>
      </c>
      <c r="C37" s="28">
        <f t="shared" si="3" ref="C37:Q37">STDEV(C9:C32)</f>
        <v>7.8091055640286831</v>
      </c>
      <c r="D37" s="28">
        <f t="shared" si="3"/>
        <v>10.757262326150819</v>
      </c>
      <c r="E37" s="28">
        <f t="shared" si="3"/>
        <v>0.75306715831161997</v>
      </c>
      <c r="F37" s="28">
        <f t="shared" si="3"/>
        <v>2.7732901769914204</v>
      </c>
      <c r="G37" s="28">
        <f t="shared" si="3"/>
        <v>23.550606191619615</v>
      </c>
      <c r="H37" s="28">
        <f t="shared" si="3"/>
        <v>4.6197954657027394</v>
      </c>
      <c r="I37" s="28">
        <f t="shared" si="3"/>
        <v>0.027422486277199412</v>
      </c>
      <c r="J37" s="28">
        <f t="shared" si="3"/>
        <v>0.37128449188330426</v>
      </c>
      <c r="K37" s="28">
        <f t="shared" si="3"/>
        <v>71.397641945391157</v>
      </c>
      <c r="L37" s="28">
        <f t="shared" si="3"/>
        <v>5.8774934887369303</v>
      </c>
      <c r="M37" s="28">
        <f t="shared" si="3"/>
        <v>13.239667751643639</v>
      </c>
      <c r="N37" s="28">
        <f t="shared" si="3"/>
        <v>295.61483594685177</v>
      </c>
      <c r="O37" s="28">
        <f t="shared" si="3"/>
        <v>0</v>
      </c>
      <c r="P37" s="28">
        <f t="shared" si="3"/>
        <v>0.24907328238893903</v>
      </c>
      <c r="Q37" s="28">
        <f t="shared" si="3"/>
        <v>0.31925836840574989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f3329f-75cc-43e7-aae1-290a08a1308d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398</v>
      </c>
      <c r="B9" s="54">
        <v>33.85</v>
      </c>
      <c r="C9" s="54">
        <v>52.30</v>
      </c>
      <c r="D9" s="54">
        <v>54.39</v>
      </c>
      <c r="E9" s="54">
        <v>2.09</v>
      </c>
      <c r="F9" s="54">
        <v>3.38</v>
      </c>
      <c r="G9" s="54">
        <v>63.28</v>
      </c>
      <c r="H9" s="54">
        <v>22.71</v>
      </c>
      <c r="I9" s="54">
        <v>1.5</v>
      </c>
      <c r="J9" s="54">
        <v>0.98</v>
      </c>
      <c r="K9" s="54">
        <v>340.41</v>
      </c>
      <c r="L9" s="54">
        <v>23.05</v>
      </c>
      <c r="M9" s="54">
        <v>37.21</v>
      </c>
      <c r="N9" s="54">
        <v>29.10</v>
      </c>
      <c r="O9" s="54">
        <v>0</v>
      </c>
      <c r="P9" s="54">
        <v>1.04</v>
      </c>
      <c r="Q9" s="54">
        <v>11.49</v>
      </c>
      <c r="R9" s="43"/>
      <c r="S9" s="43"/>
      <c r="T9" s="43"/>
      <c r="U9" s="43"/>
    </row>
    <row r="10" spans="1:21" s="11" customFormat="1" ht="15">
      <c r="A10" s="53" t="s">
        <v>399</v>
      </c>
      <c r="B10" s="54">
        <v>24.71</v>
      </c>
      <c r="C10" s="54">
        <v>51.86</v>
      </c>
      <c r="D10" s="54">
        <v>46.83</v>
      </c>
      <c r="E10" s="54">
        <v>2.13</v>
      </c>
      <c r="F10" s="54">
        <v>3.33</v>
      </c>
      <c r="G10" s="54">
        <v>63.66</v>
      </c>
      <c r="H10" s="54">
        <v>21.89</v>
      </c>
      <c r="I10" s="54">
        <v>1.57</v>
      </c>
      <c r="J10" s="54">
        <v>0.70</v>
      </c>
      <c r="K10" s="54">
        <v>247.12</v>
      </c>
      <c r="L10" s="54">
        <v>22.26</v>
      </c>
      <c r="M10" s="54">
        <v>37.51</v>
      </c>
      <c r="N10" s="54">
        <v>30</v>
      </c>
      <c r="O10" s="54">
        <v>0</v>
      </c>
      <c r="P10" s="54">
        <v>0.84</v>
      </c>
      <c r="Q10" s="54">
        <v>11.15</v>
      </c>
      <c r="R10" s="43"/>
      <c r="S10" s="43"/>
      <c r="T10" s="43"/>
      <c r="U10" s="43"/>
    </row>
    <row r="11" spans="1:21" s="11" customFormat="1" ht="15">
      <c r="A11" s="53" t="s">
        <v>400</v>
      </c>
      <c r="B11" s="54">
        <v>19.059999999999999</v>
      </c>
      <c r="C11" s="54">
        <v>50</v>
      </c>
      <c r="D11" s="54">
        <v>41.32</v>
      </c>
      <c r="E11" s="54">
        <v>1.91</v>
      </c>
      <c r="F11" s="54">
        <v>3.34</v>
      </c>
      <c r="G11" s="54">
        <v>71.86</v>
      </c>
      <c r="H11" s="54">
        <v>23.22</v>
      </c>
      <c r="I11" s="54">
        <v>1.56</v>
      </c>
      <c r="J11" s="54">
        <v>0.32</v>
      </c>
      <c r="K11" s="54">
        <v>309.76</v>
      </c>
      <c r="L11" s="54">
        <v>21.52</v>
      </c>
      <c r="M11" s="54">
        <v>49.31</v>
      </c>
      <c r="N11" s="54">
        <v>30.30</v>
      </c>
      <c r="O11" s="54">
        <v>0</v>
      </c>
      <c r="P11" s="54">
        <v>0.76</v>
      </c>
      <c r="Q11" s="54">
        <v>10.94</v>
      </c>
      <c r="R11" s="43"/>
      <c r="S11" s="43"/>
      <c r="T11" s="43"/>
      <c r="U11" s="43"/>
    </row>
    <row r="12" spans="1:21" s="11" customFormat="1" ht="15">
      <c r="A12" s="53" t="s">
        <v>401</v>
      </c>
      <c r="B12" s="54">
        <v>18.440000000000001</v>
      </c>
      <c r="C12" s="54">
        <v>47.72</v>
      </c>
      <c r="D12" s="54">
        <v>38.880000000000003</v>
      </c>
      <c r="E12" s="54">
        <v>1.92</v>
      </c>
      <c r="F12" s="54">
        <v>3.05</v>
      </c>
      <c r="G12" s="54">
        <v>71.86</v>
      </c>
      <c r="H12" s="54">
        <v>23.22</v>
      </c>
      <c r="I12" s="54">
        <v>1.56</v>
      </c>
      <c r="J12" s="54">
        <v>0.22</v>
      </c>
      <c r="K12" s="54">
        <v>351.54</v>
      </c>
      <c r="L12" s="54">
        <v>19.600000000000001</v>
      </c>
      <c r="M12" s="54">
        <v>57.90</v>
      </c>
      <c r="N12" s="54">
        <v>30.10</v>
      </c>
      <c r="O12" s="54">
        <v>0</v>
      </c>
      <c r="P12" s="54">
        <v>0.70</v>
      </c>
      <c r="Q12" s="54">
        <v>11</v>
      </c>
      <c r="R12" s="43"/>
      <c r="S12" s="43"/>
      <c r="T12" s="43"/>
      <c r="U12" s="43"/>
    </row>
    <row r="13" spans="1:21" s="11" customFormat="1" ht="15">
      <c r="A13" s="53" t="s">
        <v>402</v>
      </c>
      <c r="B13" s="54">
        <v>24.76</v>
      </c>
      <c r="C13" s="54">
        <v>45.5</v>
      </c>
      <c r="D13" s="54">
        <v>43.32</v>
      </c>
      <c r="E13" s="54">
        <v>1.81</v>
      </c>
      <c r="F13" s="54">
        <v>3.38</v>
      </c>
      <c r="G13" s="54">
        <v>60.51</v>
      </c>
      <c r="H13" s="54">
        <v>20.03</v>
      </c>
      <c r="I13" s="54">
        <v>1.55</v>
      </c>
      <c r="J13" s="54">
        <v>0.18</v>
      </c>
      <c r="K13" s="54">
        <v>304.82</v>
      </c>
      <c r="L13" s="54">
        <v>18.54</v>
      </c>
      <c r="M13" s="54">
        <v>52.02</v>
      </c>
      <c r="N13" s="54">
        <v>30.40</v>
      </c>
      <c r="O13" s="54">
        <v>0</v>
      </c>
      <c r="P13" s="54">
        <v>0.69</v>
      </c>
      <c r="Q13" s="54">
        <v>11.11</v>
      </c>
      <c r="R13" s="43"/>
      <c r="S13" s="43"/>
      <c r="T13" s="43"/>
      <c r="U13" s="43"/>
    </row>
    <row r="14" spans="1:21" s="11" customFormat="1" ht="15">
      <c r="A14" s="53" t="s">
        <v>403</v>
      </c>
      <c r="B14" s="54">
        <v>32.97</v>
      </c>
      <c r="C14" s="54">
        <v>47.08</v>
      </c>
      <c r="D14" s="54">
        <v>50.95</v>
      </c>
      <c r="E14" s="54">
        <v>1.89</v>
      </c>
      <c r="F14" s="54">
        <v>3.28</v>
      </c>
      <c r="G14" s="54">
        <v>73.010000000000005</v>
      </c>
      <c r="H14" s="54">
        <v>21.15</v>
      </c>
      <c r="I14" s="54">
        <v>1.57</v>
      </c>
      <c r="J14" s="54">
        <v>0.17</v>
      </c>
      <c r="K14" s="54">
        <v>304.14</v>
      </c>
      <c r="L14" s="54">
        <v>19.28</v>
      </c>
      <c r="M14" s="54">
        <v>54.59</v>
      </c>
      <c r="N14" s="54">
        <v>31.70</v>
      </c>
      <c r="O14" s="54">
        <v>0</v>
      </c>
      <c r="P14" s="54">
        <v>0.69</v>
      </c>
      <c r="Q14" s="54">
        <v>11.24</v>
      </c>
      <c r="R14" s="43"/>
      <c r="S14" s="43"/>
      <c r="T14" s="43"/>
      <c r="U14" s="43"/>
    </row>
    <row r="15" spans="1:21" s="11" customFormat="1" ht="15">
      <c r="A15" s="53" t="s">
        <v>404</v>
      </c>
      <c r="B15" s="54">
        <v>53.72</v>
      </c>
      <c r="C15" s="54">
        <v>49.96</v>
      </c>
      <c r="D15" s="54">
        <v>69.11</v>
      </c>
      <c r="E15" s="54">
        <v>2.17</v>
      </c>
      <c r="F15" s="54">
        <v>3.29</v>
      </c>
      <c r="G15" s="54">
        <v>119.88</v>
      </c>
      <c r="H15" s="54">
        <v>23.25</v>
      </c>
      <c r="I15" s="54">
        <v>1.57</v>
      </c>
      <c r="J15" s="54">
        <v>0.30</v>
      </c>
      <c r="K15" s="54">
        <v>294.45999999999998</v>
      </c>
      <c r="L15" s="54">
        <v>20.70</v>
      </c>
      <c r="M15" s="54">
        <v>56.72</v>
      </c>
      <c r="N15" s="54">
        <v>132.60</v>
      </c>
      <c r="O15" s="54">
        <v>0</v>
      </c>
      <c r="P15" s="54">
        <v>0.74</v>
      </c>
      <c r="Q15" s="54">
        <v>11.61</v>
      </c>
      <c r="R15" s="43"/>
      <c r="S15" s="43"/>
      <c r="T15" s="43"/>
      <c r="U15" s="43"/>
    </row>
    <row r="16" spans="1:21" s="11" customFormat="1" ht="15">
      <c r="A16" s="53" t="s">
        <v>405</v>
      </c>
      <c r="B16" s="54">
        <v>54.05</v>
      </c>
      <c r="C16" s="54">
        <v>49.59</v>
      </c>
      <c r="D16" s="54">
        <v>69.180000000000007</v>
      </c>
      <c r="E16" s="54">
        <v>2.40</v>
      </c>
      <c r="F16" s="54">
        <v>3.17</v>
      </c>
      <c r="G16" s="54">
        <v>119.88</v>
      </c>
      <c r="H16" s="54">
        <v>24.84</v>
      </c>
      <c r="I16" s="54">
        <v>1.59</v>
      </c>
      <c r="J16" s="54">
        <v>0.84</v>
      </c>
      <c r="K16" s="54">
        <v>196.66</v>
      </c>
      <c r="L16" s="54">
        <v>23.84</v>
      </c>
      <c r="M16" s="54">
        <v>40.06</v>
      </c>
      <c r="N16" s="54">
        <v>347.60</v>
      </c>
      <c r="O16" s="54">
        <v>0</v>
      </c>
      <c r="P16" s="54">
        <v>0.73</v>
      </c>
      <c r="Q16" s="54">
        <v>11.82</v>
      </c>
      <c r="R16" s="43"/>
      <c r="S16" s="43"/>
      <c r="T16" s="43"/>
      <c r="U16" s="43"/>
    </row>
    <row r="17" spans="1:21" s="11" customFormat="1" ht="15">
      <c r="A17" s="53" t="s">
        <v>406</v>
      </c>
      <c r="B17" s="54">
        <v>45.05</v>
      </c>
      <c r="C17" s="54">
        <v>49.29</v>
      </c>
      <c r="D17" s="54">
        <v>61.5</v>
      </c>
      <c r="E17" s="54">
        <v>2.13</v>
      </c>
      <c r="F17" s="54">
        <v>3.21</v>
      </c>
      <c r="G17" s="54">
        <v>98.98</v>
      </c>
      <c r="H17" s="54">
        <v>24.84</v>
      </c>
      <c r="I17" s="54">
        <v>1.59</v>
      </c>
      <c r="J17" s="54">
        <v>0.52</v>
      </c>
      <c r="K17" s="54">
        <v>173.80</v>
      </c>
      <c r="L17" s="54">
        <v>30.35</v>
      </c>
      <c r="M17" s="54">
        <v>30.65</v>
      </c>
      <c r="N17" s="54">
        <v>533</v>
      </c>
      <c r="O17" s="54">
        <v>0</v>
      </c>
      <c r="P17" s="54">
        <v>0.72</v>
      </c>
      <c r="Q17" s="54">
        <v>11.72</v>
      </c>
      <c r="R17" s="43"/>
      <c r="S17" s="43"/>
      <c r="T17" s="43"/>
      <c r="U17" s="43"/>
    </row>
    <row r="18" spans="1:21" s="11" customFormat="1" ht="15">
      <c r="A18" s="53" t="s">
        <v>407</v>
      </c>
      <c r="B18" s="54">
        <v>38.08</v>
      </c>
      <c r="C18" s="54">
        <v>60.06</v>
      </c>
      <c r="D18" s="54">
        <v>56.14</v>
      </c>
      <c r="E18" s="54">
        <v>2.0699999999999998</v>
      </c>
      <c r="F18" s="54">
        <v>3.30</v>
      </c>
      <c r="G18" s="54">
        <v>70.239999999999995</v>
      </c>
      <c r="H18" s="54">
        <v>21.97</v>
      </c>
      <c r="I18" s="54">
        <v>1.59</v>
      </c>
      <c r="J18" s="54">
        <v>0.27</v>
      </c>
      <c r="K18" s="54">
        <v>179.19</v>
      </c>
      <c r="L18" s="54">
        <v>35.590000000000003</v>
      </c>
      <c r="M18" s="54">
        <v>24.06</v>
      </c>
      <c r="N18" s="54">
        <v>706.60</v>
      </c>
      <c r="O18" s="54">
        <v>0</v>
      </c>
      <c r="P18" s="54">
        <v>0.74</v>
      </c>
      <c r="Q18" s="54">
        <v>11.62</v>
      </c>
      <c r="R18" s="43"/>
      <c r="S18" s="43"/>
      <c r="T18" s="43"/>
      <c r="U18" s="43"/>
    </row>
    <row r="19" spans="1:21" s="11" customFormat="1" ht="15">
      <c r="A19" s="53" t="s">
        <v>408</v>
      </c>
      <c r="B19" s="54">
        <v>26.85</v>
      </c>
      <c r="C19" s="54">
        <v>65.69</v>
      </c>
      <c r="D19" s="54">
        <v>54.14</v>
      </c>
      <c r="E19" s="54">
        <v>2.19</v>
      </c>
      <c r="F19" s="54">
        <v>3.42</v>
      </c>
      <c r="G19" s="54">
        <v>70.239999999999995</v>
      </c>
      <c r="H19" s="54">
        <v>21.93</v>
      </c>
      <c r="I19" s="54">
        <v>1.57</v>
      </c>
      <c r="J19" s="54">
        <v>0.65</v>
      </c>
      <c r="K19" s="54">
        <v>352.15</v>
      </c>
      <c r="L19" s="54">
        <v>35.729999999999997</v>
      </c>
      <c r="M19" s="54">
        <v>16.46</v>
      </c>
      <c r="N19" s="54">
        <v>783.10</v>
      </c>
      <c r="O19" s="54">
        <v>0</v>
      </c>
      <c r="P19" s="54">
        <v>0.71</v>
      </c>
      <c r="Q19" s="54">
        <v>11.22</v>
      </c>
      <c r="R19" s="43"/>
      <c r="S19" s="43"/>
      <c r="T19" s="43"/>
      <c r="U19" s="43"/>
    </row>
    <row r="20" spans="1:21" s="11" customFormat="1" ht="15">
      <c r="A20" s="53" t="s">
        <v>409</v>
      </c>
      <c r="B20" s="54">
        <v>20.94</v>
      </c>
      <c r="C20" s="54">
        <v>67.069999999999993</v>
      </c>
      <c r="D20" s="54">
        <v>51.16</v>
      </c>
      <c r="E20" s="54">
        <v>1.83</v>
      </c>
      <c r="F20" s="54">
        <v>3.74</v>
      </c>
      <c r="G20" s="54">
        <v>61.27</v>
      </c>
      <c r="H20" s="54">
        <v>21.93</v>
      </c>
      <c r="I20" s="54">
        <v>1.51</v>
      </c>
      <c r="J20" s="54">
        <v>0.85</v>
      </c>
      <c r="K20" s="54">
        <v>333.20</v>
      </c>
      <c r="L20" s="54">
        <v>38.60</v>
      </c>
      <c r="M20" s="54">
        <v>14.23</v>
      </c>
      <c r="N20" s="54">
        <v>800.80</v>
      </c>
      <c r="O20" s="54">
        <v>0</v>
      </c>
      <c r="P20" s="54">
        <v>0.68</v>
      </c>
      <c r="Q20" s="54">
        <v>11.01</v>
      </c>
      <c r="R20" s="43"/>
      <c r="S20" s="43"/>
      <c r="T20" s="43"/>
      <c r="U20" s="43"/>
    </row>
    <row r="21" spans="1:21" s="11" customFormat="1" ht="15">
      <c r="A21" s="53" t="s">
        <v>410</v>
      </c>
      <c r="B21" s="54">
        <v>13.92</v>
      </c>
      <c r="C21" s="54">
        <v>66.650000000000006</v>
      </c>
      <c r="D21" s="54">
        <v>45.91</v>
      </c>
      <c r="E21" s="54">
        <v>1.79</v>
      </c>
      <c r="F21" s="54">
        <v>4.03</v>
      </c>
      <c r="G21" s="54">
        <v>53.60</v>
      </c>
      <c r="H21" s="54">
        <v>21.85</v>
      </c>
      <c r="I21" s="54">
        <v>1.58</v>
      </c>
      <c r="J21" s="54">
        <v>0.88</v>
      </c>
      <c r="K21" s="54">
        <v>359.48</v>
      </c>
      <c r="L21" s="54">
        <v>38.39</v>
      </c>
      <c r="M21" s="54">
        <v>11</v>
      </c>
      <c r="N21" s="54">
        <v>774.90</v>
      </c>
      <c r="O21" s="54">
        <v>0</v>
      </c>
      <c r="P21" s="54">
        <v>0.64</v>
      </c>
      <c r="Q21" s="54">
        <v>10.77</v>
      </c>
      <c r="R21" s="43"/>
      <c r="S21" s="43"/>
      <c r="T21" s="43"/>
      <c r="U21" s="43"/>
    </row>
    <row r="22" spans="1:21" s="11" customFormat="1" ht="15">
      <c r="A22" s="53" t="s">
        <v>411</v>
      </c>
      <c r="B22" s="54">
        <v>10.30</v>
      </c>
      <c r="C22" s="54">
        <v>63.22</v>
      </c>
      <c r="D22" s="54">
        <v>41.21</v>
      </c>
      <c r="E22" s="54">
        <v>1.76</v>
      </c>
      <c r="F22" s="54">
        <v>4.49</v>
      </c>
      <c r="G22" s="54">
        <v>53.05</v>
      </c>
      <c r="H22" s="54">
        <v>19.70</v>
      </c>
      <c r="I22" s="54">
        <v>1.55</v>
      </c>
      <c r="J22" s="54">
        <v>0.53</v>
      </c>
      <c r="K22" s="54">
        <v>328.80</v>
      </c>
      <c r="L22" s="54">
        <v>37.67</v>
      </c>
      <c r="M22" s="54">
        <v>12.01</v>
      </c>
      <c r="N22" s="54">
        <v>740.10</v>
      </c>
      <c r="O22" s="54">
        <v>0</v>
      </c>
      <c r="P22" s="54">
        <v>0.59</v>
      </c>
      <c r="Q22" s="54">
        <v>10.69</v>
      </c>
      <c r="R22" s="43"/>
      <c r="S22" s="43"/>
      <c r="T22" s="43"/>
      <c r="U22" s="43"/>
    </row>
    <row r="23" spans="1:21" s="11" customFormat="1" ht="15">
      <c r="A23" s="53" t="s">
        <v>412</v>
      </c>
      <c r="B23" s="54">
        <v>4.68</v>
      </c>
      <c r="C23" s="54">
        <v>61.77</v>
      </c>
      <c r="D23" s="54">
        <v>35.950000000000003</v>
      </c>
      <c r="E23" s="54">
        <v>2.0499999999999998</v>
      </c>
      <c r="F23" s="54">
        <v>7.74</v>
      </c>
      <c r="G23" s="54">
        <v>51.68</v>
      </c>
      <c r="H23" s="54">
        <v>21.75</v>
      </c>
      <c r="I23" s="54">
        <v>1.57</v>
      </c>
      <c r="J23" s="54">
        <v>0.49</v>
      </c>
      <c r="K23" s="54">
        <v>311.55</v>
      </c>
      <c r="L23" s="54">
        <v>36.46</v>
      </c>
      <c r="M23" s="54">
        <v>12.58</v>
      </c>
      <c r="N23" s="54">
        <v>630.10</v>
      </c>
      <c r="O23" s="54">
        <v>0</v>
      </c>
      <c r="P23" s="54">
        <v>0.55000000000000004</v>
      </c>
      <c r="Q23" s="54">
        <v>10.56</v>
      </c>
      <c r="R23" s="43"/>
      <c r="S23" s="43"/>
      <c r="T23" s="43"/>
      <c r="U23" s="43"/>
    </row>
    <row r="24" spans="1:21" s="11" customFormat="1" ht="15">
      <c r="A24" s="53" t="s">
        <v>413</v>
      </c>
      <c r="B24" s="54">
        <v>2.0299999999999998</v>
      </c>
      <c r="C24" s="54">
        <v>55.27</v>
      </c>
      <c r="D24" s="54">
        <v>30.23</v>
      </c>
      <c r="E24" s="54">
        <v>1.71</v>
      </c>
      <c r="F24" s="54">
        <v>8.11</v>
      </c>
      <c r="G24" s="54">
        <v>49.72</v>
      </c>
      <c r="H24" s="54">
        <v>21.75</v>
      </c>
      <c r="I24" s="54">
        <v>1.56</v>
      </c>
      <c r="J24" s="54">
        <v>0.55000000000000004</v>
      </c>
      <c r="K24" s="54">
        <v>174.92</v>
      </c>
      <c r="L24" s="54">
        <v>33.81</v>
      </c>
      <c r="M24" s="54">
        <v>13.82</v>
      </c>
      <c r="N24" s="54">
        <v>269.60000000000002</v>
      </c>
      <c r="O24" s="54">
        <v>0</v>
      </c>
      <c r="P24" s="54">
        <v>0.53</v>
      </c>
      <c r="Q24" s="54">
        <v>10.24</v>
      </c>
      <c r="R24" s="43"/>
      <c r="S24" s="43"/>
      <c r="T24" s="43"/>
      <c r="U24" s="43"/>
    </row>
    <row r="25" spans="1:21" s="11" customFormat="1" ht="15">
      <c r="A25" s="53" t="s">
        <v>414</v>
      </c>
      <c r="B25" s="54">
        <v>2.13</v>
      </c>
      <c r="C25" s="54">
        <v>52.21</v>
      </c>
      <c r="D25" s="54">
        <v>28.78</v>
      </c>
      <c r="E25" s="54">
        <v>1.24</v>
      </c>
      <c r="F25" s="54">
        <v>6.68</v>
      </c>
      <c r="G25" s="54">
        <v>51.65</v>
      </c>
      <c r="H25" s="54">
        <v>23.33</v>
      </c>
      <c r="I25" s="54">
        <v>1.52</v>
      </c>
      <c r="J25" s="54">
        <v>0.86</v>
      </c>
      <c r="K25" s="54">
        <v>189.53</v>
      </c>
      <c r="L25" s="54">
        <v>33.07</v>
      </c>
      <c r="M25" s="54">
        <v>15.83</v>
      </c>
      <c r="N25" s="54">
        <v>195</v>
      </c>
      <c r="O25" s="54">
        <v>0</v>
      </c>
      <c r="P25" s="54">
        <v>0.52</v>
      </c>
      <c r="Q25" s="54">
        <v>10.31</v>
      </c>
      <c r="R25" s="43"/>
      <c r="S25" s="43"/>
      <c r="T25" s="43"/>
      <c r="U25" s="43"/>
    </row>
    <row r="26" spans="1:21" s="11" customFormat="1" ht="15">
      <c r="A26" s="53" t="s">
        <v>415</v>
      </c>
      <c r="B26" s="54">
        <v>5.73</v>
      </c>
      <c r="C26" s="54">
        <v>54.26</v>
      </c>
      <c r="D26" s="54">
        <v>32.869999999999997</v>
      </c>
      <c r="E26" s="54">
        <v>0.95</v>
      </c>
      <c r="F26" s="54">
        <v>4.83</v>
      </c>
      <c r="G26" s="54">
        <v>61.60</v>
      </c>
      <c r="H26" s="54">
        <v>23.33</v>
      </c>
      <c r="I26" s="54">
        <v>1.52</v>
      </c>
      <c r="J26" s="54">
        <v>0.57999999999999996</v>
      </c>
      <c r="K26" s="54">
        <v>359.43</v>
      </c>
      <c r="L26" s="54">
        <v>31.19</v>
      </c>
      <c r="M26" s="54">
        <v>19.809999999999999</v>
      </c>
      <c r="N26" s="54">
        <v>68.30</v>
      </c>
      <c r="O26" s="54">
        <v>0</v>
      </c>
      <c r="P26" s="54">
        <v>0.64</v>
      </c>
      <c r="Q26" s="54">
        <v>10.51</v>
      </c>
      <c r="R26" s="43"/>
      <c r="S26" s="43"/>
      <c r="T26" s="43"/>
      <c r="U26" s="43"/>
    </row>
    <row r="27" spans="1:21" s="11" customFormat="1" ht="15">
      <c r="A27" s="53" t="s">
        <v>416</v>
      </c>
      <c r="B27" s="54">
        <v>9.14</v>
      </c>
      <c r="C27" s="54">
        <v>60.76</v>
      </c>
      <c r="D27" s="54">
        <v>38.99</v>
      </c>
      <c r="E27" s="54">
        <v>1.1599999999999999</v>
      </c>
      <c r="F27" s="54">
        <v>3.77</v>
      </c>
      <c r="G27" s="54">
        <v>70.650000000000006</v>
      </c>
      <c r="H27" s="54">
        <v>26.45</v>
      </c>
      <c r="I27" s="54">
        <v>1.53</v>
      </c>
      <c r="J27" s="54">
        <v>0.42</v>
      </c>
      <c r="K27" s="54">
        <v>358.22</v>
      </c>
      <c r="L27" s="54">
        <v>29.30</v>
      </c>
      <c r="M27" s="54">
        <v>30.26</v>
      </c>
      <c r="N27" s="54">
        <v>33.5</v>
      </c>
      <c r="O27" s="54">
        <v>0</v>
      </c>
      <c r="P27" s="54">
        <v>0.82</v>
      </c>
      <c r="Q27" s="54">
        <v>10.63</v>
      </c>
      <c r="R27" s="43"/>
      <c r="S27" s="43"/>
      <c r="T27" s="43"/>
      <c r="U27" s="43"/>
    </row>
    <row r="28" spans="1:21" s="11" customFormat="1" ht="15">
      <c r="A28" s="53" t="s">
        <v>417</v>
      </c>
      <c r="B28" s="54">
        <v>26.61</v>
      </c>
      <c r="C28" s="54">
        <v>69.319999999999993</v>
      </c>
      <c r="D28" s="54">
        <v>57.48</v>
      </c>
      <c r="E28" s="54">
        <v>1.86</v>
      </c>
      <c r="F28" s="54">
        <v>3.37</v>
      </c>
      <c r="G28" s="54">
        <v>97.57</v>
      </c>
      <c r="H28" s="54">
        <v>30.01</v>
      </c>
      <c r="I28" s="54">
        <v>1.56</v>
      </c>
      <c r="J28" s="54">
        <v>0.23</v>
      </c>
      <c r="K28" s="54">
        <v>326.81</v>
      </c>
      <c r="L28" s="54">
        <v>26.91</v>
      </c>
      <c r="M28" s="54">
        <v>38.700000000000003</v>
      </c>
      <c r="N28" s="54">
        <v>33.5</v>
      </c>
      <c r="O28" s="54">
        <v>0</v>
      </c>
      <c r="P28" s="54">
        <v>1.30</v>
      </c>
      <c r="Q28" s="54">
        <v>11.10</v>
      </c>
      <c r="R28" s="43"/>
      <c r="S28" s="43"/>
      <c r="T28" s="43"/>
      <c r="U28" s="43"/>
    </row>
    <row r="29" spans="1:21" s="11" customFormat="1" ht="15">
      <c r="A29" s="53" t="s">
        <v>418</v>
      </c>
      <c r="B29" s="54">
        <v>40.19</v>
      </c>
      <c r="C29" s="54">
        <v>72.77</v>
      </c>
      <c r="D29" s="54">
        <v>70.16</v>
      </c>
      <c r="E29" s="54">
        <v>1.93</v>
      </c>
      <c r="F29" s="54">
        <v>3.10</v>
      </c>
      <c r="G29" s="54">
        <v>115.44</v>
      </c>
      <c r="H29" s="54">
        <v>32.93</v>
      </c>
      <c r="I29" s="54">
        <v>1.51</v>
      </c>
      <c r="J29" s="54">
        <v>0.31</v>
      </c>
      <c r="K29" s="54">
        <v>342.26</v>
      </c>
      <c r="L29" s="54">
        <v>26.62</v>
      </c>
      <c r="M29" s="54">
        <v>37.53</v>
      </c>
      <c r="N29" s="54">
        <v>33.90</v>
      </c>
      <c r="O29" s="54">
        <v>0</v>
      </c>
      <c r="P29" s="54">
        <v>1.70</v>
      </c>
      <c r="Q29" s="54">
        <v>11.67</v>
      </c>
      <c r="R29" s="43"/>
      <c r="S29" s="43"/>
      <c r="T29" s="43"/>
      <c r="U29" s="43"/>
    </row>
    <row r="30" spans="1:21" s="11" customFormat="1" ht="15">
      <c r="A30" s="53" t="s">
        <v>419</v>
      </c>
      <c r="B30" s="54">
        <v>47.78</v>
      </c>
      <c r="C30" s="54">
        <v>71.64</v>
      </c>
      <c r="D30" s="54">
        <v>74.34</v>
      </c>
      <c r="E30" s="54">
        <v>1.87</v>
      </c>
      <c r="F30" s="54">
        <v>3.23</v>
      </c>
      <c r="G30" s="54">
        <v>120.57</v>
      </c>
      <c r="H30" s="54">
        <v>33.39</v>
      </c>
      <c r="I30" s="54">
        <v>1.54</v>
      </c>
      <c r="J30" s="54">
        <v>0.23</v>
      </c>
      <c r="K30" s="54">
        <v>342.5</v>
      </c>
      <c r="L30" s="54">
        <v>26.93</v>
      </c>
      <c r="M30" s="54">
        <v>40.03</v>
      </c>
      <c r="N30" s="54">
        <v>35.200000000000003</v>
      </c>
      <c r="O30" s="54">
        <v>0</v>
      </c>
      <c r="P30" s="54">
        <v>1.91</v>
      </c>
      <c r="Q30" s="54">
        <v>11.91</v>
      </c>
      <c r="R30" s="43"/>
      <c r="S30" s="43"/>
      <c r="T30" s="43"/>
      <c r="U30" s="43"/>
    </row>
    <row r="31" spans="1:21" s="11" customFormat="1" ht="15">
      <c r="A31" s="53" t="s">
        <v>420</v>
      </c>
      <c r="B31" s="54">
        <v>50.84</v>
      </c>
      <c r="C31" s="54">
        <v>68.37</v>
      </c>
      <c r="D31" s="54">
        <v>76.02</v>
      </c>
      <c r="E31" s="54">
        <v>1.99</v>
      </c>
      <c r="F31" s="54">
        <v>3.35</v>
      </c>
      <c r="G31" s="54">
        <v>120.57</v>
      </c>
      <c r="H31" s="54">
        <v>35.10</v>
      </c>
      <c r="I31" s="54">
        <v>1.53</v>
      </c>
      <c r="J31" s="54">
        <v>0.51</v>
      </c>
      <c r="K31" s="54">
        <v>273.31</v>
      </c>
      <c r="L31" s="54">
        <v>26.75</v>
      </c>
      <c r="M31" s="54">
        <v>34.479999999999997</v>
      </c>
      <c r="N31" s="54">
        <v>35.90</v>
      </c>
      <c r="O31" s="54">
        <v>0</v>
      </c>
      <c r="P31" s="54">
        <v>1.76</v>
      </c>
      <c r="Q31" s="54">
        <v>12.16</v>
      </c>
      <c r="R31" s="43"/>
      <c r="S31" s="43"/>
      <c r="T31" s="43"/>
      <c r="U31" s="43"/>
    </row>
    <row r="32" spans="1:21" s="11" customFormat="1" ht="15">
      <c r="A32" s="53" t="s">
        <v>421</v>
      </c>
      <c r="B32" s="54">
        <v>47.79</v>
      </c>
      <c r="C32" s="54">
        <v>63.57</v>
      </c>
      <c r="D32" s="54">
        <v>71.45</v>
      </c>
      <c r="E32" s="54">
        <v>2.33</v>
      </c>
      <c r="F32" s="54">
        <v>3.20</v>
      </c>
      <c r="G32" s="54">
        <v>120.86</v>
      </c>
      <c r="H32" s="54">
        <v>38.82</v>
      </c>
      <c r="I32" s="54">
        <v>1.55</v>
      </c>
      <c r="J32" s="54">
        <v>0.22</v>
      </c>
      <c r="K32" s="54">
        <v>350.95</v>
      </c>
      <c r="L32" s="54">
        <v>25.62</v>
      </c>
      <c r="M32" s="54">
        <v>41.37</v>
      </c>
      <c r="N32" s="54">
        <v>35.90</v>
      </c>
      <c r="O32" s="54">
        <v>0</v>
      </c>
      <c r="P32" s="54">
        <v>1.68</v>
      </c>
      <c r="Q32" s="54">
        <v>12.16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2.0299999999999998</v>
      </c>
      <c r="C34" s="28">
        <f t="shared" si="0"/>
        <v>45.5</v>
      </c>
      <c r="D34" s="28">
        <f t="shared" si="0"/>
        <v>28.780000000000001</v>
      </c>
      <c r="E34" s="28">
        <f t="shared" si="0"/>
        <v>0.94999999999999996</v>
      </c>
      <c r="F34" s="28">
        <f t="shared" si="0"/>
        <v>3.0499999999999998</v>
      </c>
      <c r="G34" s="28">
        <f t="shared" si="0"/>
        <v>49.719999999999999</v>
      </c>
      <c r="H34" s="28">
        <f t="shared" si="0"/>
        <v>19.699999999999999</v>
      </c>
      <c r="I34" s="28">
        <f t="shared" si="0"/>
        <v>1.5</v>
      </c>
      <c r="J34" s="28">
        <f t="shared" si="0"/>
        <v>0.17000000000000001</v>
      </c>
      <c r="K34" s="28">
        <f t="shared" si="0"/>
        <v>173.80000000000001</v>
      </c>
      <c r="L34" s="28">
        <f t="shared" si="0"/>
        <v>18.539999999999999</v>
      </c>
      <c r="M34" s="28">
        <f t="shared" si="0"/>
        <v>11</v>
      </c>
      <c r="N34" s="28">
        <f t="shared" si="0"/>
        <v>29.100000000000001</v>
      </c>
      <c r="O34" s="28">
        <f t="shared" si="0"/>
        <v>0</v>
      </c>
      <c r="P34" s="28">
        <f t="shared" si="0"/>
        <v>0.52000000000000002</v>
      </c>
      <c r="Q34" s="28">
        <f t="shared" si="0"/>
        <v>10.24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54.049999999999997</v>
      </c>
      <c r="C35" s="29">
        <f t="shared" si="1"/>
        <v>72.769999999999996</v>
      </c>
      <c r="D35" s="29">
        <f t="shared" si="1"/>
        <v>76.019999999999996</v>
      </c>
      <c r="E35" s="29">
        <f t="shared" si="1"/>
        <v>2.3999999999999999</v>
      </c>
      <c r="F35" s="29">
        <f t="shared" si="1"/>
        <v>8.1099999999999994</v>
      </c>
      <c r="G35" s="29">
        <f t="shared" si="1"/>
        <v>120.86</v>
      </c>
      <c r="H35" s="29">
        <f t="shared" si="1"/>
        <v>38.82</v>
      </c>
      <c r="I35" s="29">
        <f t="shared" si="1"/>
        <v>1.5900000000000001</v>
      </c>
      <c r="J35" s="29">
        <f t="shared" si="1"/>
        <v>0.97999999999999998</v>
      </c>
      <c r="K35" s="29">
        <f t="shared" si="1"/>
        <v>359.48000000000002</v>
      </c>
      <c r="L35" s="29">
        <f t="shared" si="1"/>
        <v>38.600000000000001</v>
      </c>
      <c r="M35" s="29">
        <f t="shared" si="1"/>
        <v>57.899999999999999</v>
      </c>
      <c r="N35" s="29">
        <f t="shared" si="1"/>
        <v>800.79999999999995</v>
      </c>
      <c r="O35" s="29">
        <f t="shared" si="1"/>
        <v>0</v>
      </c>
      <c r="P35" s="29">
        <f t="shared" si="1"/>
        <v>1.9099999999999999</v>
      </c>
      <c r="Q35" s="29">
        <f t="shared" si="1"/>
        <v>12.16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27.234166666666667</v>
      </c>
      <c r="C36" s="28">
        <f t="shared" si="2"/>
        <v>58.16375</v>
      </c>
      <c r="D36" s="28">
        <f t="shared" si="2"/>
        <v>51.679583333333333</v>
      </c>
      <c r="E36" s="28">
        <f t="shared" si="2"/>
        <v>1.8825000000000001</v>
      </c>
      <c r="F36" s="28">
        <f t="shared" si="2"/>
        <v>3.9912499999999995</v>
      </c>
      <c r="G36" s="28">
        <f t="shared" si="2"/>
        <v>79.65124999999999</v>
      </c>
      <c r="H36" s="28">
        <f t="shared" si="2"/>
        <v>24.974583333333339</v>
      </c>
      <c r="I36" s="28">
        <f t="shared" si="2"/>
        <v>1.5520833333333333</v>
      </c>
      <c r="J36" s="28">
        <f t="shared" si="2"/>
        <v>0.49208333333333343</v>
      </c>
      <c r="K36" s="28">
        <f t="shared" si="2"/>
        <v>296.04208333333338</v>
      </c>
      <c r="L36" s="28">
        <f t="shared" si="2"/>
        <v>28.407499999999995</v>
      </c>
      <c r="M36" s="28">
        <f t="shared" si="2"/>
        <v>32.422499999999999</v>
      </c>
      <c r="N36" s="28">
        <f t="shared" si="2"/>
        <v>265.46666666666664</v>
      </c>
      <c r="O36" s="28">
        <f t="shared" si="2"/>
        <v>0</v>
      </c>
      <c r="P36" s="28">
        <f t="shared" si="2"/>
        <v>0.90333333333333343</v>
      </c>
      <c r="Q36" s="28">
        <f t="shared" si="2"/>
        <v>11.193333333333333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17.101840205246837</v>
      </c>
      <c r="C37" s="28">
        <f t="shared" si="3" ref="C37:Q37">STDEV(C9:C32)</f>
        <v>8.6511420771555247</v>
      </c>
      <c r="D37" s="28">
        <f t="shared" si="3"/>
        <v>14.54645556085941</v>
      </c>
      <c r="E37" s="28">
        <f t="shared" si="3"/>
        <v>0.34618730793302216</v>
      </c>
      <c r="F37" s="28">
        <f t="shared" si="3"/>
        <v>1.4399677306166951</v>
      </c>
      <c r="G37" s="28">
        <f t="shared" si="3"/>
        <v>26.445372622675887</v>
      </c>
      <c r="H37" s="28">
        <f t="shared" si="3"/>
        <v>5.1503591931864685</v>
      </c>
      <c r="I37" s="28">
        <f t="shared" si="3"/>
        <v>0.026699481621195967</v>
      </c>
      <c r="J37" s="28">
        <f t="shared" si="3"/>
        <v>0.25500177606656271</v>
      </c>
      <c r="K37" s="28">
        <f t="shared" si="3"/>
        <v>65.537421369922725</v>
      </c>
      <c r="L37" s="28">
        <f t="shared" si="3"/>
        <v>6.5713748478765579</v>
      </c>
      <c r="M37" s="28">
        <f t="shared" si="3"/>
        <v>15.362557319382223</v>
      </c>
      <c r="N37" s="28">
        <f t="shared" si="3"/>
        <v>306.33134329359439</v>
      </c>
      <c r="O37" s="28">
        <f t="shared" si="3"/>
        <v>0</v>
      </c>
      <c r="P37" s="28">
        <f t="shared" si="3"/>
        <v>0.42617272132997513</v>
      </c>
      <c r="Q37" s="28">
        <f t="shared" si="3"/>
        <v>0.55896384472534977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99be30-a6ce-4ebc-a0de-654066a070e7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422</v>
      </c>
      <c r="B9" s="54">
        <v>39.29</v>
      </c>
      <c r="C9" s="54">
        <v>61.14</v>
      </c>
      <c r="D9" s="54">
        <v>63.37</v>
      </c>
      <c r="E9" s="54">
        <v>2.21</v>
      </c>
      <c r="F9" s="54">
        <v>3.44</v>
      </c>
      <c r="G9" s="54">
        <v>120.86</v>
      </c>
      <c r="H9" s="54">
        <v>38.82</v>
      </c>
      <c r="I9" s="54">
        <v>1.57</v>
      </c>
      <c r="J9" s="54">
        <v>0.74</v>
      </c>
      <c r="K9" s="54">
        <v>203.20</v>
      </c>
      <c r="L9" s="54">
        <v>24.90</v>
      </c>
      <c r="M9" s="54">
        <v>41.18</v>
      </c>
      <c r="N9" s="54">
        <v>36</v>
      </c>
      <c r="O9" s="54">
        <v>0</v>
      </c>
      <c r="P9" s="54">
        <v>1.47</v>
      </c>
      <c r="Q9" s="54">
        <v>12.03</v>
      </c>
      <c r="R9" s="43"/>
      <c r="S9" s="43"/>
      <c r="T9" s="43"/>
      <c r="U9" s="43"/>
    </row>
    <row r="10" spans="1:21" s="11" customFormat="1" ht="15">
      <c r="A10" s="53" t="s">
        <v>423</v>
      </c>
      <c r="B10" s="54">
        <v>26.20</v>
      </c>
      <c r="C10" s="54">
        <v>58.33</v>
      </c>
      <c r="D10" s="54">
        <v>51.40</v>
      </c>
      <c r="E10" s="54">
        <v>2.0699999999999998</v>
      </c>
      <c r="F10" s="54">
        <v>3.40</v>
      </c>
      <c r="G10" s="54">
        <v>107.54</v>
      </c>
      <c r="H10" s="54">
        <v>32.67</v>
      </c>
      <c r="I10" s="54">
        <v>1.58</v>
      </c>
      <c r="J10" s="54">
        <v>0.56999999999999995</v>
      </c>
      <c r="K10" s="54">
        <v>327.02</v>
      </c>
      <c r="L10" s="54">
        <v>24.11</v>
      </c>
      <c r="M10" s="54">
        <v>47.61</v>
      </c>
      <c r="N10" s="54">
        <v>36.700000000000003</v>
      </c>
      <c r="O10" s="54">
        <v>0</v>
      </c>
      <c r="P10" s="54">
        <v>1.1399999999999999</v>
      </c>
      <c r="Q10" s="54">
        <v>11.77</v>
      </c>
      <c r="R10" s="43"/>
      <c r="S10" s="43"/>
      <c r="T10" s="43"/>
      <c r="U10" s="43"/>
    </row>
    <row r="11" spans="1:21" s="11" customFormat="1" ht="15">
      <c r="A11" s="53" t="s">
        <v>424</v>
      </c>
      <c r="B11" s="54">
        <v>17.71</v>
      </c>
      <c r="C11" s="54">
        <v>55.87</v>
      </c>
      <c r="D11" s="54">
        <v>43.31</v>
      </c>
      <c r="E11" s="54">
        <v>1.87</v>
      </c>
      <c r="F11" s="54">
        <v>3.43</v>
      </c>
      <c r="G11" s="54">
        <v>90</v>
      </c>
      <c r="H11" s="54">
        <v>32.47</v>
      </c>
      <c r="I11" s="54">
        <v>1.52</v>
      </c>
      <c r="J11" s="54">
        <v>0.82</v>
      </c>
      <c r="K11" s="54">
        <v>328.83</v>
      </c>
      <c r="L11" s="54">
        <v>23.07</v>
      </c>
      <c r="M11" s="54">
        <v>51.37</v>
      </c>
      <c r="N11" s="54">
        <v>36.90</v>
      </c>
      <c r="O11" s="54">
        <v>0</v>
      </c>
      <c r="P11" s="54">
        <v>1.04</v>
      </c>
      <c r="Q11" s="54">
        <v>11.63</v>
      </c>
      <c r="R11" s="43"/>
      <c r="S11" s="43"/>
      <c r="T11" s="43"/>
      <c r="U11" s="43"/>
    </row>
    <row r="12" spans="1:21" s="11" customFormat="1" ht="15">
      <c r="A12" s="53" t="s">
        <v>425</v>
      </c>
      <c r="B12" s="54">
        <v>14.40</v>
      </c>
      <c r="C12" s="54">
        <v>52.83</v>
      </c>
      <c r="D12" s="54">
        <v>39.07</v>
      </c>
      <c r="E12" s="54">
        <v>1.83</v>
      </c>
      <c r="F12" s="54">
        <v>3.31</v>
      </c>
      <c r="G12" s="54">
        <v>75.12</v>
      </c>
      <c r="H12" s="54">
        <v>31.30</v>
      </c>
      <c r="I12" s="54">
        <v>1.54</v>
      </c>
      <c r="J12" s="54">
        <v>0.75</v>
      </c>
      <c r="K12" s="54">
        <v>358.25</v>
      </c>
      <c r="L12" s="54">
        <v>21.87</v>
      </c>
      <c r="M12" s="54">
        <v>53.90</v>
      </c>
      <c r="N12" s="54">
        <v>37</v>
      </c>
      <c r="O12" s="54">
        <v>0</v>
      </c>
      <c r="P12" s="54">
        <v>0.94</v>
      </c>
      <c r="Q12" s="54">
        <v>11.52</v>
      </c>
      <c r="R12" s="43"/>
      <c r="S12" s="43"/>
      <c r="T12" s="43"/>
      <c r="U12" s="43"/>
    </row>
    <row r="13" spans="1:21" s="11" customFormat="1" ht="15">
      <c r="A13" s="53" t="s">
        <v>426</v>
      </c>
      <c r="B13" s="54">
        <v>14.38</v>
      </c>
      <c r="C13" s="54">
        <v>54.38</v>
      </c>
      <c r="D13" s="54">
        <v>39.86</v>
      </c>
      <c r="E13" s="54">
        <v>1.88</v>
      </c>
      <c r="F13" s="54">
        <v>3.24</v>
      </c>
      <c r="G13" s="54">
        <v>87.61</v>
      </c>
      <c r="H13" s="54">
        <v>34.67</v>
      </c>
      <c r="I13" s="54">
        <v>1.54</v>
      </c>
      <c r="J13" s="54">
        <v>0.62</v>
      </c>
      <c r="K13" s="54">
        <v>358.17</v>
      </c>
      <c r="L13" s="54">
        <v>21.90</v>
      </c>
      <c r="M13" s="54">
        <v>50.05</v>
      </c>
      <c r="N13" s="54">
        <v>37</v>
      </c>
      <c r="O13" s="54">
        <v>0</v>
      </c>
      <c r="P13" s="54">
        <v>0.89</v>
      </c>
      <c r="Q13" s="54">
        <v>11.38</v>
      </c>
      <c r="R13" s="43"/>
      <c r="S13" s="43"/>
      <c r="T13" s="43"/>
      <c r="U13" s="43"/>
    </row>
    <row r="14" spans="1:21" s="11" customFormat="1" ht="15">
      <c r="A14" s="53" t="s">
        <v>427</v>
      </c>
      <c r="B14" s="54">
        <v>19.53</v>
      </c>
      <c r="C14" s="54">
        <v>56.5</v>
      </c>
      <c r="D14" s="54">
        <v>45.02</v>
      </c>
      <c r="E14" s="54">
        <v>2.15</v>
      </c>
      <c r="F14" s="54">
        <v>3.25</v>
      </c>
      <c r="G14" s="54">
        <v>112.28</v>
      </c>
      <c r="H14" s="54">
        <v>43.11</v>
      </c>
      <c r="I14" s="54">
        <v>1.56</v>
      </c>
      <c r="J14" s="54">
        <v>0.45</v>
      </c>
      <c r="K14" s="54">
        <v>226.67</v>
      </c>
      <c r="L14" s="54">
        <v>21.90</v>
      </c>
      <c r="M14" s="54">
        <v>53.34</v>
      </c>
      <c r="N14" s="54">
        <v>37.90</v>
      </c>
      <c r="O14" s="54">
        <v>0</v>
      </c>
      <c r="P14" s="54">
        <v>0.92</v>
      </c>
      <c r="Q14" s="54">
        <v>11.36</v>
      </c>
      <c r="R14" s="43"/>
      <c r="S14" s="43"/>
      <c r="T14" s="43"/>
      <c r="U14" s="43"/>
    </row>
    <row r="15" spans="1:21" s="11" customFormat="1" ht="15">
      <c r="A15" s="53" t="s">
        <v>428</v>
      </c>
      <c r="B15" s="54">
        <v>20.32</v>
      </c>
      <c r="C15" s="54">
        <v>55.26</v>
      </c>
      <c r="D15" s="54">
        <v>44.68</v>
      </c>
      <c r="E15" s="54">
        <v>1.91</v>
      </c>
      <c r="F15" s="54">
        <v>3.42</v>
      </c>
      <c r="G15" s="54">
        <v>145.75</v>
      </c>
      <c r="H15" s="54">
        <v>47.58</v>
      </c>
      <c r="I15" s="54">
        <v>1.52</v>
      </c>
      <c r="J15" s="54">
        <v>0.20</v>
      </c>
      <c r="K15" s="54">
        <v>274.35000000000002</v>
      </c>
      <c r="L15" s="54">
        <v>21.19</v>
      </c>
      <c r="M15" s="54">
        <v>66.44</v>
      </c>
      <c r="N15" s="54">
        <v>105</v>
      </c>
      <c r="O15" s="54">
        <v>0</v>
      </c>
      <c r="P15" s="54">
        <v>0.91</v>
      </c>
      <c r="Q15" s="54">
        <v>11.5</v>
      </c>
      <c r="R15" s="43"/>
      <c r="S15" s="43"/>
      <c r="T15" s="43"/>
      <c r="U15" s="43"/>
    </row>
    <row r="16" spans="1:21" s="11" customFormat="1" ht="15">
      <c r="A16" s="53" t="s">
        <v>429</v>
      </c>
      <c r="B16" s="54">
        <v>25.28</v>
      </c>
      <c r="C16" s="54">
        <v>53</v>
      </c>
      <c r="D16" s="54">
        <v>47.61</v>
      </c>
      <c r="E16" s="54">
        <v>1.90</v>
      </c>
      <c r="F16" s="54">
        <v>3.17</v>
      </c>
      <c r="G16" s="54">
        <v>145.75</v>
      </c>
      <c r="H16" s="54">
        <v>47.58</v>
      </c>
      <c r="I16" s="54">
        <v>1.52</v>
      </c>
      <c r="J16" s="54">
        <v>0.48</v>
      </c>
      <c r="K16" s="54">
        <v>355.40</v>
      </c>
      <c r="L16" s="54">
        <v>27.10</v>
      </c>
      <c r="M16" s="54">
        <v>61.81</v>
      </c>
      <c r="N16" s="54">
        <v>269.89999999999998</v>
      </c>
      <c r="O16" s="54">
        <v>0</v>
      </c>
      <c r="P16" s="54">
        <v>0.95</v>
      </c>
      <c r="Q16" s="54">
        <v>11.65</v>
      </c>
      <c r="R16" s="43"/>
      <c r="S16" s="43"/>
      <c r="T16" s="43"/>
      <c r="U16" s="43"/>
    </row>
    <row r="17" spans="1:21" s="11" customFormat="1" ht="15">
      <c r="A17" s="53" t="s">
        <v>430</v>
      </c>
      <c r="B17" s="54">
        <v>26.32</v>
      </c>
      <c r="C17" s="54">
        <v>59.06</v>
      </c>
      <c r="D17" s="54">
        <v>51.02</v>
      </c>
      <c r="E17" s="54">
        <v>2.04</v>
      </c>
      <c r="F17" s="54">
        <v>3.23</v>
      </c>
      <c r="G17" s="54">
        <v>133.34</v>
      </c>
      <c r="H17" s="54">
        <v>47.07</v>
      </c>
      <c r="I17" s="54">
        <v>1.54</v>
      </c>
      <c r="J17" s="54">
        <v>0.62</v>
      </c>
      <c r="K17" s="54">
        <v>352.82</v>
      </c>
      <c r="L17" s="54">
        <v>29.59</v>
      </c>
      <c r="M17" s="54">
        <v>33.79</v>
      </c>
      <c r="N17" s="54">
        <v>415.60</v>
      </c>
      <c r="O17" s="54">
        <v>0</v>
      </c>
      <c r="P17" s="54">
        <v>0.99</v>
      </c>
      <c r="Q17" s="54">
        <v>11.66</v>
      </c>
      <c r="R17" s="43"/>
      <c r="S17" s="43"/>
      <c r="T17" s="43"/>
      <c r="U17" s="43"/>
    </row>
    <row r="18" spans="1:21" s="11" customFormat="1" ht="15">
      <c r="A18" s="53" t="s">
        <v>431</v>
      </c>
      <c r="B18" s="54">
        <v>23.64</v>
      </c>
      <c r="C18" s="54">
        <v>67.040000000000006</v>
      </c>
      <c r="D18" s="54">
        <v>50.70</v>
      </c>
      <c r="E18" s="54">
        <v>1.91</v>
      </c>
      <c r="F18" s="54">
        <v>3.45</v>
      </c>
      <c r="G18" s="54">
        <v>133.34</v>
      </c>
      <c r="H18" s="54">
        <v>46.23</v>
      </c>
      <c r="I18" s="54">
        <v>1.51</v>
      </c>
      <c r="J18" s="54">
        <v>0.55000000000000004</v>
      </c>
      <c r="K18" s="54">
        <v>344.52</v>
      </c>
      <c r="L18" s="54">
        <v>32.5</v>
      </c>
      <c r="M18" s="54">
        <v>29.56</v>
      </c>
      <c r="N18" s="54">
        <v>415.40</v>
      </c>
      <c r="O18" s="54">
        <v>0</v>
      </c>
      <c r="P18" s="54">
        <v>0.99</v>
      </c>
      <c r="Q18" s="54">
        <v>11.53</v>
      </c>
      <c r="R18" s="43"/>
      <c r="S18" s="43"/>
      <c r="T18" s="43"/>
      <c r="U18" s="43"/>
    </row>
    <row r="19" spans="1:21" s="11" customFormat="1" ht="15">
      <c r="A19" s="53" t="s">
        <v>432</v>
      </c>
      <c r="B19" s="54">
        <v>17.670000000000002</v>
      </c>
      <c r="C19" s="54">
        <v>73.88</v>
      </c>
      <c r="D19" s="54">
        <v>50.13</v>
      </c>
      <c r="E19" s="54">
        <v>1.78</v>
      </c>
      <c r="F19" s="54">
        <v>3.77</v>
      </c>
      <c r="G19" s="54">
        <v>118.11</v>
      </c>
      <c r="H19" s="54">
        <v>44.01</v>
      </c>
      <c r="I19" s="54">
        <v>1.52</v>
      </c>
      <c r="J19" s="54">
        <v>0.57999999999999996</v>
      </c>
      <c r="K19" s="54">
        <v>339.18</v>
      </c>
      <c r="L19" s="54">
        <v>34.53</v>
      </c>
      <c r="M19" s="54">
        <v>26.27</v>
      </c>
      <c r="N19" s="54">
        <v>584.20000000000005</v>
      </c>
      <c r="O19" s="54">
        <v>0</v>
      </c>
      <c r="P19" s="54">
        <v>1.04</v>
      </c>
      <c r="Q19" s="54">
        <v>11.39</v>
      </c>
      <c r="R19" s="43"/>
      <c r="S19" s="43"/>
      <c r="T19" s="43"/>
      <c r="U19" s="43"/>
    </row>
    <row r="20" spans="1:21" s="11" customFormat="1" ht="15">
      <c r="A20" s="53" t="s">
        <v>433</v>
      </c>
      <c r="B20" s="54">
        <v>11.32</v>
      </c>
      <c r="C20" s="54">
        <v>73.02</v>
      </c>
      <c r="D20" s="54">
        <v>46.87</v>
      </c>
      <c r="E20" s="54">
        <v>1.81</v>
      </c>
      <c r="F20" s="54">
        <v>3.92</v>
      </c>
      <c r="G20" s="54">
        <v>112.59</v>
      </c>
      <c r="H20" s="54">
        <v>41.27</v>
      </c>
      <c r="I20" s="54">
        <v>1.55</v>
      </c>
      <c r="J20" s="54">
        <v>0.66</v>
      </c>
      <c r="K20" s="54">
        <v>349.20</v>
      </c>
      <c r="L20" s="54">
        <v>35.76</v>
      </c>
      <c r="M20" s="54">
        <v>26.67</v>
      </c>
      <c r="N20" s="54">
        <v>636.60</v>
      </c>
      <c r="O20" s="54">
        <v>0</v>
      </c>
      <c r="P20" s="54">
        <v>1.06</v>
      </c>
      <c r="Q20" s="54">
        <v>11.29</v>
      </c>
      <c r="R20" s="43"/>
      <c r="S20" s="43"/>
      <c r="T20" s="43"/>
      <c r="U20" s="43"/>
    </row>
    <row r="21" spans="1:21" s="11" customFormat="1" ht="15">
      <c r="A21" s="53" t="s">
        <v>434</v>
      </c>
      <c r="B21" s="54">
        <v>6.79</v>
      </c>
      <c r="C21" s="54">
        <v>71.540000000000006</v>
      </c>
      <c r="D21" s="54">
        <v>42.74</v>
      </c>
      <c r="E21" s="54">
        <v>2.57</v>
      </c>
      <c r="F21" s="54">
        <v>5.21</v>
      </c>
      <c r="G21" s="54">
        <v>108.10</v>
      </c>
      <c r="H21" s="54">
        <v>41.27</v>
      </c>
      <c r="I21" s="54">
        <v>1.56</v>
      </c>
      <c r="J21" s="54">
        <v>0.53</v>
      </c>
      <c r="K21" s="54">
        <v>358.71</v>
      </c>
      <c r="L21" s="54">
        <v>34.520000000000003</v>
      </c>
      <c r="M21" s="54">
        <v>28.61</v>
      </c>
      <c r="N21" s="54">
        <v>543.40</v>
      </c>
      <c r="O21" s="54">
        <v>0</v>
      </c>
      <c r="P21" s="54">
        <v>1.06</v>
      </c>
      <c r="Q21" s="54">
        <v>11.26</v>
      </c>
      <c r="R21" s="43"/>
      <c r="S21" s="43"/>
      <c r="T21" s="43"/>
      <c r="U21" s="43"/>
    </row>
    <row r="22" spans="1:21" s="11" customFormat="1" ht="15">
      <c r="A22" s="53" t="s">
        <v>435</v>
      </c>
      <c r="B22" s="54">
        <v>2.92</v>
      </c>
      <c r="C22" s="54">
        <v>67.09</v>
      </c>
      <c r="D22" s="54">
        <v>37.119999999999997</v>
      </c>
      <c r="E22" s="54">
        <v>2.97</v>
      </c>
      <c r="F22" s="54">
        <v>6.45</v>
      </c>
      <c r="G22" s="54">
        <v>108.10</v>
      </c>
      <c r="H22" s="54">
        <v>37.17</v>
      </c>
      <c r="I22" s="54">
        <v>1.49</v>
      </c>
      <c r="J22" s="54">
        <v>0.83</v>
      </c>
      <c r="K22" s="54">
        <v>339.38</v>
      </c>
      <c r="L22" s="54">
        <v>33.93</v>
      </c>
      <c r="M22" s="54">
        <v>30.59</v>
      </c>
      <c r="N22" s="54">
        <v>377.90</v>
      </c>
      <c r="O22" s="54">
        <v>0</v>
      </c>
      <c r="P22" s="54">
        <v>0.98</v>
      </c>
      <c r="Q22" s="54">
        <v>11.18</v>
      </c>
      <c r="R22" s="43"/>
      <c r="S22" s="43"/>
      <c r="T22" s="43"/>
      <c r="U22" s="43"/>
    </row>
    <row r="23" spans="1:21" s="11" customFormat="1" ht="15">
      <c r="A23" s="53" t="s">
        <v>436</v>
      </c>
      <c r="B23" s="54">
        <v>2.06</v>
      </c>
      <c r="C23" s="54">
        <v>63.34</v>
      </c>
      <c r="D23" s="54">
        <v>34.659999999999997</v>
      </c>
      <c r="E23" s="54">
        <v>2.64</v>
      </c>
      <c r="F23" s="54">
        <v>7.67</v>
      </c>
      <c r="G23" s="54">
        <v>92.05</v>
      </c>
      <c r="H23" s="54">
        <v>35.68</v>
      </c>
      <c r="I23" s="54">
        <v>1.57</v>
      </c>
      <c r="J23" s="54">
        <v>1.1599999999999999</v>
      </c>
      <c r="K23" s="54">
        <v>165.20</v>
      </c>
      <c r="L23" s="54">
        <v>32.21</v>
      </c>
      <c r="M23" s="54">
        <v>30.28</v>
      </c>
      <c r="N23" s="54">
        <v>486.10</v>
      </c>
      <c r="O23" s="54">
        <v>0</v>
      </c>
      <c r="P23" s="54">
        <v>0.94</v>
      </c>
      <c r="Q23" s="54">
        <v>11.01</v>
      </c>
      <c r="R23" s="43"/>
      <c r="S23" s="43"/>
      <c r="T23" s="43"/>
      <c r="U23" s="43"/>
    </row>
    <row r="24" spans="1:21" s="11" customFormat="1" ht="15">
      <c r="A24" s="53" t="s">
        <v>437</v>
      </c>
      <c r="B24" s="54">
        <v>1.99</v>
      </c>
      <c r="C24" s="54">
        <v>58.46</v>
      </c>
      <c r="D24" s="54">
        <v>31.91</v>
      </c>
      <c r="E24" s="54">
        <v>2.76</v>
      </c>
      <c r="F24" s="54">
        <v>7.93</v>
      </c>
      <c r="G24" s="54">
        <v>88.93</v>
      </c>
      <c r="H24" s="54">
        <v>35.68</v>
      </c>
      <c r="I24" s="54">
        <v>1.53</v>
      </c>
      <c r="J24" s="54">
        <v>0.93</v>
      </c>
      <c r="K24" s="54">
        <v>170.13</v>
      </c>
      <c r="L24" s="54">
        <v>31.29</v>
      </c>
      <c r="M24" s="54">
        <v>31.11</v>
      </c>
      <c r="N24" s="54">
        <v>261.20</v>
      </c>
      <c r="O24" s="54">
        <v>0</v>
      </c>
      <c r="P24" s="54">
        <v>0.87</v>
      </c>
      <c r="Q24" s="54">
        <v>10.86</v>
      </c>
      <c r="R24" s="43"/>
      <c r="S24" s="43"/>
      <c r="T24" s="43"/>
      <c r="U24" s="43"/>
    </row>
    <row r="25" spans="1:21" s="11" customFormat="1" ht="15">
      <c r="A25" s="53" t="s">
        <v>438</v>
      </c>
      <c r="B25" s="54">
        <v>2.40</v>
      </c>
      <c r="C25" s="54">
        <v>54</v>
      </c>
      <c r="D25" s="54">
        <v>29.87</v>
      </c>
      <c r="E25" s="54">
        <v>1.29</v>
      </c>
      <c r="F25" s="54">
        <v>5.39</v>
      </c>
      <c r="G25" s="54">
        <v>88.93</v>
      </c>
      <c r="H25" s="54">
        <v>33.42</v>
      </c>
      <c r="I25" s="54">
        <v>1.57</v>
      </c>
      <c r="J25" s="54">
        <v>1</v>
      </c>
      <c r="K25" s="54">
        <v>174.05</v>
      </c>
      <c r="L25" s="54">
        <v>31.06</v>
      </c>
      <c r="M25" s="54">
        <v>32.93</v>
      </c>
      <c r="N25" s="54">
        <v>188.5</v>
      </c>
      <c r="O25" s="54">
        <v>0</v>
      </c>
      <c r="P25" s="54">
        <v>0.80</v>
      </c>
      <c r="Q25" s="54">
        <v>11.02</v>
      </c>
      <c r="R25" s="43"/>
      <c r="S25" s="43"/>
      <c r="T25" s="43"/>
      <c r="U25" s="43"/>
    </row>
    <row r="26" spans="1:21" s="11" customFormat="1" ht="15">
      <c r="A26" s="53" t="s">
        <v>439</v>
      </c>
      <c r="B26" s="54">
        <v>2.5099999999999998</v>
      </c>
      <c r="C26" s="54">
        <v>57.64</v>
      </c>
      <c r="D26" s="54">
        <v>31.99</v>
      </c>
      <c r="E26" s="54">
        <v>1.46</v>
      </c>
      <c r="F26" s="54">
        <v>5.24</v>
      </c>
      <c r="G26" s="54">
        <v>76.540000000000006</v>
      </c>
      <c r="H26" s="54">
        <v>26.92</v>
      </c>
      <c r="I26" s="54">
        <v>1.51</v>
      </c>
      <c r="J26" s="54">
        <v>1.34</v>
      </c>
      <c r="K26" s="54">
        <v>161.41999999999999</v>
      </c>
      <c r="L26" s="54">
        <v>30.02</v>
      </c>
      <c r="M26" s="54">
        <v>37.159999999999997</v>
      </c>
      <c r="N26" s="54">
        <v>81.599999999999994</v>
      </c>
      <c r="O26" s="54">
        <v>0</v>
      </c>
      <c r="P26" s="54">
        <v>0.73</v>
      </c>
      <c r="Q26" s="54">
        <v>11.05</v>
      </c>
      <c r="R26" s="43"/>
      <c r="S26" s="43"/>
      <c r="T26" s="43"/>
      <c r="U26" s="43"/>
    </row>
    <row r="27" spans="1:21" s="11" customFormat="1" ht="15">
      <c r="A27" s="53" t="s">
        <v>440</v>
      </c>
      <c r="B27" s="54">
        <v>2.92</v>
      </c>
      <c r="C27" s="54">
        <v>57.84</v>
      </c>
      <c r="D27" s="54">
        <v>32.130000000000003</v>
      </c>
      <c r="E27" s="54">
        <v>1.36</v>
      </c>
      <c r="F27" s="54">
        <v>5.23</v>
      </c>
      <c r="G27" s="54">
        <v>73.819999999999993</v>
      </c>
      <c r="H27" s="54">
        <v>26.92</v>
      </c>
      <c r="I27" s="54">
        <v>1.55</v>
      </c>
      <c r="J27" s="54">
        <v>1.1399999999999999</v>
      </c>
      <c r="K27" s="54">
        <v>166.42</v>
      </c>
      <c r="L27" s="54">
        <v>29.04</v>
      </c>
      <c r="M27" s="54">
        <v>36.11</v>
      </c>
      <c r="N27" s="54">
        <v>50.60</v>
      </c>
      <c r="O27" s="54">
        <v>0</v>
      </c>
      <c r="P27" s="54">
        <v>0.69</v>
      </c>
      <c r="Q27" s="54">
        <v>10.99</v>
      </c>
      <c r="R27" s="43"/>
      <c r="S27" s="43"/>
      <c r="T27" s="43"/>
      <c r="U27" s="43"/>
    </row>
    <row r="28" spans="1:21" s="11" customFormat="1" ht="15">
      <c r="A28" s="53" t="s">
        <v>441</v>
      </c>
      <c r="B28" s="54">
        <v>3.73</v>
      </c>
      <c r="C28" s="54">
        <v>56.38</v>
      </c>
      <c r="D28" s="54">
        <v>32.17</v>
      </c>
      <c r="E28" s="54">
        <v>1.56</v>
      </c>
      <c r="F28" s="54">
        <v>4.2699999999999996</v>
      </c>
      <c r="G28" s="54">
        <v>72.55</v>
      </c>
      <c r="H28" s="54">
        <v>25.71</v>
      </c>
      <c r="I28" s="54">
        <v>1.55</v>
      </c>
      <c r="J28" s="54">
        <v>0.69</v>
      </c>
      <c r="K28" s="54">
        <v>320.55</v>
      </c>
      <c r="L28" s="54">
        <v>27.89</v>
      </c>
      <c r="M28" s="54">
        <v>34.74</v>
      </c>
      <c r="N28" s="54">
        <v>50.90</v>
      </c>
      <c r="O28" s="54">
        <v>0</v>
      </c>
      <c r="P28" s="54">
        <v>0.63</v>
      </c>
      <c r="Q28" s="54">
        <v>10.92</v>
      </c>
      <c r="R28" s="43"/>
      <c r="S28" s="43"/>
      <c r="T28" s="43"/>
      <c r="U28" s="43"/>
    </row>
    <row r="29" spans="1:21" s="11" customFormat="1" ht="15">
      <c r="A29" s="53" t="s">
        <v>442</v>
      </c>
      <c r="B29" s="54">
        <v>4.5599999999999996</v>
      </c>
      <c r="C29" s="54">
        <v>54.88</v>
      </c>
      <c r="D29" s="54">
        <v>32.020000000000003</v>
      </c>
      <c r="E29" s="54">
        <v>1.72</v>
      </c>
      <c r="F29" s="54">
        <v>6.42</v>
      </c>
      <c r="G29" s="54">
        <v>64.069999999999993</v>
      </c>
      <c r="H29" s="54">
        <v>116.51</v>
      </c>
      <c r="I29" s="54">
        <v>1.56</v>
      </c>
      <c r="J29" s="54">
        <v>3.26</v>
      </c>
      <c r="K29" s="54">
        <v>353.01</v>
      </c>
      <c r="L29" s="54">
        <v>25.26</v>
      </c>
      <c r="M29" s="54">
        <v>63.41</v>
      </c>
      <c r="N29" s="54">
        <v>54.20</v>
      </c>
      <c r="O29" s="54">
        <v>0</v>
      </c>
      <c r="P29" s="54">
        <v>0.63</v>
      </c>
      <c r="Q29" s="54">
        <v>10.98</v>
      </c>
      <c r="R29" s="43"/>
      <c r="S29" s="43"/>
      <c r="T29" s="43"/>
      <c r="U29" s="43"/>
    </row>
    <row r="30" spans="1:21" s="11" customFormat="1" ht="15">
      <c r="A30" s="53" t="s">
        <v>443</v>
      </c>
      <c r="B30" s="54">
        <v>3.98</v>
      </c>
      <c r="C30" s="54">
        <v>56.20</v>
      </c>
      <c r="D30" s="54">
        <v>32.15</v>
      </c>
      <c r="E30" s="54">
        <v>1.93</v>
      </c>
      <c r="F30" s="54">
        <v>5.75</v>
      </c>
      <c r="G30" s="54">
        <v>77.5</v>
      </c>
      <c r="H30" s="54">
        <v>116.51</v>
      </c>
      <c r="I30" s="54">
        <v>1.56</v>
      </c>
      <c r="J30" s="54">
        <v>2.0299999999999998</v>
      </c>
      <c r="K30" s="54">
        <v>357.59</v>
      </c>
      <c r="L30" s="54">
        <v>22.34</v>
      </c>
      <c r="M30" s="54">
        <v>62.93</v>
      </c>
      <c r="N30" s="54">
        <v>49.30</v>
      </c>
      <c r="O30" s="54">
        <v>0</v>
      </c>
      <c r="P30" s="54">
        <v>0.60</v>
      </c>
      <c r="Q30" s="54">
        <v>11.03</v>
      </c>
      <c r="R30" s="43"/>
      <c r="S30" s="43"/>
      <c r="T30" s="43"/>
      <c r="U30" s="43"/>
    </row>
    <row r="31" spans="1:21" s="11" customFormat="1" ht="15">
      <c r="A31" s="53" t="s">
        <v>444</v>
      </c>
      <c r="B31" s="54">
        <v>4.21</v>
      </c>
      <c r="C31" s="54">
        <v>57.34</v>
      </c>
      <c r="D31" s="54">
        <v>33.24</v>
      </c>
      <c r="E31" s="54">
        <v>1.83</v>
      </c>
      <c r="F31" s="54">
        <v>4.34</v>
      </c>
      <c r="G31" s="54">
        <v>77.5</v>
      </c>
      <c r="H31" s="54">
        <v>26.14</v>
      </c>
      <c r="I31" s="54">
        <v>1.58</v>
      </c>
      <c r="J31" s="54">
        <v>1.1200000000000001</v>
      </c>
      <c r="K31" s="54">
        <v>98.73</v>
      </c>
      <c r="L31" s="54">
        <v>21.28</v>
      </c>
      <c r="M31" s="54">
        <v>64.25</v>
      </c>
      <c r="N31" s="54">
        <v>48.60</v>
      </c>
      <c r="O31" s="54">
        <v>0</v>
      </c>
      <c r="P31" s="54">
        <v>0.61</v>
      </c>
      <c r="Q31" s="54">
        <v>10.96</v>
      </c>
      <c r="R31" s="43"/>
      <c r="S31" s="43"/>
      <c r="T31" s="43"/>
      <c r="U31" s="43"/>
    </row>
    <row r="32" spans="1:21" s="11" customFormat="1" ht="15">
      <c r="A32" s="53" t="s">
        <v>445</v>
      </c>
      <c r="B32" s="54">
        <v>4.0199999999999996</v>
      </c>
      <c r="C32" s="54">
        <v>55.82</v>
      </c>
      <c r="D32" s="54">
        <v>32.31</v>
      </c>
      <c r="E32" s="54">
        <v>1.82</v>
      </c>
      <c r="F32" s="54">
        <v>4.2699999999999996</v>
      </c>
      <c r="G32" s="54">
        <v>56.21</v>
      </c>
      <c r="H32" s="54">
        <v>19.920000000000002</v>
      </c>
      <c r="I32" s="54">
        <v>1.56</v>
      </c>
      <c r="J32" s="54">
        <v>1.39</v>
      </c>
      <c r="K32" s="54">
        <v>109.49</v>
      </c>
      <c r="L32" s="54">
        <v>21.40</v>
      </c>
      <c r="M32" s="54">
        <v>62.90</v>
      </c>
      <c r="N32" s="54">
        <v>48.30</v>
      </c>
      <c r="O32" s="54">
        <v>0</v>
      </c>
      <c r="P32" s="54">
        <v>0.56999999999999995</v>
      </c>
      <c r="Q32" s="54">
        <v>10.85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1.99</v>
      </c>
      <c r="C34" s="28">
        <f t="shared" si="0"/>
        <v>52.829999999999998</v>
      </c>
      <c r="D34" s="28">
        <f t="shared" si="0"/>
        <v>29.870000000000001</v>
      </c>
      <c r="E34" s="28">
        <f t="shared" si="0"/>
        <v>1.29</v>
      </c>
      <c r="F34" s="28">
        <f t="shared" si="0"/>
        <v>3.1699999999999999</v>
      </c>
      <c r="G34" s="28">
        <f t="shared" si="0"/>
        <v>56.210000000000001</v>
      </c>
      <c r="H34" s="28">
        <f t="shared" si="0"/>
        <v>19.920000000000002</v>
      </c>
      <c r="I34" s="28">
        <f t="shared" si="0"/>
        <v>1.49</v>
      </c>
      <c r="J34" s="28">
        <f t="shared" si="0"/>
        <v>0.20000000000000001</v>
      </c>
      <c r="K34" s="28">
        <f t="shared" si="0"/>
        <v>98.730000000000004</v>
      </c>
      <c r="L34" s="28">
        <f t="shared" si="0"/>
        <v>21.190000000000001</v>
      </c>
      <c r="M34" s="28">
        <f t="shared" si="0"/>
        <v>26.27</v>
      </c>
      <c r="N34" s="28">
        <f t="shared" si="0"/>
        <v>36</v>
      </c>
      <c r="O34" s="28">
        <f t="shared" si="0"/>
        <v>0</v>
      </c>
      <c r="P34" s="28">
        <f t="shared" si="0"/>
        <v>0.56999999999999995</v>
      </c>
      <c r="Q34" s="28">
        <f t="shared" si="0"/>
        <v>10.85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39.289999999999999</v>
      </c>
      <c r="C35" s="29">
        <f t="shared" si="1"/>
        <v>73.879999999999995</v>
      </c>
      <c r="D35" s="29">
        <f t="shared" si="1"/>
        <v>63.369999999999997</v>
      </c>
      <c r="E35" s="29">
        <f t="shared" si="1"/>
        <v>2.9700000000000002</v>
      </c>
      <c r="F35" s="29">
        <f t="shared" si="1"/>
        <v>7.9299999999999997</v>
      </c>
      <c r="G35" s="29">
        <f t="shared" si="1"/>
        <v>145.75</v>
      </c>
      <c r="H35" s="29">
        <f t="shared" si="1"/>
        <v>116.51000000000001</v>
      </c>
      <c r="I35" s="29">
        <f t="shared" si="1"/>
        <v>1.5800000000000001</v>
      </c>
      <c r="J35" s="29">
        <f t="shared" si="1"/>
        <v>3.2599999999999998</v>
      </c>
      <c r="K35" s="29">
        <f t="shared" si="1"/>
        <v>358.70999999999998</v>
      </c>
      <c r="L35" s="29">
        <f t="shared" si="1"/>
        <v>35.759999999999998</v>
      </c>
      <c r="M35" s="29">
        <f t="shared" si="1"/>
        <v>66.439999999999998</v>
      </c>
      <c r="N35" s="29">
        <f t="shared" si="1"/>
        <v>636.60000000000002</v>
      </c>
      <c r="O35" s="29">
        <f t="shared" si="1"/>
        <v>0</v>
      </c>
      <c r="P35" s="29">
        <f t="shared" si="1"/>
        <v>1.47</v>
      </c>
      <c r="Q35" s="29">
        <f t="shared" si="1"/>
        <v>12.029999999999999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12.422916666666667</v>
      </c>
      <c r="C36" s="28">
        <f t="shared" si="2"/>
        <v>59.618333333333339</v>
      </c>
      <c r="D36" s="28">
        <f t="shared" si="2"/>
        <v>40.639583333333327</v>
      </c>
      <c r="E36" s="28">
        <f t="shared" si="2"/>
        <v>1.9695833333333332</v>
      </c>
      <c r="F36" s="28">
        <f t="shared" si="2"/>
        <v>4.5500000000000007</v>
      </c>
      <c r="G36" s="28">
        <f t="shared" si="2"/>
        <v>98.607916666666654</v>
      </c>
      <c r="H36" s="28">
        <f t="shared" si="2"/>
        <v>42.859583333333319</v>
      </c>
      <c r="I36" s="28">
        <f t="shared" si="2"/>
        <v>1.5441666666666671</v>
      </c>
      <c r="J36" s="28">
        <f t="shared" si="2"/>
        <v>0.93583333333333352</v>
      </c>
      <c r="K36" s="28">
        <f t="shared" si="2"/>
        <v>274.67874999999998</v>
      </c>
      <c r="L36" s="28">
        <f t="shared" si="2"/>
        <v>27.444166666666661</v>
      </c>
      <c r="M36" s="28">
        <f t="shared" si="2"/>
        <v>44.042083333333331</v>
      </c>
      <c r="N36" s="28">
        <f t="shared" si="2"/>
        <v>203.70000000000005</v>
      </c>
      <c r="O36" s="28">
        <f t="shared" si="2"/>
        <v>0</v>
      </c>
      <c r="P36" s="28">
        <f t="shared" si="2"/>
        <v>0.89375000000000016</v>
      </c>
      <c r="Q36" s="28">
        <f t="shared" si="2"/>
        <v>11.284166666666666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10.523797247880289</v>
      </c>
      <c r="C37" s="28">
        <f t="shared" si="3" ref="C37:Q37">STDEV(C9:C32)</f>
        <v>6.3193599474098372</v>
      </c>
      <c r="D37" s="28">
        <f t="shared" si="3"/>
        <v>8.8436272703626404</v>
      </c>
      <c r="E37" s="28">
        <f t="shared" si="3"/>
        <v>0.41798147625553206</v>
      </c>
      <c r="F37" s="28">
        <f t="shared" si="3"/>
        <v>1.4427931847333615</v>
      </c>
      <c r="G37" s="28">
        <f t="shared" si="3"/>
        <v>25.549892193964173</v>
      </c>
      <c r="H37" s="28">
        <f t="shared" si="3"/>
        <v>23.947614654594059</v>
      </c>
      <c r="I37" s="28">
        <f t="shared" si="3"/>
        <v>0.024480101354341689</v>
      </c>
      <c r="J37" s="28">
        <f t="shared" si="3"/>
        <v>0.62871101169924126</v>
      </c>
      <c r="K37" s="28">
        <f t="shared" si="3"/>
        <v>92.419500780173564</v>
      </c>
      <c r="L37" s="28">
        <f t="shared" si="3"/>
        <v>5.0020629802083807</v>
      </c>
      <c r="M37" s="28">
        <f t="shared" si="3"/>
        <v>14.197462412321283</v>
      </c>
      <c r="N37" s="28">
        <f t="shared" si="3"/>
        <v>207.26444566008561</v>
      </c>
      <c r="O37" s="28">
        <f t="shared" si="3"/>
        <v>0</v>
      </c>
      <c r="P37" s="28">
        <f t="shared" si="3"/>
        <v>0.20992364036146177</v>
      </c>
      <c r="Q37" s="28">
        <f t="shared" si="3"/>
        <v>0.32549516348061974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6fcf2d1-1cff-4079-8f38-a8f8042e036d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3" sqref="G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446</v>
      </c>
      <c r="B9" s="54">
        <v>3.18</v>
      </c>
      <c r="C9" s="54">
        <v>51.26</v>
      </c>
      <c r="D9" s="54">
        <v>29.18</v>
      </c>
      <c r="E9" s="54">
        <v>1.85</v>
      </c>
      <c r="F9" s="54">
        <v>4.54</v>
      </c>
      <c r="G9" s="54">
        <v>35.28</v>
      </c>
      <c r="H9" s="54">
        <v>21.63</v>
      </c>
      <c r="I9" s="54">
        <v>1.54</v>
      </c>
      <c r="J9" s="54">
        <v>1.43</v>
      </c>
      <c r="K9" s="54">
        <v>132.78</v>
      </c>
      <c r="L9" s="54">
        <v>21.38</v>
      </c>
      <c r="M9" s="54">
        <v>61.48</v>
      </c>
      <c r="N9" s="54">
        <v>48.20</v>
      </c>
      <c r="O9" s="54">
        <v>0</v>
      </c>
      <c r="P9" s="54">
        <v>0.51</v>
      </c>
      <c r="Q9" s="54">
        <v>10.76</v>
      </c>
      <c r="R9" s="43"/>
      <c r="S9" s="43"/>
      <c r="T9" s="43"/>
      <c r="U9" s="43"/>
    </row>
    <row r="10" spans="1:21" s="11" customFormat="1" ht="15">
      <c r="A10" s="53" t="s">
        <v>447</v>
      </c>
      <c r="B10" s="54">
        <v>3.57</v>
      </c>
      <c r="C10" s="54">
        <v>48.09</v>
      </c>
      <c r="D10" s="54">
        <v>27.91</v>
      </c>
      <c r="E10" s="54">
        <v>1.86</v>
      </c>
      <c r="F10" s="54">
        <v>3.98</v>
      </c>
      <c r="G10" s="54">
        <v>35.28</v>
      </c>
      <c r="H10" s="54">
        <v>21.63</v>
      </c>
      <c r="I10" s="54">
        <v>1.55</v>
      </c>
      <c r="J10" s="54">
        <v>0.68</v>
      </c>
      <c r="K10" s="54">
        <v>187.30</v>
      </c>
      <c r="L10" s="54">
        <v>21.06</v>
      </c>
      <c r="M10" s="54">
        <v>63.77</v>
      </c>
      <c r="N10" s="54">
        <v>48.20</v>
      </c>
      <c r="O10" s="54">
        <v>0</v>
      </c>
      <c r="P10" s="54">
        <v>0.45</v>
      </c>
      <c r="Q10" s="54">
        <v>10.80</v>
      </c>
      <c r="R10" s="43"/>
      <c r="S10" s="43"/>
      <c r="T10" s="43"/>
      <c r="U10" s="43"/>
    </row>
    <row r="11" spans="1:21" s="11" customFormat="1" ht="15">
      <c r="A11" s="53" t="s">
        <v>448</v>
      </c>
      <c r="B11" s="54">
        <v>3.66</v>
      </c>
      <c r="C11" s="54">
        <v>47.53</v>
      </c>
      <c r="D11" s="54">
        <v>27.68</v>
      </c>
      <c r="E11" s="54">
        <v>1.82</v>
      </c>
      <c r="F11" s="54">
        <v>4.5599999999999996</v>
      </c>
      <c r="G11" s="54">
        <v>26.32</v>
      </c>
      <c r="H11" s="54">
        <v>11.89</v>
      </c>
      <c r="I11" s="54">
        <v>1.51</v>
      </c>
      <c r="J11" s="54">
        <v>1.42</v>
      </c>
      <c r="K11" s="54">
        <v>351.86</v>
      </c>
      <c r="L11" s="54">
        <v>21.46</v>
      </c>
      <c r="M11" s="54">
        <v>60.23</v>
      </c>
      <c r="N11" s="54">
        <v>48.30</v>
      </c>
      <c r="O11" s="54">
        <v>0</v>
      </c>
      <c r="P11" s="54">
        <v>0.42</v>
      </c>
      <c r="Q11" s="54">
        <v>10.74</v>
      </c>
      <c r="R11" s="43"/>
      <c r="S11" s="43"/>
      <c r="T11" s="43"/>
      <c r="U11" s="43"/>
    </row>
    <row r="12" spans="1:21" s="11" customFormat="1" ht="15">
      <c r="A12" s="53" t="s">
        <v>449</v>
      </c>
      <c r="B12" s="54">
        <v>3.28</v>
      </c>
      <c r="C12" s="54">
        <v>46.92</v>
      </c>
      <c r="D12" s="54">
        <v>26.92</v>
      </c>
      <c r="E12" s="54">
        <v>1.75</v>
      </c>
      <c r="F12" s="54">
        <v>4.6100000000000003</v>
      </c>
      <c r="G12" s="54">
        <v>41.93</v>
      </c>
      <c r="H12" s="54">
        <v>17.96</v>
      </c>
      <c r="I12" s="54">
        <v>1.55</v>
      </c>
      <c r="J12" s="54">
        <v>0.26</v>
      </c>
      <c r="K12" s="54">
        <v>349.37</v>
      </c>
      <c r="L12" s="54">
        <v>20.93</v>
      </c>
      <c r="M12" s="54">
        <v>76.13</v>
      </c>
      <c r="N12" s="54">
        <v>47.80</v>
      </c>
      <c r="O12" s="54">
        <v>0</v>
      </c>
      <c r="P12" s="54">
        <v>0.39</v>
      </c>
      <c r="Q12" s="54">
        <v>10.72</v>
      </c>
      <c r="R12" s="43"/>
      <c r="S12" s="43"/>
      <c r="T12" s="43"/>
      <c r="U12" s="43"/>
    </row>
    <row r="13" spans="1:21" s="11" customFormat="1" ht="15">
      <c r="A13" s="53" t="s">
        <v>450</v>
      </c>
      <c r="B13" s="54">
        <v>4.62</v>
      </c>
      <c r="C13" s="54">
        <v>48.05</v>
      </c>
      <c r="D13" s="54">
        <v>28.44</v>
      </c>
      <c r="E13" s="54">
        <v>1.21</v>
      </c>
      <c r="F13" s="54">
        <v>3.65</v>
      </c>
      <c r="G13" s="54">
        <v>44.34</v>
      </c>
      <c r="H13" s="54">
        <v>17.96</v>
      </c>
      <c r="I13" s="54">
        <v>1.5</v>
      </c>
      <c r="J13" s="54">
        <v>0.69</v>
      </c>
      <c r="K13" s="54">
        <v>349.28</v>
      </c>
      <c r="L13" s="54">
        <v>19.149999999999999</v>
      </c>
      <c r="M13" s="54">
        <v>80.459999999999994</v>
      </c>
      <c r="N13" s="54">
        <v>47.80</v>
      </c>
      <c r="O13" s="54">
        <v>0</v>
      </c>
      <c r="P13" s="54">
        <v>0.38</v>
      </c>
      <c r="Q13" s="54">
        <v>10.75</v>
      </c>
      <c r="R13" s="43"/>
      <c r="S13" s="43"/>
      <c r="T13" s="43"/>
      <c r="U13" s="43"/>
    </row>
    <row r="14" spans="1:21" s="11" customFormat="1" ht="15">
      <c r="A14" s="53" t="s">
        <v>451</v>
      </c>
      <c r="B14" s="54">
        <v>6.36</v>
      </c>
      <c r="C14" s="54">
        <v>50.03</v>
      </c>
      <c r="D14" s="54">
        <v>30.79</v>
      </c>
      <c r="E14" s="54">
        <v>1.45</v>
      </c>
      <c r="F14" s="54">
        <v>3.76</v>
      </c>
      <c r="G14" s="54">
        <v>56.56</v>
      </c>
      <c r="H14" s="54">
        <v>26.09</v>
      </c>
      <c r="I14" s="54">
        <v>1.54</v>
      </c>
      <c r="J14" s="54">
        <v>0.91</v>
      </c>
      <c r="K14" s="54">
        <v>348.07</v>
      </c>
      <c r="L14" s="54">
        <v>18.579999999999998</v>
      </c>
      <c r="M14" s="54">
        <v>85.21</v>
      </c>
      <c r="N14" s="54">
        <v>48.80</v>
      </c>
      <c r="O14" s="54">
        <v>0</v>
      </c>
      <c r="P14" s="54">
        <v>0.41</v>
      </c>
      <c r="Q14" s="54">
        <v>10.81</v>
      </c>
      <c r="R14" s="43"/>
      <c r="S14" s="43"/>
      <c r="T14" s="43"/>
      <c r="U14" s="43"/>
    </row>
    <row r="15" spans="1:21" s="11" customFormat="1" ht="15">
      <c r="A15" s="53" t="s">
        <v>452</v>
      </c>
      <c r="B15" s="54">
        <v>11.24</v>
      </c>
      <c r="C15" s="54">
        <v>51.76</v>
      </c>
      <c r="D15" s="54">
        <v>35.67</v>
      </c>
      <c r="E15" s="54">
        <v>1.48</v>
      </c>
      <c r="F15" s="54">
        <v>3.31</v>
      </c>
      <c r="G15" s="54">
        <v>161.72</v>
      </c>
      <c r="H15" s="54">
        <v>42.93</v>
      </c>
      <c r="I15" s="54">
        <v>1.55</v>
      </c>
      <c r="J15" s="54">
        <v>0.97</v>
      </c>
      <c r="K15" s="54">
        <v>359.35</v>
      </c>
      <c r="L15" s="54">
        <v>20.14</v>
      </c>
      <c r="M15" s="54">
        <v>82.40</v>
      </c>
      <c r="N15" s="54">
        <v>109.40</v>
      </c>
      <c r="O15" s="54">
        <v>0</v>
      </c>
      <c r="P15" s="54">
        <v>0.49</v>
      </c>
      <c r="Q15" s="54">
        <v>10.95</v>
      </c>
      <c r="R15" s="43"/>
      <c r="S15" s="43"/>
      <c r="T15" s="43"/>
      <c r="U15" s="43"/>
    </row>
    <row r="16" spans="1:21" s="11" customFormat="1" ht="15">
      <c r="A16" s="53" t="s">
        <v>453</v>
      </c>
      <c r="B16" s="54">
        <v>15.87</v>
      </c>
      <c r="C16" s="54">
        <v>54.52</v>
      </c>
      <c r="D16" s="54">
        <v>41.13</v>
      </c>
      <c r="E16" s="54">
        <v>1.85</v>
      </c>
      <c r="F16" s="54">
        <v>3.32</v>
      </c>
      <c r="G16" s="54">
        <v>161.72</v>
      </c>
      <c r="H16" s="54">
        <v>42.93</v>
      </c>
      <c r="I16" s="54">
        <v>1.5</v>
      </c>
      <c r="J16" s="54">
        <v>0.88</v>
      </c>
      <c r="K16" s="54">
        <v>356.23</v>
      </c>
      <c r="L16" s="54">
        <v>23.65</v>
      </c>
      <c r="M16" s="54">
        <v>75.349999999999994</v>
      </c>
      <c r="N16" s="54">
        <v>284.5</v>
      </c>
      <c r="O16" s="54">
        <v>0</v>
      </c>
      <c r="P16" s="54">
        <v>0.69</v>
      </c>
      <c r="Q16" s="54">
        <v>11.06</v>
      </c>
      <c r="R16" s="43"/>
      <c r="S16" s="43"/>
      <c r="T16" s="43"/>
      <c r="U16" s="43"/>
    </row>
    <row r="17" spans="1:21" s="11" customFormat="1" ht="15">
      <c r="A17" s="53" t="s">
        <v>454</v>
      </c>
      <c r="B17" s="54">
        <v>15.74</v>
      </c>
      <c r="C17" s="54">
        <v>58.62</v>
      </c>
      <c r="D17" s="54">
        <v>42.46</v>
      </c>
      <c r="E17" s="54">
        <v>2.0299999999999998</v>
      </c>
      <c r="F17" s="54">
        <v>3.71</v>
      </c>
      <c r="G17" s="54">
        <v>112.11</v>
      </c>
      <c r="H17" s="54">
        <v>40.39</v>
      </c>
      <c r="I17" s="54">
        <v>1.57</v>
      </c>
      <c r="J17" s="54">
        <v>0.83</v>
      </c>
      <c r="K17" s="54">
        <v>355.88</v>
      </c>
      <c r="L17" s="54">
        <v>28.13</v>
      </c>
      <c r="M17" s="54">
        <v>58.05</v>
      </c>
      <c r="N17" s="54">
        <v>400.10</v>
      </c>
      <c r="O17" s="54">
        <v>0</v>
      </c>
      <c r="P17" s="54">
        <v>0.70</v>
      </c>
      <c r="Q17" s="54">
        <v>11.11</v>
      </c>
      <c r="R17" s="43"/>
      <c r="S17" s="43"/>
      <c r="T17" s="43"/>
      <c r="U17" s="43"/>
    </row>
    <row r="18" spans="1:21" s="11" customFormat="1" ht="15">
      <c r="A18" s="53" t="s">
        <v>455</v>
      </c>
      <c r="B18" s="54">
        <v>14.12</v>
      </c>
      <c r="C18" s="54">
        <v>61.65</v>
      </c>
      <c r="D18" s="54">
        <v>42.27</v>
      </c>
      <c r="E18" s="54">
        <v>2</v>
      </c>
      <c r="F18" s="54">
        <v>3.76</v>
      </c>
      <c r="G18" s="54">
        <v>67.790000000000006</v>
      </c>
      <c r="H18" s="54">
        <v>25.42</v>
      </c>
      <c r="I18" s="54">
        <v>1.57</v>
      </c>
      <c r="J18" s="54">
        <v>0.87</v>
      </c>
      <c r="K18" s="54">
        <v>347.10</v>
      </c>
      <c r="L18" s="54">
        <v>31.79</v>
      </c>
      <c r="M18" s="54">
        <v>44.87</v>
      </c>
      <c r="N18" s="54">
        <v>598.29999999999995</v>
      </c>
      <c r="O18" s="54">
        <v>0</v>
      </c>
      <c r="P18" s="54">
        <v>0.70</v>
      </c>
      <c r="Q18" s="54">
        <v>11.08</v>
      </c>
      <c r="R18" s="43"/>
      <c r="S18" s="43"/>
      <c r="T18" s="43"/>
      <c r="U18" s="43"/>
    </row>
    <row r="19" spans="1:21" s="11" customFormat="1" ht="15">
      <c r="A19" s="53" t="s">
        <v>456</v>
      </c>
      <c r="B19" s="54">
        <v>10.58</v>
      </c>
      <c r="C19" s="54">
        <v>61.77</v>
      </c>
      <c r="D19" s="54">
        <v>40.54</v>
      </c>
      <c r="E19" s="54">
        <v>1.82</v>
      </c>
      <c r="F19" s="54">
        <v>3.85</v>
      </c>
      <c r="G19" s="54">
        <v>69.25</v>
      </c>
      <c r="H19" s="54">
        <v>36.29</v>
      </c>
      <c r="I19" s="54">
        <v>1.52</v>
      </c>
      <c r="J19" s="54">
        <v>0.57999999999999996</v>
      </c>
      <c r="K19" s="54">
        <v>350.20</v>
      </c>
      <c r="L19" s="54">
        <v>32.61</v>
      </c>
      <c r="M19" s="54">
        <v>37.74</v>
      </c>
      <c r="N19" s="54">
        <v>709.20</v>
      </c>
      <c r="O19" s="54">
        <v>0</v>
      </c>
      <c r="P19" s="54">
        <v>0.71</v>
      </c>
      <c r="Q19" s="54">
        <v>11.03</v>
      </c>
      <c r="R19" s="43"/>
      <c r="S19" s="43"/>
      <c r="T19" s="43"/>
      <c r="U19" s="43"/>
    </row>
    <row r="20" spans="1:21" s="11" customFormat="1" ht="15">
      <c r="A20" s="53" t="s">
        <v>457</v>
      </c>
      <c r="B20" s="54">
        <v>8.39</v>
      </c>
      <c r="C20" s="54">
        <v>60.98</v>
      </c>
      <c r="D20" s="54">
        <v>38.51</v>
      </c>
      <c r="E20" s="54">
        <v>1.74</v>
      </c>
      <c r="F20" s="54">
        <v>4.67</v>
      </c>
      <c r="G20" s="54">
        <v>69.25</v>
      </c>
      <c r="H20" s="54">
        <v>36.29</v>
      </c>
      <c r="I20" s="54">
        <v>1.52</v>
      </c>
      <c r="J20" s="54">
        <v>0.75</v>
      </c>
      <c r="K20" s="54">
        <v>356.07</v>
      </c>
      <c r="L20" s="54">
        <v>32.630000000000003</v>
      </c>
      <c r="M20" s="54">
        <v>41.11</v>
      </c>
      <c r="N20" s="54">
        <v>757.30</v>
      </c>
      <c r="O20" s="54">
        <v>0</v>
      </c>
      <c r="P20" s="54">
        <v>0.71</v>
      </c>
      <c r="Q20" s="54">
        <v>11.01</v>
      </c>
      <c r="R20" s="43"/>
      <c r="S20" s="43"/>
      <c r="T20" s="43"/>
      <c r="U20" s="43"/>
    </row>
    <row r="21" spans="1:21" s="11" customFormat="1" ht="15">
      <c r="A21" s="53" t="s">
        <v>458</v>
      </c>
      <c r="B21" s="54">
        <v>4.47</v>
      </c>
      <c r="C21" s="54">
        <v>58.42</v>
      </c>
      <c r="D21" s="54">
        <v>34.03</v>
      </c>
      <c r="E21" s="54">
        <v>1.65</v>
      </c>
      <c r="F21" s="54">
        <v>5.62</v>
      </c>
      <c r="G21" s="54">
        <v>66.37</v>
      </c>
      <c r="H21" s="54">
        <v>30.98</v>
      </c>
      <c r="I21" s="54">
        <v>1.52</v>
      </c>
      <c r="J21" s="54">
        <v>0.92</v>
      </c>
      <c r="K21" s="54">
        <v>343.23</v>
      </c>
      <c r="L21" s="54">
        <v>31.35</v>
      </c>
      <c r="M21" s="54">
        <v>39.479999999999997</v>
      </c>
      <c r="N21" s="54">
        <v>718</v>
      </c>
      <c r="O21" s="54">
        <v>0</v>
      </c>
      <c r="P21" s="54">
        <v>0.70</v>
      </c>
      <c r="Q21" s="54">
        <v>10.89</v>
      </c>
      <c r="R21" s="43"/>
      <c r="S21" s="43"/>
      <c r="T21" s="43"/>
      <c r="U21" s="43"/>
    </row>
    <row r="22" spans="1:21" s="11" customFormat="1" ht="15">
      <c r="A22" s="53" t="s">
        <v>459</v>
      </c>
      <c r="B22" s="54">
        <v>2.35</v>
      </c>
      <c r="C22" s="54">
        <v>56.35</v>
      </c>
      <c r="D22" s="54">
        <v>31.25</v>
      </c>
      <c r="E22" s="54">
        <v>1.66</v>
      </c>
      <c r="F22" s="54">
        <v>6.58</v>
      </c>
      <c r="G22" s="54">
        <v>59.85</v>
      </c>
      <c r="H22" s="54">
        <v>34.799999999999997</v>
      </c>
      <c r="I22" s="54">
        <v>1.57</v>
      </c>
      <c r="J22" s="54">
        <v>1.1000000000000001</v>
      </c>
      <c r="K22" s="54">
        <v>344.65</v>
      </c>
      <c r="L22" s="54">
        <v>33.36</v>
      </c>
      <c r="M22" s="54">
        <v>36.68</v>
      </c>
      <c r="N22" s="54">
        <v>656.60</v>
      </c>
      <c r="O22" s="54">
        <v>0</v>
      </c>
      <c r="P22" s="54">
        <v>0.62</v>
      </c>
      <c r="Q22" s="54">
        <v>10.84</v>
      </c>
      <c r="R22" s="43"/>
      <c r="S22" s="43"/>
      <c r="T22" s="43"/>
      <c r="U22" s="43"/>
    </row>
    <row r="23" spans="1:21" s="11" customFormat="1" ht="15">
      <c r="A23" s="53" t="s">
        <v>460</v>
      </c>
      <c r="B23" s="54">
        <v>2.41</v>
      </c>
      <c r="C23" s="54">
        <v>54.12</v>
      </c>
      <c r="D23" s="54">
        <v>29.93</v>
      </c>
      <c r="E23" s="54">
        <v>1.55</v>
      </c>
      <c r="F23" s="54">
        <v>5.56</v>
      </c>
      <c r="G23" s="54">
        <v>60.95</v>
      </c>
      <c r="H23" s="54">
        <v>34.799999999999997</v>
      </c>
      <c r="I23" s="54">
        <v>1.57</v>
      </c>
      <c r="J23" s="54">
        <v>1.95</v>
      </c>
      <c r="K23" s="54">
        <v>154.85</v>
      </c>
      <c r="L23" s="54">
        <v>30.32</v>
      </c>
      <c r="M23" s="54">
        <v>39.67</v>
      </c>
      <c r="N23" s="54">
        <v>579</v>
      </c>
      <c r="O23" s="54">
        <v>0</v>
      </c>
      <c r="P23" s="54">
        <v>0.56999999999999995</v>
      </c>
      <c r="Q23" s="54">
        <v>10.90</v>
      </c>
      <c r="R23" s="43"/>
      <c r="S23" s="43"/>
      <c r="T23" s="43"/>
      <c r="U23" s="43"/>
    </row>
    <row r="24" spans="1:21" s="11" customFormat="1" ht="15">
      <c r="A24" s="53" t="s">
        <v>461</v>
      </c>
      <c r="B24" s="54">
        <v>2.66</v>
      </c>
      <c r="C24" s="54">
        <v>51.24</v>
      </c>
      <c r="D24" s="54">
        <v>28.81</v>
      </c>
      <c r="E24" s="54">
        <v>2.34</v>
      </c>
      <c r="F24" s="54">
        <v>4.83</v>
      </c>
      <c r="G24" s="54">
        <v>60.95</v>
      </c>
      <c r="H24" s="54">
        <v>31.27</v>
      </c>
      <c r="I24" s="54">
        <v>1.56</v>
      </c>
      <c r="J24" s="54">
        <v>1.60</v>
      </c>
      <c r="K24" s="54">
        <v>157.34</v>
      </c>
      <c r="L24" s="54">
        <v>30.44</v>
      </c>
      <c r="M24" s="54">
        <v>38.31</v>
      </c>
      <c r="N24" s="54">
        <v>339.10</v>
      </c>
      <c r="O24" s="54">
        <v>0</v>
      </c>
      <c r="P24" s="54">
        <v>0.51</v>
      </c>
      <c r="Q24" s="54">
        <v>10.94</v>
      </c>
      <c r="R24" s="43"/>
      <c r="S24" s="43"/>
      <c r="T24" s="43"/>
      <c r="U24" s="43"/>
    </row>
    <row r="25" spans="1:21" s="11" customFormat="1" ht="15">
      <c r="A25" s="53" t="s">
        <v>462</v>
      </c>
      <c r="B25" s="54">
        <v>2.60</v>
      </c>
      <c r="C25" s="54">
        <v>51.5</v>
      </c>
      <c r="D25" s="54">
        <v>28.67</v>
      </c>
      <c r="E25" s="54">
        <v>2.77</v>
      </c>
      <c r="F25" s="54">
        <v>5.59</v>
      </c>
      <c r="G25" s="54">
        <v>33.49</v>
      </c>
      <c r="H25" s="54">
        <v>22.34</v>
      </c>
      <c r="I25" s="54">
        <v>1.59</v>
      </c>
      <c r="J25" s="54">
        <v>0.59</v>
      </c>
      <c r="K25" s="54">
        <v>161.88999999999999</v>
      </c>
      <c r="L25" s="54">
        <v>30.32</v>
      </c>
      <c r="M25" s="54">
        <v>37.619999999999997</v>
      </c>
      <c r="N25" s="54">
        <v>219.60</v>
      </c>
      <c r="O25" s="54">
        <v>0</v>
      </c>
      <c r="P25" s="54">
        <v>0.45</v>
      </c>
      <c r="Q25" s="54">
        <v>10.94</v>
      </c>
      <c r="R25" s="43"/>
      <c r="S25" s="43"/>
      <c r="T25" s="43"/>
      <c r="U25" s="43"/>
    </row>
    <row r="26" spans="1:21" s="11" customFormat="1" ht="15">
      <c r="A26" s="53" t="s">
        <v>463</v>
      </c>
      <c r="B26" s="54">
        <v>2.2799999999999998</v>
      </c>
      <c r="C26" s="54">
        <v>53.02</v>
      </c>
      <c r="D26" s="54">
        <v>29.44</v>
      </c>
      <c r="E26" s="54">
        <v>2.73</v>
      </c>
      <c r="F26" s="54">
        <v>5.85</v>
      </c>
      <c r="G26" s="54">
        <v>48.26</v>
      </c>
      <c r="H26" s="54">
        <v>19.25</v>
      </c>
      <c r="I26" s="54">
        <v>1.51</v>
      </c>
      <c r="J26" s="54">
        <v>0.26</v>
      </c>
      <c r="K26" s="54">
        <v>227.28</v>
      </c>
      <c r="L26" s="54">
        <v>29.95</v>
      </c>
      <c r="M26" s="54">
        <v>39.43</v>
      </c>
      <c r="N26" s="54">
        <v>93.40</v>
      </c>
      <c r="O26" s="54">
        <v>0</v>
      </c>
      <c r="P26" s="54">
        <v>0.44</v>
      </c>
      <c r="Q26" s="54">
        <v>10.97</v>
      </c>
      <c r="R26" s="43"/>
      <c r="S26" s="43"/>
      <c r="T26" s="43"/>
      <c r="U26" s="43"/>
    </row>
    <row r="27" spans="1:21" s="11" customFormat="1" ht="15">
      <c r="A27" s="53" t="s">
        <v>464</v>
      </c>
      <c r="B27" s="54">
        <v>5.66</v>
      </c>
      <c r="C27" s="54">
        <v>60.45</v>
      </c>
      <c r="D27" s="54">
        <v>35.590000000000003</v>
      </c>
      <c r="E27" s="54">
        <v>2.73</v>
      </c>
      <c r="F27" s="54">
        <v>5.17</v>
      </c>
      <c r="G27" s="54">
        <v>64.400000000000006</v>
      </c>
      <c r="H27" s="54">
        <v>23.94</v>
      </c>
      <c r="I27" s="54">
        <v>1.55</v>
      </c>
      <c r="J27" s="54">
        <v>0.21</v>
      </c>
      <c r="K27" s="54">
        <v>342.40</v>
      </c>
      <c r="L27" s="54">
        <v>28.57</v>
      </c>
      <c r="M27" s="54">
        <v>52.64</v>
      </c>
      <c r="N27" s="54">
        <v>45.80</v>
      </c>
      <c r="O27" s="54">
        <v>0</v>
      </c>
      <c r="P27" s="54">
        <v>0.75</v>
      </c>
      <c r="Q27" s="54">
        <v>10.95</v>
      </c>
      <c r="R27" s="43"/>
      <c r="S27" s="43"/>
      <c r="T27" s="43"/>
      <c r="U27" s="43"/>
    </row>
    <row r="28" spans="1:21" s="11" customFormat="1" ht="15">
      <c r="A28" s="53" t="s">
        <v>465</v>
      </c>
      <c r="B28" s="54">
        <v>12.27</v>
      </c>
      <c r="C28" s="54">
        <v>63.46</v>
      </c>
      <c r="D28" s="54">
        <v>42.91</v>
      </c>
      <c r="E28" s="54">
        <v>2.68</v>
      </c>
      <c r="F28" s="54">
        <v>3.65</v>
      </c>
      <c r="G28" s="54">
        <v>93.83</v>
      </c>
      <c r="H28" s="54">
        <v>31.77</v>
      </c>
      <c r="I28" s="54">
        <v>1.54</v>
      </c>
      <c r="J28" s="54">
        <v>0.25</v>
      </c>
      <c r="K28" s="54">
        <v>342.63</v>
      </c>
      <c r="L28" s="54">
        <v>27.36</v>
      </c>
      <c r="M28" s="54">
        <v>52.55</v>
      </c>
      <c r="N28" s="54">
        <v>45.20</v>
      </c>
      <c r="O28" s="54">
        <v>0</v>
      </c>
      <c r="P28" s="54">
        <v>0.85</v>
      </c>
      <c r="Q28" s="54">
        <v>11.16</v>
      </c>
      <c r="R28" s="43"/>
      <c r="S28" s="43"/>
      <c r="T28" s="43"/>
      <c r="U28" s="43"/>
    </row>
    <row r="29" spans="1:21" s="11" customFormat="1" ht="15">
      <c r="A29" s="53" t="s">
        <v>466</v>
      </c>
      <c r="B29" s="54">
        <v>12</v>
      </c>
      <c r="C29" s="54">
        <v>62.49</v>
      </c>
      <c r="D29" s="54">
        <v>42.19</v>
      </c>
      <c r="E29" s="54">
        <v>2.0099999999999998</v>
      </c>
      <c r="F29" s="54">
        <v>3.66</v>
      </c>
      <c r="G29" s="54">
        <v>93.83</v>
      </c>
      <c r="H29" s="54">
        <v>31.77</v>
      </c>
      <c r="I29" s="54">
        <v>1.5</v>
      </c>
      <c r="J29" s="54">
        <v>0.85</v>
      </c>
      <c r="K29" s="54">
        <v>91.40</v>
      </c>
      <c r="L29" s="54">
        <v>27.49</v>
      </c>
      <c r="M29" s="54">
        <v>47.08</v>
      </c>
      <c r="N29" s="54">
        <v>45.20</v>
      </c>
      <c r="O29" s="54">
        <v>0</v>
      </c>
      <c r="P29" s="54">
        <v>0.83</v>
      </c>
      <c r="Q29" s="54">
        <v>11.20</v>
      </c>
      <c r="R29" s="43"/>
      <c r="S29" s="43"/>
      <c r="T29" s="43"/>
      <c r="U29" s="43"/>
    </row>
    <row r="30" spans="1:21" s="11" customFormat="1" ht="15">
      <c r="A30" s="53" t="s">
        <v>467</v>
      </c>
      <c r="B30" s="54">
        <v>10.32</v>
      </c>
      <c r="C30" s="54">
        <v>60.67</v>
      </c>
      <c r="D30" s="54">
        <v>39.56</v>
      </c>
      <c r="E30" s="54">
        <v>2.04</v>
      </c>
      <c r="F30" s="54">
        <v>3.75</v>
      </c>
      <c r="G30" s="54">
        <v>75.540000000000006</v>
      </c>
      <c r="H30" s="54">
        <v>28.35</v>
      </c>
      <c r="I30" s="54">
        <v>1.55</v>
      </c>
      <c r="J30" s="54">
        <v>1.20</v>
      </c>
      <c r="K30" s="54">
        <v>159.75</v>
      </c>
      <c r="L30" s="54">
        <v>27.08</v>
      </c>
      <c r="M30" s="54">
        <v>48.84</v>
      </c>
      <c r="N30" s="54">
        <v>45.60</v>
      </c>
      <c r="O30" s="54">
        <v>0</v>
      </c>
      <c r="P30" s="54">
        <v>0.83</v>
      </c>
      <c r="Q30" s="54">
        <v>11.27</v>
      </c>
      <c r="R30" s="43"/>
      <c r="S30" s="43"/>
      <c r="T30" s="43"/>
      <c r="U30" s="43"/>
    </row>
    <row r="31" spans="1:21" s="11" customFormat="1" ht="15">
      <c r="A31" s="53" t="s">
        <v>468</v>
      </c>
      <c r="B31" s="54">
        <v>7.55</v>
      </c>
      <c r="C31" s="54">
        <v>58.91</v>
      </c>
      <c r="D31" s="54">
        <v>36.75</v>
      </c>
      <c r="E31" s="54">
        <v>2.06</v>
      </c>
      <c r="F31" s="54">
        <v>5.18</v>
      </c>
      <c r="G31" s="54">
        <v>91.25</v>
      </c>
      <c r="H31" s="54">
        <v>27.85</v>
      </c>
      <c r="I31" s="54">
        <v>1.53</v>
      </c>
      <c r="J31" s="54">
        <v>2.4900000000000002</v>
      </c>
      <c r="K31" s="54">
        <v>358.65</v>
      </c>
      <c r="L31" s="54">
        <v>25.58</v>
      </c>
      <c r="M31" s="54">
        <v>64.03</v>
      </c>
      <c r="N31" s="54">
        <v>48.90</v>
      </c>
      <c r="O31" s="54">
        <v>0</v>
      </c>
      <c r="P31" s="54">
        <v>0.79</v>
      </c>
      <c r="Q31" s="54">
        <v>11.18</v>
      </c>
      <c r="R31" s="43"/>
      <c r="S31" s="43"/>
      <c r="T31" s="43"/>
      <c r="U31" s="43"/>
    </row>
    <row r="32" spans="1:21" s="11" customFormat="1" ht="15">
      <c r="A32" s="53" t="s">
        <v>469</v>
      </c>
      <c r="B32" s="54">
        <v>3.60</v>
      </c>
      <c r="C32" s="54">
        <v>57.90</v>
      </c>
      <c r="D32" s="54">
        <v>33.06</v>
      </c>
      <c r="E32" s="54">
        <v>1.99</v>
      </c>
      <c r="F32" s="54">
        <v>4.76</v>
      </c>
      <c r="G32" s="54">
        <v>91.25</v>
      </c>
      <c r="H32" s="54">
        <v>26.10</v>
      </c>
      <c r="I32" s="54">
        <v>1.52</v>
      </c>
      <c r="J32" s="54">
        <v>2.39</v>
      </c>
      <c r="K32" s="54">
        <v>356.57</v>
      </c>
      <c r="L32" s="54">
        <v>22.48</v>
      </c>
      <c r="M32" s="54">
        <v>67.5</v>
      </c>
      <c r="N32" s="54">
        <v>46.20</v>
      </c>
      <c r="O32" s="54">
        <v>0</v>
      </c>
      <c r="P32" s="54">
        <v>0.65</v>
      </c>
      <c r="Q32" s="54">
        <v>11.11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2.2799999999999998</v>
      </c>
      <c r="C34" s="28">
        <f t="shared" si="0"/>
        <v>46.920000000000002</v>
      </c>
      <c r="D34" s="28">
        <f t="shared" si="0"/>
        <v>26.920000000000002</v>
      </c>
      <c r="E34" s="28">
        <f t="shared" si="0"/>
        <v>1.21</v>
      </c>
      <c r="F34" s="28">
        <f t="shared" si="0"/>
        <v>3.3100000000000001</v>
      </c>
      <c r="G34" s="28">
        <f t="shared" si="0"/>
        <v>26.32</v>
      </c>
      <c r="H34" s="28">
        <f t="shared" si="0"/>
        <v>11.890000000000001</v>
      </c>
      <c r="I34" s="28">
        <f t="shared" si="0"/>
        <v>1.5</v>
      </c>
      <c r="J34" s="28">
        <f t="shared" si="0"/>
        <v>0.20999999999999999</v>
      </c>
      <c r="K34" s="28">
        <f t="shared" si="0"/>
        <v>91.400000000000006</v>
      </c>
      <c r="L34" s="28">
        <f t="shared" si="0"/>
        <v>18.579999999999998</v>
      </c>
      <c r="M34" s="28">
        <f t="shared" si="0"/>
        <v>36.68</v>
      </c>
      <c r="N34" s="28">
        <f t="shared" si="0"/>
        <v>45.200000000000003</v>
      </c>
      <c r="O34" s="28">
        <f t="shared" si="0"/>
        <v>0</v>
      </c>
      <c r="P34" s="28">
        <f t="shared" si="0"/>
        <v>0.38</v>
      </c>
      <c r="Q34" s="28">
        <f t="shared" si="0"/>
        <v>10.720000000000001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15.869999999999999</v>
      </c>
      <c r="C35" s="29">
        <f t="shared" si="1"/>
        <v>63.460000000000001</v>
      </c>
      <c r="D35" s="29">
        <f t="shared" si="1"/>
        <v>42.909999999999997</v>
      </c>
      <c r="E35" s="29">
        <f t="shared" si="1"/>
        <v>2.77</v>
      </c>
      <c r="F35" s="29">
        <f t="shared" si="1"/>
        <v>6.5800000000000001</v>
      </c>
      <c r="G35" s="29">
        <f t="shared" si="1"/>
        <v>161.72</v>
      </c>
      <c r="H35" s="29">
        <f t="shared" si="1"/>
        <v>42.93</v>
      </c>
      <c r="I35" s="29">
        <f t="shared" si="1"/>
        <v>1.5900000000000001</v>
      </c>
      <c r="J35" s="29">
        <f t="shared" si="1"/>
        <v>2.4900000000000002</v>
      </c>
      <c r="K35" s="29">
        <f t="shared" si="1"/>
        <v>359.35000000000002</v>
      </c>
      <c r="L35" s="29">
        <f t="shared" si="1"/>
        <v>33.359999999999999</v>
      </c>
      <c r="M35" s="29">
        <f t="shared" si="1"/>
        <v>85.209999999999994</v>
      </c>
      <c r="N35" s="29">
        <f t="shared" si="1"/>
        <v>757.29999999999995</v>
      </c>
      <c r="O35" s="29">
        <f t="shared" si="1"/>
        <v>0</v>
      </c>
      <c r="P35" s="29">
        <f t="shared" si="1"/>
        <v>0.84999999999999998</v>
      </c>
      <c r="Q35" s="29">
        <f t="shared" si="1"/>
        <v>11.27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7.0324999999999989</v>
      </c>
      <c r="C36" s="28">
        <f t="shared" si="2"/>
        <v>55.404583333333342</v>
      </c>
      <c r="D36" s="28">
        <f t="shared" si="2"/>
        <v>34.320416666666659</v>
      </c>
      <c r="E36" s="28">
        <f t="shared" si="2"/>
        <v>1.9612499999999997</v>
      </c>
      <c r="F36" s="28">
        <f t="shared" si="2"/>
        <v>4.496666666666667</v>
      </c>
      <c r="G36" s="28">
        <f t="shared" si="2"/>
        <v>71.730000000000004</v>
      </c>
      <c r="H36" s="28">
        <f t="shared" si="2"/>
        <v>28.526250000000008</v>
      </c>
      <c r="I36" s="28">
        <f t="shared" si="2"/>
        <v>1.5387500000000001</v>
      </c>
      <c r="J36" s="28">
        <f t="shared" si="2"/>
        <v>1.0033333333333336</v>
      </c>
      <c r="K36" s="28">
        <f t="shared" si="2"/>
        <v>286.83874999999995</v>
      </c>
      <c r="L36" s="28">
        <f t="shared" si="2"/>
        <v>26.492083333333337</v>
      </c>
      <c r="M36" s="28">
        <f t="shared" si="2"/>
        <v>55.442916666666655</v>
      </c>
      <c r="N36" s="28">
        <f t="shared" si="2"/>
        <v>251.27083333333334</v>
      </c>
      <c r="O36" s="28">
        <f t="shared" si="2"/>
        <v>0</v>
      </c>
      <c r="P36" s="28">
        <f t="shared" si="2"/>
        <v>0.60624999999999996</v>
      </c>
      <c r="Q36" s="28">
        <f t="shared" si="2"/>
        <v>10.965416666666664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4.5821195494244149</v>
      </c>
      <c r="C37" s="28">
        <f t="shared" si="3" ref="C37:Q37">STDEV(C9:C32)</f>
        <v>5.3542693076497914</v>
      </c>
      <c r="D37" s="28">
        <f t="shared" si="3"/>
        <v>5.6509479613883684</v>
      </c>
      <c r="E37" s="28">
        <f t="shared" si="3"/>
        <v>0.42241863121789563</v>
      </c>
      <c r="F37" s="28">
        <f t="shared" si="3"/>
        <v>0.90367686927240121</v>
      </c>
      <c r="G37" s="28">
        <f t="shared" si="3"/>
        <v>35.303016375621368</v>
      </c>
      <c r="H37" s="28">
        <f t="shared" si="3"/>
        <v>8.2146024871407235</v>
      </c>
      <c r="I37" s="28">
        <f t="shared" si="3"/>
        <v>0.025760181608865652</v>
      </c>
      <c r="J37" s="28">
        <f t="shared" si="3"/>
        <v>0.61894487123102337</v>
      </c>
      <c r="K37" s="28">
        <f t="shared" si="3"/>
        <v>94.90184624183405</v>
      </c>
      <c r="L37" s="28">
        <f t="shared" si="3"/>
        <v>4.8168400061583316</v>
      </c>
      <c r="M37" s="28">
        <f t="shared" si="3"/>
        <v>16.017794854247406</v>
      </c>
      <c r="N37" s="28">
        <f t="shared" si="3"/>
        <v>268.05863972218867</v>
      </c>
      <c r="O37" s="28">
        <f t="shared" si="3"/>
        <v>0</v>
      </c>
      <c r="P37" s="28">
        <f t="shared" si="3"/>
        <v>0.15491407155328879</v>
      </c>
      <c r="Q37" s="28">
        <f t="shared" si="3"/>
        <v>0.1588540255998421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fbe0da-e5ff-4c8b-ab37-15ba88dfe422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3" sqref="G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470</v>
      </c>
      <c r="B9" s="54">
        <v>3.22</v>
      </c>
      <c r="C9" s="54">
        <v>54.69</v>
      </c>
      <c r="D9" s="54">
        <v>31.08</v>
      </c>
      <c r="E9" s="54">
        <v>2.13</v>
      </c>
      <c r="F9" s="54">
        <v>5.36</v>
      </c>
      <c r="G9" s="54">
        <v>72.569999999999993</v>
      </c>
      <c r="H9" s="54">
        <v>20.97</v>
      </c>
      <c r="I9" s="54">
        <v>1.53</v>
      </c>
      <c r="J9" s="54">
        <v>2.2400000000000002</v>
      </c>
      <c r="K9" s="54">
        <v>356.23</v>
      </c>
      <c r="L9" s="54">
        <v>21.62</v>
      </c>
      <c r="M9" s="54">
        <v>73.13</v>
      </c>
      <c r="N9" s="54">
        <v>46.90</v>
      </c>
      <c r="O9" s="54">
        <v>0</v>
      </c>
      <c r="P9" s="54">
        <v>0.55000000000000004</v>
      </c>
      <c r="Q9" s="54">
        <v>11.05</v>
      </c>
      <c r="R9" s="43"/>
      <c r="S9" s="43"/>
      <c r="T9" s="43"/>
      <c r="U9" s="43"/>
    </row>
    <row r="10" spans="1:21" s="11" customFormat="1" ht="15">
      <c r="A10" s="53" t="s">
        <v>471</v>
      </c>
      <c r="B10" s="54">
        <v>2.69</v>
      </c>
      <c r="C10" s="54">
        <v>49.78</v>
      </c>
      <c r="D10" s="54">
        <v>28.08</v>
      </c>
      <c r="E10" s="54">
        <v>2.0299999999999998</v>
      </c>
      <c r="F10" s="54">
        <v>5.39</v>
      </c>
      <c r="G10" s="54">
        <v>51.51</v>
      </c>
      <c r="H10" s="54">
        <v>17.239999999999998</v>
      </c>
      <c r="I10" s="54">
        <v>1.56</v>
      </c>
      <c r="J10" s="54">
        <v>2.34</v>
      </c>
      <c r="K10" s="54">
        <v>354.94</v>
      </c>
      <c r="L10" s="54">
        <v>20.85</v>
      </c>
      <c r="M10" s="54">
        <v>77.47</v>
      </c>
      <c r="N10" s="54">
        <v>47</v>
      </c>
      <c r="O10" s="54">
        <v>0</v>
      </c>
      <c r="P10" s="54">
        <v>0.45</v>
      </c>
      <c r="Q10" s="54">
        <v>10.97</v>
      </c>
      <c r="R10" s="43"/>
      <c r="S10" s="43"/>
      <c r="T10" s="43"/>
      <c r="U10" s="43"/>
    </row>
    <row r="11" spans="1:21" s="11" customFormat="1" ht="15">
      <c r="A11" s="53" t="s">
        <v>472</v>
      </c>
      <c r="B11" s="54">
        <v>2.64</v>
      </c>
      <c r="C11" s="54">
        <v>46.37</v>
      </c>
      <c r="D11" s="54">
        <v>26.21</v>
      </c>
      <c r="E11" s="54">
        <v>2.06</v>
      </c>
      <c r="F11" s="54">
        <v>5.31</v>
      </c>
      <c r="G11" s="54">
        <v>42.63</v>
      </c>
      <c r="H11" s="54">
        <v>15.93</v>
      </c>
      <c r="I11" s="54">
        <v>1.57</v>
      </c>
      <c r="J11" s="54">
        <v>2.0299999999999998</v>
      </c>
      <c r="K11" s="54">
        <v>345.05</v>
      </c>
      <c r="L11" s="54">
        <v>20.73</v>
      </c>
      <c r="M11" s="54">
        <v>81.37</v>
      </c>
      <c r="N11" s="54">
        <v>47.20</v>
      </c>
      <c r="O11" s="54">
        <v>0</v>
      </c>
      <c r="P11" s="54">
        <v>0.41</v>
      </c>
      <c r="Q11" s="54">
        <v>10.89</v>
      </c>
      <c r="R11" s="43"/>
      <c r="S11" s="43"/>
      <c r="T11" s="43"/>
      <c r="U11" s="43"/>
    </row>
    <row r="12" spans="1:21" s="11" customFormat="1" ht="15">
      <c r="A12" s="53" t="s">
        <v>473</v>
      </c>
      <c r="B12" s="54">
        <v>2.97</v>
      </c>
      <c r="C12" s="54">
        <v>46.31</v>
      </c>
      <c r="D12" s="54">
        <v>26.46</v>
      </c>
      <c r="E12" s="54">
        <v>2.29</v>
      </c>
      <c r="F12" s="54">
        <v>4.29</v>
      </c>
      <c r="G12" s="54">
        <v>42.63</v>
      </c>
      <c r="H12" s="54">
        <v>18.22</v>
      </c>
      <c r="I12" s="54">
        <v>1.56</v>
      </c>
      <c r="J12" s="54">
        <v>1.1000000000000001</v>
      </c>
      <c r="K12" s="54">
        <v>356.10</v>
      </c>
      <c r="L12" s="54">
        <v>20.64</v>
      </c>
      <c r="M12" s="54">
        <v>77.27</v>
      </c>
      <c r="N12" s="54">
        <v>47.10</v>
      </c>
      <c r="O12" s="54">
        <v>0</v>
      </c>
      <c r="P12" s="54">
        <v>0.39</v>
      </c>
      <c r="Q12" s="54">
        <v>10.89</v>
      </c>
      <c r="R12" s="43"/>
      <c r="S12" s="43"/>
      <c r="T12" s="43"/>
      <c r="U12" s="43"/>
    </row>
    <row r="13" spans="1:21" s="11" customFormat="1" ht="15">
      <c r="A13" s="53" t="s">
        <v>474</v>
      </c>
      <c r="B13" s="54">
        <v>4.68</v>
      </c>
      <c r="C13" s="54">
        <v>46.05</v>
      </c>
      <c r="D13" s="54">
        <v>27.73</v>
      </c>
      <c r="E13" s="54">
        <v>1.35</v>
      </c>
      <c r="F13" s="54">
        <v>4.1500000000000004</v>
      </c>
      <c r="G13" s="54">
        <v>42.64</v>
      </c>
      <c r="H13" s="54">
        <v>20.63</v>
      </c>
      <c r="I13" s="54">
        <v>1.54</v>
      </c>
      <c r="J13" s="54">
        <v>1.1599999999999999</v>
      </c>
      <c r="K13" s="54">
        <v>131.5</v>
      </c>
      <c r="L13" s="54">
        <v>20.399999999999999</v>
      </c>
      <c r="M13" s="54">
        <v>80.540000000000006</v>
      </c>
      <c r="N13" s="54">
        <v>47.40</v>
      </c>
      <c r="O13" s="54">
        <v>0</v>
      </c>
      <c r="P13" s="54">
        <v>0.41</v>
      </c>
      <c r="Q13" s="54">
        <v>10.86</v>
      </c>
      <c r="R13" s="43"/>
      <c r="S13" s="43"/>
      <c r="T13" s="43"/>
      <c r="U13" s="43"/>
    </row>
    <row r="14" spans="1:21" s="11" customFormat="1" ht="15">
      <c r="A14" s="53" t="s">
        <v>475</v>
      </c>
      <c r="B14" s="54">
        <v>5.38</v>
      </c>
      <c r="C14" s="54">
        <v>47.55</v>
      </c>
      <c r="D14" s="54">
        <v>28.99</v>
      </c>
      <c r="E14" s="54">
        <v>1.60</v>
      </c>
      <c r="F14" s="54">
        <v>3.74</v>
      </c>
      <c r="G14" s="54">
        <v>42.64</v>
      </c>
      <c r="H14" s="54">
        <v>20.63</v>
      </c>
      <c r="I14" s="54">
        <v>1.55</v>
      </c>
      <c r="J14" s="54">
        <v>0.84</v>
      </c>
      <c r="K14" s="54">
        <v>169.52</v>
      </c>
      <c r="L14" s="54">
        <v>20.28</v>
      </c>
      <c r="M14" s="54">
        <v>81.599999999999994</v>
      </c>
      <c r="N14" s="54">
        <v>48</v>
      </c>
      <c r="O14" s="54">
        <v>0</v>
      </c>
      <c r="P14" s="54">
        <v>0.41</v>
      </c>
      <c r="Q14" s="54">
        <v>10.87</v>
      </c>
      <c r="R14" s="43"/>
      <c r="S14" s="43"/>
      <c r="T14" s="43"/>
      <c r="U14" s="43"/>
    </row>
    <row r="15" spans="1:21" s="11" customFormat="1" ht="15">
      <c r="A15" s="53" t="s">
        <v>476</v>
      </c>
      <c r="B15" s="54">
        <v>5.0599999999999996</v>
      </c>
      <c r="C15" s="54">
        <v>49</v>
      </c>
      <c r="D15" s="54">
        <v>29.40</v>
      </c>
      <c r="E15" s="54">
        <v>1.39</v>
      </c>
      <c r="F15" s="54">
        <v>4.26</v>
      </c>
      <c r="G15" s="54">
        <v>39.520000000000003</v>
      </c>
      <c r="H15" s="54">
        <v>16.63</v>
      </c>
      <c r="I15" s="54">
        <v>1.55</v>
      </c>
      <c r="J15" s="54">
        <v>1.73</v>
      </c>
      <c r="K15" s="54">
        <v>165.10</v>
      </c>
      <c r="L15" s="54">
        <v>20.399999999999999</v>
      </c>
      <c r="M15" s="54">
        <v>80.819999999999993</v>
      </c>
      <c r="N15" s="54">
        <v>91.70</v>
      </c>
      <c r="O15" s="54">
        <v>0</v>
      </c>
      <c r="P15" s="54">
        <v>0.40</v>
      </c>
      <c r="Q15" s="54">
        <v>10.86</v>
      </c>
      <c r="R15" s="43"/>
      <c r="S15" s="43"/>
      <c r="T15" s="43"/>
      <c r="U15" s="43"/>
    </row>
    <row r="16" spans="1:21" s="11" customFormat="1" ht="15">
      <c r="A16" s="53" t="s">
        <v>477</v>
      </c>
      <c r="B16" s="54">
        <v>4.6100000000000003</v>
      </c>
      <c r="C16" s="54">
        <v>49.26</v>
      </c>
      <c r="D16" s="54">
        <v>29.02</v>
      </c>
      <c r="E16" s="54">
        <v>1.84</v>
      </c>
      <c r="F16" s="54">
        <v>4.13</v>
      </c>
      <c r="G16" s="54">
        <v>32.44</v>
      </c>
      <c r="H16" s="54">
        <v>16.559999999999999</v>
      </c>
      <c r="I16" s="54">
        <v>1.52</v>
      </c>
      <c r="J16" s="54">
        <v>1.40</v>
      </c>
      <c r="K16" s="54">
        <v>178.74</v>
      </c>
      <c r="L16" s="54">
        <v>20.77</v>
      </c>
      <c r="M16" s="54">
        <v>79.430000000000007</v>
      </c>
      <c r="N16" s="54">
        <v>107.70</v>
      </c>
      <c r="O16" s="54">
        <v>0</v>
      </c>
      <c r="P16" s="54">
        <v>0.39</v>
      </c>
      <c r="Q16" s="54">
        <v>10.83</v>
      </c>
      <c r="R16" s="43"/>
      <c r="S16" s="43"/>
      <c r="T16" s="43"/>
      <c r="U16" s="43"/>
    </row>
    <row r="17" spans="1:21" s="11" customFormat="1" ht="15">
      <c r="A17" s="53" t="s">
        <v>478</v>
      </c>
      <c r="B17" s="54">
        <v>4.1399999999999997</v>
      </c>
      <c r="C17" s="54">
        <v>49.29</v>
      </c>
      <c r="D17" s="54">
        <v>28.93</v>
      </c>
      <c r="E17" s="54">
        <v>2.0699999999999998</v>
      </c>
      <c r="F17" s="54">
        <v>4.3099999999999996</v>
      </c>
      <c r="G17" s="54">
        <v>34.57</v>
      </c>
      <c r="H17" s="54">
        <v>16.559999999999999</v>
      </c>
      <c r="I17" s="54">
        <v>1.57</v>
      </c>
      <c r="J17" s="54">
        <v>1.27</v>
      </c>
      <c r="K17" s="54">
        <v>179.09</v>
      </c>
      <c r="L17" s="54">
        <v>21.40</v>
      </c>
      <c r="M17" s="54">
        <v>78.22</v>
      </c>
      <c r="N17" s="54">
        <v>147.19999999999999</v>
      </c>
      <c r="O17" s="54">
        <v>0</v>
      </c>
      <c r="P17" s="54">
        <v>0.38</v>
      </c>
      <c r="Q17" s="54">
        <v>10.84</v>
      </c>
      <c r="R17" s="43"/>
      <c r="S17" s="43"/>
      <c r="T17" s="43"/>
      <c r="U17" s="43"/>
    </row>
    <row r="18" spans="1:21" s="11" customFormat="1" ht="15">
      <c r="A18" s="53" t="s">
        <v>479</v>
      </c>
      <c r="B18" s="54">
        <v>4.9800000000000004</v>
      </c>
      <c r="C18" s="54">
        <v>47.57</v>
      </c>
      <c r="D18" s="54">
        <v>28.73</v>
      </c>
      <c r="E18" s="54">
        <v>1.94</v>
      </c>
      <c r="F18" s="54">
        <v>4</v>
      </c>
      <c r="G18" s="54">
        <v>34.57</v>
      </c>
      <c r="H18" s="54">
        <v>14.46</v>
      </c>
      <c r="I18" s="54">
        <v>1.51</v>
      </c>
      <c r="J18" s="54">
        <v>1.37</v>
      </c>
      <c r="K18" s="54">
        <v>155.12</v>
      </c>
      <c r="L18" s="54">
        <v>24.47</v>
      </c>
      <c r="M18" s="54">
        <v>74.290000000000006</v>
      </c>
      <c r="N18" s="54">
        <v>610.10</v>
      </c>
      <c r="O18" s="54">
        <v>0</v>
      </c>
      <c r="P18" s="54">
        <v>0.39</v>
      </c>
      <c r="Q18" s="54">
        <v>10.84</v>
      </c>
      <c r="R18" s="43"/>
      <c r="S18" s="43"/>
      <c r="T18" s="43"/>
      <c r="U18" s="43"/>
    </row>
    <row r="19" spans="1:21" s="11" customFormat="1" ht="15">
      <c r="A19" s="53" t="s">
        <v>480</v>
      </c>
      <c r="B19" s="54">
        <v>4.99</v>
      </c>
      <c r="C19" s="54">
        <v>46.13</v>
      </c>
      <c r="D19" s="54">
        <v>28.02</v>
      </c>
      <c r="E19" s="54">
        <v>1.97</v>
      </c>
      <c r="F19" s="54">
        <v>5.23</v>
      </c>
      <c r="G19" s="54">
        <v>35.479999999999997</v>
      </c>
      <c r="H19" s="54">
        <v>16.04</v>
      </c>
      <c r="I19" s="54">
        <v>1.52</v>
      </c>
      <c r="J19" s="54">
        <v>1.5</v>
      </c>
      <c r="K19" s="54">
        <v>102.17</v>
      </c>
      <c r="L19" s="54">
        <v>26.90</v>
      </c>
      <c r="M19" s="54">
        <v>59.17</v>
      </c>
      <c r="N19" s="54">
        <v>723.70</v>
      </c>
      <c r="O19" s="54">
        <v>0</v>
      </c>
      <c r="P19" s="54">
        <v>0.39</v>
      </c>
      <c r="Q19" s="54">
        <v>10.82</v>
      </c>
      <c r="R19" s="43"/>
      <c r="S19" s="43"/>
      <c r="T19" s="43"/>
      <c r="U19" s="43"/>
    </row>
    <row r="20" spans="1:21" s="11" customFormat="1" ht="15">
      <c r="A20" s="53" t="s">
        <v>481</v>
      </c>
      <c r="B20" s="54">
        <v>2.83</v>
      </c>
      <c r="C20" s="54">
        <v>42.56</v>
      </c>
      <c r="D20" s="54">
        <v>24.42</v>
      </c>
      <c r="E20" s="54">
        <v>2.09</v>
      </c>
      <c r="F20" s="54">
        <v>8.1300000000000008</v>
      </c>
      <c r="G20" s="54">
        <v>37.950000000000003</v>
      </c>
      <c r="H20" s="54">
        <v>16.64</v>
      </c>
      <c r="I20" s="54">
        <v>1.51</v>
      </c>
      <c r="J20" s="54">
        <v>1.06</v>
      </c>
      <c r="K20" s="54">
        <v>129.34</v>
      </c>
      <c r="L20" s="54">
        <v>29.37</v>
      </c>
      <c r="M20" s="54">
        <v>48.38</v>
      </c>
      <c r="N20" s="54">
        <v>768.90</v>
      </c>
      <c r="O20" s="54">
        <v>0</v>
      </c>
      <c r="P20" s="54">
        <v>0.41</v>
      </c>
      <c r="Q20" s="54">
        <v>10.79</v>
      </c>
      <c r="R20" s="43"/>
      <c r="S20" s="43"/>
      <c r="T20" s="43"/>
      <c r="U20" s="43"/>
    </row>
    <row r="21" spans="1:21" s="11" customFormat="1" ht="15">
      <c r="A21" s="53" t="s">
        <v>482</v>
      </c>
      <c r="B21" s="54">
        <v>2.31</v>
      </c>
      <c r="C21" s="54">
        <v>37.700000000000003</v>
      </c>
      <c r="D21" s="54">
        <v>21.36</v>
      </c>
      <c r="E21" s="54">
        <v>1.5</v>
      </c>
      <c r="F21" s="54">
        <v>8.33</v>
      </c>
      <c r="G21" s="54">
        <v>37.950000000000003</v>
      </c>
      <c r="H21" s="54">
        <v>16.64</v>
      </c>
      <c r="I21" s="54">
        <v>1.54</v>
      </c>
      <c r="J21" s="54">
        <v>1.19</v>
      </c>
      <c r="K21" s="54">
        <v>187.84</v>
      </c>
      <c r="L21" s="54">
        <v>30.93</v>
      </c>
      <c r="M21" s="54">
        <v>44.88</v>
      </c>
      <c r="N21" s="54">
        <v>678.30</v>
      </c>
      <c r="O21" s="54">
        <v>0</v>
      </c>
      <c r="P21" s="54">
        <v>0.43</v>
      </c>
      <c r="Q21" s="54">
        <v>10.73</v>
      </c>
      <c r="R21" s="43"/>
      <c r="S21" s="43"/>
      <c r="T21" s="43"/>
      <c r="U21" s="43"/>
    </row>
    <row r="22" spans="1:21" s="11" customFormat="1" ht="15">
      <c r="A22" s="53" t="s">
        <v>483</v>
      </c>
      <c r="B22" s="54">
        <v>2.31</v>
      </c>
      <c r="C22" s="54">
        <v>44.73</v>
      </c>
      <c r="D22" s="54">
        <v>25.12</v>
      </c>
      <c r="E22" s="54">
        <v>2.06</v>
      </c>
      <c r="F22" s="54">
        <v>9.32</v>
      </c>
      <c r="G22" s="54">
        <v>44.38</v>
      </c>
      <c r="H22" s="54">
        <v>15.30</v>
      </c>
      <c r="I22" s="54">
        <v>1.53</v>
      </c>
      <c r="J22" s="54">
        <v>0.51</v>
      </c>
      <c r="K22" s="54">
        <v>330.62</v>
      </c>
      <c r="L22" s="54">
        <v>32.46</v>
      </c>
      <c r="M22" s="54">
        <v>40.36</v>
      </c>
      <c r="N22" s="54">
        <v>646.60</v>
      </c>
      <c r="O22" s="54">
        <v>0</v>
      </c>
      <c r="P22" s="54">
        <v>0.37</v>
      </c>
      <c r="Q22" s="54">
        <v>10.64</v>
      </c>
      <c r="R22" s="43"/>
      <c r="S22" s="43"/>
      <c r="T22" s="43"/>
      <c r="U22" s="43"/>
    </row>
    <row r="23" spans="1:21" s="11" customFormat="1" ht="15">
      <c r="A23" s="53" t="s">
        <v>484</v>
      </c>
      <c r="B23" s="54">
        <v>2.59</v>
      </c>
      <c r="C23" s="54">
        <v>37.78</v>
      </c>
      <c r="D23" s="54">
        <v>21.55</v>
      </c>
      <c r="E23" s="54">
        <v>1.47</v>
      </c>
      <c r="F23" s="54">
        <v>5.59</v>
      </c>
      <c r="G23" s="54">
        <v>44.38</v>
      </c>
      <c r="H23" s="54">
        <v>16.91</v>
      </c>
      <c r="I23" s="54">
        <v>1.54</v>
      </c>
      <c r="J23" s="54">
        <v>1.28</v>
      </c>
      <c r="K23" s="54">
        <v>158.19</v>
      </c>
      <c r="L23" s="54">
        <v>30.72</v>
      </c>
      <c r="M23" s="54">
        <v>40.72</v>
      </c>
      <c r="N23" s="54">
        <v>542.79999999999995</v>
      </c>
      <c r="O23" s="54">
        <v>0</v>
      </c>
      <c r="P23" s="54">
        <v>0.36</v>
      </c>
      <c r="Q23" s="54">
        <v>10.63</v>
      </c>
      <c r="R23" s="43"/>
      <c r="S23" s="43"/>
      <c r="T23" s="43"/>
      <c r="U23" s="43"/>
    </row>
    <row r="24" spans="1:21" s="11" customFormat="1" ht="15">
      <c r="A24" s="53" t="s">
        <v>485</v>
      </c>
      <c r="B24" s="54">
        <v>2.60</v>
      </c>
      <c r="C24" s="54">
        <v>39.96</v>
      </c>
      <c r="D24" s="54">
        <v>22.89</v>
      </c>
      <c r="E24" s="54">
        <v>1.39</v>
      </c>
      <c r="F24" s="54">
        <v>5.17</v>
      </c>
      <c r="G24" s="54">
        <v>40.07</v>
      </c>
      <c r="H24" s="54">
        <v>17</v>
      </c>
      <c r="I24" s="54">
        <v>1.54</v>
      </c>
      <c r="J24" s="54">
        <v>1.33</v>
      </c>
      <c r="K24" s="54">
        <v>172.46</v>
      </c>
      <c r="L24" s="54">
        <v>30.47</v>
      </c>
      <c r="M24" s="54">
        <v>41.65</v>
      </c>
      <c r="N24" s="54">
        <v>314.39999999999998</v>
      </c>
      <c r="O24" s="54">
        <v>0</v>
      </c>
      <c r="P24" s="54">
        <v>0.32</v>
      </c>
      <c r="Q24" s="54">
        <v>10.51</v>
      </c>
      <c r="R24" s="43"/>
      <c r="S24" s="43"/>
      <c r="T24" s="43"/>
      <c r="U24" s="43"/>
    </row>
    <row r="25" spans="1:21" s="11" customFormat="1" ht="15">
      <c r="A25" s="53" t="s">
        <v>486</v>
      </c>
      <c r="B25" s="54">
        <v>4.0599999999999996</v>
      </c>
      <c r="C25" s="54">
        <v>42.82</v>
      </c>
      <c r="D25" s="54">
        <v>25.54</v>
      </c>
      <c r="E25" s="54">
        <v>1.97</v>
      </c>
      <c r="F25" s="54">
        <v>4.92</v>
      </c>
      <c r="G25" s="54">
        <v>36.229999999999997</v>
      </c>
      <c r="H25" s="54">
        <v>17</v>
      </c>
      <c r="I25" s="54">
        <v>1.55</v>
      </c>
      <c r="J25" s="54">
        <v>0.66</v>
      </c>
      <c r="K25" s="54">
        <v>350.37</v>
      </c>
      <c r="L25" s="54">
        <v>31.89</v>
      </c>
      <c r="M25" s="54">
        <v>37.99</v>
      </c>
      <c r="N25" s="54">
        <v>202.10</v>
      </c>
      <c r="O25" s="54">
        <v>0</v>
      </c>
      <c r="P25" s="54">
        <v>0.38</v>
      </c>
      <c r="Q25" s="54">
        <v>10.43</v>
      </c>
      <c r="R25" s="43"/>
      <c r="S25" s="43"/>
      <c r="T25" s="43"/>
      <c r="U25" s="43"/>
    </row>
    <row r="26" spans="1:21" s="11" customFormat="1" ht="15">
      <c r="A26" s="53" t="s">
        <v>487</v>
      </c>
      <c r="B26" s="54">
        <v>3.57</v>
      </c>
      <c r="C26" s="54">
        <v>45.22</v>
      </c>
      <c r="D26" s="54">
        <v>25.71</v>
      </c>
      <c r="E26" s="54">
        <v>1.75</v>
      </c>
      <c r="F26" s="54">
        <v>5.0199999999999996</v>
      </c>
      <c r="G26" s="54">
        <v>30.17</v>
      </c>
      <c r="H26" s="54">
        <v>14.36</v>
      </c>
      <c r="I26" s="54">
        <v>1.52</v>
      </c>
      <c r="J26" s="54">
        <v>1.19</v>
      </c>
      <c r="K26" s="54">
        <v>167.15</v>
      </c>
      <c r="L26" s="54">
        <v>29.88</v>
      </c>
      <c r="M26" s="54">
        <v>36.03</v>
      </c>
      <c r="N26" s="54">
        <v>105.30</v>
      </c>
      <c r="O26" s="54">
        <v>0</v>
      </c>
      <c r="P26" s="54">
        <v>0.36</v>
      </c>
      <c r="Q26" s="54">
        <v>10.39</v>
      </c>
      <c r="R26" s="43"/>
      <c r="S26" s="43"/>
      <c r="T26" s="43"/>
      <c r="U26" s="43"/>
    </row>
    <row r="27" spans="1:21" s="11" customFormat="1" ht="15">
      <c r="A27" s="53" t="s">
        <v>488</v>
      </c>
      <c r="B27" s="54">
        <v>3.91</v>
      </c>
      <c r="C27" s="54">
        <v>51.52</v>
      </c>
      <c r="D27" s="54">
        <v>29.97</v>
      </c>
      <c r="E27" s="54">
        <v>1.72</v>
      </c>
      <c r="F27" s="54">
        <v>5.05</v>
      </c>
      <c r="G27" s="54">
        <v>57.44</v>
      </c>
      <c r="H27" s="54">
        <v>18.53</v>
      </c>
      <c r="I27" s="54">
        <v>1.55</v>
      </c>
      <c r="J27" s="54">
        <v>1.92</v>
      </c>
      <c r="K27" s="54">
        <v>328.87</v>
      </c>
      <c r="L27" s="54">
        <v>27.77</v>
      </c>
      <c r="M27" s="54">
        <v>60.56</v>
      </c>
      <c r="N27" s="54">
        <v>36.700000000000003</v>
      </c>
      <c r="O27" s="54">
        <v>0</v>
      </c>
      <c r="P27" s="54">
        <v>0.42</v>
      </c>
      <c r="Q27" s="54">
        <v>10.67</v>
      </c>
      <c r="R27" s="43"/>
      <c r="S27" s="43"/>
      <c r="T27" s="43"/>
      <c r="U27" s="43"/>
    </row>
    <row r="28" spans="1:21" s="11" customFormat="1" ht="15">
      <c r="A28" s="53" t="s">
        <v>489</v>
      </c>
      <c r="B28" s="54">
        <v>6.68</v>
      </c>
      <c r="C28" s="54">
        <v>51.08</v>
      </c>
      <c r="D28" s="54">
        <v>31.96</v>
      </c>
      <c r="E28" s="54">
        <v>1.84</v>
      </c>
      <c r="F28" s="54">
        <v>4.97</v>
      </c>
      <c r="G28" s="54">
        <v>73.400000000000006</v>
      </c>
      <c r="H28" s="54">
        <v>19.16</v>
      </c>
      <c r="I28" s="54">
        <v>1.58</v>
      </c>
      <c r="J28" s="54">
        <v>4.9800000000000004</v>
      </c>
      <c r="K28" s="54">
        <v>353.17</v>
      </c>
      <c r="L28" s="54">
        <v>25.03</v>
      </c>
      <c r="M28" s="54">
        <v>82.40</v>
      </c>
      <c r="N28" s="54">
        <v>45.70</v>
      </c>
      <c r="O28" s="54">
        <v>1.80</v>
      </c>
      <c r="P28" s="54">
        <v>0.55000000000000004</v>
      </c>
      <c r="Q28" s="54">
        <v>10.82</v>
      </c>
      <c r="R28" s="43"/>
      <c r="S28" s="43"/>
      <c r="T28" s="43"/>
      <c r="U28" s="43"/>
    </row>
    <row r="29" spans="1:21" s="11" customFormat="1" ht="15">
      <c r="A29" s="53" t="s">
        <v>490</v>
      </c>
      <c r="B29" s="54">
        <v>3.79</v>
      </c>
      <c r="C29" s="54">
        <v>44.91</v>
      </c>
      <c r="D29" s="54">
        <v>26.42</v>
      </c>
      <c r="E29" s="54">
        <v>1.23</v>
      </c>
      <c r="F29" s="54">
        <v>6.83</v>
      </c>
      <c r="G29" s="54">
        <v>73.400000000000006</v>
      </c>
      <c r="H29" s="54">
        <v>19.16</v>
      </c>
      <c r="I29" s="54">
        <v>1.53</v>
      </c>
      <c r="J29" s="54">
        <v>4.3099999999999996</v>
      </c>
      <c r="K29" s="54">
        <v>359.98</v>
      </c>
      <c r="L29" s="54">
        <v>17.98</v>
      </c>
      <c r="M29" s="54">
        <v>99.33</v>
      </c>
      <c r="N29" s="54">
        <v>33.90</v>
      </c>
      <c r="O29" s="54">
        <v>0.40</v>
      </c>
      <c r="P29" s="54">
        <v>0.5</v>
      </c>
      <c r="Q29" s="54">
        <v>10.75</v>
      </c>
      <c r="R29" s="43"/>
      <c r="S29" s="43"/>
      <c r="T29" s="43"/>
      <c r="U29" s="43"/>
    </row>
    <row r="30" spans="1:21" s="11" customFormat="1" ht="15">
      <c r="A30" s="53" t="s">
        <v>491</v>
      </c>
      <c r="B30" s="54">
        <v>6.14</v>
      </c>
      <c r="C30" s="54">
        <v>41.91</v>
      </c>
      <c r="D30" s="54">
        <v>26.22</v>
      </c>
      <c r="E30" s="54">
        <v>1.1200000000000001</v>
      </c>
      <c r="F30" s="54">
        <v>3.97</v>
      </c>
      <c r="G30" s="54">
        <v>14.29</v>
      </c>
      <c r="H30" s="54">
        <v>18.97</v>
      </c>
      <c r="I30" s="54">
        <v>1.55</v>
      </c>
      <c r="J30" s="54">
        <v>1.22</v>
      </c>
      <c r="K30" s="54">
        <v>359.01</v>
      </c>
      <c r="L30" s="54">
        <v>17.68</v>
      </c>
      <c r="M30" s="54">
        <v>99.33</v>
      </c>
      <c r="N30" s="54">
        <v>33</v>
      </c>
      <c r="O30" s="54">
        <v>0.60</v>
      </c>
      <c r="P30" s="54">
        <v>0.51</v>
      </c>
      <c r="Q30" s="54">
        <v>10.55</v>
      </c>
      <c r="R30" s="43"/>
      <c r="S30" s="43"/>
      <c r="T30" s="43"/>
      <c r="U30" s="43"/>
    </row>
    <row r="31" spans="1:21" s="11" customFormat="1" ht="15">
      <c r="A31" s="53" t="s">
        <v>492</v>
      </c>
      <c r="B31" s="54">
        <v>6.99</v>
      </c>
      <c r="C31" s="54">
        <v>40.24</v>
      </c>
      <c r="D31" s="54">
        <v>26.55</v>
      </c>
      <c r="E31" s="54">
        <v>1.1299999999999999</v>
      </c>
      <c r="F31" s="54">
        <v>3.52</v>
      </c>
      <c r="G31" s="54">
        <v>14.29</v>
      </c>
      <c r="H31" s="54">
        <v>16.93</v>
      </c>
      <c r="I31" s="54">
        <v>1.56</v>
      </c>
      <c r="J31" s="54">
        <v>0.85</v>
      </c>
      <c r="K31" s="54">
        <v>97.30</v>
      </c>
      <c r="L31" s="54">
        <v>18.100000000000001</v>
      </c>
      <c r="M31" s="54">
        <v>99.28</v>
      </c>
      <c r="N31" s="54">
        <v>33.90</v>
      </c>
      <c r="O31" s="54">
        <v>0</v>
      </c>
      <c r="P31" s="54">
        <v>0.5</v>
      </c>
      <c r="Q31" s="54">
        <v>10.53</v>
      </c>
      <c r="R31" s="43"/>
      <c r="S31" s="43"/>
      <c r="T31" s="43"/>
      <c r="U31" s="43"/>
    </row>
    <row r="32" spans="1:21" s="11" customFormat="1" ht="15">
      <c r="A32" s="53" t="s">
        <v>493</v>
      </c>
      <c r="B32" s="54">
        <v>7.47</v>
      </c>
      <c r="C32" s="54">
        <v>40.369999999999997</v>
      </c>
      <c r="D32" s="54">
        <v>26.81</v>
      </c>
      <c r="E32" s="54">
        <v>0.99</v>
      </c>
      <c r="F32" s="54">
        <v>3.5</v>
      </c>
      <c r="G32" s="54">
        <v>25.25</v>
      </c>
      <c r="H32" s="54">
        <v>13.89</v>
      </c>
      <c r="I32" s="54">
        <v>1.54</v>
      </c>
      <c r="J32" s="54">
        <v>1.42</v>
      </c>
      <c r="K32" s="54">
        <v>168.36</v>
      </c>
      <c r="L32" s="54">
        <v>18.47</v>
      </c>
      <c r="M32" s="54">
        <v>96.46</v>
      </c>
      <c r="N32" s="54">
        <v>33.60</v>
      </c>
      <c r="O32" s="54">
        <v>0</v>
      </c>
      <c r="P32" s="54">
        <v>0.47</v>
      </c>
      <c r="Q32" s="54">
        <v>10.57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2.3100000000000001</v>
      </c>
      <c r="C34" s="28">
        <f t="shared" si="0"/>
        <v>37.700000000000003</v>
      </c>
      <c r="D34" s="28">
        <f t="shared" si="0"/>
        <v>21.359999999999999</v>
      </c>
      <c r="E34" s="28">
        <f t="shared" si="0"/>
        <v>0.98999999999999999</v>
      </c>
      <c r="F34" s="28">
        <f t="shared" si="0"/>
        <v>3.5</v>
      </c>
      <c r="G34" s="28">
        <f t="shared" si="0"/>
        <v>14.289999999999999</v>
      </c>
      <c r="H34" s="28">
        <f t="shared" si="0"/>
        <v>13.890000000000001</v>
      </c>
      <c r="I34" s="28">
        <f t="shared" si="0"/>
        <v>1.51</v>
      </c>
      <c r="J34" s="28">
        <f t="shared" si="0"/>
        <v>0.51000000000000001</v>
      </c>
      <c r="K34" s="28">
        <f t="shared" si="0"/>
        <v>97.299999999999997</v>
      </c>
      <c r="L34" s="28">
        <f t="shared" si="0"/>
        <v>17.68</v>
      </c>
      <c r="M34" s="28">
        <f t="shared" si="0"/>
        <v>36.030000000000001</v>
      </c>
      <c r="N34" s="28">
        <f t="shared" si="0"/>
        <v>33</v>
      </c>
      <c r="O34" s="28">
        <f t="shared" si="0"/>
        <v>0</v>
      </c>
      <c r="P34" s="28">
        <f t="shared" si="0"/>
        <v>0.32000000000000001</v>
      </c>
      <c r="Q34" s="28">
        <f t="shared" si="0"/>
        <v>10.390000000000001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7.4699999999999998</v>
      </c>
      <c r="C35" s="29">
        <f t="shared" si="1"/>
        <v>54.689999999999998</v>
      </c>
      <c r="D35" s="29">
        <f t="shared" si="1"/>
        <v>31.960000000000001</v>
      </c>
      <c r="E35" s="29">
        <f t="shared" si="1"/>
        <v>2.29</v>
      </c>
      <c r="F35" s="29">
        <f t="shared" si="1"/>
        <v>9.3200000000000003</v>
      </c>
      <c r="G35" s="29">
        <f t="shared" si="1"/>
        <v>73.400000000000006</v>
      </c>
      <c r="H35" s="29">
        <f t="shared" si="1"/>
        <v>20.969999999999999</v>
      </c>
      <c r="I35" s="29">
        <f t="shared" si="1"/>
        <v>1.5800000000000001</v>
      </c>
      <c r="J35" s="29">
        <f t="shared" si="1"/>
        <v>4.9800000000000004</v>
      </c>
      <c r="K35" s="29">
        <f t="shared" si="1"/>
        <v>359.98000000000002</v>
      </c>
      <c r="L35" s="29">
        <f t="shared" si="1"/>
        <v>32.460000000000001</v>
      </c>
      <c r="M35" s="29">
        <f t="shared" si="1"/>
        <v>99.329999999999998</v>
      </c>
      <c r="N35" s="29">
        <f t="shared" si="1"/>
        <v>768.89999999999998</v>
      </c>
      <c r="O35" s="29">
        <f t="shared" si="1"/>
        <v>1.8</v>
      </c>
      <c r="P35" s="29">
        <f t="shared" si="1"/>
        <v>0.55000000000000004</v>
      </c>
      <c r="Q35" s="29">
        <f t="shared" si="1"/>
        <v>11.050000000000001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4.1920833333333336</v>
      </c>
      <c r="C36" s="28">
        <f t="shared" si="2"/>
        <v>45.533333333333331</v>
      </c>
      <c r="D36" s="28">
        <f t="shared" si="2"/>
        <v>26.965416666666666</v>
      </c>
      <c r="E36" s="28">
        <f t="shared" si="2"/>
        <v>1.7054166666666666</v>
      </c>
      <c r="F36" s="28">
        <f t="shared" si="2"/>
        <v>5.1870833333333337</v>
      </c>
      <c r="G36" s="28">
        <f t="shared" si="2"/>
        <v>41.68333333333333</v>
      </c>
      <c r="H36" s="28">
        <f t="shared" si="2"/>
        <v>17.265000000000004</v>
      </c>
      <c r="I36" s="28">
        <f t="shared" si="2"/>
        <v>1.5425000000000002</v>
      </c>
      <c r="J36" s="28">
        <f t="shared" si="2"/>
        <v>1.6208333333333336</v>
      </c>
      <c r="K36" s="28">
        <f t="shared" si="2"/>
        <v>235.67583333333337</v>
      </c>
      <c r="L36" s="28">
        <f t="shared" si="2"/>
        <v>24.133750000000003</v>
      </c>
      <c r="M36" s="28">
        <f t="shared" si="2"/>
        <v>69.611666666666665</v>
      </c>
      <c r="N36" s="28">
        <f t="shared" si="2"/>
        <v>226.6333333333333</v>
      </c>
      <c r="O36" s="28">
        <f t="shared" si="2"/>
        <v>0.11666666666666668</v>
      </c>
      <c r="P36" s="28">
        <f t="shared" si="2"/>
        <v>0.42291666666666666</v>
      </c>
      <c r="Q36" s="28">
        <f t="shared" si="2"/>
        <v>10.738749999999998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1.53488415981727</v>
      </c>
      <c r="C37" s="28">
        <f t="shared" si="3" ref="C37:Q37">STDEV(C9:C32)</f>
        <v>4.4542316632776213</v>
      </c>
      <c r="D37" s="28">
        <f t="shared" si="3"/>
        <v>2.700949879879889</v>
      </c>
      <c r="E37" s="28">
        <f t="shared" si="3"/>
        <v>0.37525619268031629</v>
      </c>
      <c r="F37" s="28">
        <f t="shared" si="3"/>
        <v>1.5318516194651388</v>
      </c>
      <c r="G37" s="28">
        <f t="shared" si="3"/>
        <v>15.495161002479266</v>
      </c>
      <c r="H37" s="28">
        <f t="shared" si="3"/>
        <v>1.9378876891223604</v>
      </c>
      <c r="I37" s="28">
        <f t="shared" si="3"/>
        <v>0.018939262186630019</v>
      </c>
      <c r="J37" s="28">
        <f t="shared" si="3"/>
        <v>1.0397864189829797</v>
      </c>
      <c r="K37" s="28">
        <f t="shared" si="3"/>
        <v>100.75406022314574</v>
      </c>
      <c r="L37" s="28">
        <f t="shared" si="3"/>
        <v>5.0727274307768964</v>
      </c>
      <c r="M37" s="28">
        <f t="shared" si="3"/>
        <v>21.096517674038406</v>
      </c>
      <c r="N37" s="28">
        <f t="shared" si="3"/>
        <v>267.1178239729764</v>
      </c>
      <c r="O37" s="28">
        <f t="shared" si="3"/>
        <v>0.38636169882487131</v>
      </c>
      <c r="P37" s="28">
        <f t="shared" si="3"/>
        <v>0.060897573783802124</v>
      </c>
      <c r="Q37" s="28">
        <f t="shared" si="3"/>
        <v>0.17331330012437016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6a95e31-ba57-444a-b25f-f064a3f06d78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494</v>
      </c>
      <c r="B9" s="54">
        <v>7.57</v>
      </c>
      <c r="C9" s="54">
        <v>39.46</v>
      </c>
      <c r="D9" s="54">
        <v>26.53</v>
      </c>
      <c r="E9" s="54">
        <v>1.76</v>
      </c>
      <c r="F9" s="54">
        <v>3.66</v>
      </c>
      <c r="G9" s="54">
        <v>25.25</v>
      </c>
      <c r="H9" s="54">
        <v>13.49</v>
      </c>
      <c r="I9" s="54">
        <v>1.53</v>
      </c>
      <c r="J9" s="54">
        <v>1.79</v>
      </c>
      <c r="K9" s="54">
        <v>358.06</v>
      </c>
      <c r="L9" s="54">
        <v>18.309999999999999</v>
      </c>
      <c r="M9" s="54">
        <v>99.16</v>
      </c>
      <c r="N9" s="54">
        <v>32.90</v>
      </c>
      <c r="O9" s="54">
        <v>0</v>
      </c>
      <c r="P9" s="54">
        <v>0.44</v>
      </c>
      <c r="Q9" s="54">
        <v>10.54</v>
      </c>
      <c r="R9" s="43"/>
      <c r="S9" s="43"/>
      <c r="T9" s="43"/>
      <c r="U9" s="43"/>
    </row>
    <row r="10" spans="1:21" s="11" customFormat="1" ht="15">
      <c r="A10" s="53" t="s">
        <v>495</v>
      </c>
      <c r="B10" s="54">
        <v>6.93</v>
      </c>
      <c r="C10" s="54">
        <v>37.700000000000003</v>
      </c>
      <c r="D10" s="54">
        <v>25.18</v>
      </c>
      <c r="E10" s="54">
        <v>1.84</v>
      </c>
      <c r="F10" s="54">
        <v>3.15</v>
      </c>
      <c r="G10" s="54">
        <v>19.16</v>
      </c>
      <c r="H10" s="54">
        <v>12.5</v>
      </c>
      <c r="I10" s="54">
        <v>1.5</v>
      </c>
      <c r="J10" s="54">
        <v>1.57</v>
      </c>
      <c r="K10" s="54">
        <v>90.66</v>
      </c>
      <c r="L10" s="54">
        <v>18.239999999999998</v>
      </c>
      <c r="M10" s="54">
        <v>97.78</v>
      </c>
      <c r="N10" s="54">
        <v>32.60</v>
      </c>
      <c r="O10" s="54">
        <v>0</v>
      </c>
      <c r="P10" s="54">
        <v>0.39</v>
      </c>
      <c r="Q10" s="54">
        <v>10.44</v>
      </c>
      <c r="R10" s="43"/>
      <c r="S10" s="43"/>
      <c r="T10" s="43"/>
      <c r="U10" s="43"/>
    </row>
    <row r="11" spans="1:21" s="11" customFormat="1" ht="15">
      <c r="A11" s="53" t="s">
        <v>496</v>
      </c>
      <c r="B11" s="54">
        <v>6.61</v>
      </c>
      <c r="C11" s="54">
        <v>36.08</v>
      </c>
      <c r="D11" s="54">
        <v>24.03</v>
      </c>
      <c r="E11" s="54">
        <v>1.82</v>
      </c>
      <c r="F11" s="54">
        <v>3.72</v>
      </c>
      <c r="G11" s="54">
        <v>19.18</v>
      </c>
      <c r="H11" s="54">
        <v>11.77</v>
      </c>
      <c r="I11" s="54">
        <v>1.51</v>
      </c>
      <c r="J11" s="54">
        <v>1.84</v>
      </c>
      <c r="K11" s="54">
        <v>101.38</v>
      </c>
      <c r="L11" s="54">
        <v>18.28</v>
      </c>
      <c r="M11" s="54">
        <v>92.60</v>
      </c>
      <c r="N11" s="54">
        <v>31.40</v>
      </c>
      <c r="O11" s="54">
        <v>0</v>
      </c>
      <c r="P11" s="54">
        <v>0.37</v>
      </c>
      <c r="Q11" s="54">
        <v>10.38</v>
      </c>
      <c r="R11" s="43"/>
      <c r="S11" s="43"/>
      <c r="T11" s="43"/>
      <c r="U11" s="43"/>
    </row>
    <row r="12" spans="1:21" s="11" customFormat="1" ht="15">
      <c r="A12" s="53" t="s">
        <v>497</v>
      </c>
      <c r="B12" s="54">
        <v>7.30</v>
      </c>
      <c r="C12" s="54">
        <v>37.270000000000003</v>
      </c>
      <c r="D12" s="54">
        <v>25.24</v>
      </c>
      <c r="E12" s="54">
        <v>1.40</v>
      </c>
      <c r="F12" s="54">
        <v>3.35</v>
      </c>
      <c r="G12" s="54">
        <v>19.18</v>
      </c>
      <c r="H12" s="54">
        <v>11.29</v>
      </c>
      <c r="I12" s="54">
        <v>1.56</v>
      </c>
      <c r="J12" s="54">
        <v>1.83</v>
      </c>
      <c r="K12" s="54">
        <v>98.82</v>
      </c>
      <c r="L12" s="54">
        <v>17.88</v>
      </c>
      <c r="M12" s="54">
        <v>95.02</v>
      </c>
      <c r="N12" s="54">
        <v>31.10</v>
      </c>
      <c r="O12" s="54">
        <v>0</v>
      </c>
      <c r="P12" s="54">
        <v>0.33</v>
      </c>
      <c r="Q12" s="54">
        <v>10.43</v>
      </c>
      <c r="R12" s="43"/>
      <c r="S12" s="43"/>
      <c r="T12" s="43"/>
      <c r="U12" s="43"/>
    </row>
    <row r="13" spans="1:21" s="11" customFormat="1" ht="15">
      <c r="A13" s="53" t="s">
        <v>498</v>
      </c>
      <c r="B13" s="54">
        <v>8.11</v>
      </c>
      <c r="C13" s="54">
        <v>37.22</v>
      </c>
      <c r="D13" s="54">
        <v>25.82</v>
      </c>
      <c r="E13" s="54">
        <v>1.37</v>
      </c>
      <c r="F13" s="54">
        <v>3.53</v>
      </c>
      <c r="G13" s="54">
        <v>16.34</v>
      </c>
      <c r="H13" s="54">
        <v>11.29</v>
      </c>
      <c r="I13" s="54">
        <v>1.48</v>
      </c>
      <c r="J13" s="54">
        <v>1.84</v>
      </c>
      <c r="K13" s="54">
        <v>98.38</v>
      </c>
      <c r="L13" s="54">
        <v>17.760000000000002</v>
      </c>
      <c r="M13" s="54">
        <v>96.83</v>
      </c>
      <c r="N13" s="54">
        <v>31.90</v>
      </c>
      <c r="O13" s="54">
        <v>0</v>
      </c>
      <c r="P13" s="54">
        <v>0.31</v>
      </c>
      <c r="Q13" s="54">
        <v>10.44</v>
      </c>
      <c r="R13" s="43"/>
      <c r="S13" s="43"/>
      <c r="T13" s="43"/>
      <c r="U13" s="43"/>
    </row>
    <row r="14" spans="1:21" s="11" customFormat="1" ht="15">
      <c r="A14" s="53" t="s">
        <v>499</v>
      </c>
      <c r="B14" s="54">
        <v>7.98</v>
      </c>
      <c r="C14" s="54">
        <v>37</v>
      </c>
      <c r="D14" s="54">
        <v>25.37</v>
      </c>
      <c r="E14" s="54">
        <v>1.54</v>
      </c>
      <c r="F14" s="54">
        <v>3.59</v>
      </c>
      <c r="G14" s="54">
        <v>27.69</v>
      </c>
      <c r="H14" s="54">
        <v>9.27</v>
      </c>
      <c r="I14" s="54">
        <v>1.53</v>
      </c>
      <c r="J14" s="54">
        <v>0.95</v>
      </c>
      <c r="K14" s="54">
        <v>154.61000000000001</v>
      </c>
      <c r="L14" s="54">
        <v>18.07</v>
      </c>
      <c r="M14" s="54">
        <v>94.27</v>
      </c>
      <c r="N14" s="54">
        <v>32.60</v>
      </c>
      <c r="O14" s="54">
        <v>0</v>
      </c>
      <c r="P14" s="54">
        <v>0.28999999999999998</v>
      </c>
      <c r="Q14" s="54">
        <v>10.40</v>
      </c>
      <c r="R14" s="43"/>
      <c r="S14" s="43"/>
      <c r="T14" s="43"/>
      <c r="U14" s="43"/>
    </row>
    <row r="15" spans="1:21" s="11" customFormat="1" ht="15">
      <c r="A15" s="53" t="s">
        <v>500</v>
      </c>
      <c r="B15" s="54">
        <v>7.47</v>
      </c>
      <c r="C15" s="54">
        <v>38.409999999999997</v>
      </c>
      <c r="D15" s="54">
        <v>25.94</v>
      </c>
      <c r="E15" s="54">
        <v>1.43</v>
      </c>
      <c r="F15" s="54">
        <v>3.49</v>
      </c>
      <c r="G15" s="54">
        <v>27.69</v>
      </c>
      <c r="H15" s="54">
        <v>9.09</v>
      </c>
      <c r="I15" s="54">
        <v>1.56</v>
      </c>
      <c r="J15" s="54">
        <v>0.90</v>
      </c>
      <c r="K15" s="54">
        <v>178</v>
      </c>
      <c r="L15" s="54">
        <v>18.690000000000001</v>
      </c>
      <c r="M15" s="54">
        <v>92.49</v>
      </c>
      <c r="N15" s="54">
        <v>144</v>
      </c>
      <c r="O15" s="54">
        <v>0</v>
      </c>
      <c r="P15" s="54">
        <v>0.28000000000000003</v>
      </c>
      <c r="Q15" s="54">
        <v>10.43</v>
      </c>
      <c r="R15" s="43"/>
      <c r="S15" s="43"/>
      <c r="T15" s="43"/>
      <c r="U15" s="43"/>
    </row>
    <row r="16" spans="1:21" s="11" customFormat="1" ht="15">
      <c r="A16" s="53" t="s">
        <v>501</v>
      </c>
      <c r="B16" s="54">
        <v>7.96</v>
      </c>
      <c r="C16" s="54">
        <v>39.299999999999997</v>
      </c>
      <c r="D16" s="54">
        <v>26.58</v>
      </c>
      <c r="E16" s="54">
        <v>2.16</v>
      </c>
      <c r="F16" s="54">
        <v>3.88</v>
      </c>
      <c r="G16" s="54">
        <v>11.39</v>
      </c>
      <c r="H16" s="54">
        <v>9.4600000000000009</v>
      </c>
      <c r="I16" s="54">
        <v>1.58</v>
      </c>
      <c r="J16" s="54">
        <v>0.56000000000000005</v>
      </c>
      <c r="K16" s="54">
        <v>152.44</v>
      </c>
      <c r="L16" s="54">
        <v>19.440000000000001</v>
      </c>
      <c r="M16" s="54">
        <v>82.73</v>
      </c>
      <c r="N16" s="54">
        <v>198</v>
      </c>
      <c r="O16" s="54">
        <v>0</v>
      </c>
      <c r="P16" s="54">
        <v>0.28000000000000003</v>
      </c>
      <c r="Q16" s="54">
        <v>10.51</v>
      </c>
      <c r="R16" s="43"/>
      <c r="S16" s="43"/>
      <c r="T16" s="43"/>
      <c r="U16" s="43"/>
    </row>
    <row r="17" spans="1:21" s="11" customFormat="1" ht="15">
      <c r="A17" s="53" t="s">
        <v>502</v>
      </c>
      <c r="B17" s="54">
        <v>8.5500000000000007</v>
      </c>
      <c r="C17" s="54">
        <v>40.82</v>
      </c>
      <c r="D17" s="54">
        <v>27.78</v>
      </c>
      <c r="E17" s="54">
        <v>1.05</v>
      </c>
      <c r="F17" s="54">
        <v>3.96</v>
      </c>
      <c r="G17" s="54">
        <v>26.51</v>
      </c>
      <c r="H17" s="54">
        <v>9.4600000000000009</v>
      </c>
      <c r="I17" s="54">
        <v>1.52</v>
      </c>
      <c r="J17" s="54">
        <v>1.75</v>
      </c>
      <c r="K17" s="54">
        <v>324.31</v>
      </c>
      <c r="L17" s="54">
        <v>19.39</v>
      </c>
      <c r="M17" s="54">
        <v>99.42</v>
      </c>
      <c r="N17" s="54">
        <v>133.5</v>
      </c>
      <c r="O17" s="54">
        <v>0.80</v>
      </c>
      <c r="P17" s="54">
        <v>0.31</v>
      </c>
      <c r="Q17" s="54">
        <v>10.55</v>
      </c>
      <c r="R17" s="43"/>
      <c r="S17" s="43"/>
      <c r="T17" s="43"/>
      <c r="U17" s="43"/>
    </row>
    <row r="18" spans="1:21" s="11" customFormat="1" ht="15">
      <c r="A18" s="53" t="s">
        <v>503</v>
      </c>
      <c r="B18" s="54">
        <v>9.2799999999999994</v>
      </c>
      <c r="C18" s="54">
        <v>43.85</v>
      </c>
      <c r="D18" s="54">
        <v>30.14</v>
      </c>
      <c r="E18" s="54">
        <v>0.99</v>
      </c>
      <c r="F18" s="54">
        <v>3.56</v>
      </c>
      <c r="G18" s="54">
        <v>26.51</v>
      </c>
      <c r="H18" s="54">
        <v>8.8699999999999992</v>
      </c>
      <c r="I18" s="54">
        <v>1.56</v>
      </c>
      <c r="J18" s="54">
        <v>2.37</v>
      </c>
      <c r="K18" s="54">
        <v>135.10</v>
      </c>
      <c r="L18" s="54">
        <v>19.72</v>
      </c>
      <c r="M18" s="54">
        <v>99.27</v>
      </c>
      <c r="N18" s="54">
        <v>286.10000000000002</v>
      </c>
      <c r="O18" s="54">
        <v>0</v>
      </c>
      <c r="P18" s="54">
        <v>0.33</v>
      </c>
      <c r="Q18" s="54">
        <v>10.65</v>
      </c>
      <c r="R18" s="43"/>
      <c r="S18" s="43"/>
      <c r="T18" s="43"/>
      <c r="U18" s="43"/>
    </row>
    <row r="19" spans="1:21" s="11" customFormat="1" ht="15">
      <c r="A19" s="53" t="s">
        <v>504</v>
      </c>
      <c r="B19" s="54">
        <v>8.48</v>
      </c>
      <c r="C19" s="54">
        <v>47.12</v>
      </c>
      <c r="D19" s="54">
        <v>30.14</v>
      </c>
      <c r="E19" s="54">
        <v>0.91</v>
      </c>
      <c r="F19" s="54">
        <v>15.01</v>
      </c>
      <c r="G19" s="54">
        <v>23.90</v>
      </c>
      <c r="H19" s="54">
        <v>9.9700000000000006</v>
      </c>
      <c r="I19" s="54">
        <v>1.55</v>
      </c>
      <c r="J19" s="54">
        <v>1.60</v>
      </c>
      <c r="K19" s="54">
        <v>167.24</v>
      </c>
      <c r="L19" s="54">
        <v>23.69</v>
      </c>
      <c r="M19" s="54">
        <v>81.34</v>
      </c>
      <c r="N19" s="54">
        <v>861.90</v>
      </c>
      <c r="O19" s="54">
        <v>0</v>
      </c>
      <c r="P19" s="54">
        <v>0.34</v>
      </c>
      <c r="Q19" s="54">
        <v>10.67</v>
      </c>
      <c r="R19" s="43"/>
      <c r="S19" s="43"/>
      <c r="T19" s="43"/>
      <c r="U19" s="43"/>
    </row>
    <row r="20" spans="1:21" s="11" customFormat="1" ht="15">
      <c r="A20" s="53" t="s">
        <v>505</v>
      </c>
      <c r="B20" s="54">
        <v>2.3199999999999998</v>
      </c>
      <c r="C20" s="54">
        <v>38.97</v>
      </c>
      <c r="D20" s="54">
        <v>22.14</v>
      </c>
      <c r="E20" s="54">
        <v>1.96</v>
      </c>
      <c r="F20" s="54">
        <v>27.07</v>
      </c>
      <c r="G20" s="54">
        <v>23.90</v>
      </c>
      <c r="H20" s="54">
        <v>9.9700000000000006</v>
      </c>
      <c r="I20" s="57" t="s">
        <v>14</v>
      </c>
      <c r="J20" s="54">
        <v>1.25</v>
      </c>
      <c r="K20" s="54">
        <v>135.41999999999999</v>
      </c>
      <c r="L20" s="54">
        <v>26.97</v>
      </c>
      <c r="M20" s="54">
        <v>50.95</v>
      </c>
      <c r="N20" s="54">
        <v>904.40</v>
      </c>
      <c r="O20" s="54">
        <v>0</v>
      </c>
      <c r="P20" s="54">
        <v>0.25</v>
      </c>
      <c r="Q20" s="54">
        <v>10.51</v>
      </c>
      <c r="R20" s="43"/>
      <c r="S20" s="43"/>
      <c r="T20" s="43"/>
      <c r="U20" s="43"/>
    </row>
    <row r="21" spans="1:21" s="11" customFormat="1" ht="15">
      <c r="A21" s="53" t="s">
        <v>506</v>
      </c>
      <c r="B21" s="54">
        <v>4.66</v>
      </c>
      <c r="C21" s="54">
        <v>33.590000000000003</v>
      </c>
      <c r="D21" s="54">
        <v>21.21</v>
      </c>
      <c r="E21" s="54">
        <v>2.85</v>
      </c>
      <c r="F21" s="54">
        <v>6.69</v>
      </c>
      <c r="G21" s="54">
        <v>19.80</v>
      </c>
      <c r="H21" s="54">
        <v>7.21</v>
      </c>
      <c r="I21" s="57" t="s">
        <v>14</v>
      </c>
      <c r="J21" s="54">
        <v>1.0900000000000001</v>
      </c>
      <c r="K21" s="54">
        <v>102.22</v>
      </c>
      <c r="L21" s="54">
        <v>26.80</v>
      </c>
      <c r="M21" s="54">
        <v>65.20</v>
      </c>
      <c r="N21" s="54">
        <v>244.80</v>
      </c>
      <c r="O21" s="54">
        <v>0</v>
      </c>
      <c r="P21" s="54">
        <v>0.40</v>
      </c>
      <c r="Q21" s="54">
        <v>10.54</v>
      </c>
      <c r="R21" s="43"/>
      <c r="S21" s="43"/>
      <c r="T21" s="43"/>
      <c r="U21" s="43"/>
    </row>
    <row r="22" spans="1:21" s="11" customFormat="1" ht="15">
      <c r="A22" s="53" t="s">
        <v>507</v>
      </c>
      <c r="B22" s="54">
        <v>4.8899999999999997</v>
      </c>
      <c r="C22" s="54">
        <v>45.09</v>
      </c>
      <c r="D22" s="54">
        <v>26.42</v>
      </c>
      <c r="E22" s="54">
        <v>3.48</v>
      </c>
      <c r="F22" s="54">
        <v>7.46</v>
      </c>
      <c r="G22" s="54">
        <v>40.409999999999997</v>
      </c>
      <c r="H22" s="54">
        <v>8.42</v>
      </c>
      <c r="I22" s="57" t="s">
        <v>14</v>
      </c>
      <c r="J22" s="54">
        <v>1.45</v>
      </c>
      <c r="K22" s="54">
        <v>102.87</v>
      </c>
      <c r="L22" s="54">
        <v>22.80</v>
      </c>
      <c r="M22" s="54">
        <v>74.25</v>
      </c>
      <c r="N22" s="54">
        <v>210.90</v>
      </c>
      <c r="O22" s="54">
        <v>0.20</v>
      </c>
      <c r="P22" s="54">
        <v>0.49</v>
      </c>
      <c r="Q22" s="54">
        <v>10.56</v>
      </c>
      <c r="R22" s="43"/>
      <c r="S22" s="43"/>
      <c r="T22" s="43"/>
      <c r="U22" s="43"/>
    </row>
    <row r="23" spans="1:21" s="11" customFormat="1" ht="15">
      <c r="A23" s="53" t="s">
        <v>508</v>
      </c>
      <c r="B23" s="54">
        <v>4.88</v>
      </c>
      <c r="C23" s="54">
        <v>39.89</v>
      </c>
      <c r="D23" s="54">
        <v>23.42</v>
      </c>
      <c r="E23" s="54">
        <v>2.85</v>
      </c>
      <c r="F23" s="54">
        <v>4.53</v>
      </c>
      <c r="G23" s="54">
        <v>40.409999999999997</v>
      </c>
      <c r="H23" s="54">
        <v>9.1999999999999993</v>
      </c>
      <c r="I23" s="57" t="s">
        <v>14</v>
      </c>
      <c r="J23" s="54">
        <v>1.62</v>
      </c>
      <c r="K23" s="54">
        <v>96.55</v>
      </c>
      <c r="L23" s="54">
        <v>22.33</v>
      </c>
      <c r="M23" s="54">
        <v>89.71</v>
      </c>
      <c r="N23" s="54">
        <v>196</v>
      </c>
      <c r="O23" s="54">
        <v>3</v>
      </c>
      <c r="P23" s="54">
        <v>0.45</v>
      </c>
      <c r="Q23" s="54">
        <v>10.38</v>
      </c>
      <c r="R23" s="43"/>
      <c r="S23" s="43"/>
      <c r="T23" s="43"/>
      <c r="U23" s="43"/>
    </row>
    <row r="24" spans="1:21" s="11" customFormat="1" ht="15">
      <c r="A24" s="53" t="s">
        <v>509</v>
      </c>
      <c r="B24" s="54">
        <v>5.37</v>
      </c>
      <c r="C24" s="54">
        <v>40.15</v>
      </c>
      <c r="D24" s="54">
        <v>23.31</v>
      </c>
      <c r="E24" s="54">
        <v>2.79</v>
      </c>
      <c r="F24" s="54">
        <v>10.119999999999999</v>
      </c>
      <c r="G24" s="54">
        <v>35.409999999999997</v>
      </c>
      <c r="H24" s="54">
        <v>9.32</v>
      </c>
      <c r="I24" s="54">
        <v>5.08</v>
      </c>
      <c r="J24" s="54">
        <v>1.71</v>
      </c>
      <c r="K24" s="54">
        <v>157.88999999999999</v>
      </c>
      <c r="L24" s="54">
        <v>18.809999999999999</v>
      </c>
      <c r="M24" s="54">
        <v>99.56</v>
      </c>
      <c r="N24" s="54">
        <v>106.40</v>
      </c>
      <c r="O24" s="54">
        <v>1.80</v>
      </c>
      <c r="P24" s="54">
        <v>0.44</v>
      </c>
      <c r="Q24" s="54">
        <v>10.39</v>
      </c>
      <c r="R24" s="43"/>
      <c r="S24" s="43"/>
      <c r="T24" s="43"/>
      <c r="U24" s="43"/>
    </row>
    <row r="25" spans="1:21" s="11" customFormat="1" ht="15">
      <c r="A25" s="53" t="s">
        <v>510</v>
      </c>
      <c r="B25" s="54">
        <v>5.84</v>
      </c>
      <c r="C25" s="54">
        <v>43.56</v>
      </c>
      <c r="D25" s="54">
        <v>27.37</v>
      </c>
      <c r="E25" s="54">
        <v>2.52</v>
      </c>
      <c r="F25" s="54">
        <v>3.84</v>
      </c>
      <c r="G25" s="54">
        <v>44.47</v>
      </c>
      <c r="H25" s="54">
        <v>9.60</v>
      </c>
      <c r="I25" s="54">
        <v>5</v>
      </c>
      <c r="J25" s="54">
        <v>0.67</v>
      </c>
      <c r="K25" s="54">
        <v>103.90</v>
      </c>
      <c r="L25" s="54">
        <v>19.21</v>
      </c>
      <c r="M25" s="54">
        <v>99.63</v>
      </c>
      <c r="N25" s="54">
        <v>116</v>
      </c>
      <c r="O25" s="54">
        <v>0</v>
      </c>
      <c r="P25" s="54">
        <v>0.45</v>
      </c>
      <c r="Q25" s="54">
        <v>10.5</v>
      </c>
      <c r="R25" s="43"/>
      <c r="S25" s="43"/>
      <c r="T25" s="43"/>
      <c r="U25" s="43"/>
    </row>
    <row r="26" spans="1:21" s="11" customFormat="1" ht="15">
      <c r="A26" s="53" t="s">
        <v>511</v>
      </c>
      <c r="B26" s="54">
        <v>8.18</v>
      </c>
      <c r="C26" s="54">
        <v>42.56</v>
      </c>
      <c r="D26" s="54">
        <v>27.71</v>
      </c>
      <c r="E26" s="54">
        <v>2.36</v>
      </c>
      <c r="F26" s="54">
        <v>3.56</v>
      </c>
      <c r="G26" s="54">
        <v>44.47</v>
      </c>
      <c r="H26" s="54">
        <v>9.60</v>
      </c>
      <c r="I26" s="54">
        <v>5.08</v>
      </c>
      <c r="J26" s="54">
        <v>1.72</v>
      </c>
      <c r="K26" s="54">
        <v>162.04</v>
      </c>
      <c r="L26" s="54">
        <v>18.82</v>
      </c>
      <c r="M26" s="54">
        <v>99.39</v>
      </c>
      <c r="N26" s="54">
        <v>49.20</v>
      </c>
      <c r="O26" s="54">
        <v>0</v>
      </c>
      <c r="P26" s="54">
        <v>0.45</v>
      </c>
      <c r="Q26" s="54">
        <v>10.52</v>
      </c>
      <c r="R26" s="43"/>
      <c r="S26" s="43"/>
      <c r="T26" s="43"/>
      <c r="U26" s="43"/>
    </row>
    <row r="27" spans="1:21" s="11" customFormat="1" ht="15">
      <c r="A27" s="53" t="s">
        <v>512</v>
      </c>
      <c r="B27" s="54">
        <v>9.26</v>
      </c>
      <c r="C27" s="54">
        <v>39.5</v>
      </c>
      <c r="D27" s="54">
        <v>27.41</v>
      </c>
      <c r="E27" s="54">
        <v>2.31</v>
      </c>
      <c r="F27" s="54">
        <v>3.66</v>
      </c>
      <c r="G27" s="54">
        <v>24.04</v>
      </c>
      <c r="H27" s="54">
        <v>11.03</v>
      </c>
      <c r="I27" s="54">
        <v>5.04</v>
      </c>
      <c r="J27" s="54">
        <v>1.32</v>
      </c>
      <c r="K27" s="54">
        <v>357.29</v>
      </c>
      <c r="L27" s="54">
        <v>18.53</v>
      </c>
      <c r="M27" s="54">
        <v>99.62</v>
      </c>
      <c r="N27" s="54">
        <v>37.60</v>
      </c>
      <c r="O27" s="54">
        <v>0</v>
      </c>
      <c r="P27" s="54">
        <v>0.47</v>
      </c>
      <c r="Q27" s="54">
        <v>10.40</v>
      </c>
      <c r="R27" s="43"/>
      <c r="S27" s="43"/>
      <c r="T27" s="43"/>
      <c r="U27" s="43"/>
    </row>
    <row r="28" spans="1:21" s="11" customFormat="1" ht="15">
      <c r="A28" s="53" t="s">
        <v>513</v>
      </c>
      <c r="B28" s="54">
        <v>11.09</v>
      </c>
      <c r="C28" s="54">
        <v>35.880000000000003</v>
      </c>
      <c r="D28" s="54">
        <v>27.19</v>
      </c>
      <c r="E28" s="54">
        <v>2.33</v>
      </c>
      <c r="F28" s="54">
        <v>3.54</v>
      </c>
      <c r="G28" s="54">
        <v>32.200000000000003</v>
      </c>
      <c r="H28" s="54">
        <v>11.03</v>
      </c>
      <c r="I28" s="54">
        <v>5.0199999999999996</v>
      </c>
      <c r="J28" s="54">
        <v>2.61</v>
      </c>
      <c r="K28" s="54">
        <v>357.20</v>
      </c>
      <c r="L28" s="54">
        <v>18.47</v>
      </c>
      <c r="M28" s="54">
        <v>99.65</v>
      </c>
      <c r="N28" s="54">
        <v>37.90</v>
      </c>
      <c r="O28" s="54">
        <v>0</v>
      </c>
      <c r="P28" s="54">
        <v>0.51</v>
      </c>
      <c r="Q28" s="54">
        <v>10.46</v>
      </c>
      <c r="R28" s="43"/>
      <c r="S28" s="43"/>
      <c r="T28" s="43"/>
      <c r="U28" s="43"/>
    </row>
    <row r="29" spans="1:21" s="11" customFormat="1" ht="15">
      <c r="A29" s="53" t="s">
        <v>514</v>
      </c>
      <c r="B29" s="54">
        <v>10.5</v>
      </c>
      <c r="C29" s="54">
        <v>36.24</v>
      </c>
      <c r="D29" s="54">
        <v>27.23</v>
      </c>
      <c r="E29" s="54">
        <v>0.97</v>
      </c>
      <c r="F29" s="54">
        <v>3.46</v>
      </c>
      <c r="G29" s="54">
        <v>37.11</v>
      </c>
      <c r="H29" s="54">
        <v>12.09</v>
      </c>
      <c r="I29" s="54">
        <v>5.04</v>
      </c>
      <c r="J29" s="54">
        <v>2.36</v>
      </c>
      <c r="K29" s="54">
        <v>104.55</v>
      </c>
      <c r="L29" s="54">
        <v>17.57</v>
      </c>
      <c r="M29" s="54">
        <v>94.24</v>
      </c>
      <c r="N29" s="54">
        <v>37.10</v>
      </c>
      <c r="O29" s="54">
        <v>0</v>
      </c>
      <c r="P29" s="54">
        <v>0.53</v>
      </c>
      <c r="Q29" s="54">
        <v>10.41</v>
      </c>
      <c r="R29" s="43"/>
      <c r="S29" s="43"/>
      <c r="T29" s="43"/>
      <c r="U29" s="43"/>
    </row>
    <row r="30" spans="1:21" s="11" customFormat="1" ht="15">
      <c r="A30" s="53" t="s">
        <v>515</v>
      </c>
      <c r="B30" s="54">
        <v>10.47</v>
      </c>
      <c r="C30" s="54">
        <v>42.21</v>
      </c>
      <c r="D30" s="54">
        <v>30.26</v>
      </c>
      <c r="E30" s="54">
        <v>0.82</v>
      </c>
      <c r="F30" s="54">
        <v>3.67</v>
      </c>
      <c r="G30" s="54">
        <v>37.11</v>
      </c>
      <c r="H30" s="54">
        <v>12.82</v>
      </c>
      <c r="I30" s="54">
        <v>5.03</v>
      </c>
      <c r="J30" s="54">
        <v>1.54</v>
      </c>
      <c r="K30" s="54">
        <v>327.02999999999997</v>
      </c>
      <c r="L30" s="54">
        <v>17.43</v>
      </c>
      <c r="M30" s="54">
        <v>99.66</v>
      </c>
      <c r="N30" s="54">
        <v>38.700000000000003</v>
      </c>
      <c r="O30" s="54">
        <v>0.80</v>
      </c>
      <c r="P30" s="54">
        <v>0.52</v>
      </c>
      <c r="Q30" s="54">
        <v>10.48</v>
      </c>
      <c r="R30" s="43"/>
      <c r="S30" s="43"/>
      <c r="T30" s="43"/>
      <c r="U30" s="43"/>
    </row>
    <row r="31" spans="1:21" s="11" customFormat="1" ht="15">
      <c r="A31" s="53" t="s">
        <v>516</v>
      </c>
      <c r="B31" s="54">
        <v>9.81</v>
      </c>
      <c r="C31" s="54">
        <v>42.30</v>
      </c>
      <c r="D31" s="54">
        <v>29.89</v>
      </c>
      <c r="E31" s="54">
        <v>1</v>
      </c>
      <c r="F31" s="54">
        <v>3.35</v>
      </c>
      <c r="G31" s="54">
        <v>27.11</v>
      </c>
      <c r="H31" s="54">
        <v>12.82</v>
      </c>
      <c r="I31" s="54">
        <v>5.07</v>
      </c>
      <c r="J31" s="54">
        <v>1.83</v>
      </c>
      <c r="K31" s="54">
        <v>356.88</v>
      </c>
      <c r="L31" s="54">
        <v>15.63</v>
      </c>
      <c r="M31" s="54">
        <v>99.75</v>
      </c>
      <c r="N31" s="54">
        <v>38.60</v>
      </c>
      <c r="O31" s="54">
        <v>4.5999999999999996</v>
      </c>
      <c r="P31" s="54">
        <v>0.48</v>
      </c>
      <c r="Q31" s="54">
        <v>10.53</v>
      </c>
      <c r="R31" s="43"/>
      <c r="S31" s="43"/>
      <c r="T31" s="43"/>
      <c r="U31" s="43"/>
    </row>
    <row r="32" spans="1:21" s="11" customFormat="1" ht="15">
      <c r="A32" s="53" t="s">
        <v>517</v>
      </c>
      <c r="B32" s="54">
        <v>9.75</v>
      </c>
      <c r="C32" s="54">
        <v>36.25</v>
      </c>
      <c r="D32" s="54">
        <v>26.68</v>
      </c>
      <c r="E32" s="54">
        <v>1.5</v>
      </c>
      <c r="F32" s="54">
        <v>4.05</v>
      </c>
      <c r="G32" s="54">
        <v>23.52</v>
      </c>
      <c r="H32" s="54">
        <v>10.80</v>
      </c>
      <c r="I32" s="54">
        <v>5.01</v>
      </c>
      <c r="J32" s="54">
        <v>2.25</v>
      </c>
      <c r="K32" s="54">
        <v>168.61</v>
      </c>
      <c r="L32" s="54">
        <v>15.01</v>
      </c>
      <c r="M32" s="54">
        <v>100.08</v>
      </c>
      <c r="N32" s="54">
        <v>41.40</v>
      </c>
      <c r="O32" s="54">
        <v>0.60</v>
      </c>
      <c r="P32" s="54">
        <v>0.45</v>
      </c>
      <c r="Q32" s="54">
        <v>10.44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2.3199999999999998</v>
      </c>
      <c r="C34" s="28">
        <f t="shared" si="0"/>
        <v>33.590000000000003</v>
      </c>
      <c r="D34" s="28">
        <f t="shared" si="0"/>
        <v>21.210000000000001</v>
      </c>
      <c r="E34" s="28">
        <f t="shared" si="0"/>
        <v>0.81999999999999995</v>
      </c>
      <c r="F34" s="28">
        <f t="shared" si="0"/>
        <v>3.1499999999999999</v>
      </c>
      <c r="G34" s="28">
        <f t="shared" si="0"/>
        <v>11.390000000000001</v>
      </c>
      <c r="H34" s="28">
        <f t="shared" si="0"/>
        <v>7.21</v>
      </c>
      <c r="I34" s="28">
        <f t="shared" si="0"/>
        <v>1.48</v>
      </c>
      <c r="J34" s="28">
        <f t="shared" si="0"/>
        <v>0.56000000000000005</v>
      </c>
      <c r="K34" s="28">
        <f t="shared" si="0"/>
        <v>90.659999999999997</v>
      </c>
      <c r="L34" s="28">
        <f t="shared" si="0"/>
        <v>15.01</v>
      </c>
      <c r="M34" s="28">
        <f t="shared" si="0"/>
        <v>50.950000000000003</v>
      </c>
      <c r="N34" s="28">
        <f t="shared" si="0"/>
        <v>31.100000000000001</v>
      </c>
      <c r="O34" s="28">
        <f t="shared" si="0"/>
        <v>0</v>
      </c>
      <c r="P34" s="28">
        <f t="shared" si="0"/>
        <v>0.25</v>
      </c>
      <c r="Q34" s="28">
        <f t="shared" si="0"/>
        <v>10.380000000000001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11.09</v>
      </c>
      <c r="C35" s="29">
        <f t="shared" si="1"/>
        <v>47.119999999999997</v>
      </c>
      <c r="D35" s="29">
        <f t="shared" si="1"/>
        <v>30.260000000000002</v>
      </c>
      <c r="E35" s="29">
        <f t="shared" si="1"/>
        <v>3.48</v>
      </c>
      <c r="F35" s="29">
        <f t="shared" si="1"/>
        <v>27.07</v>
      </c>
      <c r="G35" s="29">
        <f t="shared" si="1"/>
        <v>44.469999999999999</v>
      </c>
      <c r="H35" s="29">
        <f t="shared" si="1"/>
        <v>13.49</v>
      </c>
      <c r="I35" s="29">
        <f t="shared" si="1"/>
        <v>5.0800000000000001</v>
      </c>
      <c r="J35" s="29">
        <f t="shared" si="1"/>
        <v>2.6099999999999999</v>
      </c>
      <c r="K35" s="29">
        <f t="shared" si="1"/>
        <v>358.06</v>
      </c>
      <c r="L35" s="29">
        <f t="shared" si="1"/>
        <v>26.969999999999999</v>
      </c>
      <c r="M35" s="29">
        <f t="shared" si="1"/>
        <v>100.08</v>
      </c>
      <c r="N35" s="29">
        <f t="shared" si="1"/>
        <v>904.39999999999998</v>
      </c>
      <c r="O35" s="29">
        <f t="shared" si="1"/>
        <v>4.5999999999999996</v>
      </c>
      <c r="P35" s="29">
        <f t="shared" si="1"/>
        <v>0.53000000000000003</v>
      </c>
      <c r="Q35" s="29">
        <f t="shared" si="1"/>
        <v>10.67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7.6358333333333333</v>
      </c>
      <c r="C36" s="28">
        <f t="shared" si="2"/>
        <v>39.600833333333334</v>
      </c>
      <c r="D36" s="28">
        <f t="shared" si="2"/>
        <v>26.374583333333334</v>
      </c>
      <c r="E36" s="28">
        <f t="shared" si="2"/>
        <v>1.8337500000000002</v>
      </c>
      <c r="F36" s="28">
        <f t="shared" si="2"/>
        <v>5.6625000000000005</v>
      </c>
      <c r="G36" s="28">
        <f t="shared" si="2"/>
        <v>28.031666666666666</v>
      </c>
      <c r="H36" s="28">
        <f t="shared" si="2"/>
        <v>10.432083333333333</v>
      </c>
      <c r="I36" s="28">
        <f t="shared" si="2"/>
        <v>3.1124999999999998</v>
      </c>
      <c r="J36" s="28">
        <f t="shared" si="2"/>
        <v>1.6008333333333333</v>
      </c>
      <c r="K36" s="28">
        <f t="shared" si="2"/>
        <v>182.97708333333333</v>
      </c>
      <c r="L36" s="28">
        <f t="shared" si="2"/>
        <v>19.493750000000002</v>
      </c>
      <c r="M36" s="28">
        <f t="shared" si="2"/>
        <v>91.77500000000002</v>
      </c>
      <c r="N36" s="28">
        <f t="shared" si="2"/>
        <v>161.45833333333334</v>
      </c>
      <c r="O36" s="28">
        <f t="shared" si="2"/>
        <v>0.49166666666666664</v>
      </c>
      <c r="P36" s="28">
        <f t="shared" si="2"/>
        <v>0.39833333333333337</v>
      </c>
      <c r="Q36" s="28">
        <f t="shared" si="2"/>
        <v>10.481666666666667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2.159911263609382</v>
      </c>
      <c r="C37" s="28">
        <f t="shared" si="3" ref="C37:Q37">STDEV(C9:C32)</f>
        <v>3.319443270066293</v>
      </c>
      <c r="D37" s="28">
        <f t="shared" si="3"/>
        <v>2.4284007605053963</v>
      </c>
      <c r="E37" s="28">
        <f t="shared" si="3"/>
        <v>0.73577414126654384</v>
      </c>
      <c r="F37" s="28">
        <f t="shared" si="3"/>
        <v>5.3063696342840823</v>
      </c>
      <c r="G37" s="28">
        <f t="shared" si="3"/>
        <v>9.0511189155368061</v>
      </c>
      <c r="H37" s="28">
        <f t="shared" si="3"/>
        <v>1.5930691711466933</v>
      </c>
      <c r="I37" s="28">
        <f t="shared" si="3"/>
        <v>1.7900540274116405</v>
      </c>
      <c r="J37" s="28">
        <f t="shared" si="3"/>
        <v>0.52197714981360632</v>
      </c>
      <c r="K37" s="28">
        <f t="shared" si="3"/>
        <v>100.52705867529298</v>
      </c>
      <c r="L37" s="28">
        <f t="shared" si="3"/>
        <v>2.9827428469957358</v>
      </c>
      <c r="M37" s="28">
        <f t="shared" si="3"/>
        <v>12.5601159645711</v>
      </c>
      <c r="N37" s="28">
        <f t="shared" si="3"/>
        <v>235.89807474133116</v>
      </c>
      <c r="O37" s="28">
        <f t="shared" si="3"/>
        <v>1.1282601714554819</v>
      </c>
      <c r="P37" s="28">
        <f t="shared" si="3"/>
        <v>0.085955836317852474</v>
      </c>
      <c r="Q37" s="28">
        <f t="shared" si="3"/>
        <v>0.079600451531746663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445214-9adb-4c7f-b117-e532a48c92ee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518</v>
      </c>
      <c r="B9" s="54">
        <v>7.46</v>
      </c>
      <c r="C9" s="54">
        <v>33.64</v>
      </c>
      <c r="D9" s="54">
        <v>23.41</v>
      </c>
      <c r="E9" s="54">
        <v>1.47</v>
      </c>
      <c r="F9" s="54">
        <v>4.1500000000000004</v>
      </c>
      <c r="G9" s="54">
        <v>23.52</v>
      </c>
      <c r="H9" s="54">
        <v>10.80</v>
      </c>
      <c r="I9" s="54">
        <v>5.0599999999999996</v>
      </c>
      <c r="J9" s="54">
        <v>1.58</v>
      </c>
      <c r="K9" s="54">
        <v>161.79</v>
      </c>
      <c r="L9" s="54">
        <v>15.01</v>
      </c>
      <c r="M9" s="54">
        <v>100.10</v>
      </c>
      <c r="N9" s="54">
        <v>74.900000000000006</v>
      </c>
      <c r="O9" s="54">
        <v>0.40</v>
      </c>
      <c r="P9" s="54">
        <v>0.39</v>
      </c>
      <c r="Q9" s="54">
        <v>10.28</v>
      </c>
      <c r="R9" s="43"/>
      <c r="S9" s="43"/>
      <c r="T9" s="43"/>
      <c r="U9" s="43"/>
    </row>
    <row r="10" spans="1:21" s="11" customFormat="1" ht="15">
      <c r="A10" s="53" t="s">
        <v>519</v>
      </c>
      <c r="B10" s="54">
        <v>4.42</v>
      </c>
      <c r="C10" s="54">
        <v>34.57</v>
      </c>
      <c r="D10" s="54">
        <v>21.52</v>
      </c>
      <c r="E10" s="54">
        <v>1.1299999999999999</v>
      </c>
      <c r="F10" s="54">
        <v>3.86</v>
      </c>
      <c r="G10" s="54">
        <v>17.34</v>
      </c>
      <c r="H10" s="54">
        <v>9.7100000000000009</v>
      </c>
      <c r="I10" s="54">
        <v>5.03</v>
      </c>
      <c r="J10" s="54">
        <v>0.86</v>
      </c>
      <c r="K10" s="54">
        <v>358.31</v>
      </c>
      <c r="L10" s="54">
        <v>15.21</v>
      </c>
      <c r="M10" s="54">
        <v>100.15</v>
      </c>
      <c r="N10" s="54">
        <v>67.80</v>
      </c>
      <c r="O10" s="54">
        <v>0</v>
      </c>
      <c r="P10" s="54">
        <v>0.36</v>
      </c>
      <c r="Q10" s="54">
        <v>10.28</v>
      </c>
      <c r="R10" s="43"/>
      <c r="S10" s="43"/>
      <c r="T10" s="43"/>
      <c r="U10" s="43"/>
    </row>
    <row r="11" spans="1:21" s="11" customFormat="1" ht="15">
      <c r="A11" s="53" t="s">
        <v>520</v>
      </c>
      <c r="B11" s="54">
        <v>6.12</v>
      </c>
      <c r="C11" s="54">
        <v>36.119999999999997</v>
      </c>
      <c r="D11" s="54">
        <v>23.60</v>
      </c>
      <c r="E11" s="54">
        <v>1.06</v>
      </c>
      <c r="F11" s="54">
        <v>3.58</v>
      </c>
      <c r="G11" s="54">
        <v>17.34</v>
      </c>
      <c r="H11" s="54">
        <v>8.1199999999999992</v>
      </c>
      <c r="I11" s="54">
        <v>5.03</v>
      </c>
      <c r="J11" s="54">
        <v>0.98</v>
      </c>
      <c r="K11" s="54">
        <v>103.89</v>
      </c>
      <c r="L11" s="54">
        <v>15.26</v>
      </c>
      <c r="M11" s="54">
        <v>100.16</v>
      </c>
      <c r="N11" s="54">
        <v>63.70</v>
      </c>
      <c r="O11" s="54">
        <v>0</v>
      </c>
      <c r="P11" s="54">
        <v>0.33</v>
      </c>
      <c r="Q11" s="54">
        <v>10.38</v>
      </c>
      <c r="R11" s="43"/>
      <c r="S11" s="43"/>
      <c r="T11" s="43"/>
      <c r="U11" s="43"/>
    </row>
    <row r="12" spans="1:21" s="11" customFormat="1" ht="15">
      <c r="A12" s="53" t="s">
        <v>521</v>
      </c>
      <c r="B12" s="54">
        <v>7.22</v>
      </c>
      <c r="C12" s="54">
        <v>41.17</v>
      </c>
      <c r="D12" s="54">
        <v>27.22</v>
      </c>
      <c r="E12" s="54">
        <v>2.41</v>
      </c>
      <c r="F12" s="54">
        <v>3.53</v>
      </c>
      <c r="G12" s="54">
        <v>16.190000000000001</v>
      </c>
      <c r="H12" s="54">
        <v>5.91</v>
      </c>
      <c r="I12" s="54">
        <v>5.04</v>
      </c>
      <c r="J12" s="54">
        <v>1.17</v>
      </c>
      <c r="K12" s="54">
        <v>102.11</v>
      </c>
      <c r="L12" s="54">
        <v>15.40</v>
      </c>
      <c r="M12" s="54">
        <v>100.04</v>
      </c>
      <c r="N12" s="54">
        <v>60.40</v>
      </c>
      <c r="O12" s="54">
        <v>0</v>
      </c>
      <c r="P12" s="54">
        <v>0.32</v>
      </c>
      <c r="Q12" s="54">
        <v>10.38</v>
      </c>
      <c r="R12" s="43"/>
      <c r="S12" s="43"/>
      <c r="T12" s="43"/>
      <c r="U12" s="43"/>
    </row>
    <row r="13" spans="1:21" s="11" customFormat="1" ht="15">
      <c r="A13" s="53" t="s">
        <v>522</v>
      </c>
      <c r="B13" s="54">
        <v>7.04</v>
      </c>
      <c r="C13" s="54">
        <v>41.11</v>
      </c>
      <c r="D13" s="54">
        <v>27.05</v>
      </c>
      <c r="E13" s="54">
        <v>2.15</v>
      </c>
      <c r="F13" s="54">
        <v>3.71</v>
      </c>
      <c r="G13" s="54">
        <v>16.190000000000001</v>
      </c>
      <c r="H13" s="54">
        <v>82.37</v>
      </c>
      <c r="I13" s="54">
        <v>5.08</v>
      </c>
      <c r="J13" s="54">
        <v>0.89</v>
      </c>
      <c r="K13" s="54">
        <v>178.67</v>
      </c>
      <c r="L13" s="54">
        <v>15.21</v>
      </c>
      <c r="M13" s="54">
        <v>99.86</v>
      </c>
      <c r="N13" s="54">
        <v>57</v>
      </c>
      <c r="O13" s="54">
        <v>0</v>
      </c>
      <c r="P13" s="54">
        <v>0.30</v>
      </c>
      <c r="Q13" s="54">
        <v>10.51</v>
      </c>
      <c r="R13" s="43"/>
      <c r="S13" s="43"/>
      <c r="T13" s="43"/>
      <c r="U13" s="43"/>
    </row>
    <row r="14" spans="1:21" s="11" customFormat="1" ht="15">
      <c r="A14" s="53" t="s">
        <v>523</v>
      </c>
      <c r="B14" s="54">
        <v>6.54</v>
      </c>
      <c r="C14" s="54">
        <v>39.71</v>
      </c>
      <c r="D14" s="54">
        <v>25.91</v>
      </c>
      <c r="E14" s="54">
        <v>2.48</v>
      </c>
      <c r="F14" s="54">
        <v>3.35</v>
      </c>
      <c r="G14" s="54">
        <v>12.48</v>
      </c>
      <c r="H14" s="54">
        <v>82.37</v>
      </c>
      <c r="I14" s="54">
        <v>5.05</v>
      </c>
      <c r="J14" s="54">
        <v>1.20</v>
      </c>
      <c r="K14" s="54">
        <v>170.07</v>
      </c>
      <c r="L14" s="54">
        <v>14.78</v>
      </c>
      <c r="M14" s="54">
        <v>99.83</v>
      </c>
      <c r="N14" s="54">
        <v>60.20</v>
      </c>
      <c r="O14" s="54">
        <v>0</v>
      </c>
      <c r="P14" s="54">
        <v>0.28000000000000003</v>
      </c>
      <c r="Q14" s="54">
        <v>10.56</v>
      </c>
      <c r="R14" s="43"/>
      <c r="S14" s="43"/>
      <c r="T14" s="43"/>
      <c r="U14" s="43"/>
    </row>
    <row r="15" spans="1:21" s="11" customFormat="1" ht="15">
      <c r="A15" s="53" t="s">
        <v>524</v>
      </c>
      <c r="B15" s="54">
        <v>8.24</v>
      </c>
      <c r="C15" s="54">
        <v>39.72</v>
      </c>
      <c r="D15" s="54">
        <v>27.28</v>
      </c>
      <c r="E15" s="54">
        <v>2.2400000000000002</v>
      </c>
      <c r="F15" s="54">
        <v>3.90</v>
      </c>
      <c r="G15" s="54">
        <v>11.73</v>
      </c>
      <c r="H15" s="54">
        <v>44.64</v>
      </c>
      <c r="I15" s="54">
        <v>5.05</v>
      </c>
      <c r="J15" s="54">
        <v>0.35</v>
      </c>
      <c r="K15" s="54">
        <v>223.83</v>
      </c>
      <c r="L15" s="54">
        <v>15.71</v>
      </c>
      <c r="M15" s="54">
        <v>99.83</v>
      </c>
      <c r="N15" s="54">
        <v>176</v>
      </c>
      <c r="O15" s="54">
        <v>0</v>
      </c>
      <c r="P15" s="54">
        <v>0.27</v>
      </c>
      <c r="Q15" s="54">
        <v>10.36</v>
      </c>
      <c r="R15" s="43"/>
      <c r="S15" s="43"/>
      <c r="T15" s="43"/>
      <c r="U15" s="43"/>
    </row>
    <row r="16" spans="1:21" s="11" customFormat="1" ht="15">
      <c r="A16" s="53" t="s">
        <v>525</v>
      </c>
      <c r="B16" s="54">
        <v>9.1199999999999992</v>
      </c>
      <c r="C16" s="54">
        <v>40.880000000000003</v>
      </c>
      <c r="D16" s="54">
        <v>28.56</v>
      </c>
      <c r="E16" s="54">
        <v>2.35</v>
      </c>
      <c r="F16" s="54">
        <v>3.58</v>
      </c>
      <c r="G16" s="54">
        <v>11.73</v>
      </c>
      <c r="H16" s="54">
        <v>7.26</v>
      </c>
      <c r="I16" s="54">
        <v>5.03</v>
      </c>
      <c r="J16" s="54">
        <v>0.76</v>
      </c>
      <c r="K16" s="54">
        <v>185.80</v>
      </c>
      <c r="L16" s="54">
        <v>18.239999999999998</v>
      </c>
      <c r="M16" s="54">
        <v>99.49</v>
      </c>
      <c r="N16" s="54">
        <v>407.40</v>
      </c>
      <c r="O16" s="54">
        <v>0</v>
      </c>
      <c r="P16" s="54">
        <v>0.27</v>
      </c>
      <c r="Q16" s="54">
        <v>10.49</v>
      </c>
      <c r="R16" s="43"/>
      <c r="S16" s="43"/>
      <c r="T16" s="43"/>
      <c r="U16" s="43"/>
    </row>
    <row r="17" spans="1:21" s="11" customFormat="1" ht="15">
      <c r="A17" s="53" t="s">
        <v>526</v>
      </c>
      <c r="B17" s="54">
        <v>9.17</v>
      </c>
      <c r="C17" s="54">
        <v>40.630000000000003</v>
      </c>
      <c r="D17" s="54">
        <v>28.5</v>
      </c>
      <c r="E17" s="54">
        <v>2.5</v>
      </c>
      <c r="F17" s="54">
        <v>3.65</v>
      </c>
      <c r="G17" s="54">
        <v>12.69</v>
      </c>
      <c r="H17" s="54">
        <v>0.44</v>
      </c>
      <c r="I17" s="54">
        <v>5.05</v>
      </c>
      <c r="J17" s="54">
        <v>0.41</v>
      </c>
      <c r="K17" s="54">
        <v>328.97</v>
      </c>
      <c r="L17" s="54">
        <v>22.77</v>
      </c>
      <c r="M17" s="54">
        <v>87.35</v>
      </c>
      <c r="N17" s="54">
        <v>629.79999999999995</v>
      </c>
      <c r="O17" s="54">
        <v>0</v>
      </c>
      <c r="P17" s="54">
        <v>0.28999999999999998</v>
      </c>
      <c r="Q17" s="54">
        <v>10.53</v>
      </c>
      <c r="R17" s="43"/>
      <c r="S17" s="43"/>
      <c r="T17" s="43"/>
      <c r="U17" s="43"/>
    </row>
    <row r="18" spans="1:21" s="11" customFormat="1" ht="15">
      <c r="A18" s="53" t="s">
        <v>527</v>
      </c>
      <c r="B18" s="54">
        <v>8.6199999999999992</v>
      </c>
      <c r="C18" s="54">
        <v>41.45</v>
      </c>
      <c r="D18" s="54">
        <v>28.17</v>
      </c>
      <c r="E18" s="54">
        <v>2.41</v>
      </c>
      <c r="F18" s="54">
        <v>3.46</v>
      </c>
      <c r="G18" s="54">
        <v>16.559999999999999</v>
      </c>
      <c r="H18" s="54">
        <v>7.63</v>
      </c>
      <c r="I18" s="54">
        <v>5.03</v>
      </c>
      <c r="J18" s="54">
        <v>0.16</v>
      </c>
      <c r="K18" s="54">
        <v>357.29</v>
      </c>
      <c r="L18" s="54">
        <v>24.58</v>
      </c>
      <c r="M18" s="54">
        <v>73.56</v>
      </c>
      <c r="N18" s="54">
        <v>830.10</v>
      </c>
      <c r="O18" s="54">
        <v>0</v>
      </c>
      <c r="P18" s="54">
        <v>0.31</v>
      </c>
      <c r="Q18" s="54">
        <v>10.61</v>
      </c>
      <c r="R18" s="43"/>
      <c r="S18" s="43"/>
      <c r="T18" s="43"/>
      <c r="U18" s="43"/>
    </row>
    <row r="19" spans="1:21" s="11" customFormat="1" ht="15">
      <c r="A19" s="53" t="s">
        <v>528</v>
      </c>
      <c r="B19" s="54">
        <v>7.23</v>
      </c>
      <c r="C19" s="54">
        <v>45.10</v>
      </c>
      <c r="D19" s="54">
        <v>28.52</v>
      </c>
      <c r="E19" s="54">
        <v>2.33</v>
      </c>
      <c r="F19" s="54">
        <v>3.79</v>
      </c>
      <c r="G19" s="54">
        <v>22.13</v>
      </c>
      <c r="H19" s="54">
        <v>15.31</v>
      </c>
      <c r="I19" s="54">
        <v>5.01</v>
      </c>
      <c r="J19" s="54">
        <v>0.60</v>
      </c>
      <c r="K19" s="54">
        <v>337.04</v>
      </c>
      <c r="L19" s="54">
        <v>27.65</v>
      </c>
      <c r="M19" s="54">
        <v>61.81</v>
      </c>
      <c r="N19" s="54">
        <v>924.90</v>
      </c>
      <c r="O19" s="54">
        <v>0</v>
      </c>
      <c r="P19" s="54">
        <v>0.44</v>
      </c>
      <c r="Q19" s="54">
        <v>10.46</v>
      </c>
      <c r="R19" s="43"/>
      <c r="S19" s="43"/>
      <c r="T19" s="43"/>
      <c r="U19" s="43"/>
    </row>
    <row r="20" spans="1:21" s="11" customFormat="1" ht="15">
      <c r="A20" s="53" t="s">
        <v>529</v>
      </c>
      <c r="B20" s="54">
        <v>5.94</v>
      </c>
      <c r="C20" s="54">
        <v>48.03</v>
      </c>
      <c r="D20" s="54">
        <v>29.31</v>
      </c>
      <c r="E20" s="54">
        <v>1.99</v>
      </c>
      <c r="F20" s="54">
        <v>4.3600000000000003</v>
      </c>
      <c r="G20" s="54">
        <v>27.44</v>
      </c>
      <c r="H20" s="54">
        <v>15.74</v>
      </c>
      <c r="I20" s="54">
        <v>5.04</v>
      </c>
      <c r="J20" s="54">
        <v>0.22</v>
      </c>
      <c r="K20" s="54">
        <v>337.96</v>
      </c>
      <c r="L20" s="54">
        <v>27.25</v>
      </c>
      <c r="M20" s="54">
        <v>54.40</v>
      </c>
      <c r="N20" s="54">
        <v>1002</v>
      </c>
      <c r="O20" s="54">
        <v>0</v>
      </c>
      <c r="P20" s="54">
        <v>0.53</v>
      </c>
      <c r="Q20" s="54">
        <v>10.43</v>
      </c>
      <c r="R20" s="43"/>
      <c r="S20" s="43"/>
      <c r="T20" s="43"/>
      <c r="U20" s="43"/>
    </row>
    <row r="21" spans="1:21" s="11" customFormat="1" ht="15">
      <c r="A21" s="53" t="s">
        <v>530</v>
      </c>
      <c r="B21" s="54">
        <v>4.1399999999999997</v>
      </c>
      <c r="C21" s="54">
        <v>48.81</v>
      </c>
      <c r="D21" s="54">
        <v>28.74</v>
      </c>
      <c r="E21" s="54">
        <v>0.67</v>
      </c>
      <c r="F21" s="54">
        <v>4.99</v>
      </c>
      <c r="G21" s="54">
        <v>27.44</v>
      </c>
      <c r="H21" s="54">
        <v>15.74</v>
      </c>
      <c r="I21" s="54">
        <v>5</v>
      </c>
      <c r="J21" s="54">
        <v>0.47</v>
      </c>
      <c r="K21" s="54">
        <v>314.66000000000003</v>
      </c>
      <c r="L21" s="54">
        <v>28.45</v>
      </c>
      <c r="M21" s="54">
        <v>47.75</v>
      </c>
      <c r="N21" s="54">
        <v>1023.60</v>
      </c>
      <c r="O21" s="54">
        <v>0</v>
      </c>
      <c r="P21" s="54">
        <v>0.55000000000000004</v>
      </c>
      <c r="Q21" s="54">
        <v>10.58</v>
      </c>
      <c r="R21" s="43"/>
      <c r="S21" s="43"/>
      <c r="T21" s="43"/>
      <c r="U21" s="43"/>
    </row>
    <row r="22" spans="1:21" s="11" customFormat="1" ht="15">
      <c r="A22" s="53" t="s">
        <v>531</v>
      </c>
      <c r="B22" s="54">
        <v>3.48</v>
      </c>
      <c r="C22" s="54">
        <v>46.63</v>
      </c>
      <c r="D22" s="54">
        <v>27.07</v>
      </c>
      <c r="E22" s="54">
        <v>0.99</v>
      </c>
      <c r="F22" s="54">
        <v>5.33</v>
      </c>
      <c r="G22" s="54">
        <v>28</v>
      </c>
      <c r="H22" s="54">
        <v>13</v>
      </c>
      <c r="I22" s="54">
        <v>5.0199999999999996</v>
      </c>
      <c r="J22" s="54">
        <v>0.39</v>
      </c>
      <c r="K22" s="54">
        <v>205.42</v>
      </c>
      <c r="L22" s="54">
        <v>28.36</v>
      </c>
      <c r="M22" s="54">
        <v>41.78</v>
      </c>
      <c r="N22" s="54">
        <v>945.5</v>
      </c>
      <c r="O22" s="54">
        <v>0</v>
      </c>
      <c r="P22" s="54">
        <v>0.54</v>
      </c>
      <c r="Q22" s="54">
        <v>10.42</v>
      </c>
      <c r="R22" s="43"/>
      <c r="S22" s="43"/>
      <c r="T22" s="43"/>
      <c r="U22" s="43"/>
    </row>
    <row r="23" spans="1:21" s="11" customFormat="1" ht="15">
      <c r="A23" s="53" t="s">
        <v>532</v>
      </c>
      <c r="B23" s="54">
        <v>2.70</v>
      </c>
      <c r="C23" s="54">
        <v>45.48</v>
      </c>
      <c r="D23" s="54">
        <v>25.71</v>
      </c>
      <c r="E23" s="54">
        <v>0.47</v>
      </c>
      <c r="F23" s="54">
        <v>5.33</v>
      </c>
      <c r="G23" s="54">
        <v>30.21</v>
      </c>
      <c r="H23" s="54">
        <v>19.30</v>
      </c>
      <c r="I23" s="54">
        <v>5.0199999999999996</v>
      </c>
      <c r="J23" s="54">
        <v>0.87</v>
      </c>
      <c r="K23" s="54">
        <v>184.49</v>
      </c>
      <c r="L23" s="54">
        <v>28.13</v>
      </c>
      <c r="M23" s="54">
        <v>35.22</v>
      </c>
      <c r="N23" s="54">
        <v>804</v>
      </c>
      <c r="O23" s="54">
        <v>0</v>
      </c>
      <c r="P23" s="54">
        <v>0.55000000000000004</v>
      </c>
      <c r="Q23" s="54">
        <v>10.37</v>
      </c>
      <c r="R23" s="43"/>
      <c r="S23" s="43"/>
      <c r="T23" s="43"/>
      <c r="U23" s="43"/>
    </row>
    <row r="24" spans="1:21" s="11" customFormat="1" ht="15">
      <c r="A24" s="53" t="s">
        <v>533</v>
      </c>
      <c r="B24" s="54">
        <v>2.63</v>
      </c>
      <c r="C24" s="54">
        <v>46.31</v>
      </c>
      <c r="D24" s="54">
        <v>26.05</v>
      </c>
      <c r="E24" s="54">
        <v>2</v>
      </c>
      <c r="F24" s="54">
        <v>5.29</v>
      </c>
      <c r="G24" s="54">
        <v>30.55</v>
      </c>
      <c r="H24" s="54">
        <v>19.30</v>
      </c>
      <c r="I24" s="54">
        <v>5.0599999999999996</v>
      </c>
      <c r="J24" s="54">
        <v>0.77</v>
      </c>
      <c r="K24" s="54">
        <v>221.26</v>
      </c>
      <c r="L24" s="54">
        <v>28.12</v>
      </c>
      <c r="M24" s="54">
        <v>30.01</v>
      </c>
      <c r="N24" s="54">
        <v>339.5</v>
      </c>
      <c r="O24" s="54">
        <v>0</v>
      </c>
      <c r="P24" s="54">
        <v>0.51</v>
      </c>
      <c r="Q24" s="54">
        <v>10.24</v>
      </c>
      <c r="R24" s="43"/>
      <c r="S24" s="43"/>
      <c r="T24" s="43"/>
      <c r="U24" s="43"/>
    </row>
    <row r="25" spans="1:21" s="11" customFormat="1" ht="15">
      <c r="A25" s="53" t="s">
        <v>534</v>
      </c>
      <c r="B25" s="54">
        <v>4.34</v>
      </c>
      <c r="C25" s="54">
        <v>46.55</v>
      </c>
      <c r="D25" s="54">
        <v>27.72</v>
      </c>
      <c r="E25" s="54">
        <v>2.2200000000000002</v>
      </c>
      <c r="F25" s="54">
        <v>4.78</v>
      </c>
      <c r="G25" s="54">
        <v>30.55</v>
      </c>
      <c r="H25" s="54">
        <v>13.35</v>
      </c>
      <c r="I25" s="54">
        <v>5.01</v>
      </c>
      <c r="J25" s="54">
        <v>2.5</v>
      </c>
      <c r="K25" s="54">
        <v>357.39</v>
      </c>
      <c r="L25" s="54">
        <v>28.65</v>
      </c>
      <c r="M25" s="54">
        <v>27.5</v>
      </c>
      <c r="N25" s="54">
        <v>246.10</v>
      </c>
      <c r="O25" s="54">
        <v>0</v>
      </c>
      <c r="P25" s="54">
        <v>0.48</v>
      </c>
      <c r="Q25" s="54">
        <v>10.38</v>
      </c>
      <c r="R25" s="43"/>
      <c r="S25" s="43"/>
      <c r="T25" s="43"/>
      <c r="U25" s="43"/>
    </row>
    <row r="26" spans="1:21" s="11" customFormat="1" ht="15">
      <c r="A26" s="53" t="s">
        <v>535</v>
      </c>
      <c r="B26" s="54">
        <v>5.36</v>
      </c>
      <c r="C26" s="54">
        <v>57.86</v>
      </c>
      <c r="D26" s="54">
        <v>34.450000000000003</v>
      </c>
      <c r="E26" s="54">
        <v>2.42</v>
      </c>
      <c r="F26" s="54">
        <v>5.01</v>
      </c>
      <c r="G26" s="54">
        <v>38.43</v>
      </c>
      <c r="H26" s="54">
        <v>13.35</v>
      </c>
      <c r="I26" s="54">
        <v>5.03</v>
      </c>
      <c r="J26" s="54">
        <v>3.34</v>
      </c>
      <c r="K26" s="54">
        <v>353.98</v>
      </c>
      <c r="L26" s="54">
        <v>24.96</v>
      </c>
      <c r="M26" s="54">
        <v>38.07</v>
      </c>
      <c r="N26" s="54">
        <v>113</v>
      </c>
      <c r="O26" s="54">
        <v>0</v>
      </c>
      <c r="P26" s="54">
        <v>0.46</v>
      </c>
      <c r="Q26" s="54">
        <v>10.37</v>
      </c>
      <c r="R26" s="43"/>
      <c r="S26" s="43"/>
      <c r="T26" s="43"/>
      <c r="U26" s="43"/>
    </row>
    <row r="27" spans="1:21" s="11" customFormat="1" ht="15">
      <c r="A27" s="53" t="s">
        <v>536</v>
      </c>
      <c r="B27" s="54">
        <v>8.86</v>
      </c>
      <c r="C27" s="54">
        <v>56.92</v>
      </c>
      <c r="D27" s="54">
        <v>36.049999999999997</v>
      </c>
      <c r="E27" s="54">
        <v>2.38</v>
      </c>
      <c r="F27" s="54">
        <v>3.83</v>
      </c>
      <c r="G27" s="54">
        <v>39.47</v>
      </c>
      <c r="H27" s="54">
        <v>10.85</v>
      </c>
      <c r="I27" s="54">
        <v>5.01</v>
      </c>
      <c r="J27" s="54">
        <v>1.18</v>
      </c>
      <c r="K27" s="54">
        <v>358.06</v>
      </c>
      <c r="L27" s="54">
        <v>21.41</v>
      </c>
      <c r="M27" s="54">
        <v>41.10</v>
      </c>
      <c r="N27" s="54">
        <v>33.200000000000003</v>
      </c>
      <c r="O27" s="54">
        <v>0</v>
      </c>
      <c r="P27" s="54">
        <v>0.53</v>
      </c>
      <c r="Q27" s="54">
        <v>10.55</v>
      </c>
      <c r="R27" s="43"/>
      <c r="S27" s="43"/>
      <c r="T27" s="43"/>
      <c r="U27" s="43"/>
    </row>
    <row r="28" spans="1:21" s="11" customFormat="1" ht="15">
      <c r="A28" s="53" t="s">
        <v>537</v>
      </c>
      <c r="B28" s="54">
        <v>15.98</v>
      </c>
      <c r="C28" s="54">
        <v>55.76</v>
      </c>
      <c r="D28" s="54">
        <v>41.82</v>
      </c>
      <c r="E28" s="54">
        <v>2.41</v>
      </c>
      <c r="F28" s="54">
        <v>3.39</v>
      </c>
      <c r="G28" s="54">
        <v>39.47</v>
      </c>
      <c r="H28" s="54">
        <v>10.85</v>
      </c>
      <c r="I28" s="54">
        <v>5.03</v>
      </c>
      <c r="J28" s="54">
        <v>0.69</v>
      </c>
      <c r="K28" s="54">
        <v>351.76</v>
      </c>
      <c r="L28" s="54">
        <v>20.61</v>
      </c>
      <c r="M28" s="54">
        <v>44.99</v>
      </c>
      <c r="N28" s="54">
        <v>31.30</v>
      </c>
      <c r="O28" s="54">
        <v>0</v>
      </c>
      <c r="P28" s="54">
        <v>0.72</v>
      </c>
      <c r="Q28" s="54">
        <v>10.70</v>
      </c>
      <c r="R28" s="43"/>
      <c r="S28" s="43"/>
      <c r="T28" s="43"/>
      <c r="U28" s="43"/>
    </row>
    <row r="29" spans="1:21" s="11" customFormat="1" ht="15">
      <c r="A29" s="53" t="s">
        <v>538</v>
      </c>
      <c r="B29" s="54">
        <v>20.99</v>
      </c>
      <c r="C29" s="54">
        <v>56.11</v>
      </c>
      <c r="D29" s="54">
        <v>45.72</v>
      </c>
      <c r="E29" s="54">
        <v>1.89</v>
      </c>
      <c r="F29" s="54">
        <v>3.41</v>
      </c>
      <c r="G29" s="54">
        <v>62.14</v>
      </c>
      <c r="H29" s="54">
        <v>24.89</v>
      </c>
      <c r="I29" s="54">
        <v>5.03</v>
      </c>
      <c r="J29" s="54">
        <v>1.31</v>
      </c>
      <c r="K29" s="54">
        <v>340.63</v>
      </c>
      <c r="L29" s="54">
        <v>20.29</v>
      </c>
      <c r="M29" s="54">
        <v>50.75</v>
      </c>
      <c r="N29" s="54">
        <v>31.60</v>
      </c>
      <c r="O29" s="54">
        <v>0</v>
      </c>
      <c r="P29" s="54">
        <v>0.80</v>
      </c>
      <c r="Q29" s="54">
        <v>11.03</v>
      </c>
      <c r="R29" s="43"/>
      <c r="S29" s="43"/>
      <c r="T29" s="43"/>
      <c r="U29" s="43"/>
    </row>
    <row r="30" spans="1:21" s="11" customFormat="1" ht="15">
      <c r="A30" s="53" t="s">
        <v>539</v>
      </c>
      <c r="B30" s="54">
        <v>21.63</v>
      </c>
      <c r="C30" s="54">
        <v>54.75</v>
      </c>
      <c r="D30" s="54">
        <v>45.87</v>
      </c>
      <c r="E30" s="54">
        <v>1.69</v>
      </c>
      <c r="F30" s="54">
        <v>3.31</v>
      </c>
      <c r="G30" s="54">
        <v>62.14</v>
      </c>
      <c r="H30" s="54">
        <v>24.89</v>
      </c>
      <c r="I30" s="54">
        <v>5.01</v>
      </c>
      <c r="J30" s="54">
        <v>2.10</v>
      </c>
      <c r="K30" s="54">
        <v>114.83</v>
      </c>
      <c r="L30" s="54">
        <v>20.62</v>
      </c>
      <c r="M30" s="54">
        <v>46.96</v>
      </c>
      <c r="N30" s="54">
        <v>32.10</v>
      </c>
      <c r="O30" s="54">
        <v>0</v>
      </c>
      <c r="P30" s="54">
        <v>0.79</v>
      </c>
      <c r="Q30" s="54">
        <v>11.04</v>
      </c>
      <c r="R30" s="43"/>
      <c r="S30" s="43"/>
      <c r="T30" s="43"/>
      <c r="U30" s="43"/>
    </row>
    <row r="31" spans="1:21" s="11" customFormat="1" ht="15">
      <c r="A31" s="53" t="s">
        <v>540</v>
      </c>
      <c r="B31" s="54">
        <v>17.77</v>
      </c>
      <c r="C31" s="54">
        <v>52.80</v>
      </c>
      <c r="D31" s="54">
        <v>41.76</v>
      </c>
      <c r="E31" s="54">
        <v>1.43</v>
      </c>
      <c r="F31" s="54">
        <v>3.44</v>
      </c>
      <c r="G31" s="54">
        <v>58.97</v>
      </c>
      <c r="H31" s="54">
        <v>21.19</v>
      </c>
      <c r="I31" s="54">
        <v>5.03</v>
      </c>
      <c r="J31" s="54">
        <v>1.41</v>
      </c>
      <c r="K31" s="54">
        <v>156.09</v>
      </c>
      <c r="L31" s="54">
        <v>19.440000000000001</v>
      </c>
      <c r="M31" s="54">
        <v>56.88</v>
      </c>
      <c r="N31" s="54">
        <v>32.200000000000003</v>
      </c>
      <c r="O31" s="54">
        <v>0</v>
      </c>
      <c r="P31" s="54">
        <v>0.69</v>
      </c>
      <c r="Q31" s="54">
        <v>10.84</v>
      </c>
      <c r="R31" s="43"/>
      <c r="S31" s="43"/>
      <c r="T31" s="43"/>
      <c r="U31" s="43"/>
    </row>
    <row r="32" spans="1:21" s="11" customFormat="1" ht="15">
      <c r="A32" s="53" t="s">
        <v>541</v>
      </c>
      <c r="B32" s="54">
        <v>12.96</v>
      </c>
      <c r="C32" s="54">
        <v>50.43</v>
      </c>
      <c r="D32" s="54">
        <v>36.659999999999997</v>
      </c>
      <c r="E32" s="54">
        <v>1.61</v>
      </c>
      <c r="F32" s="54">
        <v>3.48</v>
      </c>
      <c r="G32" s="54">
        <v>44.07</v>
      </c>
      <c r="H32" s="54">
        <v>6.04</v>
      </c>
      <c r="I32" s="54">
        <v>5.05</v>
      </c>
      <c r="J32" s="54">
        <v>0.51</v>
      </c>
      <c r="K32" s="54">
        <v>169.24</v>
      </c>
      <c r="L32" s="54">
        <v>18.14</v>
      </c>
      <c r="M32" s="54">
        <v>64.349999999999994</v>
      </c>
      <c r="N32" s="54">
        <v>32.40</v>
      </c>
      <c r="O32" s="54">
        <v>0</v>
      </c>
      <c r="P32" s="54">
        <v>0.56999999999999995</v>
      </c>
      <c r="Q32" s="54">
        <v>10.59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2.6299999999999999</v>
      </c>
      <c r="C34" s="28">
        <f t="shared" si="0"/>
        <v>33.640000000000001</v>
      </c>
      <c r="D34" s="28">
        <f t="shared" si="0"/>
        <v>21.52</v>
      </c>
      <c r="E34" s="28">
        <f t="shared" si="0"/>
        <v>0.46999999999999997</v>
      </c>
      <c r="F34" s="28">
        <f t="shared" si="0"/>
        <v>3.3100000000000001</v>
      </c>
      <c r="G34" s="28">
        <f t="shared" si="0"/>
        <v>11.73</v>
      </c>
      <c r="H34" s="28">
        <f t="shared" si="0"/>
        <v>0.44</v>
      </c>
      <c r="I34" s="28">
        <f t="shared" si="0"/>
        <v>5</v>
      </c>
      <c r="J34" s="28">
        <f t="shared" si="0"/>
        <v>0.16</v>
      </c>
      <c r="K34" s="28">
        <f t="shared" si="0"/>
        <v>102.11</v>
      </c>
      <c r="L34" s="28">
        <f t="shared" si="0"/>
        <v>14.779999999999999</v>
      </c>
      <c r="M34" s="28">
        <f t="shared" si="0"/>
        <v>27.5</v>
      </c>
      <c r="N34" s="28">
        <f t="shared" si="0"/>
        <v>31.300000000000001</v>
      </c>
      <c r="O34" s="28">
        <f t="shared" si="0"/>
        <v>0</v>
      </c>
      <c r="P34" s="28">
        <f t="shared" si="0"/>
        <v>0.27000000000000002</v>
      </c>
      <c r="Q34" s="28">
        <f t="shared" si="0"/>
        <v>10.24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21.629999999999999</v>
      </c>
      <c r="C35" s="29">
        <f t="shared" si="1"/>
        <v>57.859999999999999</v>
      </c>
      <c r="D35" s="29">
        <f t="shared" si="1"/>
        <v>45.869999999999997</v>
      </c>
      <c r="E35" s="29">
        <f t="shared" si="1"/>
        <v>2.5</v>
      </c>
      <c r="F35" s="29">
        <f t="shared" si="1"/>
        <v>5.3300000000000001</v>
      </c>
      <c r="G35" s="29">
        <f t="shared" si="1"/>
        <v>62.140000000000001</v>
      </c>
      <c r="H35" s="29">
        <f t="shared" si="1"/>
        <v>82.370000000000005</v>
      </c>
      <c r="I35" s="29">
        <f t="shared" si="1"/>
        <v>5.0800000000000001</v>
      </c>
      <c r="J35" s="29">
        <f t="shared" si="1"/>
        <v>3.3399999999999999</v>
      </c>
      <c r="K35" s="29">
        <f t="shared" si="1"/>
        <v>358.31</v>
      </c>
      <c r="L35" s="29">
        <f t="shared" si="1"/>
        <v>28.649999999999999</v>
      </c>
      <c r="M35" s="29">
        <f t="shared" si="1"/>
        <v>100.16</v>
      </c>
      <c r="N35" s="29">
        <f t="shared" si="1"/>
        <v>1023.6</v>
      </c>
      <c r="O35" s="29">
        <f t="shared" si="1"/>
        <v>0.40000000000000002</v>
      </c>
      <c r="P35" s="29">
        <f t="shared" si="1"/>
        <v>0.80000000000000004</v>
      </c>
      <c r="Q35" s="29">
        <f t="shared" si="1"/>
        <v>11.039999999999999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8.6650000000000009</v>
      </c>
      <c r="C36" s="28">
        <f t="shared" si="2"/>
        <v>45.855833333333344</v>
      </c>
      <c r="D36" s="28">
        <f t="shared" si="2"/>
        <v>30.694583333333338</v>
      </c>
      <c r="E36" s="28">
        <f t="shared" si="2"/>
        <v>1.8624999999999998</v>
      </c>
      <c r="F36" s="28">
        <f t="shared" si="2"/>
        <v>4.0212500000000002</v>
      </c>
      <c r="G36" s="28">
        <f t="shared" si="2"/>
        <v>29.032500000000002</v>
      </c>
      <c r="H36" s="28">
        <f t="shared" si="2"/>
        <v>20.127083333333339</v>
      </c>
      <c r="I36" s="28">
        <f t="shared" si="2"/>
        <v>5.0333333333333341</v>
      </c>
      <c r="J36" s="28">
        <f t="shared" si="2"/>
        <v>1.03</v>
      </c>
      <c r="K36" s="28">
        <f t="shared" si="2"/>
        <v>248.89750000000004</v>
      </c>
      <c r="L36" s="28">
        <f t="shared" si="2"/>
        <v>21.427083333333332</v>
      </c>
      <c r="M36" s="28">
        <f t="shared" si="2"/>
        <v>66.747500000000002</v>
      </c>
      <c r="N36" s="28">
        <f t="shared" si="2"/>
        <v>334.11250000000001</v>
      </c>
      <c r="O36" s="28">
        <f t="shared" si="2"/>
        <v>0.016666666666666666</v>
      </c>
      <c r="P36" s="28">
        <f t="shared" si="2"/>
        <v>0.46999999999999997</v>
      </c>
      <c r="Q36" s="28">
        <f t="shared" si="2"/>
        <v>10.515833333333335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5.3940627585780119</v>
      </c>
      <c r="C37" s="28">
        <f t="shared" si="3" ref="C37:Q37">STDEV(C9:C32)</f>
        <v>7.2117759476317707</v>
      </c>
      <c r="D37" s="28">
        <f t="shared" si="3"/>
        <v>6.9867564030980684</v>
      </c>
      <c r="E37" s="28">
        <f t="shared" si="3"/>
        <v>0.62024714569204698</v>
      </c>
      <c r="F37" s="28">
        <f t="shared" si="3"/>
        <v>0.70183184224043804</v>
      </c>
      <c r="G37" s="28">
        <f t="shared" si="3"/>
        <v>15.617185698147878</v>
      </c>
      <c r="H37" s="28">
        <f t="shared" si="3"/>
        <v>21.082821871839407</v>
      </c>
      <c r="I37" s="28">
        <f t="shared" si="3"/>
        <v>0.019261736493723064</v>
      </c>
      <c r="J37" s="28">
        <f t="shared" si="3"/>
        <v>0.75207538937552521</v>
      </c>
      <c r="K37" s="28">
        <f t="shared" si="3"/>
        <v>95.447328532091632</v>
      </c>
      <c r="L37" s="28">
        <f t="shared" si="3"/>
        <v>5.2476582596568777</v>
      </c>
      <c r="M37" s="28">
        <f t="shared" si="3"/>
        <v>27.211302519038085</v>
      </c>
      <c r="N37" s="28">
        <f t="shared" si="3"/>
        <v>377.09886987770653</v>
      </c>
      <c r="O37" s="28">
        <f t="shared" si="3"/>
        <v>0.081649658092772623</v>
      </c>
      <c r="P37" s="28">
        <f t="shared" si="3"/>
        <v>0.16463398138320959</v>
      </c>
      <c r="Q37" s="28">
        <f t="shared" si="3"/>
        <v>0.21159675896808305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51a9f6-f6f6-4c4f-b3cc-73b9875ffa6a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542</v>
      </c>
      <c r="B9" s="54">
        <v>10.119999999999999</v>
      </c>
      <c r="C9" s="54">
        <v>48.06</v>
      </c>
      <c r="D9" s="54">
        <v>33.15</v>
      </c>
      <c r="E9" s="54">
        <v>2</v>
      </c>
      <c r="F9" s="54">
        <v>3.52</v>
      </c>
      <c r="G9" s="54">
        <v>33.72</v>
      </c>
      <c r="H9" s="54">
        <v>3.19</v>
      </c>
      <c r="I9" s="54">
        <v>5.0599999999999996</v>
      </c>
      <c r="J9" s="54">
        <v>1.42</v>
      </c>
      <c r="K9" s="54">
        <v>101.12</v>
      </c>
      <c r="L9" s="54">
        <v>17.579999999999998</v>
      </c>
      <c r="M9" s="54">
        <v>66.97</v>
      </c>
      <c r="N9" s="54">
        <v>32.200000000000003</v>
      </c>
      <c r="O9" s="54">
        <v>0</v>
      </c>
      <c r="P9" s="54">
        <v>0.48</v>
      </c>
      <c r="Q9" s="54">
        <v>10.61</v>
      </c>
      <c r="R9" s="43"/>
      <c r="S9" s="43"/>
      <c r="T9" s="43"/>
      <c r="U9" s="43"/>
    </row>
    <row r="10" spans="1:21" s="11" customFormat="1" ht="15">
      <c r="A10" s="53" t="s">
        <v>543</v>
      </c>
      <c r="B10" s="54">
        <v>8.7100000000000009</v>
      </c>
      <c r="C10" s="54">
        <v>42.87</v>
      </c>
      <c r="D10" s="54">
        <v>29.19</v>
      </c>
      <c r="E10" s="54">
        <v>1.93</v>
      </c>
      <c r="F10" s="54">
        <v>3.51</v>
      </c>
      <c r="G10" s="54">
        <v>28.25</v>
      </c>
      <c r="H10" s="54">
        <v>3.16</v>
      </c>
      <c r="I10" s="54">
        <v>5.0199999999999996</v>
      </c>
      <c r="J10" s="54">
        <v>1.86</v>
      </c>
      <c r="K10" s="54">
        <v>107.43</v>
      </c>
      <c r="L10" s="54">
        <v>17.38</v>
      </c>
      <c r="M10" s="54">
        <v>66.14</v>
      </c>
      <c r="N10" s="54">
        <v>33.10</v>
      </c>
      <c r="O10" s="54">
        <v>0</v>
      </c>
      <c r="P10" s="54">
        <v>0.39</v>
      </c>
      <c r="Q10" s="54">
        <v>10.65</v>
      </c>
      <c r="R10" s="43"/>
      <c r="S10" s="43"/>
      <c r="T10" s="43"/>
      <c r="U10" s="43"/>
    </row>
    <row r="11" spans="1:21" s="11" customFormat="1" ht="15">
      <c r="A11" s="53" t="s">
        <v>544</v>
      </c>
      <c r="B11" s="54">
        <v>8.69</v>
      </c>
      <c r="C11" s="54">
        <v>44.36</v>
      </c>
      <c r="D11" s="54">
        <v>29.95</v>
      </c>
      <c r="E11" s="54">
        <v>1.85</v>
      </c>
      <c r="F11" s="54">
        <v>3.35</v>
      </c>
      <c r="G11" s="54">
        <v>21.24</v>
      </c>
      <c r="H11" s="54">
        <v>9.94</v>
      </c>
      <c r="I11" s="54">
        <v>5.03</v>
      </c>
      <c r="J11" s="54">
        <v>0.82</v>
      </c>
      <c r="K11" s="54">
        <v>96.55</v>
      </c>
      <c r="L11" s="54">
        <v>16.80</v>
      </c>
      <c r="M11" s="54">
        <v>71.63</v>
      </c>
      <c r="N11" s="54">
        <v>33.40</v>
      </c>
      <c r="O11" s="54">
        <v>0</v>
      </c>
      <c r="P11" s="54">
        <v>0.36</v>
      </c>
      <c r="Q11" s="54">
        <v>10.81</v>
      </c>
      <c r="R11" s="43"/>
      <c r="S11" s="43"/>
      <c r="T11" s="43"/>
      <c r="U11" s="43"/>
    </row>
    <row r="12" spans="1:21" s="11" customFormat="1" ht="15">
      <c r="A12" s="53" t="s">
        <v>545</v>
      </c>
      <c r="B12" s="54">
        <v>8.3000000000000007</v>
      </c>
      <c r="C12" s="54">
        <v>44.99</v>
      </c>
      <c r="D12" s="54">
        <v>30.07</v>
      </c>
      <c r="E12" s="54">
        <v>1.93</v>
      </c>
      <c r="F12" s="54">
        <v>3.55</v>
      </c>
      <c r="G12" s="54">
        <v>21.24</v>
      </c>
      <c r="H12" s="54">
        <v>9.94</v>
      </c>
      <c r="I12" s="54">
        <v>5.01</v>
      </c>
      <c r="J12" s="54">
        <v>0.80</v>
      </c>
      <c r="K12" s="54">
        <v>359.02</v>
      </c>
      <c r="L12" s="54">
        <v>16.53</v>
      </c>
      <c r="M12" s="54">
        <v>83.31</v>
      </c>
      <c r="N12" s="54">
        <v>34</v>
      </c>
      <c r="O12" s="54">
        <v>0</v>
      </c>
      <c r="P12" s="54">
        <v>0.31</v>
      </c>
      <c r="Q12" s="54">
        <v>10.49</v>
      </c>
      <c r="R12" s="43"/>
      <c r="S12" s="43"/>
      <c r="T12" s="43"/>
      <c r="U12" s="43"/>
    </row>
    <row r="13" spans="1:21" s="11" customFormat="1" ht="15">
      <c r="A13" s="53" t="s">
        <v>546</v>
      </c>
      <c r="B13" s="54">
        <v>9.34</v>
      </c>
      <c r="C13" s="54">
        <v>46.26</v>
      </c>
      <c r="D13" s="54">
        <v>31.58</v>
      </c>
      <c r="E13" s="54">
        <v>1.73</v>
      </c>
      <c r="F13" s="54">
        <v>3.61</v>
      </c>
      <c r="G13" s="54">
        <v>22.24</v>
      </c>
      <c r="H13" s="54">
        <v>9.2200000000000006</v>
      </c>
      <c r="I13" s="54">
        <v>5.0199999999999996</v>
      </c>
      <c r="J13" s="54">
        <v>1.1200000000000001</v>
      </c>
      <c r="K13" s="54">
        <v>359.82</v>
      </c>
      <c r="L13" s="54">
        <v>15.33</v>
      </c>
      <c r="M13" s="54">
        <v>87.35</v>
      </c>
      <c r="N13" s="54">
        <v>34.299999999999997</v>
      </c>
      <c r="O13" s="54">
        <v>0</v>
      </c>
      <c r="P13" s="54">
        <v>0.32</v>
      </c>
      <c r="Q13" s="54">
        <v>10.72</v>
      </c>
      <c r="R13" s="43"/>
      <c r="S13" s="43"/>
      <c r="T13" s="43"/>
      <c r="U13" s="43"/>
    </row>
    <row r="14" spans="1:21" s="11" customFormat="1" ht="15">
      <c r="A14" s="53" t="s">
        <v>547</v>
      </c>
      <c r="B14" s="54">
        <v>11.37</v>
      </c>
      <c r="C14" s="54">
        <v>46.35</v>
      </c>
      <c r="D14" s="54">
        <v>33.090000000000003</v>
      </c>
      <c r="E14" s="54">
        <v>1.46</v>
      </c>
      <c r="F14" s="54">
        <v>3.30</v>
      </c>
      <c r="G14" s="54">
        <v>27.31</v>
      </c>
      <c r="H14" s="54">
        <v>11.02</v>
      </c>
      <c r="I14" s="54">
        <v>4.99</v>
      </c>
      <c r="J14" s="54">
        <v>0.87</v>
      </c>
      <c r="K14" s="54">
        <v>358.93</v>
      </c>
      <c r="L14" s="54">
        <v>14.64</v>
      </c>
      <c r="M14" s="54">
        <v>89.43</v>
      </c>
      <c r="N14" s="54">
        <v>36.5</v>
      </c>
      <c r="O14" s="54">
        <v>0</v>
      </c>
      <c r="P14" s="54">
        <v>0.33</v>
      </c>
      <c r="Q14" s="54">
        <v>10.63</v>
      </c>
      <c r="R14" s="43"/>
      <c r="S14" s="43"/>
      <c r="T14" s="43"/>
      <c r="U14" s="43"/>
    </row>
    <row r="15" spans="1:21" s="11" customFormat="1" ht="15">
      <c r="A15" s="53" t="s">
        <v>548</v>
      </c>
      <c r="B15" s="54">
        <v>16.47</v>
      </c>
      <c r="C15" s="54">
        <v>47.89</v>
      </c>
      <c r="D15" s="54">
        <v>38.15</v>
      </c>
      <c r="E15" s="54">
        <v>1.51</v>
      </c>
      <c r="F15" s="54">
        <v>3.24</v>
      </c>
      <c r="G15" s="54">
        <v>29.29</v>
      </c>
      <c r="H15" s="54">
        <v>11.60</v>
      </c>
      <c r="I15" s="54">
        <v>5.0599999999999996</v>
      </c>
      <c r="J15" s="54">
        <v>0.69</v>
      </c>
      <c r="K15" s="54">
        <v>358.96</v>
      </c>
      <c r="L15" s="54">
        <v>16.20</v>
      </c>
      <c r="M15" s="54">
        <v>90.45</v>
      </c>
      <c r="N15" s="54">
        <v>161</v>
      </c>
      <c r="O15" s="54">
        <v>0</v>
      </c>
      <c r="P15" s="54">
        <v>0.36</v>
      </c>
      <c r="Q15" s="54">
        <v>10.89</v>
      </c>
      <c r="R15" s="43"/>
      <c r="S15" s="43"/>
      <c r="T15" s="43"/>
      <c r="U15" s="43"/>
    </row>
    <row r="16" spans="1:21" s="11" customFormat="1" ht="15">
      <c r="A16" s="53" t="s">
        <v>549</v>
      </c>
      <c r="B16" s="54">
        <v>20.23</v>
      </c>
      <c r="C16" s="54">
        <v>47.32</v>
      </c>
      <c r="D16" s="54">
        <v>40.729999999999997</v>
      </c>
      <c r="E16" s="54">
        <v>1.95</v>
      </c>
      <c r="F16" s="54">
        <v>3.29</v>
      </c>
      <c r="G16" s="54">
        <v>34.520000000000003</v>
      </c>
      <c r="H16" s="54">
        <v>17.91</v>
      </c>
      <c r="I16" s="54">
        <v>5.0199999999999996</v>
      </c>
      <c r="J16" s="54">
        <v>0.91</v>
      </c>
      <c r="K16" s="54">
        <v>359.48</v>
      </c>
      <c r="L16" s="54">
        <v>21.17</v>
      </c>
      <c r="M16" s="54">
        <v>75.03</v>
      </c>
      <c r="N16" s="54">
        <v>387.10</v>
      </c>
      <c r="O16" s="54">
        <v>0</v>
      </c>
      <c r="P16" s="54">
        <v>0.38</v>
      </c>
      <c r="Q16" s="54">
        <v>11.07</v>
      </c>
      <c r="R16" s="43"/>
      <c r="S16" s="43"/>
      <c r="T16" s="43"/>
      <c r="U16" s="43"/>
    </row>
    <row r="17" spans="1:21" s="11" customFormat="1" ht="15">
      <c r="A17" s="53" t="s">
        <v>550</v>
      </c>
      <c r="B17" s="54">
        <v>20.420000000000002</v>
      </c>
      <c r="C17" s="54">
        <v>48.88</v>
      </c>
      <c r="D17" s="54">
        <v>41.33</v>
      </c>
      <c r="E17" s="54">
        <v>2.12</v>
      </c>
      <c r="F17" s="54">
        <v>3.40</v>
      </c>
      <c r="G17" s="54">
        <v>35.51</v>
      </c>
      <c r="H17" s="54">
        <v>17.91</v>
      </c>
      <c r="I17" s="54">
        <v>5.01</v>
      </c>
      <c r="J17" s="54">
        <v>1.53</v>
      </c>
      <c r="K17" s="54">
        <v>125.37</v>
      </c>
      <c r="L17" s="54">
        <v>22.11</v>
      </c>
      <c r="M17" s="54">
        <v>66.81</v>
      </c>
      <c r="N17" s="54">
        <v>594.20000000000005</v>
      </c>
      <c r="O17" s="54">
        <v>0</v>
      </c>
      <c r="P17" s="54">
        <v>0.39</v>
      </c>
      <c r="Q17" s="54">
        <v>11.05</v>
      </c>
      <c r="R17" s="43"/>
      <c r="S17" s="43"/>
      <c r="T17" s="43"/>
      <c r="U17" s="43"/>
    </row>
    <row r="18" spans="1:21" s="11" customFormat="1" ht="15">
      <c r="A18" s="53" t="s">
        <v>551</v>
      </c>
      <c r="B18" s="54">
        <v>17.23</v>
      </c>
      <c r="C18" s="54">
        <v>50.92</v>
      </c>
      <c r="D18" s="54">
        <v>39.51</v>
      </c>
      <c r="E18" s="54">
        <v>2.0499999999999998</v>
      </c>
      <c r="F18" s="54">
        <v>3.54</v>
      </c>
      <c r="G18" s="54">
        <v>35.51</v>
      </c>
      <c r="H18" s="54">
        <v>13.23</v>
      </c>
      <c r="I18" s="54">
        <v>5.0599999999999996</v>
      </c>
      <c r="J18" s="54">
        <v>0.66</v>
      </c>
      <c r="K18" s="54">
        <v>176.08</v>
      </c>
      <c r="L18" s="54">
        <v>23.65</v>
      </c>
      <c r="M18" s="54">
        <v>56.89</v>
      </c>
      <c r="N18" s="54">
        <v>815</v>
      </c>
      <c r="O18" s="54">
        <v>0</v>
      </c>
      <c r="P18" s="54">
        <v>0.39</v>
      </c>
      <c r="Q18" s="54">
        <v>10.79</v>
      </c>
      <c r="R18" s="43"/>
      <c r="S18" s="43"/>
      <c r="T18" s="43"/>
      <c r="U18" s="43"/>
    </row>
    <row r="19" spans="1:21" s="11" customFormat="1" ht="15">
      <c r="A19" s="53" t="s">
        <v>552</v>
      </c>
      <c r="B19" s="54">
        <v>12.06</v>
      </c>
      <c r="C19" s="54">
        <v>54.35</v>
      </c>
      <c r="D19" s="54">
        <v>36.32</v>
      </c>
      <c r="E19" s="54">
        <v>2.02</v>
      </c>
      <c r="F19" s="54">
        <v>4.38</v>
      </c>
      <c r="G19" s="54">
        <v>37.40</v>
      </c>
      <c r="H19" s="54">
        <v>15.36</v>
      </c>
      <c r="I19" s="54">
        <v>5.01</v>
      </c>
      <c r="J19" s="54">
        <v>0.31</v>
      </c>
      <c r="K19" s="54">
        <v>343</v>
      </c>
      <c r="L19" s="54">
        <v>27.25</v>
      </c>
      <c r="M19" s="54">
        <v>50.08</v>
      </c>
      <c r="N19" s="54">
        <v>921.40</v>
      </c>
      <c r="O19" s="54">
        <v>0</v>
      </c>
      <c r="P19" s="54">
        <v>0.40</v>
      </c>
      <c r="Q19" s="54">
        <v>10.96</v>
      </c>
      <c r="R19" s="43"/>
      <c r="S19" s="43"/>
      <c r="T19" s="43"/>
      <c r="U19" s="43"/>
    </row>
    <row r="20" spans="1:21" s="11" customFormat="1" ht="15">
      <c r="A20" s="53" t="s">
        <v>553</v>
      </c>
      <c r="B20" s="54">
        <v>6.40</v>
      </c>
      <c r="C20" s="54">
        <v>58.66</v>
      </c>
      <c r="D20" s="54">
        <v>34.5</v>
      </c>
      <c r="E20" s="54">
        <v>2.42</v>
      </c>
      <c r="F20" s="54">
        <v>7.16</v>
      </c>
      <c r="G20" s="54">
        <v>41.39</v>
      </c>
      <c r="H20" s="54">
        <v>20.74</v>
      </c>
      <c r="I20" s="54">
        <v>5.0599999999999996</v>
      </c>
      <c r="J20" s="54">
        <v>0.25</v>
      </c>
      <c r="K20" s="54">
        <v>342.22</v>
      </c>
      <c r="L20" s="54">
        <v>28.53</v>
      </c>
      <c r="M20" s="54">
        <v>48.35</v>
      </c>
      <c r="N20" s="54">
        <v>981.70</v>
      </c>
      <c r="O20" s="54">
        <v>0</v>
      </c>
      <c r="P20" s="54">
        <v>0.45</v>
      </c>
      <c r="Q20" s="54">
        <v>10.82</v>
      </c>
      <c r="R20" s="43"/>
      <c r="S20" s="43"/>
      <c r="T20" s="43"/>
      <c r="U20" s="43"/>
    </row>
    <row r="21" spans="1:21" s="11" customFormat="1" ht="15">
      <c r="A21" s="53" t="s">
        <v>554</v>
      </c>
      <c r="B21" s="54">
        <v>2.97</v>
      </c>
      <c r="C21" s="54">
        <v>54.05</v>
      </c>
      <c r="D21" s="54">
        <v>30.54</v>
      </c>
      <c r="E21" s="54">
        <v>1.55</v>
      </c>
      <c r="F21" s="54">
        <v>8.4499999999999993</v>
      </c>
      <c r="G21" s="54">
        <v>41.64</v>
      </c>
      <c r="H21" s="54">
        <v>20.74</v>
      </c>
      <c r="I21" s="54">
        <v>5.03</v>
      </c>
      <c r="J21" s="54">
        <v>0.21</v>
      </c>
      <c r="K21" s="54">
        <v>294.57</v>
      </c>
      <c r="L21" s="54">
        <v>28.91</v>
      </c>
      <c r="M21" s="54">
        <v>44.52</v>
      </c>
      <c r="N21" s="54">
        <v>975.10</v>
      </c>
      <c r="O21" s="54">
        <v>0</v>
      </c>
      <c r="P21" s="54">
        <v>0.43</v>
      </c>
      <c r="Q21" s="54">
        <v>10.66</v>
      </c>
      <c r="R21" s="43"/>
      <c r="S21" s="43"/>
      <c r="T21" s="43"/>
      <c r="U21" s="43"/>
    </row>
    <row r="22" spans="1:21" s="11" customFormat="1" ht="15">
      <c r="A22" s="53" t="s">
        <v>555</v>
      </c>
      <c r="B22" s="54">
        <v>3.22</v>
      </c>
      <c r="C22" s="54">
        <v>46.80</v>
      </c>
      <c r="D22" s="54">
        <v>26.61</v>
      </c>
      <c r="E22" s="54">
        <v>1.59</v>
      </c>
      <c r="F22" s="54">
        <v>10.32</v>
      </c>
      <c r="G22" s="54">
        <v>41.64</v>
      </c>
      <c r="H22" s="54">
        <v>16.48</v>
      </c>
      <c r="I22" s="54">
        <v>5.04</v>
      </c>
      <c r="J22" s="54">
        <v>0.56000000000000005</v>
      </c>
      <c r="K22" s="54">
        <v>318.95999999999998</v>
      </c>
      <c r="L22" s="54">
        <v>32.020000000000003</v>
      </c>
      <c r="M22" s="54">
        <v>39.630000000000003</v>
      </c>
      <c r="N22" s="54">
        <v>885.90</v>
      </c>
      <c r="O22" s="54">
        <v>0</v>
      </c>
      <c r="P22" s="54">
        <v>0.54</v>
      </c>
      <c r="Q22" s="54">
        <v>10.55</v>
      </c>
      <c r="R22" s="43"/>
      <c r="S22" s="43"/>
      <c r="T22" s="43"/>
      <c r="U22" s="43"/>
    </row>
    <row r="23" spans="1:21" s="11" customFormat="1" ht="15">
      <c r="A23" s="53" t="s">
        <v>556</v>
      </c>
      <c r="B23" s="54">
        <v>2.31</v>
      </c>
      <c r="C23" s="54">
        <v>49.36</v>
      </c>
      <c r="D23" s="54">
        <v>27.48</v>
      </c>
      <c r="E23" s="54">
        <v>2.1800000000000002</v>
      </c>
      <c r="F23" s="54">
        <v>10.01</v>
      </c>
      <c r="G23" s="54">
        <v>40.590000000000003</v>
      </c>
      <c r="H23" s="54">
        <v>17.5</v>
      </c>
      <c r="I23" s="54">
        <v>5.0199999999999996</v>
      </c>
      <c r="J23" s="54">
        <v>0.65</v>
      </c>
      <c r="K23" s="54">
        <v>320.36</v>
      </c>
      <c r="L23" s="54">
        <v>31.17</v>
      </c>
      <c r="M23" s="54">
        <v>35.61</v>
      </c>
      <c r="N23" s="54">
        <v>727.60</v>
      </c>
      <c r="O23" s="54">
        <v>0</v>
      </c>
      <c r="P23" s="54">
        <v>0.62</v>
      </c>
      <c r="Q23" s="54">
        <v>10.40</v>
      </c>
      <c r="R23" s="43"/>
      <c r="S23" s="43"/>
      <c r="T23" s="43"/>
      <c r="U23" s="43"/>
    </row>
    <row r="24" spans="1:21" s="11" customFormat="1" ht="15">
      <c r="A24" s="53" t="s">
        <v>557</v>
      </c>
      <c r="B24" s="54">
        <v>3.02</v>
      </c>
      <c r="C24" s="54">
        <v>48.79</v>
      </c>
      <c r="D24" s="54">
        <v>27.28</v>
      </c>
      <c r="E24" s="54">
        <v>1.72</v>
      </c>
      <c r="F24" s="54">
        <v>9.0500000000000007</v>
      </c>
      <c r="G24" s="54">
        <v>45.51</v>
      </c>
      <c r="H24" s="54">
        <v>18.28</v>
      </c>
      <c r="I24" s="54">
        <v>5.08</v>
      </c>
      <c r="J24" s="54">
        <v>0.80</v>
      </c>
      <c r="K24" s="54">
        <v>337.66</v>
      </c>
      <c r="L24" s="54">
        <v>30.95</v>
      </c>
      <c r="M24" s="54">
        <v>33.74</v>
      </c>
      <c r="N24" s="54">
        <v>292</v>
      </c>
      <c r="O24" s="54">
        <v>0</v>
      </c>
      <c r="P24" s="54">
        <v>0.57999999999999996</v>
      </c>
      <c r="Q24" s="54">
        <v>10.52</v>
      </c>
      <c r="R24" s="43"/>
      <c r="S24" s="43"/>
      <c r="T24" s="43"/>
      <c r="U24" s="43"/>
    </row>
    <row r="25" spans="1:21" s="11" customFormat="1" ht="15">
      <c r="A25" s="53" t="s">
        <v>558</v>
      </c>
      <c r="B25" s="54">
        <v>3.13</v>
      </c>
      <c r="C25" s="54">
        <v>55.43</v>
      </c>
      <c r="D25" s="54">
        <v>31.05</v>
      </c>
      <c r="E25" s="54">
        <v>1.90</v>
      </c>
      <c r="F25" s="54">
        <v>6.90</v>
      </c>
      <c r="G25" s="54">
        <v>45.51</v>
      </c>
      <c r="H25" s="54">
        <v>18.28</v>
      </c>
      <c r="I25" s="54">
        <v>5.0199999999999996</v>
      </c>
      <c r="J25" s="54">
        <v>0.42</v>
      </c>
      <c r="K25" s="54">
        <v>344.95</v>
      </c>
      <c r="L25" s="54">
        <v>29.5</v>
      </c>
      <c r="M25" s="54">
        <v>35.869999999999997</v>
      </c>
      <c r="N25" s="54">
        <v>237.40</v>
      </c>
      <c r="O25" s="54">
        <v>0</v>
      </c>
      <c r="P25" s="54">
        <v>0.53</v>
      </c>
      <c r="Q25" s="54">
        <v>10.46</v>
      </c>
      <c r="R25" s="43"/>
      <c r="S25" s="43"/>
      <c r="T25" s="43"/>
      <c r="U25" s="43"/>
    </row>
    <row r="26" spans="1:21" s="11" customFormat="1" ht="15">
      <c r="A26" s="53" t="s">
        <v>559</v>
      </c>
      <c r="B26" s="54">
        <v>5.44</v>
      </c>
      <c r="C26" s="54">
        <v>60.24</v>
      </c>
      <c r="D26" s="54">
        <v>35.76</v>
      </c>
      <c r="E26" s="54">
        <v>1.84</v>
      </c>
      <c r="F26" s="54">
        <v>4.72</v>
      </c>
      <c r="G26" s="54">
        <v>39.78</v>
      </c>
      <c r="H26" s="54">
        <v>15.35</v>
      </c>
      <c r="I26" s="54">
        <v>5.03</v>
      </c>
      <c r="J26" s="54">
        <v>0.47</v>
      </c>
      <c r="K26" s="54">
        <v>356.19</v>
      </c>
      <c r="L26" s="54">
        <v>28.32</v>
      </c>
      <c r="M26" s="54">
        <v>38.24</v>
      </c>
      <c r="N26" s="54">
        <v>83.60</v>
      </c>
      <c r="O26" s="54">
        <v>0</v>
      </c>
      <c r="P26" s="54">
        <v>0.62</v>
      </c>
      <c r="Q26" s="54">
        <v>10.62</v>
      </c>
      <c r="R26" s="43"/>
      <c r="S26" s="43"/>
      <c r="T26" s="43"/>
      <c r="U26" s="43"/>
    </row>
    <row r="27" spans="1:21" s="11" customFormat="1" ht="15">
      <c r="A27" s="53" t="s">
        <v>560</v>
      </c>
      <c r="B27" s="54">
        <v>19.920000000000002</v>
      </c>
      <c r="C27" s="54">
        <v>67.87</v>
      </c>
      <c r="D27" s="54">
        <v>51.35</v>
      </c>
      <c r="E27" s="54">
        <v>1.82</v>
      </c>
      <c r="F27" s="54">
        <v>3.5</v>
      </c>
      <c r="G27" s="54">
        <v>54.86</v>
      </c>
      <c r="H27" s="54">
        <v>17.80</v>
      </c>
      <c r="I27" s="54">
        <v>5.0599999999999996</v>
      </c>
      <c r="J27" s="54">
        <v>0.45</v>
      </c>
      <c r="K27" s="54">
        <v>349.46</v>
      </c>
      <c r="L27" s="54">
        <v>25.99</v>
      </c>
      <c r="M27" s="54">
        <v>52.24</v>
      </c>
      <c r="N27" s="54">
        <v>23.30</v>
      </c>
      <c r="O27" s="54">
        <v>0</v>
      </c>
      <c r="P27" s="54">
        <v>0.91</v>
      </c>
      <c r="Q27" s="54">
        <v>10.70</v>
      </c>
      <c r="R27" s="43"/>
      <c r="S27" s="43"/>
      <c r="T27" s="43"/>
      <c r="U27" s="43"/>
    </row>
    <row r="28" spans="1:21" s="11" customFormat="1" ht="15">
      <c r="A28" s="53" t="s">
        <v>561</v>
      </c>
      <c r="B28" s="54">
        <v>42.32</v>
      </c>
      <c r="C28" s="54">
        <v>68.22</v>
      </c>
      <c r="D28" s="54">
        <v>67.77</v>
      </c>
      <c r="E28" s="54">
        <v>2.97</v>
      </c>
      <c r="F28" s="54">
        <v>3.54</v>
      </c>
      <c r="G28" s="54">
        <v>86.14</v>
      </c>
      <c r="H28" s="54">
        <v>24.49</v>
      </c>
      <c r="I28" s="54">
        <v>5</v>
      </c>
      <c r="J28" s="54">
        <v>0.32</v>
      </c>
      <c r="K28" s="54">
        <v>282.20</v>
      </c>
      <c r="L28" s="54">
        <v>23.26</v>
      </c>
      <c r="M28" s="54">
        <v>59.92</v>
      </c>
      <c r="N28" s="54">
        <v>22.40</v>
      </c>
      <c r="O28" s="54">
        <v>0</v>
      </c>
      <c r="P28" s="54">
        <v>1.1599999999999999</v>
      </c>
      <c r="Q28" s="54">
        <v>11.41</v>
      </c>
      <c r="R28" s="43"/>
      <c r="S28" s="43"/>
      <c r="T28" s="43"/>
      <c r="U28" s="43"/>
    </row>
    <row r="29" spans="1:21" s="11" customFormat="1" ht="15">
      <c r="A29" s="53" t="s">
        <v>562</v>
      </c>
      <c r="B29" s="54">
        <v>68.16</v>
      </c>
      <c r="C29" s="54">
        <v>63.85</v>
      </c>
      <c r="D29" s="54">
        <v>87.93</v>
      </c>
      <c r="E29" s="54">
        <v>3.54</v>
      </c>
      <c r="F29" s="54">
        <v>3.56</v>
      </c>
      <c r="G29" s="54">
        <v>116.85</v>
      </c>
      <c r="H29" s="54">
        <v>31.31</v>
      </c>
      <c r="I29" s="54">
        <v>5.05</v>
      </c>
      <c r="J29" s="54">
        <v>0.30</v>
      </c>
      <c r="K29" s="54">
        <v>176.20</v>
      </c>
      <c r="L29" s="54">
        <v>22.33</v>
      </c>
      <c r="M29" s="54">
        <v>64.06</v>
      </c>
      <c r="N29" s="54">
        <v>22.10</v>
      </c>
      <c r="O29" s="54">
        <v>0</v>
      </c>
      <c r="P29" s="54">
        <v>1.30</v>
      </c>
      <c r="Q29" s="54">
        <v>12.31</v>
      </c>
      <c r="R29" s="43"/>
      <c r="S29" s="43"/>
      <c r="T29" s="43"/>
      <c r="U29" s="43"/>
    </row>
    <row r="30" spans="1:21" s="11" customFormat="1" ht="15">
      <c r="A30" s="53" t="s">
        <v>563</v>
      </c>
      <c r="B30" s="54">
        <v>100.80</v>
      </c>
      <c r="C30" s="54">
        <v>66.739999999999995</v>
      </c>
      <c r="D30" s="54">
        <v>115.27</v>
      </c>
      <c r="E30" s="54">
        <v>3.94</v>
      </c>
      <c r="F30" s="54">
        <v>3.47</v>
      </c>
      <c r="G30" s="54">
        <v>129.97999999999999</v>
      </c>
      <c r="H30" s="54">
        <v>39.04</v>
      </c>
      <c r="I30" s="54">
        <v>4.9800000000000004</v>
      </c>
      <c r="J30" s="54">
        <v>0.10</v>
      </c>
      <c r="K30" s="54">
        <v>327.12</v>
      </c>
      <c r="L30" s="54">
        <v>22</v>
      </c>
      <c r="M30" s="54">
        <v>75.02</v>
      </c>
      <c r="N30" s="54">
        <v>22</v>
      </c>
      <c r="O30" s="54">
        <v>0</v>
      </c>
      <c r="P30" s="54">
        <v>1.62</v>
      </c>
      <c r="Q30" s="54">
        <v>13.09</v>
      </c>
      <c r="R30" s="43"/>
      <c r="S30" s="43"/>
      <c r="T30" s="43"/>
      <c r="U30" s="43"/>
    </row>
    <row r="31" spans="1:21" s="11" customFormat="1" ht="15">
      <c r="A31" s="53" t="s">
        <v>564</v>
      </c>
      <c r="B31" s="54">
        <v>122.28</v>
      </c>
      <c r="C31" s="54">
        <v>66.680000000000007</v>
      </c>
      <c r="D31" s="54">
        <v>132.18</v>
      </c>
      <c r="E31" s="54">
        <v>4.70</v>
      </c>
      <c r="F31" s="54">
        <v>3.54</v>
      </c>
      <c r="G31" s="54">
        <v>139.62</v>
      </c>
      <c r="H31" s="54">
        <v>44.82</v>
      </c>
      <c r="I31" s="54">
        <v>5.03</v>
      </c>
      <c r="J31" s="54">
        <v>0.17</v>
      </c>
      <c r="K31" s="54">
        <v>305.39999999999998</v>
      </c>
      <c r="L31" s="54">
        <v>20.89</v>
      </c>
      <c r="M31" s="54">
        <v>78.30</v>
      </c>
      <c r="N31" s="54">
        <v>22.20</v>
      </c>
      <c r="O31" s="54">
        <v>0</v>
      </c>
      <c r="P31" s="54">
        <v>1.92</v>
      </c>
      <c r="Q31" s="54">
        <v>13.01</v>
      </c>
      <c r="R31" s="43"/>
      <c r="S31" s="43"/>
      <c r="T31" s="43"/>
      <c r="U31" s="43"/>
    </row>
    <row r="32" spans="1:21" s="11" customFormat="1" ht="15">
      <c r="A32" s="53" t="s">
        <v>565</v>
      </c>
      <c r="B32" s="54">
        <v>123.65</v>
      </c>
      <c r="C32" s="54">
        <v>64.19</v>
      </c>
      <c r="D32" s="54">
        <v>132.62</v>
      </c>
      <c r="E32" s="54">
        <v>4.43</v>
      </c>
      <c r="F32" s="54">
        <v>3.40</v>
      </c>
      <c r="G32" s="54">
        <v>139.62</v>
      </c>
      <c r="H32" s="54">
        <v>44.82</v>
      </c>
      <c r="I32" s="54">
        <v>5.03</v>
      </c>
      <c r="J32" s="54">
        <v>0.27</v>
      </c>
      <c r="K32" s="54">
        <v>356.23</v>
      </c>
      <c r="L32" s="54">
        <v>20.27</v>
      </c>
      <c r="M32" s="54">
        <v>81.83</v>
      </c>
      <c r="N32" s="54">
        <v>22.30</v>
      </c>
      <c r="O32" s="54">
        <v>0</v>
      </c>
      <c r="P32" s="54">
        <v>1.97</v>
      </c>
      <c r="Q32" s="54">
        <v>13.42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2.3100000000000001</v>
      </c>
      <c r="C34" s="28">
        <f t="shared" si="0"/>
        <v>42.869999999999997</v>
      </c>
      <c r="D34" s="28">
        <f t="shared" si="0"/>
        <v>26.609999999999999</v>
      </c>
      <c r="E34" s="28">
        <f t="shared" si="0"/>
        <v>1.46</v>
      </c>
      <c r="F34" s="28">
        <f t="shared" si="0"/>
        <v>3.2400000000000002</v>
      </c>
      <c r="G34" s="28">
        <f t="shared" si="0"/>
        <v>21.239999999999998</v>
      </c>
      <c r="H34" s="28">
        <f t="shared" si="0"/>
        <v>3.1600000000000001</v>
      </c>
      <c r="I34" s="28">
        <f t="shared" si="0"/>
        <v>4.9800000000000004</v>
      </c>
      <c r="J34" s="28">
        <f t="shared" si="0"/>
        <v>0.10000000000000001</v>
      </c>
      <c r="K34" s="28">
        <f t="shared" si="0"/>
        <v>96.549999999999997</v>
      </c>
      <c r="L34" s="28">
        <f t="shared" si="0"/>
        <v>14.640000000000001</v>
      </c>
      <c r="M34" s="28">
        <f t="shared" si="0"/>
        <v>33.740000000000002</v>
      </c>
      <c r="N34" s="28">
        <f t="shared" si="0"/>
        <v>22</v>
      </c>
      <c r="O34" s="28">
        <f t="shared" si="0"/>
        <v>0</v>
      </c>
      <c r="P34" s="28">
        <f t="shared" si="0"/>
        <v>0.31</v>
      </c>
      <c r="Q34" s="28">
        <f t="shared" si="0"/>
        <v>10.4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123.65000000000001</v>
      </c>
      <c r="C35" s="29">
        <f t="shared" si="1"/>
        <v>68.219999999999999</v>
      </c>
      <c r="D35" s="29">
        <f t="shared" si="1"/>
        <v>132.62</v>
      </c>
      <c r="E35" s="29">
        <f t="shared" si="1"/>
        <v>4.7000000000000002</v>
      </c>
      <c r="F35" s="29">
        <f t="shared" si="1"/>
        <v>10.32</v>
      </c>
      <c r="G35" s="29">
        <f t="shared" si="1"/>
        <v>139.62</v>
      </c>
      <c r="H35" s="29">
        <f t="shared" si="1"/>
        <v>44.82</v>
      </c>
      <c r="I35" s="29">
        <f t="shared" si="1"/>
        <v>5.0800000000000001</v>
      </c>
      <c r="J35" s="29">
        <f t="shared" si="1"/>
        <v>1.8600000000000001</v>
      </c>
      <c r="K35" s="29">
        <f t="shared" si="1"/>
        <v>359.81999999999999</v>
      </c>
      <c r="L35" s="29">
        <f t="shared" si="1"/>
        <v>32.020000000000003</v>
      </c>
      <c r="M35" s="29">
        <f t="shared" si="1"/>
        <v>90.450000000000003</v>
      </c>
      <c r="N35" s="29">
        <f t="shared" si="1"/>
        <v>981.70000000000005</v>
      </c>
      <c r="O35" s="29">
        <f t="shared" si="1"/>
        <v>0</v>
      </c>
      <c r="P35" s="29">
        <f t="shared" si="1"/>
        <v>1.97</v>
      </c>
      <c r="Q35" s="29">
        <f t="shared" si="1"/>
        <v>13.42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26.940000000000001</v>
      </c>
      <c r="C36" s="28">
        <f t="shared" si="2"/>
        <v>53.880416666666662</v>
      </c>
      <c r="D36" s="28">
        <f t="shared" si="2"/>
        <v>49.308749999999996</v>
      </c>
      <c r="E36" s="28">
        <f t="shared" si="2"/>
        <v>2.2979166666666666</v>
      </c>
      <c r="F36" s="28">
        <f t="shared" si="2"/>
        <v>4.8462500000000013</v>
      </c>
      <c r="G36" s="28">
        <f t="shared" si="2"/>
        <v>53.723333333333322</v>
      </c>
      <c r="H36" s="28">
        <f t="shared" si="2"/>
        <v>18.838750000000001</v>
      </c>
      <c r="I36" s="28">
        <f t="shared" si="2"/>
        <v>5.0300000000000002</v>
      </c>
      <c r="J36" s="28">
        <f t="shared" si="2"/>
        <v>0.66500000000000015</v>
      </c>
      <c r="K36" s="28">
        <f t="shared" si="2"/>
        <v>285.71999999999997</v>
      </c>
      <c r="L36" s="28">
        <f t="shared" si="2"/>
        <v>23.032499999999999</v>
      </c>
      <c r="M36" s="28">
        <f t="shared" si="2"/>
        <v>62.142499999999991</v>
      </c>
      <c r="N36" s="28">
        <f t="shared" si="2"/>
        <v>308.32500000000005</v>
      </c>
      <c r="O36" s="28">
        <f t="shared" si="2"/>
        <v>0</v>
      </c>
      <c r="P36" s="28">
        <f t="shared" si="2"/>
        <v>0.69833333333333336</v>
      </c>
      <c r="Q36" s="28">
        <f t="shared" si="2"/>
        <v>11.110000000000001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37.306374906919757</v>
      </c>
      <c r="C37" s="28">
        <f t="shared" si="3" ref="C37:Q37">STDEV(C9:C32)</f>
        <v>8.4721618200904736</v>
      </c>
      <c r="D37" s="28">
        <f t="shared" si="3"/>
        <v>33.019099915641725</v>
      </c>
      <c r="E37" s="28">
        <f t="shared" si="3"/>
        <v>0.9213269219454342</v>
      </c>
      <c r="F37" s="28">
        <f t="shared" si="3"/>
        <v>2.3603349292549249</v>
      </c>
      <c r="G37" s="28">
        <f t="shared" si="3"/>
        <v>38.049445138691837</v>
      </c>
      <c r="H37" s="28">
        <f t="shared" si="3"/>
        <v>11.179347928600111</v>
      </c>
      <c r="I37" s="28">
        <f t="shared" si="3"/>
        <v>0.024847360108225209</v>
      </c>
      <c r="J37" s="28">
        <f t="shared" si="3"/>
        <v>0.45443706217501756</v>
      </c>
      <c r="K37" s="28">
        <f t="shared" si="3"/>
        <v>95.458156278025982</v>
      </c>
      <c r="L37" s="28">
        <f t="shared" si="3"/>
        <v>5.5503844363525339</v>
      </c>
      <c r="M37" s="28">
        <f t="shared" si="3"/>
        <v>18.439893485026769</v>
      </c>
      <c r="N37" s="28">
        <f t="shared" si="3"/>
        <v>369.94757589832022</v>
      </c>
      <c r="O37" s="28">
        <f t="shared" si="3"/>
        <v>0</v>
      </c>
      <c r="P37" s="28">
        <f t="shared" si="3"/>
        <v>0.50965177085558311</v>
      </c>
      <c r="Q37" s="28">
        <f t="shared" si="3"/>
        <v>0.88898085273066429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ecf2b6-815a-417c-887c-30dbc306d802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566</v>
      </c>
      <c r="B9" s="54">
        <v>120.87</v>
      </c>
      <c r="C9" s="54">
        <v>61</v>
      </c>
      <c r="D9" s="54">
        <v>128.72</v>
      </c>
      <c r="E9" s="54">
        <v>2.12</v>
      </c>
      <c r="F9" s="54">
        <v>3.87</v>
      </c>
      <c r="G9" s="54">
        <v>130.18</v>
      </c>
      <c r="H9" s="54">
        <v>41.98</v>
      </c>
      <c r="I9" s="54">
        <v>5.03</v>
      </c>
      <c r="J9" s="54">
        <v>0.23</v>
      </c>
      <c r="K9" s="54">
        <v>336.47</v>
      </c>
      <c r="L9" s="54">
        <v>19.399999999999999</v>
      </c>
      <c r="M9" s="54">
        <v>88</v>
      </c>
      <c r="N9" s="54">
        <v>22.30</v>
      </c>
      <c r="O9" s="54">
        <v>0</v>
      </c>
      <c r="P9" s="54">
        <v>1.94</v>
      </c>
      <c r="Q9" s="54">
        <v>13.59</v>
      </c>
      <c r="R9" s="43"/>
      <c r="S9" s="43"/>
      <c r="T9" s="43"/>
      <c r="U9" s="43"/>
    </row>
    <row r="10" spans="1:21" s="11" customFormat="1" ht="15">
      <c r="A10" s="53" t="s">
        <v>567</v>
      </c>
      <c r="B10" s="54">
        <v>114.60</v>
      </c>
      <c r="C10" s="54">
        <v>58.09</v>
      </c>
      <c r="D10" s="54">
        <v>121.91</v>
      </c>
      <c r="E10" s="54">
        <v>2.15</v>
      </c>
      <c r="F10" s="54">
        <v>3.60</v>
      </c>
      <c r="G10" s="54">
        <v>110.58</v>
      </c>
      <c r="H10" s="54">
        <v>41.92</v>
      </c>
      <c r="I10" s="54">
        <v>5.03</v>
      </c>
      <c r="J10" s="54">
        <v>0.66</v>
      </c>
      <c r="K10" s="54">
        <v>336.15</v>
      </c>
      <c r="L10" s="54">
        <v>19.30</v>
      </c>
      <c r="M10" s="54">
        <v>87.04</v>
      </c>
      <c r="N10" s="54">
        <v>22.10</v>
      </c>
      <c r="O10" s="54">
        <v>0</v>
      </c>
      <c r="P10" s="54">
        <v>1.67</v>
      </c>
      <c r="Q10" s="54">
        <v>13.54</v>
      </c>
      <c r="R10" s="43"/>
      <c r="S10" s="43"/>
      <c r="T10" s="43"/>
      <c r="U10" s="43"/>
    </row>
    <row r="11" spans="1:21" s="11" customFormat="1" ht="15">
      <c r="A11" s="53" t="s">
        <v>568</v>
      </c>
      <c r="B11" s="54">
        <v>98.36</v>
      </c>
      <c r="C11" s="54">
        <v>56.67</v>
      </c>
      <c r="D11" s="54">
        <v>108.41</v>
      </c>
      <c r="E11" s="54">
        <v>2.0299999999999998</v>
      </c>
      <c r="F11" s="54">
        <v>3.65</v>
      </c>
      <c r="G11" s="54">
        <v>108.25</v>
      </c>
      <c r="H11" s="54">
        <v>36.64</v>
      </c>
      <c r="I11" s="54">
        <v>5.04</v>
      </c>
      <c r="J11" s="54">
        <v>0.38</v>
      </c>
      <c r="K11" s="54">
        <v>89.32</v>
      </c>
      <c r="L11" s="54">
        <v>20.34</v>
      </c>
      <c r="M11" s="54">
        <v>72.260000000000005</v>
      </c>
      <c r="N11" s="54">
        <v>22</v>
      </c>
      <c r="O11" s="54">
        <v>0</v>
      </c>
      <c r="P11" s="54">
        <v>1.5</v>
      </c>
      <c r="Q11" s="54">
        <v>12.83</v>
      </c>
      <c r="R11" s="43"/>
      <c r="S11" s="43"/>
      <c r="T11" s="43"/>
      <c r="U11" s="43"/>
    </row>
    <row r="12" spans="1:21" s="11" customFormat="1" ht="15">
      <c r="A12" s="53" t="s">
        <v>569</v>
      </c>
      <c r="B12" s="54">
        <v>77.650000000000006</v>
      </c>
      <c r="C12" s="54">
        <v>56.02</v>
      </c>
      <c r="D12" s="54">
        <v>91.35</v>
      </c>
      <c r="E12" s="54">
        <v>1.77</v>
      </c>
      <c r="F12" s="54">
        <v>3.46</v>
      </c>
      <c r="G12" s="54">
        <v>92.89</v>
      </c>
      <c r="H12" s="54">
        <v>36.270000000000003</v>
      </c>
      <c r="I12" s="54">
        <v>5.04</v>
      </c>
      <c r="J12" s="54">
        <v>0.70</v>
      </c>
      <c r="K12" s="54">
        <v>102.84</v>
      </c>
      <c r="L12" s="54">
        <v>20.27</v>
      </c>
      <c r="M12" s="54">
        <v>76.63</v>
      </c>
      <c r="N12" s="54">
        <v>22.30</v>
      </c>
      <c r="O12" s="54">
        <v>0</v>
      </c>
      <c r="P12" s="54">
        <v>1.28</v>
      </c>
      <c r="Q12" s="54">
        <v>12.07</v>
      </c>
      <c r="R12" s="43"/>
      <c r="S12" s="43"/>
      <c r="T12" s="43"/>
      <c r="U12" s="43"/>
    </row>
    <row r="13" spans="1:21" s="11" customFormat="1" ht="15">
      <c r="A13" s="53" t="s">
        <v>570</v>
      </c>
      <c r="B13" s="54">
        <v>59.75</v>
      </c>
      <c r="C13" s="54">
        <v>53.96</v>
      </c>
      <c r="D13" s="54">
        <v>76.03</v>
      </c>
      <c r="E13" s="54">
        <v>1.92</v>
      </c>
      <c r="F13" s="54">
        <v>3.35</v>
      </c>
      <c r="G13" s="54">
        <v>79.11</v>
      </c>
      <c r="H13" s="54">
        <v>30.25</v>
      </c>
      <c r="I13" s="54">
        <v>5.01</v>
      </c>
      <c r="J13" s="54">
        <v>0.39</v>
      </c>
      <c r="K13" s="54">
        <v>349.04</v>
      </c>
      <c r="L13" s="54">
        <v>19.350000000000001</v>
      </c>
      <c r="M13" s="54">
        <v>80.63</v>
      </c>
      <c r="N13" s="54">
        <v>22.40</v>
      </c>
      <c r="O13" s="54">
        <v>0</v>
      </c>
      <c r="P13" s="54">
        <v>1.05</v>
      </c>
      <c r="Q13" s="54">
        <v>11.55</v>
      </c>
      <c r="R13" s="43"/>
      <c r="S13" s="43"/>
      <c r="T13" s="43"/>
      <c r="U13" s="43"/>
    </row>
    <row r="14" spans="1:21" s="11" customFormat="1" ht="15">
      <c r="A14" s="53" t="s">
        <v>571</v>
      </c>
      <c r="B14" s="54">
        <v>51.51</v>
      </c>
      <c r="C14" s="54">
        <v>49.88</v>
      </c>
      <c r="D14" s="54">
        <v>67.11</v>
      </c>
      <c r="E14" s="54">
        <v>1.71</v>
      </c>
      <c r="F14" s="54">
        <v>3.62</v>
      </c>
      <c r="G14" s="54">
        <v>69.64</v>
      </c>
      <c r="H14" s="54">
        <v>26.05</v>
      </c>
      <c r="I14" s="54">
        <v>5.09</v>
      </c>
      <c r="J14" s="54">
        <v>0.36</v>
      </c>
      <c r="K14" s="54">
        <v>63.61</v>
      </c>
      <c r="L14" s="54">
        <v>18.579999999999998</v>
      </c>
      <c r="M14" s="54">
        <v>86.15</v>
      </c>
      <c r="N14" s="54">
        <v>24.80</v>
      </c>
      <c r="O14" s="54">
        <v>0</v>
      </c>
      <c r="P14" s="54">
        <v>0.92</v>
      </c>
      <c r="Q14" s="54">
        <v>11.91</v>
      </c>
      <c r="R14" s="43"/>
      <c r="S14" s="43"/>
      <c r="T14" s="43"/>
      <c r="U14" s="43"/>
    </row>
    <row r="15" spans="1:21" s="11" customFormat="1" ht="15">
      <c r="A15" s="53" t="s">
        <v>572</v>
      </c>
      <c r="B15" s="54">
        <v>46.96</v>
      </c>
      <c r="C15" s="54">
        <v>49.33</v>
      </c>
      <c r="D15" s="54">
        <v>62.76</v>
      </c>
      <c r="E15" s="54">
        <v>1.84</v>
      </c>
      <c r="F15" s="54">
        <v>4.57</v>
      </c>
      <c r="G15" s="54">
        <v>67.150000000000006</v>
      </c>
      <c r="H15" s="54">
        <v>25.16</v>
      </c>
      <c r="I15" s="54">
        <v>5.0199999999999996</v>
      </c>
      <c r="J15" s="54">
        <v>1.1399999999999999</v>
      </c>
      <c r="K15" s="54">
        <v>359.59</v>
      </c>
      <c r="L15" s="54">
        <v>19.829999999999998</v>
      </c>
      <c r="M15" s="54">
        <v>86.65</v>
      </c>
      <c r="N15" s="54">
        <v>132.60</v>
      </c>
      <c r="O15" s="54">
        <v>0</v>
      </c>
      <c r="P15" s="54">
        <v>0.82</v>
      </c>
      <c r="Q15" s="54">
        <v>11.54</v>
      </c>
      <c r="R15" s="43"/>
      <c r="S15" s="43"/>
      <c r="T15" s="43"/>
      <c r="U15" s="43"/>
    </row>
    <row r="16" spans="1:21" s="11" customFormat="1" ht="15">
      <c r="A16" s="53" t="s">
        <v>573</v>
      </c>
      <c r="B16" s="54">
        <v>41.89</v>
      </c>
      <c r="C16" s="54">
        <v>51.43</v>
      </c>
      <c r="D16" s="54">
        <v>59.47</v>
      </c>
      <c r="E16" s="54">
        <v>1.92</v>
      </c>
      <c r="F16" s="54">
        <v>3.30</v>
      </c>
      <c r="G16" s="54">
        <v>71.87</v>
      </c>
      <c r="H16" s="54">
        <v>25.80</v>
      </c>
      <c r="I16" s="54">
        <v>5.03</v>
      </c>
      <c r="J16" s="54">
        <v>0.74</v>
      </c>
      <c r="K16" s="54">
        <v>76.03</v>
      </c>
      <c r="L16" s="54">
        <v>22.41</v>
      </c>
      <c r="M16" s="54">
        <v>70.87</v>
      </c>
      <c r="N16" s="54">
        <v>356.80</v>
      </c>
      <c r="O16" s="54">
        <v>0</v>
      </c>
      <c r="P16" s="54">
        <v>0.88</v>
      </c>
      <c r="Q16" s="54">
        <v>11.63</v>
      </c>
      <c r="R16" s="43"/>
      <c r="S16" s="43"/>
      <c r="T16" s="43"/>
      <c r="U16" s="43"/>
    </row>
    <row r="17" spans="1:21" s="11" customFormat="1" ht="15">
      <c r="A17" s="53" t="s">
        <v>574</v>
      </c>
      <c r="B17" s="54">
        <v>38.42</v>
      </c>
      <c r="C17" s="54">
        <v>53.38</v>
      </c>
      <c r="D17" s="54">
        <v>58.14</v>
      </c>
      <c r="E17" s="54">
        <v>1.82</v>
      </c>
      <c r="F17" s="54">
        <v>3.42</v>
      </c>
      <c r="G17" s="54">
        <v>75.33</v>
      </c>
      <c r="H17" s="54">
        <v>25.80</v>
      </c>
      <c r="I17" s="54">
        <v>5.0199999999999996</v>
      </c>
      <c r="J17" s="54">
        <v>0.44</v>
      </c>
      <c r="K17" s="54">
        <v>112.13</v>
      </c>
      <c r="L17" s="54">
        <v>25.77</v>
      </c>
      <c r="M17" s="54">
        <v>63.10</v>
      </c>
      <c r="N17" s="54">
        <v>584.5</v>
      </c>
      <c r="O17" s="54">
        <v>0</v>
      </c>
      <c r="P17" s="54">
        <v>0.84</v>
      </c>
      <c r="Q17" s="54">
        <v>11.30</v>
      </c>
      <c r="R17" s="43"/>
      <c r="S17" s="43"/>
      <c r="T17" s="43"/>
      <c r="U17" s="43"/>
    </row>
    <row r="18" spans="1:21" s="11" customFormat="1" ht="15">
      <c r="A18" s="53" t="s">
        <v>575</v>
      </c>
      <c r="B18" s="54">
        <v>31.70</v>
      </c>
      <c r="C18" s="54">
        <v>57.63</v>
      </c>
      <c r="D18" s="54">
        <v>53.55</v>
      </c>
      <c r="E18" s="54">
        <v>1.81</v>
      </c>
      <c r="F18" s="54">
        <v>3.57</v>
      </c>
      <c r="G18" s="54">
        <v>75.33</v>
      </c>
      <c r="H18" s="54">
        <v>24.92</v>
      </c>
      <c r="I18" s="54">
        <v>5.04</v>
      </c>
      <c r="J18" s="54">
        <v>0.56000000000000005</v>
      </c>
      <c r="K18" s="54">
        <v>348.65</v>
      </c>
      <c r="L18" s="54">
        <v>31.49</v>
      </c>
      <c r="M18" s="54">
        <v>44.71</v>
      </c>
      <c r="N18" s="54">
        <v>753.60</v>
      </c>
      <c r="O18" s="54">
        <v>0</v>
      </c>
      <c r="P18" s="54">
        <v>0.79</v>
      </c>
      <c r="Q18" s="54">
        <v>11.04</v>
      </c>
      <c r="R18" s="43"/>
      <c r="S18" s="43"/>
      <c r="T18" s="43"/>
      <c r="U18" s="43"/>
    </row>
    <row r="19" spans="1:21" s="11" customFormat="1" ht="15">
      <c r="A19" s="53" t="s">
        <v>576</v>
      </c>
      <c r="B19" s="54">
        <v>26.35</v>
      </c>
      <c r="C19" s="54">
        <v>62.77</v>
      </c>
      <c r="D19" s="54">
        <v>51.90</v>
      </c>
      <c r="E19" s="54">
        <v>1.62</v>
      </c>
      <c r="F19" s="54">
        <v>4.1100000000000003</v>
      </c>
      <c r="G19" s="54">
        <v>74.61</v>
      </c>
      <c r="H19" s="54">
        <v>24.92</v>
      </c>
      <c r="I19" s="54">
        <v>5.04</v>
      </c>
      <c r="J19" s="54">
        <v>0.42</v>
      </c>
      <c r="K19" s="54">
        <v>339.47</v>
      </c>
      <c r="L19" s="54">
        <v>30.03</v>
      </c>
      <c r="M19" s="54">
        <v>43.52</v>
      </c>
      <c r="N19" s="54">
        <v>837.40</v>
      </c>
      <c r="O19" s="54">
        <v>0</v>
      </c>
      <c r="P19" s="54">
        <v>0.77</v>
      </c>
      <c r="Q19" s="54">
        <v>11.18</v>
      </c>
      <c r="R19" s="43"/>
      <c r="S19" s="43"/>
      <c r="T19" s="43"/>
      <c r="U19" s="43"/>
    </row>
    <row r="20" spans="1:21" s="11" customFormat="1" ht="15">
      <c r="A20" s="53" t="s">
        <v>577</v>
      </c>
      <c r="B20" s="54">
        <v>13.54</v>
      </c>
      <c r="C20" s="54">
        <v>67.25</v>
      </c>
      <c r="D20" s="54">
        <v>44.51</v>
      </c>
      <c r="E20" s="54">
        <v>2.27</v>
      </c>
      <c r="F20" s="54">
        <v>4.80</v>
      </c>
      <c r="G20" s="54">
        <v>70.28</v>
      </c>
      <c r="H20" s="54">
        <v>26.44</v>
      </c>
      <c r="I20" s="54">
        <v>5.0599999999999996</v>
      </c>
      <c r="J20" s="54">
        <v>0.40</v>
      </c>
      <c r="K20" s="54">
        <v>329.24</v>
      </c>
      <c r="L20" s="54">
        <v>31.92</v>
      </c>
      <c r="M20" s="54">
        <v>38.68</v>
      </c>
      <c r="N20" s="54">
        <v>892.20</v>
      </c>
      <c r="O20" s="54">
        <v>0</v>
      </c>
      <c r="P20" s="54">
        <v>0.74</v>
      </c>
      <c r="Q20" s="54">
        <v>10.76</v>
      </c>
      <c r="R20" s="43"/>
      <c r="S20" s="43"/>
      <c r="T20" s="43"/>
      <c r="U20" s="43"/>
    </row>
    <row r="21" spans="1:21" s="11" customFormat="1" ht="15">
      <c r="A21" s="53" t="s">
        <v>578</v>
      </c>
      <c r="B21" s="54">
        <v>4.32</v>
      </c>
      <c r="C21" s="54">
        <v>68.34</v>
      </c>
      <c r="D21" s="54">
        <v>38.770000000000003</v>
      </c>
      <c r="E21" s="54">
        <v>2.60</v>
      </c>
      <c r="F21" s="54">
        <v>6</v>
      </c>
      <c r="G21" s="54">
        <v>78.47</v>
      </c>
      <c r="H21" s="54">
        <v>27.42</v>
      </c>
      <c r="I21" s="54">
        <v>5.0199999999999996</v>
      </c>
      <c r="J21" s="54">
        <v>0.61</v>
      </c>
      <c r="K21" s="54">
        <v>326.92</v>
      </c>
      <c r="L21" s="54">
        <v>33.11</v>
      </c>
      <c r="M21" s="54">
        <v>34.97</v>
      </c>
      <c r="N21" s="54">
        <v>834.80</v>
      </c>
      <c r="O21" s="54">
        <v>0</v>
      </c>
      <c r="P21" s="54">
        <v>0.90</v>
      </c>
      <c r="Q21" s="54">
        <v>10.53</v>
      </c>
      <c r="R21" s="43"/>
      <c r="S21" s="43"/>
      <c r="T21" s="43"/>
      <c r="U21" s="43"/>
    </row>
    <row r="22" spans="1:21" s="11" customFormat="1" ht="15">
      <c r="A22" s="53" t="s">
        <v>579</v>
      </c>
      <c r="B22" s="54">
        <v>2.23</v>
      </c>
      <c r="C22" s="54">
        <v>67.180000000000007</v>
      </c>
      <c r="D22" s="54">
        <v>36.799999999999997</v>
      </c>
      <c r="E22" s="54">
        <v>2.99</v>
      </c>
      <c r="F22" s="54">
        <v>7.62</v>
      </c>
      <c r="G22" s="54">
        <v>78.47</v>
      </c>
      <c r="H22" s="54">
        <v>28.65</v>
      </c>
      <c r="I22" s="54">
        <v>5.08</v>
      </c>
      <c r="J22" s="54">
        <v>0.41</v>
      </c>
      <c r="K22" s="54">
        <v>300.16000000000003</v>
      </c>
      <c r="L22" s="54">
        <v>31.53</v>
      </c>
      <c r="M22" s="54">
        <v>34.159999999999997</v>
      </c>
      <c r="N22" s="54">
        <v>832.40</v>
      </c>
      <c r="O22" s="54">
        <v>0</v>
      </c>
      <c r="P22" s="54">
        <v>0.87</v>
      </c>
      <c r="Q22" s="54">
        <v>10.34</v>
      </c>
      <c r="R22" s="43"/>
      <c r="S22" s="43"/>
      <c r="T22" s="43"/>
      <c r="U22" s="43"/>
    </row>
    <row r="23" spans="1:21" s="11" customFormat="1" ht="15">
      <c r="A23" s="53" t="s">
        <v>580</v>
      </c>
      <c r="B23" s="54">
        <v>2.2200000000000002</v>
      </c>
      <c r="C23" s="54">
        <v>61.02</v>
      </c>
      <c r="D23" s="54">
        <v>33.340000000000003</v>
      </c>
      <c r="E23" s="54">
        <v>2.14</v>
      </c>
      <c r="F23" s="54">
        <v>7.49</v>
      </c>
      <c r="G23" s="54">
        <v>74.25</v>
      </c>
      <c r="H23" s="54">
        <v>28.65</v>
      </c>
      <c r="I23" s="54">
        <v>5.0199999999999996</v>
      </c>
      <c r="J23" s="54">
        <v>0.67</v>
      </c>
      <c r="K23" s="54">
        <v>341.5</v>
      </c>
      <c r="L23" s="54">
        <v>33.36</v>
      </c>
      <c r="M23" s="54">
        <v>31.49</v>
      </c>
      <c r="N23" s="54">
        <v>664.20</v>
      </c>
      <c r="O23" s="54">
        <v>0</v>
      </c>
      <c r="P23" s="54">
        <v>0.85</v>
      </c>
      <c r="Q23" s="54">
        <v>10.44</v>
      </c>
      <c r="R23" s="43"/>
      <c r="S23" s="43"/>
      <c r="T23" s="43"/>
      <c r="U23" s="43"/>
    </row>
    <row r="24" spans="1:21" s="11" customFormat="1" ht="15">
      <c r="A24" s="53" t="s">
        <v>581</v>
      </c>
      <c r="B24" s="54">
        <v>2.87</v>
      </c>
      <c r="C24" s="54">
        <v>60.09</v>
      </c>
      <c r="D24" s="54">
        <v>33.22</v>
      </c>
      <c r="E24" s="54">
        <v>1.96</v>
      </c>
      <c r="F24" s="54">
        <v>5.73</v>
      </c>
      <c r="G24" s="54">
        <v>71.209999999999994</v>
      </c>
      <c r="H24" s="54">
        <v>27.99</v>
      </c>
      <c r="I24" s="54">
        <v>5.0199999999999996</v>
      </c>
      <c r="J24" s="54">
        <v>1.37</v>
      </c>
      <c r="K24" s="54">
        <v>356.32</v>
      </c>
      <c r="L24" s="54">
        <v>32.78</v>
      </c>
      <c r="M24" s="54">
        <v>28.04</v>
      </c>
      <c r="N24" s="54">
        <v>314.89999999999998</v>
      </c>
      <c r="O24" s="54">
        <v>0</v>
      </c>
      <c r="P24" s="54">
        <v>0.83</v>
      </c>
      <c r="Q24" s="54">
        <v>10.36</v>
      </c>
      <c r="R24" s="43"/>
      <c r="S24" s="43"/>
      <c r="T24" s="43"/>
      <c r="U24" s="43"/>
    </row>
    <row r="25" spans="1:21" s="11" customFormat="1" ht="15">
      <c r="A25" s="53" t="s">
        <v>582</v>
      </c>
      <c r="B25" s="54">
        <v>3.74</v>
      </c>
      <c r="C25" s="54">
        <v>62.44</v>
      </c>
      <c r="D25" s="54">
        <v>35.54</v>
      </c>
      <c r="E25" s="54">
        <v>0.81</v>
      </c>
      <c r="F25" s="54">
        <v>4.7699999999999996</v>
      </c>
      <c r="G25" s="54">
        <v>65.34</v>
      </c>
      <c r="H25" s="54">
        <v>26.28</v>
      </c>
      <c r="I25" s="54">
        <v>5.0199999999999996</v>
      </c>
      <c r="J25" s="54">
        <v>0.98</v>
      </c>
      <c r="K25" s="54">
        <v>351.61</v>
      </c>
      <c r="L25" s="54">
        <v>31.61</v>
      </c>
      <c r="M25" s="54">
        <v>30.53</v>
      </c>
      <c r="N25" s="54">
        <v>179.40</v>
      </c>
      <c r="O25" s="54">
        <v>0</v>
      </c>
      <c r="P25" s="54">
        <v>0.78</v>
      </c>
      <c r="Q25" s="54">
        <v>10.26</v>
      </c>
      <c r="R25" s="43"/>
      <c r="S25" s="43"/>
      <c r="T25" s="43"/>
      <c r="U25" s="43"/>
    </row>
    <row r="26" spans="1:21" s="11" customFormat="1" ht="15">
      <c r="A26" s="53" t="s">
        <v>583</v>
      </c>
      <c r="B26" s="54">
        <v>3.74</v>
      </c>
      <c r="C26" s="54">
        <v>62.76</v>
      </c>
      <c r="D26" s="54">
        <v>35.700000000000003</v>
      </c>
      <c r="E26" s="54">
        <v>0.74</v>
      </c>
      <c r="F26" s="54">
        <v>4.67</v>
      </c>
      <c r="G26" s="54">
        <v>60.11</v>
      </c>
      <c r="H26" s="54">
        <v>24.58</v>
      </c>
      <c r="I26" s="54">
        <v>5.04</v>
      </c>
      <c r="J26" s="54">
        <v>0.88</v>
      </c>
      <c r="K26" s="54">
        <v>93.93</v>
      </c>
      <c r="L26" s="54">
        <v>28.81</v>
      </c>
      <c r="M26" s="54">
        <v>33.270000000000003</v>
      </c>
      <c r="N26" s="54">
        <v>68</v>
      </c>
      <c r="O26" s="54">
        <v>0</v>
      </c>
      <c r="P26" s="54">
        <v>0.76</v>
      </c>
      <c r="Q26" s="54">
        <v>10.11</v>
      </c>
      <c r="R26" s="43"/>
      <c r="S26" s="43"/>
      <c r="T26" s="43"/>
      <c r="U26" s="43"/>
    </row>
    <row r="27" spans="1:21" s="11" customFormat="1" ht="15">
      <c r="A27" s="53" t="s">
        <v>584</v>
      </c>
      <c r="B27" s="54">
        <v>5.77</v>
      </c>
      <c r="C27" s="54">
        <v>63.02</v>
      </c>
      <c r="D27" s="54">
        <v>37.47</v>
      </c>
      <c r="E27" s="54">
        <v>0.80</v>
      </c>
      <c r="F27" s="54">
        <v>4.6900000000000004</v>
      </c>
      <c r="G27" s="54">
        <v>61.40</v>
      </c>
      <c r="H27" s="54">
        <v>24.58</v>
      </c>
      <c r="I27" s="54">
        <v>5.03</v>
      </c>
      <c r="J27" s="54">
        <v>0.35</v>
      </c>
      <c r="K27" s="54">
        <v>278.70</v>
      </c>
      <c r="L27" s="54">
        <v>27.38</v>
      </c>
      <c r="M27" s="54">
        <v>45.68</v>
      </c>
      <c r="N27" s="54">
        <v>17.600000000000001</v>
      </c>
      <c r="O27" s="54">
        <v>0</v>
      </c>
      <c r="P27" s="54">
        <v>0.98</v>
      </c>
      <c r="Q27" s="54">
        <v>10.37</v>
      </c>
      <c r="R27" s="43"/>
      <c r="S27" s="43"/>
      <c r="T27" s="43"/>
      <c r="U27" s="43"/>
    </row>
    <row r="28" spans="1:21" s="11" customFormat="1" ht="15">
      <c r="A28" s="53" t="s">
        <v>585</v>
      </c>
      <c r="B28" s="54">
        <v>15.41</v>
      </c>
      <c r="C28" s="54">
        <v>65.290000000000006</v>
      </c>
      <c r="D28" s="54">
        <v>46.39</v>
      </c>
      <c r="E28" s="54">
        <v>1.36</v>
      </c>
      <c r="F28" s="54">
        <v>3.57</v>
      </c>
      <c r="G28" s="54">
        <v>76.72</v>
      </c>
      <c r="H28" s="54">
        <v>27.90</v>
      </c>
      <c r="I28" s="54">
        <v>5.0199999999999996</v>
      </c>
      <c r="J28" s="54">
        <v>0.36</v>
      </c>
      <c r="K28" s="54">
        <v>353.21</v>
      </c>
      <c r="L28" s="54">
        <v>25.64</v>
      </c>
      <c r="M28" s="54">
        <v>52.17</v>
      </c>
      <c r="N28" s="54">
        <v>15.40</v>
      </c>
      <c r="O28" s="54">
        <v>0</v>
      </c>
      <c r="P28" s="54">
        <v>1.1299999999999999</v>
      </c>
      <c r="Q28" s="54">
        <v>10.55</v>
      </c>
      <c r="R28" s="43"/>
      <c r="S28" s="43"/>
      <c r="T28" s="43"/>
      <c r="U28" s="43"/>
    </row>
    <row r="29" spans="1:21" s="11" customFormat="1" ht="15">
      <c r="A29" s="53" t="s">
        <v>586</v>
      </c>
      <c r="B29" s="54">
        <v>40.33</v>
      </c>
      <c r="C29" s="54">
        <v>70.86</v>
      </c>
      <c r="D29" s="54">
        <v>69.290000000000006</v>
      </c>
      <c r="E29" s="54">
        <v>2.72</v>
      </c>
      <c r="F29" s="54">
        <v>3.35</v>
      </c>
      <c r="G29" s="54">
        <v>105.43</v>
      </c>
      <c r="H29" s="54">
        <v>29.67</v>
      </c>
      <c r="I29" s="54">
        <v>5.04</v>
      </c>
      <c r="J29" s="54">
        <v>0.17</v>
      </c>
      <c r="K29" s="54">
        <v>357.69</v>
      </c>
      <c r="L29" s="54">
        <v>24.12</v>
      </c>
      <c r="M29" s="54">
        <v>57.84</v>
      </c>
      <c r="N29" s="54">
        <v>15.40</v>
      </c>
      <c r="O29" s="54">
        <v>0</v>
      </c>
      <c r="P29" s="54">
        <v>1.57</v>
      </c>
      <c r="Q29" s="54">
        <v>10.95</v>
      </c>
      <c r="R29" s="43"/>
      <c r="S29" s="43"/>
      <c r="T29" s="43"/>
      <c r="U29" s="43"/>
    </row>
    <row r="30" spans="1:21" s="11" customFormat="1" ht="15">
      <c r="A30" s="53" t="s">
        <v>587</v>
      </c>
      <c r="B30" s="54">
        <v>63.99</v>
      </c>
      <c r="C30" s="54">
        <v>73.540000000000006</v>
      </c>
      <c r="D30" s="54">
        <v>89.66</v>
      </c>
      <c r="E30" s="54">
        <v>3.01</v>
      </c>
      <c r="F30" s="54">
        <v>3.52</v>
      </c>
      <c r="G30" s="54">
        <v>111.29</v>
      </c>
      <c r="H30" s="54">
        <v>39.659999999999997</v>
      </c>
      <c r="I30" s="54">
        <v>5.0599999999999996</v>
      </c>
      <c r="J30" s="54">
        <v>0.25</v>
      </c>
      <c r="K30" s="54">
        <v>352.01</v>
      </c>
      <c r="L30" s="54">
        <v>22.91</v>
      </c>
      <c r="M30" s="54">
        <v>63.46</v>
      </c>
      <c r="N30" s="54">
        <v>15.10</v>
      </c>
      <c r="O30" s="54">
        <v>0</v>
      </c>
      <c r="P30" s="54">
        <v>1.96</v>
      </c>
      <c r="Q30" s="54">
        <v>11.17</v>
      </c>
      <c r="R30" s="43"/>
      <c r="S30" s="43"/>
      <c r="T30" s="43"/>
      <c r="U30" s="43"/>
    </row>
    <row r="31" spans="1:21" s="11" customFormat="1" ht="15">
      <c r="A31" s="53" t="s">
        <v>588</v>
      </c>
      <c r="B31" s="54">
        <v>74.209999999999994</v>
      </c>
      <c r="C31" s="54">
        <v>74.52</v>
      </c>
      <c r="D31" s="54">
        <v>97.66</v>
      </c>
      <c r="E31" s="54">
        <v>3.44</v>
      </c>
      <c r="F31" s="54">
        <v>3.29</v>
      </c>
      <c r="G31" s="54">
        <v>119.73</v>
      </c>
      <c r="H31" s="54">
        <v>39.659999999999997</v>
      </c>
      <c r="I31" s="54">
        <v>5.07</v>
      </c>
      <c r="J31" s="54">
        <v>0.89</v>
      </c>
      <c r="K31" s="54">
        <v>355.55</v>
      </c>
      <c r="L31" s="54">
        <v>24.02</v>
      </c>
      <c r="M31" s="54">
        <v>61.85</v>
      </c>
      <c r="N31" s="54">
        <v>15.30</v>
      </c>
      <c r="O31" s="54">
        <v>0</v>
      </c>
      <c r="P31" s="54">
        <v>2.08</v>
      </c>
      <c r="Q31" s="54">
        <v>11.54</v>
      </c>
      <c r="R31" s="43"/>
      <c r="S31" s="43"/>
      <c r="T31" s="43"/>
      <c r="U31" s="43"/>
    </row>
    <row r="32" spans="1:21" s="11" customFormat="1" ht="15">
      <c r="A32" s="53" t="s">
        <v>589</v>
      </c>
      <c r="B32" s="54">
        <v>72.319999999999993</v>
      </c>
      <c r="C32" s="54">
        <v>70.31</v>
      </c>
      <c r="D32" s="54">
        <v>94.65</v>
      </c>
      <c r="E32" s="54">
        <v>3.23</v>
      </c>
      <c r="F32" s="54">
        <v>3.22</v>
      </c>
      <c r="G32" s="54">
        <v>119.73</v>
      </c>
      <c r="H32" s="54">
        <v>38.479999999999997</v>
      </c>
      <c r="I32" s="54">
        <v>5.0599999999999996</v>
      </c>
      <c r="J32" s="54">
        <v>0.24</v>
      </c>
      <c r="K32" s="54">
        <v>327.94</v>
      </c>
      <c r="L32" s="54">
        <v>23.71</v>
      </c>
      <c r="M32" s="54">
        <v>58.96</v>
      </c>
      <c r="N32" s="54">
        <v>15.70</v>
      </c>
      <c r="O32" s="54">
        <v>0</v>
      </c>
      <c r="P32" s="54">
        <v>1.87</v>
      </c>
      <c r="Q32" s="54">
        <v>11.65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2.2200000000000002</v>
      </c>
      <c r="C34" s="28">
        <f t="shared" si="0"/>
        <v>49.329999999999998</v>
      </c>
      <c r="D34" s="28">
        <f t="shared" si="0"/>
        <v>33.219999999999999</v>
      </c>
      <c r="E34" s="28">
        <f t="shared" si="0"/>
        <v>0.73999999999999999</v>
      </c>
      <c r="F34" s="28">
        <f t="shared" si="0"/>
        <v>3.2200000000000002</v>
      </c>
      <c r="G34" s="28">
        <f t="shared" si="0"/>
        <v>60.109999999999999</v>
      </c>
      <c r="H34" s="28">
        <f t="shared" si="0"/>
        <v>24.579999999999998</v>
      </c>
      <c r="I34" s="28">
        <f t="shared" si="0"/>
        <v>5.0099999999999998</v>
      </c>
      <c r="J34" s="28">
        <f t="shared" si="0"/>
        <v>0.17000000000000001</v>
      </c>
      <c r="K34" s="28">
        <f t="shared" si="0"/>
        <v>63.609999999999999</v>
      </c>
      <c r="L34" s="28">
        <f t="shared" si="0"/>
        <v>18.579999999999998</v>
      </c>
      <c r="M34" s="28">
        <f t="shared" si="0"/>
        <v>28.039999999999999</v>
      </c>
      <c r="N34" s="28">
        <f t="shared" si="0"/>
        <v>15.1</v>
      </c>
      <c r="O34" s="28">
        <f t="shared" si="0"/>
        <v>0</v>
      </c>
      <c r="P34" s="28">
        <f t="shared" si="0"/>
        <v>0.73999999999999999</v>
      </c>
      <c r="Q34" s="28">
        <f t="shared" si="0"/>
        <v>10.109999999999999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120.87</v>
      </c>
      <c r="C35" s="29">
        <f t="shared" si="1"/>
        <v>74.519999999999996</v>
      </c>
      <c r="D35" s="29">
        <f t="shared" si="1"/>
        <v>128.72</v>
      </c>
      <c r="E35" s="29">
        <f t="shared" si="1"/>
        <v>3.4399999999999999</v>
      </c>
      <c r="F35" s="29">
        <f t="shared" si="1"/>
        <v>7.6200000000000001</v>
      </c>
      <c r="G35" s="29">
        <f t="shared" si="1"/>
        <v>130.18000000000001</v>
      </c>
      <c r="H35" s="29">
        <f t="shared" si="1"/>
        <v>41.979999999999997</v>
      </c>
      <c r="I35" s="29">
        <f t="shared" si="1"/>
        <v>5.0899999999999999</v>
      </c>
      <c r="J35" s="29">
        <f t="shared" si="1"/>
        <v>1.3700000000000001</v>
      </c>
      <c r="K35" s="29">
        <f t="shared" si="1"/>
        <v>359.58999999999997</v>
      </c>
      <c r="L35" s="29">
        <f t="shared" si="1"/>
        <v>33.359999999999999</v>
      </c>
      <c r="M35" s="29">
        <f t="shared" si="1"/>
        <v>88</v>
      </c>
      <c r="N35" s="29">
        <f t="shared" si="1"/>
        <v>892.20000000000005</v>
      </c>
      <c r="O35" s="29">
        <f t="shared" si="1"/>
        <v>0</v>
      </c>
      <c r="P35" s="29">
        <f t="shared" si="1"/>
        <v>2.0800000000000001</v>
      </c>
      <c r="Q35" s="29">
        <f t="shared" si="1"/>
        <v>13.59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42.197916666666679</v>
      </c>
      <c r="C36" s="28">
        <f t="shared" si="2"/>
        <v>61.532499999999992</v>
      </c>
      <c r="D36" s="28">
        <f t="shared" si="2"/>
        <v>65.514583333333334</v>
      </c>
      <c r="E36" s="28">
        <f t="shared" si="2"/>
        <v>2.0324999999999998</v>
      </c>
      <c r="F36" s="28">
        <f t="shared" si="2"/>
        <v>4.3016666666666659</v>
      </c>
      <c r="G36" s="28">
        <f t="shared" si="2"/>
        <v>85.307083333333338</v>
      </c>
      <c r="H36" s="28">
        <f t="shared" si="2"/>
        <v>30.402916666666666</v>
      </c>
      <c r="I36" s="28">
        <f t="shared" si="2"/>
        <v>5.0387500000000003</v>
      </c>
      <c r="J36" s="28">
        <f t="shared" si="2"/>
        <v>0.56666666666666676</v>
      </c>
      <c r="K36" s="28">
        <f t="shared" si="2"/>
        <v>276.58666666666664</v>
      </c>
      <c r="L36" s="28">
        <f t="shared" si="2"/>
        <v>25.736250000000002</v>
      </c>
      <c r="M36" s="28">
        <f t="shared" si="2"/>
        <v>57.110833333333339</v>
      </c>
      <c r="N36" s="28">
        <f t="shared" si="2"/>
        <v>278.38333333333327</v>
      </c>
      <c r="O36" s="28">
        <f t="shared" si="2"/>
        <v>0</v>
      </c>
      <c r="P36" s="28">
        <f t="shared" si="2"/>
        <v>1.1575000000000002</v>
      </c>
      <c r="Q36" s="28">
        <f t="shared" si="2"/>
        <v>11.300416666666665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36.740605422003611</v>
      </c>
      <c r="C37" s="28">
        <f t="shared" si="3" ref="C37:Q37">STDEV(C9:C32)</f>
        <v>7.23009546512246</v>
      </c>
      <c r="D37" s="28">
        <f t="shared" si="3"/>
        <v>29.267295143833017</v>
      </c>
      <c r="E37" s="28">
        <f t="shared" si="3"/>
        <v>0.71667256485608011</v>
      </c>
      <c r="F37" s="28">
        <f t="shared" si="3"/>
        <v>1.2633243470293405</v>
      </c>
      <c r="G37" s="28">
        <f t="shared" si="3"/>
        <v>20.968774814236205</v>
      </c>
      <c r="H37" s="28">
        <f t="shared" si="3"/>
        <v>6.0926302445743001</v>
      </c>
      <c r="I37" s="28">
        <f t="shared" si="3"/>
        <v>0.021123343773510762</v>
      </c>
      <c r="J37" s="28">
        <f t="shared" si="3"/>
        <v>0.30806078827945998</v>
      </c>
      <c r="K37" s="28">
        <f t="shared" si="3"/>
        <v>112.04503161740351</v>
      </c>
      <c r="L37" s="28">
        <f t="shared" si="3"/>
        <v>5.2265433023466112</v>
      </c>
      <c r="M37" s="28">
        <f t="shared" si="3"/>
        <v>20.481138282876731</v>
      </c>
      <c r="N37" s="28">
        <f t="shared" si="3"/>
        <v>340.28481378509042</v>
      </c>
      <c r="O37" s="28">
        <f t="shared" si="3"/>
        <v>0</v>
      </c>
      <c r="P37" s="28">
        <f t="shared" si="3"/>
        <v>0.45122297582574766</v>
      </c>
      <c r="Q37" s="28">
        <f t="shared" si="3"/>
        <v>0.96802119616870164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2e4be5-bfe1-459b-9d7a-3a7b2f91da8e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6" sqref="G5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590</v>
      </c>
      <c r="B9" s="54">
        <v>66.89</v>
      </c>
      <c r="C9" s="54">
        <v>66.16</v>
      </c>
      <c r="D9" s="54">
        <v>88.13</v>
      </c>
      <c r="E9" s="54">
        <v>2.19</v>
      </c>
      <c r="F9" s="54">
        <v>3.27</v>
      </c>
      <c r="G9" s="54">
        <v>101.68</v>
      </c>
      <c r="H9" s="54">
        <v>37.44</v>
      </c>
      <c r="I9" s="54">
        <v>5.03</v>
      </c>
      <c r="J9" s="54">
        <v>0.25</v>
      </c>
      <c r="K9" s="54">
        <v>315.32</v>
      </c>
      <c r="L9" s="54">
        <v>21.55</v>
      </c>
      <c r="M9" s="54">
        <v>67.03</v>
      </c>
      <c r="N9" s="54">
        <v>15.5</v>
      </c>
      <c r="O9" s="54">
        <v>0</v>
      </c>
      <c r="P9" s="54">
        <v>1.83</v>
      </c>
      <c r="Q9" s="54">
        <v>11.63</v>
      </c>
      <c r="R9" s="43"/>
      <c r="S9" s="43"/>
      <c r="T9" s="43"/>
      <c r="U9" s="43"/>
    </row>
    <row r="10" spans="1:21" s="11" customFormat="1" ht="15">
      <c r="A10" s="53" t="s">
        <v>591</v>
      </c>
      <c r="B10" s="54">
        <v>55.94</v>
      </c>
      <c r="C10" s="54">
        <v>60.31</v>
      </c>
      <c r="D10" s="54">
        <v>76.290000000000006</v>
      </c>
      <c r="E10" s="54">
        <v>1.94</v>
      </c>
      <c r="F10" s="54">
        <v>3.49</v>
      </c>
      <c r="G10" s="54">
        <v>96.87</v>
      </c>
      <c r="H10" s="54">
        <v>33.07</v>
      </c>
      <c r="I10" s="54">
        <v>5</v>
      </c>
      <c r="J10" s="54">
        <v>0.18</v>
      </c>
      <c r="K10" s="54">
        <v>324.31</v>
      </c>
      <c r="L10" s="54">
        <v>20.65</v>
      </c>
      <c r="M10" s="54">
        <v>77.47</v>
      </c>
      <c r="N10" s="54">
        <v>15.40</v>
      </c>
      <c r="O10" s="54">
        <v>0</v>
      </c>
      <c r="P10" s="54">
        <v>1.44</v>
      </c>
      <c r="Q10" s="54">
        <v>11.22</v>
      </c>
      <c r="R10" s="43"/>
      <c r="S10" s="43"/>
      <c r="T10" s="43"/>
      <c r="U10" s="43"/>
    </row>
    <row r="11" spans="1:21" s="11" customFormat="1" ht="15">
      <c r="A11" s="53" t="s">
        <v>592</v>
      </c>
      <c r="B11" s="54">
        <v>45.13</v>
      </c>
      <c r="C11" s="54">
        <v>57.28</v>
      </c>
      <c r="D11" s="54">
        <v>66.02</v>
      </c>
      <c r="E11" s="54">
        <v>1.67</v>
      </c>
      <c r="F11" s="54">
        <v>3.23</v>
      </c>
      <c r="G11" s="54">
        <v>83.66</v>
      </c>
      <c r="H11" s="54">
        <v>32.020000000000003</v>
      </c>
      <c r="I11" s="54">
        <v>5.03</v>
      </c>
      <c r="J11" s="54">
        <v>0.26</v>
      </c>
      <c r="K11" s="54">
        <v>331.26</v>
      </c>
      <c r="L11" s="54">
        <v>18.97</v>
      </c>
      <c r="M11" s="54">
        <v>83.86</v>
      </c>
      <c r="N11" s="54">
        <v>15.10</v>
      </c>
      <c r="O11" s="54">
        <v>0</v>
      </c>
      <c r="P11" s="54">
        <v>1.27</v>
      </c>
      <c r="Q11" s="54">
        <v>11.15</v>
      </c>
      <c r="R11" s="43"/>
      <c r="S11" s="43"/>
      <c r="T11" s="43"/>
      <c r="U11" s="43"/>
    </row>
    <row r="12" spans="1:21" s="11" customFormat="1" ht="15">
      <c r="A12" s="53" t="s">
        <v>593</v>
      </c>
      <c r="B12" s="54">
        <v>37.97</v>
      </c>
      <c r="C12" s="54">
        <v>58.33</v>
      </c>
      <c r="D12" s="54">
        <v>60.84</v>
      </c>
      <c r="E12" s="54">
        <v>1.69</v>
      </c>
      <c r="F12" s="54">
        <v>3.44</v>
      </c>
      <c r="G12" s="54">
        <v>78</v>
      </c>
      <c r="H12" s="54">
        <v>31.25</v>
      </c>
      <c r="I12" s="54">
        <v>5.0599999999999996</v>
      </c>
      <c r="J12" s="54">
        <v>0.15</v>
      </c>
      <c r="K12" s="54">
        <v>324.44</v>
      </c>
      <c r="L12" s="54">
        <v>18.559999999999999</v>
      </c>
      <c r="M12" s="54">
        <v>88.27</v>
      </c>
      <c r="N12" s="54">
        <v>15.10</v>
      </c>
      <c r="O12" s="54">
        <v>0</v>
      </c>
      <c r="P12" s="54">
        <v>1.1000000000000001</v>
      </c>
      <c r="Q12" s="54">
        <v>10.78</v>
      </c>
      <c r="R12" s="43"/>
      <c r="S12" s="43"/>
      <c r="T12" s="43"/>
      <c r="U12" s="43"/>
    </row>
    <row r="13" spans="1:21" s="11" customFormat="1" ht="15">
      <c r="A13" s="53" t="s">
        <v>594</v>
      </c>
      <c r="B13" s="54">
        <v>40.24</v>
      </c>
      <c r="C13" s="54">
        <v>56.22</v>
      </c>
      <c r="D13" s="54">
        <v>60.94</v>
      </c>
      <c r="E13" s="54">
        <v>1.19</v>
      </c>
      <c r="F13" s="54">
        <v>4.08</v>
      </c>
      <c r="G13" s="54">
        <v>91.70</v>
      </c>
      <c r="H13" s="54">
        <v>31.25</v>
      </c>
      <c r="I13" s="54">
        <v>5.04</v>
      </c>
      <c r="J13" s="54">
        <v>0.26</v>
      </c>
      <c r="K13" s="54">
        <v>343.21</v>
      </c>
      <c r="L13" s="54">
        <v>18.399999999999999</v>
      </c>
      <c r="M13" s="54">
        <v>92.65</v>
      </c>
      <c r="N13" s="54">
        <v>15</v>
      </c>
      <c r="O13" s="54">
        <v>0</v>
      </c>
      <c r="P13" s="54">
        <v>1.02</v>
      </c>
      <c r="Q13" s="54">
        <v>10.98</v>
      </c>
      <c r="R13" s="43"/>
      <c r="S13" s="43"/>
      <c r="T13" s="43"/>
      <c r="U13" s="43"/>
    </row>
    <row r="14" spans="1:21" s="11" customFormat="1" ht="15">
      <c r="A14" s="53" t="s">
        <v>595</v>
      </c>
      <c r="B14" s="54">
        <v>40.06</v>
      </c>
      <c r="C14" s="54">
        <v>53.91</v>
      </c>
      <c r="D14" s="54">
        <v>60.12</v>
      </c>
      <c r="E14" s="54">
        <v>1.24</v>
      </c>
      <c r="F14" s="54">
        <v>3.68</v>
      </c>
      <c r="G14" s="54">
        <v>94.51</v>
      </c>
      <c r="H14" s="54">
        <v>39.99</v>
      </c>
      <c r="I14" s="54">
        <v>5.05</v>
      </c>
      <c r="J14" s="54">
        <v>0.37</v>
      </c>
      <c r="K14" s="54">
        <v>316.74</v>
      </c>
      <c r="L14" s="54">
        <v>19.190000000000001</v>
      </c>
      <c r="M14" s="54">
        <v>85.57</v>
      </c>
      <c r="N14" s="54">
        <v>17.100000000000001</v>
      </c>
      <c r="O14" s="54">
        <v>0</v>
      </c>
      <c r="P14" s="54">
        <v>1.02</v>
      </c>
      <c r="Q14" s="54">
        <v>10.87</v>
      </c>
      <c r="R14" s="43"/>
      <c r="S14" s="43"/>
      <c r="T14" s="43"/>
      <c r="U14" s="43"/>
    </row>
    <row r="15" spans="1:21" s="11" customFormat="1" ht="15">
      <c r="A15" s="53" t="s">
        <v>596</v>
      </c>
      <c r="B15" s="54">
        <v>39.42</v>
      </c>
      <c r="C15" s="54">
        <v>55.45</v>
      </c>
      <c r="D15" s="54">
        <v>60.13</v>
      </c>
      <c r="E15" s="54">
        <v>1.42</v>
      </c>
      <c r="F15" s="54">
        <v>3.37</v>
      </c>
      <c r="G15" s="54">
        <v>184.77</v>
      </c>
      <c r="H15" s="54">
        <v>51.58</v>
      </c>
      <c r="I15" s="54">
        <v>5.08</v>
      </c>
      <c r="J15" s="54">
        <v>0.47</v>
      </c>
      <c r="K15" s="54">
        <v>79.33</v>
      </c>
      <c r="L15" s="54">
        <v>21.58</v>
      </c>
      <c r="M15" s="54">
        <v>78.39</v>
      </c>
      <c r="N15" s="54">
        <v>121.30</v>
      </c>
      <c r="O15" s="54">
        <v>0</v>
      </c>
      <c r="P15" s="54">
        <v>1.0900000000000001</v>
      </c>
      <c r="Q15" s="54">
        <v>10.77</v>
      </c>
      <c r="R15" s="43"/>
      <c r="S15" s="43"/>
      <c r="T15" s="43"/>
      <c r="U15" s="43"/>
    </row>
    <row r="16" spans="1:21" s="11" customFormat="1" ht="15">
      <c r="A16" s="53" t="s">
        <v>597</v>
      </c>
      <c r="B16" s="54">
        <v>39.10</v>
      </c>
      <c r="C16" s="54">
        <v>56.21</v>
      </c>
      <c r="D16" s="54">
        <v>60.18</v>
      </c>
      <c r="E16" s="54">
        <v>2.14</v>
      </c>
      <c r="F16" s="54">
        <v>3.69</v>
      </c>
      <c r="G16" s="54">
        <v>184.77</v>
      </c>
      <c r="H16" s="54">
        <v>54.99</v>
      </c>
      <c r="I16" s="54">
        <v>5.04</v>
      </c>
      <c r="J16" s="54">
        <v>0.79</v>
      </c>
      <c r="K16" s="54">
        <v>117.72</v>
      </c>
      <c r="L16" s="54">
        <v>24.68</v>
      </c>
      <c r="M16" s="54">
        <v>65.92</v>
      </c>
      <c r="N16" s="54">
        <v>338</v>
      </c>
      <c r="O16" s="54">
        <v>0</v>
      </c>
      <c r="P16" s="54">
        <v>1.08</v>
      </c>
      <c r="Q16" s="54">
        <v>10.71</v>
      </c>
      <c r="R16" s="43"/>
      <c r="S16" s="43"/>
      <c r="T16" s="43"/>
      <c r="U16" s="43"/>
    </row>
    <row r="17" spans="1:21" s="11" customFormat="1" ht="15">
      <c r="A17" s="53" t="s">
        <v>598</v>
      </c>
      <c r="B17" s="54">
        <v>33.82</v>
      </c>
      <c r="C17" s="54">
        <v>59.5</v>
      </c>
      <c r="D17" s="54">
        <v>56.30</v>
      </c>
      <c r="E17" s="54">
        <v>2.17</v>
      </c>
      <c r="F17" s="54">
        <v>3.46</v>
      </c>
      <c r="G17" s="54">
        <v>135.44999999999999</v>
      </c>
      <c r="H17" s="54">
        <v>54.99</v>
      </c>
      <c r="I17" s="54">
        <v>5.0199999999999996</v>
      </c>
      <c r="J17" s="54">
        <v>1.01</v>
      </c>
      <c r="K17" s="54">
        <v>189.06</v>
      </c>
      <c r="L17" s="54">
        <v>26.77</v>
      </c>
      <c r="M17" s="54">
        <v>48.28</v>
      </c>
      <c r="N17" s="54">
        <v>565</v>
      </c>
      <c r="O17" s="54">
        <v>0</v>
      </c>
      <c r="P17" s="54">
        <v>1.05</v>
      </c>
      <c r="Q17" s="54">
        <v>10.90</v>
      </c>
      <c r="R17" s="43"/>
      <c r="S17" s="43"/>
      <c r="T17" s="43"/>
      <c r="U17" s="43"/>
    </row>
    <row r="18" spans="1:21" s="11" customFormat="1" ht="15">
      <c r="A18" s="53" t="s">
        <v>599</v>
      </c>
      <c r="B18" s="54">
        <v>24.37</v>
      </c>
      <c r="C18" s="54">
        <v>62.57</v>
      </c>
      <c r="D18" s="54">
        <v>51.26</v>
      </c>
      <c r="E18" s="54">
        <v>1.96</v>
      </c>
      <c r="F18" s="54">
        <v>3.83</v>
      </c>
      <c r="G18" s="54">
        <v>115.35</v>
      </c>
      <c r="H18" s="54">
        <v>49.08</v>
      </c>
      <c r="I18" s="54">
        <v>5.07</v>
      </c>
      <c r="J18" s="54">
        <v>1.31</v>
      </c>
      <c r="K18" s="54">
        <v>169.98</v>
      </c>
      <c r="L18" s="54">
        <v>29.10</v>
      </c>
      <c r="M18" s="54">
        <v>43.21</v>
      </c>
      <c r="N18" s="54">
        <v>759.80</v>
      </c>
      <c r="O18" s="54">
        <v>0</v>
      </c>
      <c r="P18" s="54">
        <v>0.95</v>
      </c>
      <c r="Q18" s="54">
        <v>10.5</v>
      </c>
      <c r="R18" s="43"/>
      <c r="S18" s="43"/>
      <c r="T18" s="43"/>
      <c r="U18" s="43"/>
    </row>
    <row r="19" spans="1:21" s="11" customFormat="1" ht="15">
      <c r="A19" s="53" t="s">
        <v>600</v>
      </c>
      <c r="B19" s="54">
        <v>11.97</v>
      </c>
      <c r="C19" s="54">
        <v>64.569999999999993</v>
      </c>
      <c r="D19" s="54">
        <v>42.63</v>
      </c>
      <c r="E19" s="54">
        <v>1.73</v>
      </c>
      <c r="F19" s="54">
        <v>10.18</v>
      </c>
      <c r="G19" s="54">
        <v>83.77</v>
      </c>
      <c r="H19" s="54">
        <v>40.799999999999997</v>
      </c>
      <c r="I19" s="54">
        <v>5.07</v>
      </c>
      <c r="J19" s="54">
        <v>0.68</v>
      </c>
      <c r="K19" s="54">
        <v>206.46</v>
      </c>
      <c r="L19" s="54">
        <v>30.57</v>
      </c>
      <c r="M19" s="54">
        <v>40.51</v>
      </c>
      <c r="N19" s="54">
        <v>870.90</v>
      </c>
      <c r="O19" s="54">
        <v>0</v>
      </c>
      <c r="P19" s="54">
        <v>0.82</v>
      </c>
      <c r="Q19" s="54">
        <v>10.29</v>
      </c>
      <c r="R19" s="43"/>
      <c r="S19" s="43"/>
      <c r="T19" s="43"/>
      <c r="U19" s="43"/>
    </row>
    <row r="20" spans="1:21" s="11" customFormat="1" ht="15">
      <c r="A20" s="53" t="s">
        <v>601</v>
      </c>
      <c r="B20" s="54">
        <v>2.36</v>
      </c>
      <c r="C20" s="54">
        <v>56.25</v>
      </c>
      <c r="D20" s="54">
        <v>31.20</v>
      </c>
      <c r="E20" s="18" t="s">
        <v>12</v>
      </c>
      <c r="F20" s="54">
        <v>16.010000000000002</v>
      </c>
      <c r="G20" s="18" t="s">
        <v>12</v>
      </c>
      <c r="H20" s="18" t="s">
        <v>12</v>
      </c>
      <c r="I20" s="54">
        <v>5.04</v>
      </c>
      <c r="J20" s="54">
        <v>0.32</v>
      </c>
      <c r="K20" s="54">
        <v>308.70999999999998</v>
      </c>
      <c r="L20" s="54">
        <v>32.07</v>
      </c>
      <c r="M20" s="54">
        <v>30.36</v>
      </c>
      <c r="N20" s="54">
        <v>929.40</v>
      </c>
      <c r="O20" s="54">
        <v>0</v>
      </c>
      <c r="P20" s="54">
        <v>0.5</v>
      </c>
      <c r="Q20" s="54">
        <v>10.09</v>
      </c>
      <c r="R20" s="43"/>
      <c r="S20" s="43"/>
      <c r="T20" s="43"/>
      <c r="U20" s="43"/>
    </row>
    <row r="21" spans="1:21" s="11" customFormat="1" ht="15">
      <c r="A21" s="53" t="s">
        <v>602</v>
      </c>
      <c r="B21" s="54">
        <v>1.73</v>
      </c>
      <c r="C21" s="54">
        <v>46.93</v>
      </c>
      <c r="D21" s="54">
        <v>25.80</v>
      </c>
      <c r="E21" s="54">
        <v>2.2799999999999998</v>
      </c>
      <c r="F21" s="54">
        <v>11.11</v>
      </c>
      <c r="G21" s="54">
        <v>25.13</v>
      </c>
      <c r="H21" s="54">
        <v>14.32</v>
      </c>
      <c r="I21" s="54">
        <v>5.05</v>
      </c>
      <c r="J21" s="54">
        <v>0.39</v>
      </c>
      <c r="K21" s="54">
        <v>262.14</v>
      </c>
      <c r="L21" s="54">
        <v>32.78</v>
      </c>
      <c r="M21" s="54">
        <v>28.51</v>
      </c>
      <c r="N21" s="54">
        <v>932.30</v>
      </c>
      <c r="O21" s="54">
        <v>0</v>
      </c>
      <c r="P21" s="54">
        <v>0.34</v>
      </c>
      <c r="Q21" s="54">
        <v>9.9700000000000006</v>
      </c>
      <c r="R21" s="43"/>
      <c r="S21" s="43"/>
      <c r="T21" s="43"/>
      <c r="U21" s="43"/>
    </row>
    <row r="22" spans="1:21" s="11" customFormat="1" ht="15">
      <c r="A22" s="53" t="s">
        <v>603</v>
      </c>
      <c r="B22" s="54">
        <v>1.57</v>
      </c>
      <c r="C22" s="54">
        <v>52.66</v>
      </c>
      <c r="D22" s="54">
        <v>28.64</v>
      </c>
      <c r="E22" s="54">
        <v>3.31</v>
      </c>
      <c r="F22" s="54">
        <v>14.56</v>
      </c>
      <c r="G22" s="54">
        <v>41.65</v>
      </c>
      <c r="H22" s="54">
        <v>16.43</v>
      </c>
      <c r="I22" s="54">
        <v>4.99</v>
      </c>
      <c r="J22" s="54">
        <v>0.48</v>
      </c>
      <c r="K22" s="54">
        <v>344.65</v>
      </c>
      <c r="L22" s="54">
        <v>33.950000000000003</v>
      </c>
      <c r="M22" s="54">
        <v>26.39</v>
      </c>
      <c r="N22" s="54">
        <v>855.80</v>
      </c>
      <c r="O22" s="54">
        <v>0</v>
      </c>
      <c r="P22" s="54">
        <v>0.42</v>
      </c>
      <c r="Q22" s="54">
        <v>10.01</v>
      </c>
      <c r="R22" s="43"/>
      <c r="S22" s="43"/>
      <c r="T22" s="43"/>
      <c r="U22" s="43"/>
    </row>
    <row r="23" spans="1:21" s="11" customFormat="1" ht="15">
      <c r="A23" s="53" t="s">
        <v>604</v>
      </c>
      <c r="B23" s="54">
        <v>2.0299999999999998</v>
      </c>
      <c r="C23" s="54">
        <v>55.11</v>
      </c>
      <c r="D23" s="54">
        <v>30.22</v>
      </c>
      <c r="E23" s="54">
        <v>2.57</v>
      </c>
      <c r="F23" s="54">
        <v>9.7100000000000009</v>
      </c>
      <c r="G23" s="54">
        <v>41.65</v>
      </c>
      <c r="H23" s="54">
        <v>16.899999999999999</v>
      </c>
      <c r="I23" s="54">
        <v>5.01</v>
      </c>
      <c r="J23" s="54">
        <v>0.88</v>
      </c>
      <c r="K23" s="54">
        <v>282.22000000000003</v>
      </c>
      <c r="L23" s="54">
        <v>34.61</v>
      </c>
      <c r="M23" s="54">
        <v>23.61</v>
      </c>
      <c r="N23" s="54">
        <v>704.30</v>
      </c>
      <c r="O23" s="54">
        <v>0</v>
      </c>
      <c r="P23" s="54">
        <v>0.40</v>
      </c>
      <c r="Q23" s="54">
        <v>10.14</v>
      </c>
      <c r="R23" s="43"/>
      <c r="S23" s="43"/>
      <c r="T23" s="43"/>
      <c r="U23" s="43"/>
    </row>
    <row r="24" spans="1:21" s="11" customFormat="1" ht="15">
      <c r="A24" s="53" t="s">
        <v>605</v>
      </c>
      <c r="B24" s="54">
        <v>2.0499999999999998</v>
      </c>
      <c r="C24" s="54">
        <v>59.16</v>
      </c>
      <c r="D24" s="54">
        <v>32.35</v>
      </c>
      <c r="E24" s="54">
        <v>2.44</v>
      </c>
      <c r="F24" s="54">
        <v>8.6999999999999993</v>
      </c>
      <c r="G24" s="54">
        <v>40.69</v>
      </c>
      <c r="H24" s="54">
        <v>16.899999999999999</v>
      </c>
      <c r="I24" s="54">
        <v>5.01</v>
      </c>
      <c r="J24" s="54">
        <v>0.41</v>
      </c>
      <c r="K24" s="54">
        <v>326.95</v>
      </c>
      <c r="L24" s="54">
        <v>33.770000000000003</v>
      </c>
      <c r="M24" s="54">
        <v>21.78</v>
      </c>
      <c r="N24" s="54">
        <v>297.80</v>
      </c>
      <c r="O24" s="54">
        <v>0</v>
      </c>
      <c r="P24" s="54">
        <v>0.46</v>
      </c>
      <c r="Q24" s="54">
        <v>10.08</v>
      </c>
      <c r="R24" s="43"/>
      <c r="S24" s="43"/>
      <c r="T24" s="43"/>
      <c r="U24" s="43"/>
    </row>
    <row r="25" spans="1:21" s="11" customFormat="1" ht="15">
      <c r="A25" s="53" t="s">
        <v>606</v>
      </c>
      <c r="B25" s="54">
        <v>3.14</v>
      </c>
      <c r="C25" s="54">
        <v>61.98</v>
      </c>
      <c r="D25" s="54">
        <v>34.82</v>
      </c>
      <c r="E25" s="54">
        <v>1.73</v>
      </c>
      <c r="F25" s="54">
        <v>6.24</v>
      </c>
      <c r="G25" s="54">
        <v>34.83</v>
      </c>
      <c r="H25" s="54">
        <v>16.52</v>
      </c>
      <c r="I25" s="54">
        <v>5.01</v>
      </c>
      <c r="J25" s="54">
        <v>0.25</v>
      </c>
      <c r="K25" s="54">
        <v>316.82</v>
      </c>
      <c r="L25" s="54">
        <v>33.75</v>
      </c>
      <c r="M25" s="54">
        <v>20.29</v>
      </c>
      <c r="N25" s="54">
        <v>186</v>
      </c>
      <c r="O25" s="54">
        <v>0</v>
      </c>
      <c r="P25" s="54">
        <v>0.51</v>
      </c>
      <c r="Q25" s="54">
        <v>9.86</v>
      </c>
      <c r="R25" s="43"/>
      <c r="S25" s="43"/>
      <c r="T25" s="43"/>
      <c r="U25" s="43"/>
    </row>
    <row r="26" spans="1:21" s="11" customFormat="1" ht="15">
      <c r="A26" s="53" t="s">
        <v>607</v>
      </c>
      <c r="B26" s="54">
        <v>3.16</v>
      </c>
      <c r="C26" s="54">
        <v>63.66</v>
      </c>
      <c r="D26" s="54">
        <v>35.72</v>
      </c>
      <c r="E26" s="54">
        <v>1.83</v>
      </c>
      <c r="F26" s="54">
        <v>5.52</v>
      </c>
      <c r="G26" s="54">
        <v>39.979999999999997</v>
      </c>
      <c r="H26" s="54">
        <v>15.61</v>
      </c>
      <c r="I26" s="54">
        <v>5.0199999999999996</v>
      </c>
      <c r="J26" s="54">
        <v>0.39</v>
      </c>
      <c r="K26" s="54">
        <v>351.92</v>
      </c>
      <c r="L26" s="54">
        <v>31.83</v>
      </c>
      <c r="M26" s="54">
        <v>25.14</v>
      </c>
      <c r="N26" s="54">
        <v>71.099999999999994</v>
      </c>
      <c r="O26" s="54">
        <v>0</v>
      </c>
      <c r="P26" s="54">
        <v>0.56999999999999995</v>
      </c>
      <c r="Q26" s="54">
        <v>10.08</v>
      </c>
      <c r="R26" s="43"/>
      <c r="S26" s="43"/>
      <c r="T26" s="43"/>
      <c r="U26" s="43"/>
    </row>
    <row r="27" spans="1:21" s="11" customFormat="1" ht="15">
      <c r="A27" s="53" t="s">
        <v>608</v>
      </c>
      <c r="B27" s="54">
        <v>11.36</v>
      </c>
      <c r="C27" s="54">
        <v>65.28</v>
      </c>
      <c r="D27" s="54">
        <v>43.13</v>
      </c>
      <c r="E27" s="54">
        <v>1.62</v>
      </c>
      <c r="F27" s="54">
        <v>3.82</v>
      </c>
      <c r="G27" s="54">
        <v>58.80</v>
      </c>
      <c r="H27" s="54">
        <v>77.73</v>
      </c>
      <c r="I27" s="54">
        <v>5.0599999999999996</v>
      </c>
      <c r="J27" s="54">
        <v>0.30</v>
      </c>
      <c r="K27" s="54">
        <v>336.86</v>
      </c>
      <c r="L27" s="54">
        <v>29.70</v>
      </c>
      <c r="M27" s="54">
        <v>43.69</v>
      </c>
      <c r="N27" s="54">
        <v>17.100000000000001</v>
      </c>
      <c r="O27" s="54">
        <v>0</v>
      </c>
      <c r="P27" s="54">
        <v>0.79</v>
      </c>
      <c r="Q27" s="54">
        <v>10.47</v>
      </c>
      <c r="R27" s="43"/>
      <c r="S27" s="43"/>
      <c r="T27" s="43"/>
      <c r="U27" s="43"/>
    </row>
    <row r="28" spans="1:21" s="11" customFormat="1" ht="15">
      <c r="A28" s="53" t="s">
        <v>609</v>
      </c>
      <c r="B28" s="54">
        <v>43.76</v>
      </c>
      <c r="C28" s="54">
        <v>70.69</v>
      </c>
      <c r="D28" s="54">
        <v>71.95</v>
      </c>
      <c r="E28" s="54">
        <v>2.4900000000000002</v>
      </c>
      <c r="F28" s="54">
        <v>3.76</v>
      </c>
      <c r="G28" s="54">
        <v>88.44</v>
      </c>
      <c r="H28" s="54">
        <v>77.73</v>
      </c>
      <c r="I28" s="54">
        <v>5.05</v>
      </c>
      <c r="J28" s="54">
        <v>0.18</v>
      </c>
      <c r="K28" s="54">
        <v>180.18</v>
      </c>
      <c r="L28" s="54">
        <v>25.97</v>
      </c>
      <c r="M28" s="54">
        <v>51.60</v>
      </c>
      <c r="N28" s="54">
        <v>14.60</v>
      </c>
      <c r="O28" s="54">
        <v>0</v>
      </c>
      <c r="P28" s="54">
        <v>1.27</v>
      </c>
      <c r="Q28" s="54">
        <v>10.79</v>
      </c>
      <c r="R28" s="43"/>
      <c r="S28" s="43"/>
      <c r="T28" s="43"/>
      <c r="U28" s="43"/>
    </row>
    <row r="29" spans="1:21" s="11" customFormat="1" ht="15">
      <c r="A29" s="53" t="s">
        <v>610</v>
      </c>
      <c r="B29" s="54">
        <v>77.94</v>
      </c>
      <c r="C29" s="54">
        <v>72.77</v>
      </c>
      <c r="D29" s="54">
        <v>100.15</v>
      </c>
      <c r="E29" s="54">
        <v>2.12</v>
      </c>
      <c r="F29" s="54">
        <v>3.55</v>
      </c>
      <c r="G29" s="54">
        <v>115.02</v>
      </c>
      <c r="H29" s="54">
        <v>40.729999999999997</v>
      </c>
      <c r="I29" s="54">
        <v>5.01</v>
      </c>
      <c r="J29" s="54">
        <v>0.28999999999999998</v>
      </c>
      <c r="K29" s="54">
        <v>341.88</v>
      </c>
      <c r="L29" s="54">
        <v>25.07</v>
      </c>
      <c r="M29" s="54">
        <v>55.52</v>
      </c>
      <c r="N29" s="54">
        <v>14.60</v>
      </c>
      <c r="O29" s="54">
        <v>0</v>
      </c>
      <c r="P29" s="54">
        <v>1.72</v>
      </c>
      <c r="Q29" s="54">
        <v>11.28</v>
      </c>
      <c r="R29" s="43"/>
      <c r="S29" s="43"/>
      <c r="T29" s="43"/>
      <c r="U29" s="43"/>
    </row>
    <row r="30" spans="1:21" s="11" customFormat="1" ht="15">
      <c r="A30" s="53" t="s">
        <v>611</v>
      </c>
      <c r="B30" s="54">
        <v>83.32</v>
      </c>
      <c r="C30" s="54">
        <v>72.34</v>
      </c>
      <c r="D30" s="54">
        <v>104.14</v>
      </c>
      <c r="E30" s="54">
        <v>2.13</v>
      </c>
      <c r="F30" s="54">
        <v>3.42</v>
      </c>
      <c r="G30" s="54">
        <v>117.56</v>
      </c>
      <c r="H30" s="54">
        <v>44.18</v>
      </c>
      <c r="I30" s="54">
        <v>5.04</v>
      </c>
      <c r="J30" s="54">
        <v>0.68</v>
      </c>
      <c r="K30" s="54">
        <v>274.77</v>
      </c>
      <c r="L30" s="54">
        <v>25.37</v>
      </c>
      <c r="M30" s="54">
        <v>51.14</v>
      </c>
      <c r="N30" s="54">
        <v>14.20</v>
      </c>
      <c r="O30" s="54">
        <v>0</v>
      </c>
      <c r="P30" s="54">
        <v>1.82</v>
      </c>
      <c r="Q30" s="54">
        <v>11.57</v>
      </c>
      <c r="R30" s="43"/>
      <c r="S30" s="43"/>
      <c r="T30" s="43"/>
      <c r="U30" s="43"/>
    </row>
    <row r="31" spans="1:21" s="11" customFormat="1" ht="15">
      <c r="A31" s="53" t="s">
        <v>612</v>
      </c>
      <c r="B31" s="54">
        <v>76.099999999999994</v>
      </c>
      <c r="C31" s="54">
        <v>66.040000000000006</v>
      </c>
      <c r="D31" s="54">
        <v>95.45</v>
      </c>
      <c r="E31" s="54">
        <v>1.78</v>
      </c>
      <c r="F31" s="54">
        <v>3.41</v>
      </c>
      <c r="G31" s="54">
        <v>117.56</v>
      </c>
      <c r="H31" s="54">
        <v>44.18</v>
      </c>
      <c r="I31" s="54">
        <v>4.9800000000000004</v>
      </c>
      <c r="J31" s="54">
        <v>0.23</v>
      </c>
      <c r="K31" s="54">
        <v>350.63</v>
      </c>
      <c r="L31" s="54">
        <v>24.74</v>
      </c>
      <c r="M31" s="54">
        <v>55.19</v>
      </c>
      <c r="N31" s="54">
        <v>14.90</v>
      </c>
      <c r="O31" s="54">
        <v>0</v>
      </c>
      <c r="P31" s="54">
        <v>1.63</v>
      </c>
      <c r="Q31" s="54">
        <v>11.57</v>
      </c>
      <c r="R31" s="43"/>
      <c r="S31" s="43"/>
      <c r="T31" s="43"/>
      <c r="U31" s="43"/>
    </row>
    <row r="32" spans="1:21" s="11" customFormat="1" ht="15">
      <c r="A32" s="53" t="s">
        <v>613</v>
      </c>
      <c r="B32" s="54">
        <v>74.489999999999995</v>
      </c>
      <c r="C32" s="54">
        <v>62.58</v>
      </c>
      <c r="D32" s="54">
        <v>92.01</v>
      </c>
      <c r="E32" s="54">
        <v>2.62</v>
      </c>
      <c r="F32" s="54">
        <v>3.39</v>
      </c>
      <c r="G32" s="54">
        <v>105.93</v>
      </c>
      <c r="H32" s="54">
        <v>40.69</v>
      </c>
      <c r="I32" s="54">
        <v>5.04</v>
      </c>
      <c r="J32" s="54">
        <v>0.28999999999999998</v>
      </c>
      <c r="K32" s="54">
        <v>328.85</v>
      </c>
      <c r="L32" s="54">
        <v>22.74</v>
      </c>
      <c r="M32" s="54">
        <v>63.43</v>
      </c>
      <c r="N32" s="54">
        <v>14.5</v>
      </c>
      <c r="O32" s="54">
        <v>0</v>
      </c>
      <c r="P32" s="54">
        <v>1.60</v>
      </c>
      <c r="Q32" s="54">
        <v>11.49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1.5700000000000001</v>
      </c>
      <c r="C34" s="28">
        <f t="shared" si="0"/>
        <v>46.93</v>
      </c>
      <c r="D34" s="28">
        <f t="shared" si="0"/>
        <v>25.800000000000001</v>
      </c>
      <c r="E34" s="28">
        <f t="shared" si="0"/>
        <v>1.1899999999999999</v>
      </c>
      <c r="F34" s="28">
        <f t="shared" si="0"/>
        <v>3.23</v>
      </c>
      <c r="G34" s="28">
        <f t="shared" si="0"/>
        <v>25.129999999999999</v>
      </c>
      <c r="H34" s="28">
        <f t="shared" si="0"/>
        <v>14.32</v>
      </c>
      <c r="I34" s="28">
        <f t="shared" si="0"/>
        <v>4.9800000000000004</v>
      </c>
      <c r="J34" s="28">
        <f t="shared" si="0"/>
        <v>0.14999999999999999</v>
      </c>
      <c r="K34" s="28">
        <f t="shared" si="0"/>
        <v>79.329999999999998</v>
      </c>
      <c r="L34" s="28">
        <f t="shared" si="0"/>
        <v>18.399999999999999</v>
      </c>
      <c r="M34" s="28">
        <f t="shared" si="0"/>
        <v>20.289999999999999</v>
      </c>
      <c r="N34" s="28">
        <f t="shared" si="0"/>
        <v>14.199999999999999</v>
      </c>
      <c r="O34" s="28">
        <f t="shared" si="0"/>
        <v>0</v>
      </c>
      <c r="P34" s="28">
        <f t="shared" si="0"/>
        <v>0.34000000000000002</v>
      </c>
      <c r="Q34" s="28">
        <f t="shared" si="0"/>
        <v>9.8599999999999994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83.319999999999993</v>
      </c>
      <c r="C35" s="29">
        <f t="shared" si="1"/>
        <v>72.769999999999996</v>
      </c>
      <c r="D35" s="29">
        <f t="shared" si="1"/>
        <v>104.14</v>
      </c>
      <c r="E35" s="29">
        <f t="shared" si="1"/>
        <v>3.3100000000000001</v>
      </c>
      <c r="F35" s="29">
        <f t="shared" si="1"/>
        <v>16.010000000000002</v>
      </c>
      <c r="G35" s="29">
        <f t="shared" si="1"/>
        <v>184.77000000000001</v>
      </c>
      <c r="H35" s="29">
        <f t="shared" si="1"/>
        <v>77.730000000000004</v>
      </c>
      <c r="I35" s="29">
        <f t="shared" si="1"/>
        <v>5.0800000000000001</v>
      </c>
      <c r="J35" s="29">
        <f t="shared" si="1"/>
        <v>1.3100000000000001</v>
      </c>
      <c r="K35" s="29">
        <f t="shared" si="1"/>
        <v>351.92000000000002</v>
      </c>
      <c r="L35" s="29">
        <f t="shared" si="1"/>
        <v>34.609999999999999</v>
      </c>
      <c r="M35" s="29">
        <f t="shared" si="1"/>
        <v>92.650000000000006</v>
      </c>
      <c r="N35" s="29">
        <f t="shared" si="1"/>
        <v>932.29999999999995</v>
      </c>
      <c r="O35" s="29">
        <f t="shared" si="1"/>
        <v>0</v>
      </c>
      <c r="P35" s="29">
        <f t="shared" si="1"/>
        <v>1.8300000000000001</v>
      </c>
      <c r="Q35" s="29">
        <f t="shared" si="1"/>
        <v>11.630000000000001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34.080000000000005</v>
      </c>
      <c r="C36" s="28">
        <f t="shared" si="2"/>
        <v>60.664999999999992</v>
      </c>
      <c r="D36" s="28">
        <f t="shared" si="2"/>
        <v>58.684166666666677</v>
      </c>
      <c r="E36" s="28">
        <f t="shared" si="2"/>
        <v>2.011304347826087</v>
      </c>
      <c r="F36" s="28">
        <f t="shared" si="2"/>
        <v>5.7883333333333331</v>
      </c>
      <c r="G36" s="28">
        <f t="shared" si="2"/>
        <v>90.337826086956525</v>
      </c>
      <c r="H36" s="28">
        <f t="shared" si="2"/>
        <v>38.190434782608691</v>
      </c>
      <c r="I36" s="28">
        <f t="shared" si="2"/>
        <v>5.0333333333333341</v>
      </c>
      <c r="J36" s="28">
        <f t="shared" si="2"/>
        <v>0.45083333333333325</v>
      </c>
      <c r="K36" s="28">
        <f t="shared" si="2"/>
        <v>280.18375000000003</v>
      </c>
      <c r="L36" s="28">
        <f t="shared" si="2"/>
        <v>26.51541666666667</v>
      </c>
      <c r="M36" s="28">
        <f t="shared" si="2"/>
        <v>52.825416666666662</v>
      </c>
      <c r="N36" s="28">
        <f t="shared" si="2"/>
        <v>283.95000000000005</v>
      </c>
      <c r="O36" s="28">
        <f t="shared" si="2"/>
        <v>0</v>
      </c>
      <c r="P36" s="28">
        <f t="shared" si="2"/>
        <v>1.0291666666666666</v>
      </c>
      <c r="Q36" s="28">
        <f t="shared" si="2"/>
        <v>10.716666666666667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27.846689757218577</v>
      </c>
      <c r="C37" s="28">
        <f t="shared" si="3" ref="C37:Q37">STDEV(C9:C32)</f>
        <v>6.3695477963851665</v>
      </c>
      <c r="D37" s="28">
        <f t="shared" si="3"/>
        <v>24.291123967885614</v>
      </c>
      <c r="E37" s="28">
        <f t="shared" si="3"/>
        <v>0.4860911282673635</v>
      </c>
      <c r="F37" s="28">
        <f t="shared" si="3"/>
        <v>3.8092332523769779</v>
      </c>
      <c r="G37" s="28">
        <f t="shared" si="3"/>
        <v>43.345219507463568</v>
      </c>
      <c r="H37" s="28">
        <f t="shared" si="3"/>
        <v>18.058141321414837</v>
      </c>
      <c r="I37" s="28">
        <f t="shared" si="3"/>
        <v>0.026154501926331765</v>
      </c>
      <c r="J37" s="28">
        <f t="shared" si="3"/>
        <v>0.29510376460502508</v>
      </c>
      <c r="K37" s="28">
        <f t="shared" si="3"/>
        <v>79.134601502069188</v>
      </c>
      <c r="L37" s="28">
        <f t="shared" si="3"/>
        <v>5.5367020313592388</v>
      </c>
      <c r="M37" s="28">
        <f t="shared" si="3"/>
        <v>23.244320854624984</v>
      </c>
      <c r="N37" s="28">
        <f t="shared" si="3"/>
        <v>357.61421890805372</v>
      </c>
      <c r="O37" s="28">
        <f t="shared" si="3"/>
        <v>0</v>
      </c>
      <c r="P37" s="28">
        <f t="shared" si="3"/>
        <v>0.47369882806499014</v>
      </c>
      <c r="Q37" s="28">
        <f t="shared" si="3"/>
        <v>0.56730995030066678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COUNT(E9:E32)+3</f>
        <v>26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fd8985-f846-41ec-8884-a7b0c659f816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614</v>
      </c>
      <c r="B9" s="54">
        <v>71.13</v>
      </c>
      <c r="C9" s="54">
        <v>61.52</v>
      </c>
      <c r="D9" s="54">
        <v>89.10</v>
      </c>
      <c r="E9" s="54">
        <v>2.58</v>
      </c>
      <c r="F9" s="54">
        <v>3.16</v>
      </c>
      <c r="G9" s="54">
        <v>101.53</v>
      </c>
      <c r="H9" s="54">
        <v>32.94</v>
      </c>
      <c r="I9" s="54">
        <v>5.0199999999999996</v>
      </c>
      <c r="J9" s="54">
        <v>0.38</v>
      </c>
      <c r="K9" s="54">
        <v>343.28</v>
      </c>
      <c r="L9" s="54">
        <v>22.42</v>
      </c>
      <c r="M9" s="54">
        <v>62.04</v>
      </c>
      <c r="N9" s="54">
        <v>14.30</v>
      </c>
      <c r="O9" s="54">
        <v>0</v>
      </c>
      <c r="P9" s="54">
        <v>1.52</v>
      </c>
      <c r="Q9" s="54">
        <v>11.39</v>
      </c>
      <c r="R9" s="43"/>
      <c r="S9" s="43"/>
      <c r="T9" s="43"/>
      <c r="U9" s="43"/>
    </row>
    <row r="10" spans="1:21" s="11" customFormat="1" ht="15">
      <c r="A10" s="53" t="s">
        <v>615</v>
      </c>
      <c r="B10" s="54">
        <v>59.43</v>
      </c>
      <c r="C10" s="54">
        <v>59.85</v>
      </c>
      <c r="D10" s="54">
        <v>78.849999999999994</v>
      </c>
      <c r="E10" s="54">
        <v>2.64</v>
      </c>
      <c r="F10" s="54">
        <v>3.37</v>
      </c>
      <c r="G10" s="54">
        <v>86.18</v>
      </c>
      <c r="H10" s="54">
        <v>32.94</v>
      </c>
      <c r="I10" s="54">
        <v>5.0199999999999996</v>
      </c>
      <c r="J10" s="54">
        <v>0.56999999999999995</v>
      </c>
      <c r="K10" s="54">
        <v>334.19</v>
      </c>
      <c r="L10" s="54">
        <v>22.65</v>
      </c>
      <c r="M10" s="54">
        <v>63.89</v>
      </c>
      <c r="N10" s="54">
        <v>14.80</v>
      </c>
      <c r="O10" s="54">
        <v>0</v>
      </c>
      <c r="P10" s="54">
        <v>1.21</v>
      </c>
      <c r="Q10" s="54">
        <v>11.30</v>
      </c>
      <c r="R10" s="43"/>
      <c r="S10" s="43"/>
      <c r="T10" s="43"/>
      <c r="U10" s="43"/>
    </row>
    <row r="11" spans="1:21" s="11" customFormat="1" ht="15">
      <c r="A11" s="53" t="s">
        <v>616</v>
      </c>
      <c r="B11" s="54">
        <v>47.83</v>
      </c>
      <c r="C11" s="54">
        <v>53.85</v>
      </c>
      <c r="D11" s="54">
        <v>66.05</v>
      </c>
      <c r="E11" s="54">
        <v>2.5499999999999998</v>
      </c>
      <c r="F11" s="54">
        <v>3.45</v>
      </c>
      <c r="G11" s="54">
        <v>83.09</v>
      </c>
      <c r="H11" s="54">
        <v>31.24</v>
      </c>
      <c r="I11" s="54">
        <v>5.04</v>
      </c>
      <c r="J11" s="54">
        <v>0.39</v>
      </c>
      <c r="K11" s="54">
        <v>347.63</v>
      </c>
      <c r="L11" s="54">
        <v>22.64</v>
      </c>
      <c r="M11" s="54">
        <v>60.25</v>
      </c>
      <c r="N11" s="54">
        <v>14.70</v>
      </c>
      <c r="O11" s="54">
        <v>0</v>
      </c>
      <c r="P11" s="54">
        <v>1.06</v>
      </c>
      <c r="Q11" s="54">
        <v>10.93</v>
      </c>
      <c r="R11" s="43"/>
      <c r="S11" s="43"/>
      <c r="T11" s="43"/>
      <c r="U11" s="43"/>
    </row>
    <row r="12" spans="1:21" s="11" customFormat="1" ht="15">
      <c r="A12" s="53" t="s">
        <v>617</v>
      </c>
      <c r="B12" s="54">
        <v>42.08</v>
      </c>
      <c r="C12" s="54">
        <v>53.30</v>
      </c>
      <c r="D12" s="54">
        <v>61.32</v>
      </c>
      <c r="E12" s="54">
        <v>3.16</v>
      </c>
      <c r="F12" s="54">
        <v>3.34</v>
      </c>
      <c r="G12" s="54">
        <v>67.63</v>
      </c>
      <c r="H12" s="54">
        <v>22.68</v>
      </c>
      <c r="I12" s="54">
        <v>5.01</v>
      </c>
      <c r="J12" s="54">
        <v>0.77</v>
      </c>
      <c r="K12" s="54">
        <v>355.04</v>
      </c>
      <c r="L12" s="54">
        <v>22.15</v>
      </c>
      <c r="M12" s="54">
        <v>65.30</v>
      </c>
      <c r="N12" s="54">
        <v>14.60</v>
      </c>
      <c r="O12" s="54">
        <v>0</v>
      </c>
      <c r="P12" s="54">
        <v>0.97</v>
      </c>
      <c r="Q12" s="54">
        <v>10.84</v>
      </c>
      <c r="R12" s="43"/>
      <c r="S12" s="43"/>
      <c r="T12" s="43"/>
      <c r="U12" s="43"/>
    </row>
    <row r="13" spans="1:21" s="11" customFormat="1" ht="15">
      <c r="A13" s="53" t="s">
        <v>618</v>
      </c>
      <c r="B13" s="54">
        <v>37.60</v>
      </c>
      <c r="C13" s="54">
        <v>53.95</v>
      </c>
      <c r="D13" s="54">
        <v>58</v>
      </c>
      <c r="E13" s="54">
        <v>2.2400000000000002</v>
      </c>
      <c r="F13" s="54">
        <v>3.31</v>
      </c>
      <c r="G13" s="54">
        <v>84.29</v>
      </c>
      <c r="H13" s="54">
        <v>44.27</v>
      </c>
      <c r="I13" s="54">
        <v>5.03</v>
      </c>
      <c r="J13" s="54">
        <v>0.42</v>
      </c>
      <c r="K13" s="54">
        <v>147.26</v>
      </c>
      <c r="L13" s="54">
        <v>21.78</v>
      </c>
      <c r="M13" s="54">
        <v>71.37</v>
      </c>
      <c r="N13" s="54">
        <v>14.70</v>
      </c>
      <c r="O13" s="54">
        <v>0</v>
      </c>
      <c r="P13" s="54">
        <v>0.93</v>
      </c>
      <c r="Q13" s="54">
        <v>10.90</v>
      </c>
      <c r="R13" s="43"/>
      <c r="S13" s="43"/>
      <c r="T13" s="43"/>
      <c r="U13" s="43"/>
    </row>
    <row r="14" spans="1:21" s="11" customFormat="1" ht="15">
      <c r="A14" s="53" t="s">
        <v>619</v>
      </c>
      <c r="B14" s="54">
        <v>46.46</v>
      </c>
      <c r="C14" s="54">
        <v>55.18</v>
      </c>
      <c r="D14" s="54">
        <v>66.010000000000005</v>
      </c>
      <c r="E14" s="54">
        <v>2.34</v>
      </c>
      <c r="F14" s="54">
        <v>3.48</v>
      </c>
      <c r="G14" s="54">
        <v>108.94</v>
      </c>
      <c r="H14" s="54">
        <v>47.32</v>
      </c>
      <c r="I14" s="54">
        <v>5.04</v>
      </c>
      <c r="J14" s="54">
        <v>0.40</v>
      </c>
      <c r="K14" s="54">
        <v>251.16</v>
      </c>
      <c r="L14" s="54">
        <v>21.12</v>
      </c>
      <c r="M14" s="54">
        <v>71.75</v>
      </c>
      <c r="N14" s="54">
        <v>18.399999999999999</v>
      </c>
      <c r="O14" s="54">
        <v>0</v>
      </c>
      <c r="P14" s="54">
        <v>0.98</v>
      </c>
      <c r="Q14" s="54">
        <v>10.73</v>
      </c>
      <c r="R14" s="43"/>
      <c r="S14" s="43"/>
      <c r="T14" s="43"/>
      <c r="U14" s="43"/>
    </row>
    <row r="15" spans="1:21" s="11" customFormat="1" ht="15">
      <c r="A15" s="53" t="s">
        <v>620</v>
      </c>
      <c r="B15" s="54">
        <v>52.09</v>
      </c>
      <c r="C15" s="54">
        <v>54.66</v>
      </c>
      <c r="D15" s="54">
        <v>69.11</v>
      </c>
      <c r="E15" s="54">
        <v>2.52</v>
      </c>
      <c r="F15" s="54">
        <v>3.43</v>
      </c>
      <c r="G15" s="54">
        <v>122.77</v>
      </c>
      <c r="H15" s="54">
        <v>53.02</v>
      </c>
      <c r="I15" s="54">
        <v>5.01</v>
      </c>
      <c r="J15" s="54">
        <v>0.47</v>
      </c>
      <c r="K15" s="54">
        <v>287.39</v>
      </c>
      <c r="L15" s="54">
        <v>22.19</v>
      </c>
      <c r="M15" s="54">
        <v>73.20</v>
      </c>
      <c r="N15" s="54">
        <v>95.40</v>
      </c>
      <c r="O15" s="54">
        <v>0</v>
      </c>
      <c r="P15" s="54">
        <v>1</v>
      </c>
      <c r="Q15" s="54">
        <v>10.85</v>
      </c>
      <c r="R15" s="43"/>
      <c r="S15" s="43"/>
      <c r="T15" s="43"/>
      <c r="U15" s="43"/>
    </row>
    <row r="16" spans="1:21" s="11" customFormat="1" ht="15">
      <c r="A16" s="53" t="s">
        <v>621</v>
      </c>
      <c r="B16" s="54">
        <v>51.33</v>
      </c>
      <c r="C16" s="54">
        <v>52.04</v>
      </c>
      <c r="D16" s="54">
        <v>67.62</v>
      </c>
      <c r="E16" s="54">
        <v>2.31</v>
      </c>
      <c r="F16" s="54">
        <v>3.24</v>
      </c>
      <c r="G16" s="54">
        <v>122.77</v>
      </c>
      <c r="H16" s="54">
        <v>53.02</v>
      </c>
      <c r="I16" s="54">
        <v>5.0199999999999996</v>
      </c>
      <c r="J16" s="54">
        <v>0.35</v>
      </c>
      <c r="K16" s="54">
        <v>332</v>
      </c>
      <c r="L16" s="54">
        <v>25.11</v>
      </c>
      <c r="M16" s="54">
        <v>66.48</v>
      </c>
      <c r="N16" s="54">
        <v>281.30</v>
      </c>
      <c r="O16" s="54">
        <v>0</v>
      </c>
      <c r="P16" s="54">
        <v>1.07</v>
      </c>
      <c r="Q16" s="54">
        <v>10.91</v>
      </c>
      <c r="R16" s="43"/>
      <c r="S16" s="43"/>
      <c r="T16" s="43"/>
      <c r="U16" s="43"/>
    </row>
    <row r="17" spans="1:21" s="11" customFormat="1" ht="15">
      <c r="A17" s="53" t="s">
        <v>622</v>
      </c>
      <c r="B17" s="54">
        <v>48.27</v>
      </c>
      <c r="C17" s="54">
        <v>57.37</v>
      </c>
      <c r="D17" s="54">
        <v>65.819999999999993</v>
      </c>
      <c r="E17" s="54">
        <v>2.06</v>
      </c>
      <c r="F17" s="54">
        <v>3.61</v>
      </c>
      <c r="G17" s="54">
        <v>110.57</v>
      </c>
      <c r="H17" s="54">
        <v>55.37</v>
      </c>
      <c r="I17" s="54">
        <v>5.05</v>
      </c>
      <c r="J17" s="54">
        <v>0.19</v>
      </c>
      <c r="K17" s="54">
        <v>326.77</v>
      </c>
      <c r="L17" s="54">
        <v>30.49</v>
      </c>
      <c r="M17" s="54">
        <v>47.45</v>
      </c>
      <c r="N17" s="54">
        <v>482.40</v>
      </c>
      <c r="O17" s="54">
        <v>0</v>
      </c>
      <c r="P17" s="54">
        <v>1.06</v>
      </c>
      <c r="Q17" s="54">
        <v>10.94</v>
      </c>
      <c r="R17" s="43"/>
      <c r="S17" s="43"/>
      <c r="T17" s="43"/>
      <c r="U17" s="43"/>
    </row>
    <row r="18" spans="1:21" s="11" customFormat="1" ht="15">
      <c r="A18" s="53" t="s">
        <v>623</v>
      </c>
      <c r="B18" s="54">
        <v>38.14</v>
      </c>
      <c r="C18" s="54">
        <v>66.52</v>
      </c>
      <c r="D18" s="54">
        <v>61.82</v>
      </c>
      <c r="E18" s="54">
        <v>2.02</v>
      </c>
      <c r="F18" s="54">
        <v>3.70</v>
      </c>
      <c r="G18" s="54">
        <v>96.49</v>
      </c>
      <c r="H18" s="54">
        <v>55.37</v>
      </c>
      <c r="I18" s="54">
        <v>5.05</v>
      </c>
      <c r="J18" s="54">
        <v>0.34</v>
      </c>
      <c r="K18" s="54">
        <v>350.63</v>
      </c>
      <c r="L18" s="54">
        <v>32.619999999999997</v>
      </c>
      <c r="M18" s="54">
        <v>38.11</v>
      </c>
      <c r="N18" s="54">
        <v>620.10</v>
      </c>
      <c r="O18" s="54">
        <v>0</v>
      </c>
      <c r="P18" s="54">
        <v>1.03</v>
      </c>
      <c r="Q18" s="54">
        <v>10.57</v>
      </c>
      <c r="R18" s="43"/>
      <c r="S18" s="43"/>
      <c r="T18" s="43"/>
      <c r="U18" s="43"/>
    </row>
    <row r="19" spans="1:21" s="11" customFormat="1" ht="15">
      <c r="A19" s="53" t="s">
        <v>624</v>
      </c>
      <c r="B19" s="54">
        <v>16.91</v>
      </c>
      <c r="C19" s="54">
        <v>69.72</v>
      </c>
      <c r="D19" s="54">
        <v>49.53</v>
      </c>
      <c r="E19" s="54">
        <v>1.66</v>
      </c>
      <c r="F19" s="54">
        <v>5.20</v>
      </c>
      <c r="G19" s="54">
        <v>89.57</v>
      </c>
      <c r="H19" s="54">
        <v>41.05</v>
      </c>
      <c r="I19" s="54">
        <v>5.04</v>
      </c>
      <c r="J19" s="54">
        <v>0.23</v>
      </c>
      <c r="K19" s="54">
        <v>342.64</v>
      </c>
      <c r="L19" s="54">
        <v>32.47</v>
      </c>
      <c r="M19" s="54">
        <v>38.15</v>
      </c>
      <c r="N19" s="54">
        <v>752.60</v>
      </c>
      <c r="O19" s="54">
        <v>0</v>
      </c>
      <c r="P19" s="54">
        <v>0.91</v>
      </c>
      <c r="Q19" s="54">
        <v>10.29</v>
      </c>
      <c r="R19" s="43"/>
      <c r="S19" s="43"/>
      <c r="T19" s="43"/>
      <c r="U19" s="43"/>
    </row>
    <row r="20" spans="1:21" s="11" customFormat="1" ht="15">
      <c r="A20" s="53" t="s">
        <v>625</v>
      </c>
      <c r="B20" s="54">
        <v>3.30</v>
      </c>
      <c r="C20" s="54">
        <v>64.290000000000006</v>
      </c>
      <c r="D20" s="54">
        <v>36.15</v>
      </c>
      <c r="E20" s="54">
        <v>1.90</v>
      </c>
      <c r="F20" s="54">
        <v>7.58</v>
      </c>
      <c r="G20" s="54">
        <v>79.17</v>
      </c>
      <c r="H20" s="54">
        <v>30.39</v>
      </c>
      <c r="I20" s="54">
        <v>5.0199999999999996</v>
      </c>
      <c r="J20" s="54">
        <v>0.35</v>
      </c>
      <c r="K20" s="54">
        <v>351.67</v>
      </c>
      <c r="L20" s="54">
        <v>32.450000000000003</v>
      </c>
      <c r="M20" s="54">
        <v>39.340000000000003</v>
      </c>
      <c r="N20" s="54">
        <v>859.80</v>
      </c>
      <c r="O20" s="54">
        <v>0</v>
      </c>
      <c r="P20" s="54">
        <v>0.72</v>
      </c>
      <c r="Q20" s="54">
        <v>10.06</v>
      </c>
      <c r="R20" s="43"/>
      <c r="S20" s="43"/>
      <c r="T20" s="43"/>
      <c r="U20" s="43"/>
    </row>
    <row r="21" spans="1:21" s="11" customFormat="1" ht="15">
      <c r="A21" s="53" t="s">
        <v>626</v>
      </c>
      <c r="B21" s="54">
        <v>1.86</v>
      </c>
      <c r="C21" s="54">
        <v>53.76</v>
      </c>
      <c r="D21" s="54">
        <v>29.5</v>
      </c>
      <c r="E21" s="54">
        <v>1.59</v>
      </c>
      <c r="F21" s="54">
        <v>8.0299999999999994</v>
      </c>
      <c r="G21" s="54">
        <v>56.35</v>
      </c>
      <c r="H21" s="54">
        <v>27.78</v>
      </c>
      <c r="I21" s="54">
        <v>5.04</v>
      </c>
      <c r="J21" s="54">
        <v>0.48</v>
      </c>
      <c r="K21" s="54">
        <v>322.11</v>
      </c>
      <c r="L21" s="54">
        <v>32.96</v>
      </c>
      <c r="M21" s="54">
        <v>35.409999999999997</v>
      </c>
      <c r="N21" s="54">
        <v>868.20</v>
      </c>
      <c r="O21" s="54">
        <v>0</v>
      </c>
      <c r="P21" s="54">
        <v>0.57999999999999996</v>
      </c>
      <c r="Q21" s="54">
        <v>10.15</v>
      </c>
      <c r="R21" s="43"/>
      <c r="S21" s="43"/>
      <c r="T21" s="43"/>
      <c r="U21" s="43"/>
    </row>
    <row r="22" spans="1:21" s="11" customFormat="1" ht="15">
      <c r="A22" s="53" t="s">
        <v>627</v>
      </c>
      <c r="B22" s="54">
        <v>2.13</v>
      </c>
      <c r="C22" s="54">
        <v>53.66</v>
      </c>
      <c r="D22" s="54">
        <v>29.67</v>
      </c>
      <c r="E22" s="54">
        <v>2.14</v>
      </c>
      <c r="F22" s="54">
        <v>7.77</v>
      </c>
      <c r="G22" s="54">
        <v>48.68</v>
      </c>
      <c r="H22" s="54">
        <v>27.78</v>
      </c>
      <c r="I22" s="54">
        <v>5.03</v>
      </c>
      <c r="J22" s="54">
        <v>0.69</v>
      </c>
      <c r="K22" s="54">
        <v>304.81</v>
      </c>
      <c r="L22" s="54">
        <v>36.07</v>
      </c>
      <c r="M22" s="54">
        <v>33.840000000000003</v>
      </c>
      <c r="N22" s="54">
        <v>809.60</v>
      </c>
      <c r="O22" s="54">
        <v>0</v>
      </c>
      <c r="P22" s="54">
        <v>0.60</v>
      </c>
      <c r="Q22" s="54">
        <v>9.98</v>
      </c>
      <c r="R22" s="43"/>
      <c r="S22" s="43"/>
      <c r="T22" s="43"/>
      <c r="U22" s="43"/>
    </row>
    <row r="23" spans="1:21" s="11" customFormat="1" ht="15">
      <c r="A23" s="53" t="s">
        <v>628</v>
      </c>
      <c r="B23" s="54">
        <v>2.0299999999999998</v>
      </c>
      <c r="C23" s="54">
        <v>53.99</v>
      </c>
      <c r="D23" s="54">
        <v>29.76</v>
      </c>
      <c r="E23" s="54">
        <v>1.59</v>
      </c>
      <c r="F23" s="54">
        <v>6.99</v>
      </c>
      <c r="G23" s="54">
        <v>45.11</v>
      </c>
      <c r="H23" s="54">
        <v>24.07</v>
      </c>
      <c r="I23" s="54">
        <v>5.04</v>
      </c>
      <c r="J23" s="54">
        <v>0.26</v>
      </c>
      <c r="K23" s="54">
        <v>336.62</v>
      </c>
      <c r="L23" s="54">
        <v>34.69</v>
      </c>
      <c r="M23" s="54">
        <v>28.46</v>
      </c>
      <c r="N23" s="54">
        <v>680.30</v>
      </c>
      <c r="O23" s="54">
        <v>0</v>
      </c>
      <c r="P23" s="54">
        <v>0.57999999999999996</v>
      </c>
      <c r="Q23" s="54">
        <v>9.9600000000000009</v>
      </c>
      <c r="R23" s="43"/>
      <c r="S23" s="43"/>
      <c r="T23" s="43"/>
      <c r="U23" s="43"/>
    </row>
    <row r="24" spans="1:21" s="11" customFormat="1" ht="15">
      <c r="A24" s="53" t="s">
        <v>629</v>
      </c>
      <c r="B24" s="54">
        <v>2.0699999999999998</v>
      </c>
      <c r="C24" s="54">
        <v>54.38</v>
      </c>
      <c r="D24" s="54">
        <v>29.94</v>
      </c>
      <c r="E24" s="54">
        <v>1.33</v>
      </c>
      <c r="F24" s="54">
        <v>6.65</v>
      </c>
      <c r="G24" s="54">
        <v>43.26</v>
      </c>
      <c r="H24" s="54">
        <v>22.40</v>
      </c>
      <c r="I24" s="54">
        <v>5.0199999999999996</v>
      </c>
      <c r="J24" s="54">
        <v>0.22</v>
      </c>
      <c r="K24" s="54">
        <v>333.27</v>
      </c>
      <c r="L24" s="54">
        <v>34.58</v>
      </c>
      <c r="M24" s="54">
        <v>23.89</v>
      </c>
      <c r="N24" s="54">
        <v>341.40</v>
      </c>
      <c r="O24" s="54">
        <v>0</v>
      </c>
      <c r="P24" s="54">
        <v>0.55000000000000004</v>
      </c>
      <c r="Q24" s="54">
        <v>9.8699999999999992</v>
      </c>
      <c r="R24" s="43"/>
      <c r="S24" s="43"/>
      <c r="T24" s="43"/>
      <c r="U24" s="43"/>
    </row>
    <row r="25" spans="1:21" s="11" customFormat="1" ht="15">
      <c r="A25" s="53" t="s">
        <v>630</v>
      </c>
      <c r="B25" s="54">
        <v>2.82</v>
      </c>
      <c r="C25" s="54">
        <v>55.32</v>
      </c>
      <c r="D25" s="54">
        <v>31.04</v>
      </c>
      <c r="E25" s="54">
        <v>0.5</v>
      </c>
      <c r="F25" s="54">
        <v>4.99</v>
      </c>
      <c r="G25" s="54">
        <v>43.26</v>
      </c>
      <c r="H25" s="54">
        <v>17.07</v>
      </c>
      <c r="I25" s="54">
        <v>5.04</v>
      </c>
      <c r="J25" s="54">
        <v>0.48</v>
      </c>
      <c r="K25" s="54">
        <v>326.37</v>
      </c>
      <c r="L25" s="54">
        <v>34.19</v>
      </c>
      <c r="M25" s="54">
        <v>26.05</v>
      </c>
      <c r="N25" s="54">
        <v>186.60</v>
      </c>
      <c r="O25" s="54">
        <v>0</v>
      </c>
      <c r="P25" s="54">
        <v>0.53</v>
      </c>
      <c r="Q25" s="54">
        <v>9.9700000000000006</v>
      </c>
      <c r="R25" s="43"/>
      <c r="S25" s="43"/>
      <c r="T25" s="43"/>
      <c r="U25" s="43"/>
    </row>
    <row r="26" spans="1:21" s="11" customFormat="1" ht="15">
      <c r="A26" s="53" t="s">
        <v>631</v>
      </c>
      <c r="B26" s="54">
        <v>5.42</v>
      </c>
      <c r="C26" s="54">
        <v>56.82</v>
      </c>
      <c r="D26" s="54">
        <v>33.950000000000003</v>
      </c>
      <c r="E26" s="54">
        <v>0.70</v>
      </c>
      <c r="F26" s="54">
        <v>4.33</v>
      </c>
      <c r="G26" s="54">
        <v>46.39</v>
      </c>
      <c r="H26" s="54">
        <v>21.77</v>
      </c>
      <c r="I26" s="54">
        <v>5.04</v>
      </c>
      <c r="J26" s="54">
        <v>0.24</v>
      </c>
      <c r="K26" s="54">
        <v>214.27</v>
      </c>
      <c r="L26" s="54">
        <v>31.20</v>
      </c>
      <c r="M26" s="54">
        <v>36.340000000000003</v>
      </c>
      <c r="N26" s="54">
        <v>67.599999999999994</v>
      </c>
      <c r="O26" s="54">
        <v>0</v>
      </c>
      <c r="P26" s="54">
        <v>0.60</v>
      </c>
      <c r="Q26" s="54">
        <v>10.01</v>
      </c>
      <c r="R26" s="43"/>
      <c r="S26" s="43"/>
      <c r="T26" s="43"/>
      <c r="U26" s="43"/>
    </row>
    <row r="27" spans="1:21" s="11" customFormat="1" ht="15">
      <c r="A27" s="53" t="s">
        <v>632</v>
      </c>
      <c r="B27" s="54">
        <v>10.09</v>
      </c>
      <c r="C27" s="54">
        <v>65.47</v>
      </c>
      <c r="D27" s="54">
        <v>42.21</v>
      </c>
      <c r="E27" s="54">
        <v>0.61</v>
      </c>
      <c r="F27" s="54">
        <v>3.82</v>
      </c>
      <c r="G27" s="54">
        <v>55.86</v>
      </c>
      <c r="H27" s="54">
        <v>23.99</v>
      </c>
      <c r="I27" s="54">
        <v>5.0199999999999996</v>
      </c>
      <c r="J27" s="54">
        <v>0.21</v>
      </c>
      <c r="K27" s="54">
        <v>339.79</v>
      </c>
      <c r="L27" s="54">
        <v>29.15</v>
      </c>
      <c r="M27" s="54">
        <v>45.03</v>
      </c>
      <c r="N27" s="54">
        <v>18.70</v>
      </c>
      <c r="O27" s="54">
        <v>0</v>
      </c>
      <c r="P27" s="54">
        <v>0.77</v>
      </c>
      <c r="Q27" s="54">
        <v>10.26</v>
      </c>
      <c r="R27" s="43"/>
      <c r="S27" s="43"/>
      <c r="T27" s="43"/>
      <c r="U27" s="43"/>
    </row>
    <row r="28" spans="1:21" s="11" customFormat="1" ht="15">
      <c r="A28" s="53" t="s">
        <v>633</v>
      </c>
      <c r="B28" s="54">
        <v>24.14</v>
      </c>
      <c r="C28" s="54">
        <v>67.41</v>
      </c>
      <c r="D28" s="54">
        <v>54.19</v>
      </c>
      <c r="E28" s="54">
        <v>1.18</v>
      </c>
      <c r="F28" s="54">
        <v>3.64</v>
      </c>
      <c r="G28" s="54">
        <v>79.97</v>
      </c>
      <c r="H28" s="54">
        <v>32.31</v>
      </c>
      <c r="I28" s="54">
        <v>5</v>
      </c>
      <c r="J28" s="54">
        <v>0.27</v>
      </c>
      <c r="K28" s="54">
        <v>120.69</v>
      </c>
      <c r="L28" s="54">
        <v>27.11</v>
      </c>
      <c r="M28" s="54">
        <v>53.64</v>
      </c>
      <c r="N28" s="54">
        <v>15.40</v>
      </c>
      <c r="O28" s="54">
        <v>0</v>
      </c>
      <c r="P28" s="54">
        <v>1.01</v>
      </c>
      <c r="Q28" s="54">
        <v>10.210000000000001</v>
      </c>
      <c r="R28" s="43"/>
      <c r="S28" s="43"/>
      <c r="T28" s="43"/>
      <c r="U28" s="43"/>
    </row>
    <row r="29" spans="1:21" s="11" customFormat="1" ht="15">
      <c r="A29" s="53" t="s">
        <v>634</v>
      </c>
      <c r="B29" s="54">
        <v>33.33</v>
      </c>
      <c r="C29" s="54">
        <v>66.78</v>
      </c>
      <c r="D29" s="54">
        <v>60.28</v>
      </c>
      <c r="E29" s="54">
        <v>1.62</v>
      </c>
      <c r="F29" s="54">
        <v>3.71</v>
      </c>
      <c r="G29" s="54">
        <v>105.72</v>
      </c>
      <c r="H29" s="54">
        <v>40.96</v>
      </c>
      <c r="I29" s="54">
        <v>5.05</v>
      </c>
      <c r="J29" s="54">
        <v>0.26</v>
      </c>
      <c r="K29" s="54">
        <v>353.57</v>
      </c>
      <c r="L29" s="54">
        <v>25.83</v>
      </c>
      <c r="M29" s="54">
        <v>65.47</v>
      </c>
      <c r="N29" s="54">
        <v>15.10</v>
      </c>
      <c r="O29" s="54">
        <v>0</v>
      </c>
      <c r="P29" s="54">
        <v>1.56</v>
      </c>
      <c r="Q29" s="54">
        <v>10.40</v>
      </c>
      <c r="R29" s="43"/>
      <c r="S29" s="43"/>
      <c r="T29" s="43"/>
      <c r="U29" s="43"/>
    </row>
    <row r="30" spans="1:21" s="11" customFormat="1" ht="15">
      <c r="A30" s="53" t="s">
        <v>635</v>
      </c>
      <c r="B30" s="54">
        <v>34.28</v>
      </c>
      <c r="C30" s="54">
        <v>63.77</v>
      </c>
      <c r="D30" s="54">
        <v>60.73</v>
      </c>
      <c r="E30" s="54">
        <v>1.34</v>
      </c>
      <c r="F30" s="54">
        <v>3.54</v>
      </c>
      <c r="G30" s="54">
        <v>105.72</v>
      </c>
      <c r="H30" s="54">
        <v>40.96</v>
      </c>
      <c r="I30" s="54">
        <v>5.04</v>
      </c>
      <c r="J30" s="54">
        <v>0.49</v>
      </c>
      <c r="K30" s="54">
        <v>215.73</v>
      </c>
      <c r="L30" s="54">
        <v>27.07</v>
      </c>
      <c r="M30" s="54">
        <v>48.62</v>
      </c>
      <c r="N30" s="54">
        <v>15</v>
      </c>
      <c r="O30" s="54">
        <v>0</v>
      </c>
      <c r="P30" s="54">
        <v>1.27</v>
      </c>
      <c r="Q30" s="54">
        <v>10.63</v>
      </c>
      <c r="R30" s="43"/>
      <c r="S30" s="43"/>
      <c r="T30" s="43"/>
      <c r="U30" s="43"/>
    </row>
    <row r="31" spans="1:21" s="11" customFormat="1" ht="15">
      <c r="A31" s="53" t="s">
        <v>636</v>
      </c>
      <c r="B31" s="54">
        <v>30.93</v>
      </c>
      <c r="C31" s="54">
        <v>60.79</v>
      </c>
      <c r="D31" s="54">
        <v>56.44</v>
      </c>
      <c r="E31" s="54">
        <v>1.35</v>
      </c>
      <c r="F31" s="54">
        <v>3.54</v>
      </c>
      <c r="G31" s="54">
        <v>91.90</v>
      </c>
      <c r="H31" s="54">
        <v>38.94</v>
      </c>
      <c r="I31" s="54">
        <v>5.03</v>
      </c>
      <c r="J31" s="54">
        <v>0.24</v>
      </c>
      <c r="K31" s="54">
        <v>319.62</v>
      </c>
      <c r="L31" s="54">
        <v>25.81</v>
      </c>
      <c r="M31" s="54">
        <v>65.38</v>
      </c>
      <c r="N31" s="54">
        <v>15.60</v>
      </c>
      <c r="O31" s="54">
        <v>0</v>
      </c>
      <c r="P31" s="54">
        <v>1.32</v>
      </c>
      <c r="Q31" s="54">
        <v>10.58</v>
      </c>
      <c r="R31" s="43"/>
      <c r="S31" s="43"/>
      <c r="T31" s="43"/>
      <c r="U31" s="43"/>
    </row>
    <row r="32" spans="1:21" s="11" customFormat="1" ht="15">
      <c r="A32" s="53" t="s">
        <v>637</v>
      </c>
      <c r="B32" s="54">
        <v>31.27</v>
      </c>
      <c r="C32" s="54">
        <v>62.07</v>
      </c>
      <c r="D32" s="54">
        <v>56.54</v>
      </c>
      <c r="E32" s="54">
        <v>2.61</v>
      </c>
      <c r="F32" s="54">
        <v>3.61</v>
      </c>
      <c r="G32" s="54">
        <v>87.90</v>
      </c>
      <c r="H32" s="54">
        <v>40.25</v>
      </c>
      <c r="I32" s="54">
        <v>5.01</v>
      </c>
      <c r="J32" s="54">
        <v>0.94</v>
      </c>
      <c r="K32" s="54">
        <v>190.25</v>
      </c>
      <c r="L32" s="54">
        <v>26.04</v>
      </c>
      <c r="M32" s="54">
        <v>60.97</v>
      </c>
      <c r="N32" s="54">
        <v>14.5</v>
      </c>
      <c r="O32" s="54">
        <v>0</v>
      </c>
      <c r="P32" s="54">
        <v>1.34</v>
      </c>
      <c r="Q32" s="54">
        <v>10.66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1.8600000000000001</v>
      </c>
      <c r="C34" s="28">
        <f t="shared" si="0"/>
        <v>52.039999999999999</v>
      </c>
      <c r="D34" s="28">
        <f t="shared" si="0"/>
        <v>29.5</v>
      </c>
      <c r="E34" s="28">
        <f t="shared" si="0"/>
        <v>0.5</v>
      </c>
      <c r="F34" s="28">
        <f t="shared" si="0"/>
        <v>3.1600000000000001</v>
      </c>
      <c r="G34" s="28">
        <f t="shared" si="0"/>
        <v>43.259999999999998</v>
      </c>
      <c r="H34" s="28">
        <f t="shared" si="0"/>
        <v>17.07</v>
      </c>
      <c r="I34" s="28">
        <f t="shared" si="0"/>
        <v>5</v>
      </c>
      <c r="J34" s="28">
        <f t="shared" si="0"/>
        <v>0.19</v>
      </c>
      <c r="K34" s="28">
        <f t="shared" si="0"/>
        <v>120.69</v>
      </c>
      <c r="L34" s="28">
        <f t="shared" si="0"/>
        <v>21.120000000000001</v>
      </c>
      <c r="M34" s="28">
        <f t="shared" si="0"/>
        <v>23.890000000000001</v>
      </c>
      <c r="N34" s="28">
        <f t="shared" si="0"/>
        <v>14.300000000000001</v>
      </c>
      <c r="O34" s="28">
        <f t="shared" si="0"/>
        <v>0</v>
      </c>
      <c r="P34" s="28">
        <f t="shared" si="0"/>
        <v>0.53000000000000003</v>
      </c>
      <c r="Q34" s="28">
        <f t="shared" si="0"/>
        <v>9.8699999999999992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71.129999999999995</v>
      </c>
      <c r="C35" s="29">
        <f t="shared" si="1"/>
        <v>69.719999999999999</v>
      </c>
      <c r="D35" s="29">
        <f t="shared" si="1"/>
        <v>89.099999999999994</v>
      </c>
      <c r="E35" s="29">
        <f t="shared" si="1"/>
        <v>3.1600000000000001</v>
      </c>
      <c r="F35" s="29">
        <f t="shared" si="1"/>
        <v>8.0299999999999994</v>
      </c>
      <c r="G35" s="29">
        <f t="shared" si="1"/>
        <v>122.77</v>
      </c>
      <c r="H35" s="29">
        <f t="shared" si="1"/>
        <v>55.369999999999997</v>
      </c>
      <c r="I35" s="29">
        <f t="shared" si="1"/>
        <v>5.0499999999999998</v>
      </c>
      <c r="J35" s="29">
        <f t="shared" si="1"/>
        <v>0.93999999999999995</v>
      </c>
      <c r="K35" s="29">
        <f t="shared" si="1"/>
        <v>355.04000000000002</v>
      </c>
      <c r="L35" s="29">
        <f t="shared" si="1"/>
        <v>36.07</v>
      </c>
      <c r="M35" s="29">
        <f t="shared" si="1"/>
        <v>73.200000000000003</v>
      </c>
      <c r="N35" s="29">
        <f t="shared" si="1"/>
        <v>868.20000000000005</v>
      </c>
      <c r="O35" s="29">
        <f t="shared" si="1"/>
        <v>0</v>
      </c>
      <c r="P35" s="29">
        <f t="shared" si="1"/>
        <v>1.5600000000000001</v>
      </c>
      <c r="Q35" s="29">
        <f t="shared" si="1"/>
        <v>11.390000000000001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28.955833333333331</v>
      </c>
      <c r="C36" s="28">
        <f t="shared" si="2"/>
        <v>59.019583333333337</v>
      </c>
      <c r="D36" s="28">
        <f t="shared" si="2"/>
        <v>53.484583333333326</v>
      </c>
      <c r="E36" s="28">
        <f t="shared" si="2"/>
        <v>1.8558333333333332</v>
      </c>
      <c r="F36" s="28">
        <f t="shared" si="2"/>
        <v>4.4787499999999998</v>
      </c>
      <c r="G36" s="28">
        <f t="shared" si="2"/>
        <v>81.796666666666667</v>
      </c>
      <c r="H36" s="28">
        <f t="shared" si="2"/>
        <v>35.745416666666671</v>
      </c>
      <c r="I36" s="28">
        <f t="shared" si="2"/>
        <v>5.029583333333334</v>
      </c>
      <c r="J36" s="28">
        <f t="shared" si="2"/>
        <v>0.40166666666666662</v>
      </c>
      <c r="K36" s="28">
        <f t="shared" si="2"/>
        <v>297.78166666666658</v>
      </c>
      <c r="L36" s="28">
        <f t="shared" si="2"/>
        <v>28.032916666666665</v>
      </c>
      <c r="M36" s="28">
        <f t="shared" si="2"/>
        <v>50.85125</v>
      </c>
      <c r="N36" s="28">
        <f t="shared" si="2"/>
        <v>259.62916666666672</v>
      </c>
      <c r="O36" s="28">
        <f t="shared" si="2"/>
        <v>0</v>
      </c>
      <c r="P36" s="28">
        <f t="shared" si="2"/>
        <v>0.9654166666666667</v>
      </c>
      <c r="Q36" s="28">
        <f t="shared" si="2"/>
        <v>10.516249999999999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21.354109046935346</v>
      </c>
      <c r="C37" s="28">
        <f t="shared" si="3" ref="C37:Q37">STDEV(C9:C32)</f>
        <v>5.5355369553511222</v>
      </c>
      <c r="D37" s="28">
        <f t="shared" si="3"/>
        <v>17.041467833076965</v>
      </c>
      <c r="E37" s="28">
        <f t="shared" si="3"/>
        <v>0.70057067834895714</v>
      </c>
      <c r="F37" s="28">
        <f t="shared" si="3"/>
        <v>1.6260657040578173</v>
      </c>
      <c r="G37" s="28">
        <f t="shared" si="3"/>
        <v>25.619863161340234</v>
      </c>
      <c r="H37" s="28">
        <f t="shared" si="3"/>
        <v>11.52981238927519</v>
      </c>
      <c r="I37" s="28">
        <f t="shared" si="3"/>
        <v>0.014288690166235293</v>
      </c>
      <c r="J37" s="28">
        <f t="shared" si="3"/>
        <v>0.18945382979287706</v>
      </c>
      <c r="K37" s="28">
        <f t="shared" si="3"/>
        <v>69.165618102755886</v>
      </c>
      <c r="L37" s="28">
        <f t="shared" si="3"/>
        <v>4.9378973514668516</v>
      </c>
      <c r="M37" s="28">
        <f t="shared" si="3"/>
        <v>15.903423561556224</v>
      </c>
      <c r="N37" s="28">
        <f t="shared" si="3"/>
        <v>324.65552242762419</v>
      </c>
      <c r="O37" s="28">
        <f t="shared" si="3"/>
        <v>0</v>
      </c>
      <c r="P37" s="28">
        <f t="shared" si="3"/>
        <v>0.30540036682684391</v>
      </c>
      <c r="Q37" s="28">
        <f t="shared" si="3"/>
        <v>0.44079781917711924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c03ffd-0542-4466-8dc4-3585e00f4698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638</v>
      </c>
      <c r="B9" s="54">
        <v>23.86</v>
      </c>
      <c r="C9" s="54">
        <v>62.75</v>
      </c>
      <c r="D9" s="54">
        <v>51.70</v>
      </c>
      <c r="E9" s="54">
        <v>2.80</v>
      </c>
      <c r="F9" s="54">
        <v>3.77</v>
      </c>
      <c r="G9" s="54">
        <v>95.81</v>
      </c>
      <c r="H9" s="54">
        <v>47.02</v>
      </c>
      <c r="I9" s="54">
        <v>5.01</v>
      </c>
      <c r="J9" s="54">
        <v>1.0900000000000001</v>
      </c>
      <c r="K9" s="54">
        <v>165.92</v>
      </c>
      <c r="L9" s="54">
        <v>25.81</v>
      </c>
      <c r="M9" s="54">
        <v>54.77</v>
      </c>
      <c r="N9" s="54">
        <v>14.80</v>
      </c>
      <c r="O9" s="54">
        <v>0</v>
      </c>
      <c r="P9" s="54">
        <v>1.43</v>
      </c>
      <c r="Q9" s="54">
        <v>10.44</v>
      </c>
      <c r="R9" s="43"/>
      <c r="S9" s="43"/>
      <c r="T9" s="43"/>
      <c r="U9" s="43"/>
    </row>
    <row r="10" spans="1:21" s="11" customFormat="1" ht="15">
      <c r="A10" s="53" t="s">
        <v>639</v>
      </c>
      <c r="B10" s="54">
        <v>16.84</v>
      </c>
      <c r="C10" s="54">
        <v>60.49</v>
      </c>
      <c r="D10" s="54">
        <v>45.02</v>
      </c>
      <c r="E10" s="54">
        <v>2.56</v>
      </c>
      <c r="F10" s="54">
        <v>3.70</v>
      </c>
      <c r="G10" s="54">
        <v>95.81</v>
      </c>
      <c r="H10" s="54">
        <v>47.73</v>
      </c>
      <c r="I10" s="54">
        <v>5.03</v>
      </c>
      <c r="J10" s="54">
        <v>0.68</v>
      </c>
      <c r="K10" s="54">
        <v>213.09</v>
      </c>
      <c r="L10" s="54">
        <v>25.08</v>
      </c>
      <c r="M10" s="54">
        <v>62.27</v>
      </c>
      <c r="N10" s="54">
        <v>15.30</v>
      </c>
      <c r="O10" s="54">
        <v>0</v>
      </c>
      <c r="P10" s="54">
        <v>1.40</v>
      </c>
      <c r="Q10" s="54">
        <v>10.38</v>
      </c>
      <c r="R10" s="43"/>
      <c r="S10" s="43"/>
      <c r="T10" s="43"/>
      <c r="U10" s="43"/>
    </row>
    <row r="11" spans="1:21" s="11" customFormat="1" ht="15">
      <c r="A11" s="53" t="s">
        <v>640</v>
      </c>
      <c r="B11" s="54">
        <v>14.94</v>
      </c>
      <c r="C11" s="54">
        <v>55.78</v>
      </c>
      <c r="D11" s="54">
        <v>41.04</v>
      </c>
      <c r="E11" s="54">
        <v>2.58</v>
      </c>
      <c r="F11" s="54">
        <v>3.63</v>
      </c>
      <c r="G11" s="54">
        <v>85.85</v>
      </c>
      <c r="H11" s="54">
        <v>47.73</v>
      </c>
      <c r="I11" s="54">
        <v>5.0199999999999996</v>
      </c>
      <c r="J11" s="54">
        <v>0.79</v>
      </c>
      <c r="K11" s="54">
        <v>314.35000000000002</v>
      </c>
      <c r="L11" s="54">
        <v>24.02</v>
      </c>
      <c r="M11" s="54">
        <v>63.94</v>
      </c>
      <c r="N11" s="54">
        <v>15.5</v>
      </c>
      <c r="O11" s="54">
        <v>0</v>
      </c>
      <c r="P11" s="54">
        <v>1.34</v>
      </c>
      <c r="Q11" s="54">
        <v>10.29</v>
      </c>
      <c r="R11" s="43"/>
      <c r="S11" s="43"/>
      <c r="T11" s="43"/>
      <c r="U11" s="43"/>
    </row>
    <row r="12" spans="1:21" s="11" customFormat="1" ht="15">
      <c r="A12" s="53" t="s">
        <v>641</v>
      </c>
      <c r="B12" s="54">
        <v>12.65</v>
      </c>
      <c r="C12" s="54">
        <v>52.21</v>
      </c>
      <c r="D12" s="54">
        <v>37.340000000000003</v>
      </c>
      <c r="E12" s="54">
        <v>2.5099999999999998</v>
      </c>
      <c r="F12" s="54">
        <v>3.59</v>
      </c>
      <c r="G12" s="54">
        <v>68.23</v>
      </c>
      <c r="H12" s="54">
        <v>39.97</v>
      </c>
      <c r="I12" s="54">
        <v>4.99</v>
      </c>
      <c r="J12" s="54">
        <v>0.18</v>
      </c>
      <c r="K12" s="54">
        <v>272.01</v>
      </c>
      <c r="L12" s="54">
        <v>23.17</v>
      </c>
      <c r="M12" s="54">
        <v>66.489999999999995</v>
      </c>
      <c r="N12" s="54">
        <v>15</v>
      </c>
      <c r="O12" s="54">
        <v>0</v>
      </c>
      <c r="P12" s="54">
        <v>1.27</v>
      </c>
      <c r="Q12" s="54">
        <v>10.25</v>
      </c>
      <c r="R12" s="43"/>
      <c r="S12" s="43"/>
      <c r="T12" s="43"/>
      <c r="U12" s="43"/>
    </row>
    <row r="13" spans="1:21" s="11" customFormat="1" ht="15">
      <c r="A13" s="53" t="s">
        <v>642</v>
      </c>
      <c r="B13" s="54">
        <v>10.130000000000001</v>
      </c>
      <c r="C13" s="54">
        <v>51.20</v>
      </c>
      <c r="D13" s="54">
        <v>34.799999999999997</v>
      </c>
      <c r="E13" s="54">
        <v>1.59</v>
      </c>
      <c r="F13" s="54">
        <v>3.51</v>
      </c>
      <c r="G13" s="54">
        <v>64.319999999999993</v>
      </c>
      <c r="H13" s="54">
        <v>32.33</v>
      </c>
      <c r="I13" s="54">
        <v>5.04</v>
      </c>
      <c r="J13" s="54">
        <v>0.20</v>
      </c>
      <c r="K13" s="54">
        <v>340.39</v>
      </c>
      <c r="L13" s="54">
        <v>22.71</v>
      </c>
      <c r="M13" s="54">
        <v>67.430000000000007</v>
      </c>
      <c r="N13" s="54">
        <v>15.20</v>
      </c>
      <c r="O13" s="54">
        <v>0</v>
      </c>
      <c r="P13" s="54">
        <v>1.1599999999999999</v>
      </c>
      <c r="Q13" s="54">
        <v>10.039999999999999</v>
      </c>
      <c r="R13" s="43"/>
      <c r="S13" s="43"/>
      <c r="T13" s="43"/>
      <c r="U13" s="43"/>
    </row>
    <row r="14" spans="1:21" s="11" customFormat="1" ht="15">
      <c r="A14" s="53" t="s">
        <v>643</v>
      </c>
      <c r="B14" s="54">
        <v>10.130000000000001</v>
      </c>
      <c r="C14" s="54">
        <v>51.27</v>
      </c>
      <c r="D14" s="54">
        <v>33.880000000000003</v>
      </c>
      <c r="E14" s="54">
        <v>1.57</v>
      </c>
      <c r="F14" s="54">
        <v>3.55</v>
      </c>
      <c r="G14" s="54">
        <v>60.28</v>
      </c>
      <c r="H14" s="54">
        <v>25.99</v>
      </c>
      <c r="I14" s="54">
        <v>5.05</v>
      </c>
      <c r="J14" s="54">
        <v>0.18</v>
      </c>
      <c r="K14" s="54">
        <v>310.80</v>
      </c>
      <c r="L14" s="54">
        <v>21.86</v>
      </c>
      <c r="M14" s="54">
        <v>77.89</v>
      </c>
      <c r="N14" s="54">
        <v>17.899999999999999</v>
      </c>
      <c r="O14" s="54">
        <v>0</v>
      </c>
      <c r="P14" s="54">
        <v>1.0900000000000001</v>
      </c>
      <c r="Q14" s="54">
        <v>10.07</v>
      </c>
      <c r="R14" s="43"/>
      <c r="S14" s="43"/>
      <c r="T14" s="43"/>
      <c r="U14" s="43"/>
    </row>
    <row r="15" spans="1:21" s="11" customFormat="1" ht="15">
      <c r="A15" s="53" t="s">
        <v>644</v>
      </c>
      <c r="B15" s="54">
        <v>11.91</v>
      </c>
      <c r="C15" s="54">
        <v>49.04</v>
      </c>
      <c r="D15" s="54">
        <v>34.979999999999997</v>
      </c>
      <c r="E15" s="54">
        <v>1.57</v>
      </c>
      <c r="F15" s="54">
        <v>3.57</v>
      </c>
      <c r="G15" s="54">
        <v>61.67</v>
      </c>
      <c r="H15" s="54">
        <v>31.58</v>
      </c>
      <c r="I15" s="54">
        <v>5.05</v>
      </c>
      <c r="J15" s="54">
        <v>0.42</v>
      </c>
      <c r="K15" s="54">
        <v>279.52999999999997</v>
      </c>
      <c r="L15" s="54">
        <v>23.33</v>
      </c>
      <c r="M15" s="54">
        <v>71.569999999999993</v>
      </c>
      <c r="N15" s="54">
        <v>102.90</v>
      </c>
      <c r="O15" s="54">
        <v>0</v>
      </c>
      <c r="P15" s="54">
        <v>1.06</v>
      </c>
      <c r="Q15" s="54">
        <v>10.18</v>
      </c>
      <c r="R15" s="43"/>
      <c r="S15" s="43"/>
      <c r="T15" s="43"/>
      <c r="U15" s="43"/>
    </row>
    <row r="16" spans="1:21" s="11" customFormat="1" ht="15">
      <c r="A16" s="53" t="s">
        <v>645</v>
      </c>
      <c r="B16" s="54">
        <v>12.23</v>
      </c>
      <c r="C16" s="54">
        <v>49.62</v>
      </c>
      <c r="D16" s="54">
        <v>35.049999999999997</v>
      </c>
      <c r="E16" s="54">
        <v>1.62</v>
      </c>
      <c r="F16" s="54">
        <v>3.46</v>
      </c>
      <c r="G16" s="54">
        <v>61.67</v>
      </c>
      <c r="H16" s="54">
        <v>31.63</v>
      </c>
      <c r="I16" s="54">
        <v>5.0599999999999996</v>
      </c>
      <c r="J16" s="54">
        <v>0.41</v>
      </c>
      <c r="K16" s="54">
        <v>265.39</v>
      </c>
      <c r="L16" s="54">
        <v>26.92</v>
      </c>
      <c r="M16" s="54">
        <v>62.75</v>
      </c>
      <c r="N16" s="54">
        <v>294.20</v>
      </c>
      <c r="O16" s="54">
        <v>0</v>
      </c>
      <c r="P16" s="54">
        <v>1.04</v>
      </c>
      <c r="Q16" s="54">
        <v>10.119999999999999</v>
      </c>
      <c r="R16" s="43"/>
      <c r="S16" s="43"/>
      <c r="T16" s="43"/>
      <c r="U16" s="43"/>
    </row>
    <row r="17" spans="1:21" s="11" customFormat="1" ht="15">
      <c r="A17" s="53" t="s">
        <v>646</v>
      </c>
      <c r="B17" s="54">
        <v>9.8800000000000008</v>
      </c>
      <c r="C17" s="54">
        <v>53.05</v>
      </c>
      <c r="D17" s="54">
        <v>34.270000000000003</v>
      </c>
      <c r="E17" s="54">
        <v>1.38</v>
      </c>
      <c r="F17" s="54">
        <v>3.82</v>
      </c>
      <c r="G17" s="54">
        <v>60.65</v>
      </c>
      <c r="H17" s="54">
        <v>32.549999999999997</v>
      </c>
      <c r="I17" s="54">
        <v>5.03</v>
      </c>
      <c r="J17" s="54">
        <v>0.25</v>
      </c>
      <c r="K17" s="54">
        <v>355.91</v>
      </c>
      <c r="L17" s="54">
        <v>29.79</v>
      </c>
      <c r="M17" s="54">
        <v>46.71</v>
      </c>
      <c r="N17" s="54">
        <v>377.40</v>
      </c>
      <c r="O17" s="54">
        <v>0</v>
      </c>
      <c r="P17" s="54">
        <v>1.03</v>
      </c>
      <c r="Q17" s="54">
        <v>10.199999999999999</v>
      </c>
      <c r="R17" s="43"/>
      <c r="S17" s="43"/>
      <c r="T17" s="43"/>
      <c r="U17" s="43"/>
    </row>
    <row r="18" spans="1:21" s="11" customFormat="1" ht="15">
      <c r="A18" s="53" t="s">
        <v>647</v>
      </c>
      <c r="B18" s="54">
        <v>5.23</v>
      </c>
      <c r="C18" s="54">
        <v>54.47</v>
      </c>
      <c r="D18" s="54">
        <v>32.119999999999997</v>
      </c>
      <c r="E18" s="54">
        <v>1.60</v>
      </c>
      <c r="F18" s="54">
        <v>5.92</v>
      </c>
      <c r="G18" s="54">
        <v>61.56</v>
      </c>
      <c r="H18" s="54">
        <v>32.549999999999997</v>
      </c>
      <c r="I18" s="54">
        <v>5.04</v>
      </c>
      <c r="J18" s="54">
        <v>0.35</v>
      </c>
      <c r="K18" s="54">
        <v>351.45</v>
      </c>
      <c r="L18" s="54">
        <v>30.89</v>
      </c>
      <c r="M18" s="54">
        <v>43.32</v>
      </c>
      <c r="N18" s="54">
        <v>621</v>
      </c>
      <c r="O18" s="54">
        <v>0</v>
      </c>
      <c r="P18" s="54">
        <v>0.99</v>
      </c>
      <c r="Q18" s="54">
        <v>10.07</v>
      </c>
      <c r="R18" s="43"/>
      <c r="S18" s="43"/>
      <c r="T18" s="43"/>
      <c r="U18" s="43"/>
    </row>
    <row r="19" spans="1:21" s="11" customFormat="1" ht="15">
      <c r="A19" s="53" t="s">
        <v>648</v>
      </c>
      <c r="B19" s="54">
        <v>1.94</v>
      </c>
      <c r="C19" s="54">
        <v>52.87</v>
      </c>
      <c r="D19" s="54">
        <v>29.10</v>
      </c>
      <c r="E19" s="54">
        <v>1.75</v>
      </c>
      <c r="F19" s="54">
        <v>8.65</v>
      </c>
      <c r="G19" s="54">
        <v>61.56</v>
      </c>
      <c r="H19" s="54">
        <v>32.380000000000003</v>
      </c>
      <c r="I19" s="54">
        <v>5.01</v>
      </c>
      <c r="J19" s="54">
        <v>0.18</v>
      </c>
      <c r="K19" s="54">
        <v>203.66</v>
      </c>
      <c r="L19" s="54">
        <v>31.40</v>
      </c>
      <c r="M19" s="54">
        <v>42.31</v>
      </c>
      <c r="N19" s="54">
        <v>800.20</v>
      </c>
      <c r="O19" s="54">
        <v>0</v>
      </c>
      <c r="P19" s="54">
        <v>0.84</v>
      </c>
      <c r="Q19" s="54">
        <v>10.02</v>
      </c>
      <c r="R19" s="43"/>
      <c r="S19" s="43"/>
      <c r="T19" s="43"/>
      <c r="U19" s="43"/>
    </row>
    <row r="20" spans="1:21" s="11" customFormat="1" ht="15">
      <c r="A20" s="53" t="s">
        <v>649</v>
      </c>
      <c r="B20" s="54">
        <v>1.63</v>
      </c>
      <c r="C20" s="54">
        <v>44.95</v>
      </c>
      <c r="D20" s="54">
        <v>24.71</v>
      </c>
      <c r="E20" s="54">
        <v>1.79</v>
      </c>
      <c r="F20" s="54">
        <v>8.8000000000000007</v>
      </c>
      <c r="G20" s="54">
        <v>56.90</v>
      </c>
      <c r="H20" s="54">
        <v>30.56</v>
      </c>
      <c r="I20" s="54">
        <v>5.0199999999999996</v>
      </c>
      <c r="J20" s="54">
        <v>0.55000000000000004</v>
      </c>
      <c r="K20" s="54">
        <v>352.21</v>
      </c>
      <c r="L20" s="54">
        <v>32.53</v>
      </c>
      <c r="M20" s="54">
        <v>38.58</v>
      </c>
      <c r="N20" s="54">
        <v>862.80</v>
      </c>
      <c r="O20" s="54">
        <v>0</v>
      </c>
      <c r="P20" s="54">
        <v>0.60</v>
      </c>
      <c r="Q20" s="54">
        <v>9.94</v>
      </c>
      <c r="R20" s="43"/>
      <c r="S20" s="43"/>
      <c r="T20" s="43"/>
      <c r="U20" s="43"/>
    </row>
    <row r="21" spans="1:21" s="11" customFormat="1" ht="15">
      <c r="A21" s="53" t="s">
        <v>650</v>
      </c>
      <c r="B21" s="54">
        <v>1.65</v>
      </c>
      <c r="C21" s="54">
        <v>43.44</v>
      </c>
      <c r="D21" s="54">
        <v>23.85</v>
      </c>
      <c r="E21" s="54">
        <v>1.95</v>
      </c>
      <c r="F21" s="54">
        <v>9.3000000000000007</v>
      </c>
      <c r="G21" s="54">
        <v>51.49</v>
      </c>
      <c r="H21" s="54">
        <v>27.86</v>
      </c>
      <c r="I21" s="54">
        <v>5.0199999999999996</v>
      </c>
      <c r="J21" s="54">
        <v>0.5</v>
      </c>
      <c r="K21" s="54">
        <v>216.67</v>
      </c>
      <c r="L21" s="54">
        <v>34.17</v>
      </c>
      <c r="M21" s="54">
        <v>37.56</v>
      </c>
      <c r="N21" s="54">
        <v>863.80</v>
      </c>
      <c r="O21" s="54">
        <v>0</v>
      </c>
      <c r="P21" s="54">
        <v>0.47</v>
      </c>
      <c r="Q21" s="54">
        <v>9.81</v>
      </c>
      <c r="R21" s="43"/>
      <c r="S21" s="43"/>
      <c r="T21" s="43"/>
      <c r="U21" s="43"/>
    </row>
    <row r="22" spans="1:21" s="11" customFormat="1" ht="15">
      <c r="A22" s="53" t="s">
        <v>651</v>
      </c>
      <c r="B22" s="54">
        <v>1.49</v>
      </c>
      <c r="C22" s="54">
        <v>43.11</v>
      </c>
      <c r="D22" s="54">
        <v>23.64</v>
      </c>
      <c r="E22" s="54">
        <v>2.75</v>
      </c>
      <c r="F22" s="54">
        <v>9.86</v>
      </c>
      <c r="G22" s="54">
        <v>43.69</v>
      </c>
      <c r="H22" s="54">
        <v>23.90</v>
      </c>
      <c r="I22" s="54">
        <v>5.03</v>
      </c>
      <c r="J22" s="54">
        <v>0.70</v>
      </c>
      <c r="K22" s="54">
        <v>312.64</v>
      </c>
      <c r="L22" s="54">
        <v>34.74</v>
      </c>
      <c r="M22" s="54">
        <v>31.59</v>
      </c>
      <c r="N22" s="54">
        <v>809.20</v>
      </c>
      <c r="O22" s="54">
        <v>0</v>
      </c>
      <c r="P22" s="54">
        <v>0.38</v>
      </c>
      <c r="Q22" s="54">
        <v>9.81</v>
      </c>
      <c r="R22" s="43"/>
      <c r="S22" s="43"/>
      <c r="T22" s="43"/>
      <c r="U22" s="43"/>
    </row>
    <row r="23" spans="1:21" s="11" customFormat="1" ht="15">
      <c r="A23" s="53" t="s">
        <v>652</v>
      </c>
      <c r="B23" s="54">
        <v>1.52</v>
      </c>
      <c r="C23" s="54">
        <v>42.32</v>
      </c>
      <c r="D23" s="54">
        <v>23.20</v>
      </c>
      <c r="E23" s="54">
        <v>2</v>
      </c>
      <c r="F23" s="54">
        <v>8.94</v>
      </c>
      <c r="G23" s="54">
        <v>39.57</v>
      </c>
      <c r="H23" s="54">
        <v>21.61</v>
      </c>
      <c r="I23" s="54">
        <v>5.0199999999999996</v>
      </c>
      <c r="J23" s="54">
        <v>0.65</v>
      </c>
      <c r="K23" s="54">
        <v>339.97</v>
      </c>
      <c r="L23" s="54">
        <v>35.96</v>
      </c>
      <c r="M23" s="54">
        <v>28.46</v>
      </c>
      <c r="N23" s="54">
        <v>645.10</v>
      </c>
      <c r="O23" s="54">
        <v>0</v>
      </c>
      <c r="P23" s="54">
        <v>0.34</v>
      </c>
      <c r="Q23" s="54">
        <v>9.68</v>
      </c>
      <c r="R23" s="43"/>
      <c r="S23" s="43"/>
      <c r="T23" s="43"/>
      <c r="U23" s="43"/>
    </row>
    <row r="24" spans="1:21" s="11" customFormat="1" ht="15">
      <c r="A24" s="53" t="s">
        <v>653</v>
      </c>
      <c r="B24" s="54">
        <v>1.52</v>
      </c>
      <c r="C24" s="54">
        <v>42.34</v>
      </c>
      <c r="D24" s="54">
        <v>23.21</v>
      </c>
      <c r="E24" s="54">
        <v>2</v>
      </c>
      <c r="F24" s="54">
        <v>10.09</v>
      </c>
      <c r="G24" s="54">
        <v>38.22</v>
      </c>
      <c r="H24" s="54">
        <v>19.82</v>
      </c>
      <c r="I24" s="54">
        <v>5.01</v>
      </c>
      <c r="J24" s="54">
        <v>0.43</v>
      </c>
      <c r="K24" s="54">
        <v>341</v>
      </c>
      <c r="L24" s="54">
        <v>34.42</v>
      </c>
      <c r="M24" s="54">
        <v>28.43</v>
      </c>
      <c r="N24" s="54">
        <v>346.90</v>
      </c>
      <c r="O24" s="54">
        <v>0</v>
      </c>
      <c r="P24" s="54">
        <v>0.30</v>
      </c>
      <c r="Q24" s="54">
        <v>9.7200000000000006</v>
      </c>
      <c r="R24" s="43"/>
      <c r="S24" s="43"/>
      <c r="T24" s="43"/>
      <c r="U24" s="43"/>
    </row>
    <row r="25" spans="1:21" s="11" customFormat="1" ht="15">
      <c r="A25" s="53" t="s">
        <v>654</v>
      </c>
      <c r="B25" s="54">
        <v>1.65</v>
      </c>
      <c r="C25" s="54">
        <v>47.64</v>
      </c>
      <c r="D25" s="54">
        <v>26.13</v>
      </c>
      <c r="E25" s="54">
        <v>2.08</v>
      </c>
      <c r="F25" s="54">
        <v>9.6199999999999992</v>
      </c>
      <c r="G25" s="54">
        <v>37.18</v>
      </c>
      <c r="H25" s="54">
        <v>18.350000000000001</v>
      </c>
      <c r="I25" s="54">
        <v>5.04</v>
      </c>
      <c r="J25" s="54">
        <v>0.15</v>
      </c>
      <c r="K25" s="54">
        <v>348.41</v>
      </c>
      <c r="L25" s="54">
        <v>33.68</v>
      </c>
      <c r="M25" s="54">
        <v>29</v>
      </c>
      <c r="N25" s="54">
        <v>219.30</v>
      </c>
      <c r="O25" s="54">
        <v>0</v>
      </c>
      <c r="P25" s="54">
        <v>0.27</v>
      </c>
      <c r="Q25" s="54">
        <v>9.77</v>
      </c>
      <c r="R25" s="43"/>
      <c r="S25" s="43"/>
      <c r="T25" s="43"/>
      <c r="U25" s="43"/>
    </row>
    <row r="26" spans="1:21" s="11" customFormat="1" ht="15">
      <c r="A26" s="53" t="s">
        <v>655</v>
      </c>
      <c r="B26" s="54">
        <v>1.84</v>
      </c>
      <c r="C26" s="54">
        <v>47.5</v>
      </c>
      <c r="D26" s="54">
        <v>26.21</v>
      </c>
      <c r="E26" s="54">
        <v>1.98</v>
      </c>
      <c r="F26" s="54">
        <v>7.55</v>
      </c>
      <c r="G26" s="54">
        <v>37.40</v>
      </c>
      <c r="H26" s="54">
        <v>16.66</v>
      </c>
      <c r="I26" s="54">
        <v>5.05</v>
      </c>
      <c r="J26" s="54">
        <v>0.25</v>
      </c>
      <c r="K26" s="54">
        <v>220.54</v>
      </c>
      <c r="L26" s="54">
        <v>32.58</v>
      </c>
      <c r="M26" s="54">
        <v>32.729999999999997</v>
      </c>
      <c r="N26" s="54">
        <v>86.40</v>
      </c>
      <c r="O26" s="54">
        <v>0</v>
      </c>
      <c r="P26" s="54">
        <v>0.28999999999999998</v>
      </c>
      <c r="Q26" s="54">
        <v>9.73</v>
      </c>
      <c r="R26" s="43"/>
      <c r="S26" s="43"/>
      <c r="T26" s="43"/>
      <c r="U26" s="43"/>
    </row>
    <row r="27" spans="1:21" s="11" customFormat="1" ht="15">
      <c r="A27" s="53" t="s">
        <v>656</v>
      </c>
      <c r="B27" s="54">
        <v>2.41</v>
      </c>
      <c r="C27" s="54">
        <v>48.83</v>
      </c>
      <c r="D27" s="54">
        <v>27.36</v>
      </c>
      <c r="E27" s="54">
        <v>1.82</v>
      </c>
      <c r="F27" s="54">
        <v>5.59</v>
      </c>
      <c r="G27" s="54">
        <v>41.69</v>
      </c>
      <c r="H27" s="54">
        <v>17.61</v>
      </c>
      <c r="I27" s="54">
        <v>5.04</v>
      </c>
      <c r="J27" s="54">
        <v>1.46</v>
      </c>
      <c r="K27" s="54">
        <v>104.09</v>
      </c>
      <c r="L27" s="54">
        <v>28.51</v>
      </c>
      <c r="M27" s="54">
        <v>52.27</v>
      </c>
      <c r="N27" s="54">
        <v>23.90</v>
      </c>
      <c r="O27" s="54">
        <v>0</v>
      </c>
      <c r="P27" s="54">
        <v>0.30</v>
      </c>
      <c r="Q27" s="54">
        <v>9.86</v>
      </c>
      <c r="R27" s="43"/>
      <c r="S27" s="43"/>
      <c r="T27" s="43"/>
      <c r="U27" s="43"/>
    </row>
    <row r="28" spans="1:21" s="11" customFormat="1" ht="15">
      <c r="A28" s="53" t="s">
        <v>657</v>
      </c>
      <c r="B28" s="54">
        <v>3.11</v>
      </c>
      <c r="C28" s="54">
        <v>50.06</v>
      </c>
      <c r="D28" s="54">
        <v>28.57</v>
      </c>
      <c r="E28" s="54">
        <v>1.96</v>
      </c>
      <c r="F28" s="54">
        <v>4.99</v>
      </c>
      <c r="G28" s="54">
        <v>42.58</v>
      </c>
      <c r="H28" s="54">
        <v>19.11</v>
      </c>
      <c r="I28" s="54">
        <v>5.03</v>
      </c>
      <c r="J28" s="54">
        <v>1.58</v>
      </c>
      <c r="K28" s="54">
        <v>105.06</v>
      </c>
      <c r="L28" s="54">
        <v>26.72</v>
      </c>
      <c r="M28" s="54">
        <v>51.88</v>
      </c>
      <c r="N28" s="54">
        <v>17.100000000000001</v>
      </c>
      <c r="O28" s="54">
        <v>0</v>
      </c>
      <c r="P28" s="54">
        <v>0.34</v>
      </c>
      <c r="Q28" s="54">
        <v>9.9600000000000009</v>
      </c>
      <c r="R28" s="43"/>
      <c r="S28" s="43"/>
      <c r="T28" s="43"/>
      <c r="U28" s="43"/>
    </row>
    <row r="29" spans="1:21" s="11" customFormat="1" ht="15">
      <c r="A29" s="53" t="s">
        <v>658</v>
      </c>
      <c r="B29" s="54">
        <v>4.3600000000000003</v>
      </c>
      <c r="C29" s="54">
        <v>50.42</v>
      </c>
      <c r="D29" s="54">
        <v>29.60</v>
      </c>
      <c r="E29" s="54">
        <v>1.88</v>
      </c>
      <c r="F29" s="54">
        <v>3.81</v>
      </c>
      <c r="G29" s="54">
        <v>42.58</v>
      </c>
      <c r="H29" s="54">
        <v>19.11</v>
      </c>
      <c r="I29" s="54">
        <v>5.0599999999999996</v>
      </c>
      <c r="J29" s="54">
        <v>1.06</v>
      </c>
      <c r="K29" s="54">
        <v>182.91</v>
      </c>
      <c r="L29" s="54">
        <v>26.69</v>
      </c>
      <c r="M29" s="54">
        <v>53.28</v>
      </c>
      <c r="N29" s="54">
        <v>17</v>
      </c>
      <c r="O29" s="54">
        <v>0</v>
      </c>
      <c r="P29" s="54">
        <v>0.34</v>
      </c>
      <c r="Q29" s="54">
        <v>10.029999999999999</v>
      </c>
      <c r="R29" s="43"/>
      <c r="S29" s="43"/>
      <c r="T29" s="43"/>
      <c r="U29" s="43"/>
    </row>
    <row r="30" spans="1:21" s="11" customFormat="1" ht="15">
      <c r="A30" s="53" t="s">
        <v>659</v>
      </c>
      <c r="B30" s="54">
        <v>4.45</v>
      </c>
      <c r="C30" s="54">
        <v>47.04</v>
      </c>
      <c r="D30" s="54">
        <v>28.06</v>
      </c>
      <c r="E30" s="54">
        <v>2.10</v>
      </c>
      <c r="F30" s="54">
        <v>4.38</v>
      </c>
      <c r="G30" s="54">
        <v>42.38</v>
      </c>
      <c r="H30" s="54">
        <v>19.48</v>
      </c>
      <c r="I30" s="54">
        <v>5.01</v>
      </c>
      <c r="J30" s="54">
        <v>0.42</v>
      </c>
      <c r="K30" s="54">
        <v>207.94</v>
      </c>
      <c r="L30" s="54">
        <v>25.83</v>
      </c>
      <c r="M30" s="54">
        <v>60.19</v>
      </c>
      <c r="N30" s="54">
        <v>17.20</v>
      </c>
      <c r="O30" s="54">
        <v>0</v>
      </c>
      <c r="P30" s="54">
        <v>0.34</v>
      </c>
      <c r="Q30" s="54">
        <v>10</v>
      </c>
      <c r="R30" s="43"/>
      <c r="S30" s="43"/>
      <c r="T30" s="43"/>
      <c r="U30" s="43"/>
    </row>
    <row r="31" spans="1:21" s="11" customFormat="1" ht="15">
      <c r="A31" s="53" t="s">
        <v>660</v>
      </c>
      <c r="B31" s="54">
        <v>3.27</v>
      </c>
      <c r="C31" s="54">
        <v>46.31</v>
      </c>
      <c r="D31" s="54">
        <v>26.70</v>
      </c>
      <c r="E31" s="54">
        <v>2.0099999999999998</v>
      </c>
      <c r="F31" s="54">
        <v>4.70</v>
      </c>
      <c r="G31" s="54">
        <v>39.369999999999997</v>
      </c>
      <c r="H31" s="54">
        <v>19.48</v>
      </c>
      <c r="I31" s="54">
        <v>5.03</v>
      </c>
      <c r="J31" s="54">
        <v>1.20</v>
      </c>
      <c r="K31" s="54">
        <v>339.52</v>
      </c>
      <c r="L31" s="54">
        <v>24.78</v>
      </c>
      <c r="M31" s="54">
        <v>61.14</v>
      </c>
      <c r="N31" s="54">
        <v>16.80</v>
      </c>
      <c r="O31" s="54">
        <v>0</v>
      </c>
      <c r="P31" s="54">
        <v>0.34</v>
      </c>
      <c r="Q31" s="54">
        <v>9.89</v>
      </c>
      <c r="R31" s="43"/>
      <c r="S31" s="43"/>
      <c r="T31" s="43"/>
      <c r="U31" s="43"/>
    </row>
    <row r="32" spans="1:21" s="11" customFormat="1" ht="15">
      <c r="A32" s="53" t="s">
        <v>661</v>
      </c>
      <c r="B32" s="54">
        <v>3.71</v>
      </c>
      <c r="C32" s="54">
        <v>47.41</v>
      </c>
      <c r="D32" s="54">
        <v>27.67</v>
      </c>
      <c r="E32" s="54">
        <v>1.76</v>
      </c>
      <c r="F32" s="54">
        <v>4.18</v>
      </c>
      <c r="G32" s="54">
        <v>38.35</v>
      </c>
      <c r="H32" s="54">
        <v>18.63</v>
      </c>
      <c r="I32" s="54">
        <v>5.03</v>
      </c>
      <c r="J32" s="54">
        <v>0.67</v>
      </c>
      <c r="K32" s="54">
        <v>161.35</v>
      </c>
      <c r="L32" s="54">
        <v>24.51</v>
      </c>
      <c r="M32" s="54">
        <v>65.5</v>
      </c>
      <c r="N32" s="54">
        <v>17.30</v>
      </c>
      <c r="O32" s="54">
        <v>0</v>
      </c>
      <c r="P32" s="54">
        <v>0.35</v>
      </c>
      <c r="Q32" s="54">
        <v>9.91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1.49</v>
      </c>
      <c r="C34" s="28">
        <f t="shared" si="0"/>
        <v>42.32</v>
      </c>
      <c r="D34" s="28">
        <f t="shared" si="0"/>
        <v>23.199999999999999</v>
      </c>
      <c r="E34" s="28">
        <f t="shared" si="0"/>
        <v>1.3799999999999999</v>
      </c>
      <c r="F34" s="28">
        <f t="shared" si="0"/>
        <v>3.46</v>
      </c>
      <c r="G34" s="28">
        <f t="shared" si="0"/>
        <v>37.18</v>
      </c>
      <c r="H34" s="28">
        <f t="shared" si="0"/>
        <v>16.66</v>
      </c>
      <c r="I34" s="28">
        <f t="shared" si="0"/>
        <v>4.9900000000000002</v>
      </c>
      <c r="J34" s="28">
        <f t="shared" si="0"/>
        <v>0.14999999999999999</v>
      </c>
      <c r="K34" s="28">
        <f t="shared" si="0"/>
        <v>104.09</v>
      </c>
      <c r="L34" s="28">
        <f t="shared" si="0"/>
        <v>21.859999999999999</v>
      </c>
      <c r="M34" s="28">
        <f t="shared" si="0"/>
        <v>28.43</v>
      </c>
      <c r="N34" s="28">
        <f t="shared" si="0"/>
        <v>14.800000000000001</v>
      </c>
      <c r="O34" s="28">
        <f t="shared" si="0"/>
        <v>0</v>
      </c>
      <c r="P34" s="28">
        <f t="shared" si="0"/>
        <v>0.27000000000000002</v>
      </c>
      <c r="Q34" s="28">
        <f t="shared" si="0"/>
        <v>9.6799999999999997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23.859999999999999</v>
      </c>
      <c r="C35" s="29">
        <f t="shared" si="1"/>
        <v>62.75</v>
      </c>
      <c r="D35" s="29">
        <f t="shared" si="1"/>
        <v>51.700000000000003</v>
      </c>
      <c r="E35" s="29">
        <f t="shared" si="1"/>
        <v>2.7999999999999998</v>
      </c>
      <c r="F35" s="29">
        <f t="shared" si="1"/>
        <v>10.09</v>
      </c>
      <c r="G35" s="29">
        <f t="shared" si="1"/>
        <v>95.810000000000002</v>
      </c>
      <c r="H35" s="29">
        <f t="shared" si="1"/>
        <v>47.729999999999997</v>
      </c>
      <c r="I35" s="29">
        <f t="shared" si="1"/>
        <v>5.0599999999999996</v>
      </c>
      <c r="J35" s="29">
        <f t="shared" si="1"/>
        <v>1.5800000000000001</v>
      </c>
      <c r="K35" s="29">
        <f t="shared" si="1"/>
        <v>355.91000000000003</v>
      </c>
      <c r="L35" s="29">
        <f t="shared" si="1"/>
        <v>35.960000000000001</v>
      </c>
      <c r="M35" s="29">
        <f t="shared" si="1"/>
        <v>77.890000000000001</v>
      </c>
      <c r="N35" s="29">
        <f t="shared" si="1"/>
        <v>863.79999999999995</v>
      </c>
      <c r="O35" s="29">
        <f t="shared" si="1"/>
        <v>0</v>
      </c>
      <c r="P35" s="29">
        <f t="shared" si="1"/>
        <v>1.4299999999999999</v>
      </c>
      <c r="Q35" s="29">
        <f t="shared" si="1"/>
        <v>10.44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6.7645833333333369</v>
      </c>
      <c r="C36" s="28">
        <f t="shared" si="2"/>
        <v>49.755000000000017</v>
      </c>
      <c r="D36" s="28">
        <f t="shared" si="2"/>
        <v>31.175416666666667</v>
      </c>
      <c r="E36" s="28">
        <f t="shared" si="2"/>
        <v>1.9837499999999997</v>
      </c>
      <c r="F36" s="28">
        <f t="shared" si="2"/>
        <v>5.7908333333333326</v>
      </c>
      <c r="G36" s="28">
        <f t="shared" si="2"/>
        <v>55.367083333333319</v>
      </c>
      <c r="H36" s="28">
        <f t="shared" si="2"/>
        <v>28.068333333333339</v>
      </c>
      <c r="I36" s="28">
        <f t="shared" si="2"/>
        <v>5.0300000000000002</v>
      </c>
      <c r="J36" s="28">
        <f t="shared" si="2"/>
        <v>0.59791666666666676</v>
      </c>
      <c r="K36" s="28">
        <f t="shared" si="2"/>
        <v>262.70041666666663</v>
      </c>
      <c r="L36" s="28">
        <f t="shared" si="2"/>
        <v>28.337500000000006</v>
      </c>
      <c r="M36" s="28">
        <f t="shared" si="2"/>
        <v>51.252500000000019</v>
      </c>
      <c r="N36" s="28">
        <f t="shared" si="2"/>
        <v>259.67500000000001</v>
      </c>
      <c r="O36" s="28">
        <f t="shared" si="2"/>
        <v>0</v>
      </c>
      <c r="P36" s="28">
        <f t="shared" si="2"/>
        <v>0.72125000000000006</v>
      </c>
      <c r="Q36" s="28">
        <f t="shared" si="2"/>
        <v>10.007083333333332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6.1160679178179738</v>
      </c>
      <c r="C37" s="28">
        <f t="shared" si="3" ref="C37:Q37">STDEV(C9:C32)</f>
        <v>5.2220860399552125</v>
      </c>
      <c r="D37" s="28">
        <f t="shared" si="3"/>
        <v>7.2478542426837098</v>
      </c>
      <c r="E37" s="28">
        <f t="shared" si="3"/>
        <v>0.39369832304090263</v>
      </c>
      <c r="F37" s="28">
        <f t="shared" si="3"/>
        <v>2.5116907810696274</v>
      </c>
      <c r="G37" s="28">
        <f t="shared" si="3"/>
        <v>17.734033229963526</v>
      </c>
      <c r="H37" s="28">
        <f t="shared" si="3"/>
        <v>9.8790215439924101</v>
      </c>
      <c r="I37" s="28">
        <f t="shared" si="3"/>
        <v>0.017445567519772921</v>
      </c>
      <c r="J37" s="28">
        <f t="shared" si="3"/>
        <v>0.41246848803658726</v>
      </c>
      <c r="K37" s="28">
        <f t="shared" si="3"/>
        <v>81.472292941896285</v>
      </c>
      <c r="L37" s="28">
        <f t="shared" si="3"/>
        <v>4.4440456010652492</v>
      </c>
      <c r="M37" s="28">
        <f t="shared" si="3"/>
        <v>15.045128129556804</v>
      </c>
      <c r="N37" s="28">
        <f t="shared" si="3"/>
        <v>322.22845831463445</v>
      </c>
      <c r="O37" s="28">
        <f t="shared" si="3"/>
        <v>0</v>
      </c>
      <c r="P37" s="28">
        <f t="shared" si="3"/>
        <v>0.42614870337864952</v>
      </c>
      <c r="Q37" s="28">
        <f t="shared" si="3"/>
        <v>0.20921133826341956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60a1f7-ac57-4fe2-b62d-d5013fc6dd35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1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2"/>
      <c r="B8" s="63" t="s">
        <v>22</v>
      </c>
      <c r="C8" s="63" t="s">
        <v>22</v>
      </c>
      <c r="D8" s="29" t="s">
        <v>61</v>
      </c>
      <c r="E8" s="63" t="s">
        <v>22</v>
      </c>
      <c r="F8" s="63" t="s">
        <v>22</v>
      </c>
      <c r="G8" s="63" t="s">
        <v>23</v>
      </c>
      <c r="H8" s="63" t="s">
        <v>22</v>
      </c>
      <c r="I8" s="63" t="s">
        <v>22</v>
      </c>
      <c r="J8" s="63" t="s">
        <v>24</v>
      </c>
      <c r="K8" s="63" t="s">
        <v>25</v>
      </c>
      <c r="L8" s="62" t="s">
        <v>27</v>
      </c>
      <c r="M8" s="63" t="s">
        <v>26</v>
      </c>
      <c r="N8" s="63" t="s">
        <v>28</v>
      </c>
      <c r="O8" s="62" t="s">
        <v>29</v>
      </c>
      <c r="P8" s="63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662</v>
      </c>
      <c r="B9" s="54">
        <v>5.13</v>
      </c>
      <c r="C9" s="54">
        <v>47.46</v>
      </c>
      <c r="D9" s="54">
        <v>28.83</v>
      </c>
      <c r="E9" s="54">
        <v>1.74</v>
      </c>
      <c r="F9" s="54">
        <v>3.76</v>
      </c>
      <c r="G9" s="54">
        <v>38.85</v>
      </c>
      <c r="H9" s="54">
        <v>19.46</v>
      </c>
      <c r="I9" s="54">
        <v>5.0199999999999996</v>
      </c>
      <c r="J9" s="54">
        <v>0.73</v>
      </c>
      <c r="K9" s="54">
        <v>94.87</v>
      </c>
      <c r="L9" s="54">
        <v>24.56</v>
      </c>
      <c r="M9" s="54">
        <v>65.23</v>
      </c>
      <c r="N9" s="54">
        <v>17</v>
      </c>
      <c r="O9" s="54">
        <v>0</v>
      </c>
      <c r="P9" s="54">
        <v>0.35</v>
      </c>
      <c r="Q9" s="54">
        <v>9.94</v>
      </c>
      <c r="R9" s="43"/>
      <c r="S9" s="43"/>
      <c r="T9" s="43"/>
      <c r="U9" s="43"/>
    </row>
    <row r="10" spans="1:21" s="11" customFormat="1" ht="15">
      <c r="A10" s="53" t="s">
        <v>663</v>
      </c>
      <c r="B10" s="54">
        <v>6.51</v>
      </c>
      <c r="C10" s="54">
        <v>47.11</v>
      </c>
      <c r="D10" s="54">
        <v>29.43</v>
      </c>
      <c r="E10" s="54">
        <v>1.88</v>
      </c>
      <c r="F10" s="54">
        <v>3.69</v>
      </c>
      <c r="G10" s="54">
        <v>55.36</v>
      </c>
      <c r="H10" s="54">
        <v>22.91</v>
      </c>
      <c r="I10" s="54">
        <v>5.01</v>
      </c>
      <c r="J10" s="54">
        <v>1.1299999999999999</v>
      </c>
      <c r="K10" s="54">
        <v>358.79</v>
      </c>
      <c r="L10" s="54">
        <v>23.60</v>
      </c>
      <c r="M10" s="54">
        <v>69.13</v>
      </c>
      <c r="N10" s="54">
        <v>17</v>
      </c>
      <c r="O10" s="54">
        <v>0</v>
      </c>
      <c r="P10" s="54">
        <v>0.5</v>
      </c>
      <c r="Q10" s="54">
        <v>9.99</v>
      </c>
      <c r="R10" s="43"/>
      <c r="S10" s="43"/>
      <c r="T10" s="43"/>
      <c r="U10" s="43"/>
    </row>
    <row r="11" spans="1:21" s="11" customFormat="1" ht="15">
      <c r="A11" s="53" t="s">
        <v>664</v>
      </c>
      <c r="B11" s="54">
        <v>6.34</v>
      </c>
      <c r="C11" s="54">
        <v>44.38</v>
      </c>
      <c r="D11" s="54">
        <v>27.96</v>
      </c>
      <c r="E11" s="54">
        <v>1.79</v>
      </c>
      <c r="F11" s="54">
        <v>3.68</v>
      </c>
      <c r="G11" s="54">
        <v>55.36</v>
      </c>
      <c r="H11" s="54">
        <v>22.91</v>
      </c>
      <c r="I11" s="54">
        <v>5.04</v>
      </c>
      <c r="J11" s="54">
        <v>1.1599999999999999</v>
      </c>
      <c r="K11" s="54">
        <v>284.39</v>
      </c>
      <c r="L11" s="54">
        <v>22.87</v>
      </c>
      <c r="M11" s="54">
        <v>77.56</v>
      </c>
      <c r="N11" s="54">
        <v>17.30</v>
      </c>
      <c r="O11" s="54">
        <v>0</v>
      </c>
      <c r="P11" s="54">
        <v>0.5</v>
      </c>
      <c r="Q11" s="54">
        <v>9.94</v>
      </c>
      <c r="R11" s="43"/>
      <c r="S11" s="43"/>
      <c r="T11" s="43"/>
      <c r="U11" s="43"/>
    </row>
    <row r="12" spans="1:21" s="11" customFormat="1" ht="15">
      <c r="A12" s="53" t="s">
        <v>665</v>
      </c>
      <c r="B12" s="54">
        <v>6.93</v>
      </c>
      <c r="C12" s="54">
        <v>44.62</v>
      </c>
      <c r="D12" s="54">
        <v>28.79</v>
      </c>
      <c r="E12" s="54">
        <v>1.68</v>
      </c>
      <c r="F12" s="54">
        <v>3.74</v>
      </c>
      <c r="G12" s="54">
        <v>49.52</v>
      </c>
      <c r="H12" s="54">
        <v>21.74</v>
      </c>
      <c r="I12" s="54">
        <v>5.07</v>
      </c>
      <c r="J12" s="54">
        <v>0.27</v>
      </c>
      <c r="K12" s="54">
        <v>303.14999999999998</v>
      </c>
      <c r="L12" s="54">
        <v>22.03</v>
      </c>
      <c r="M12" s="54">
        <v>79.47</v>
      </c>
      <c r="N12" s="54">
        <v>16.899999999999999</v>
      </c>
      <c r="O12" s="54">
        <v>0</v>
      </c>
      <c r="P12" s="54">
        <v>0.49</v>
      </c>
      <c r="Q12" s="54">
        <v>9.93</v>
      </c>
      <c r="R12" s="43"/>
      <c r="S12" s="43"/>
      <c r="T12" s="43"/>
      <c r="U12" s="43"/>
    </row>
    <row r="13" spans="1:21" s="11" customFormat="1" ht="15">
      <c r="A13" s="53" t="s">
        <v>666</v>
      </c>
      <c r="B13" s="54">
        <v>7.87</v>
      </c>
      <c r="C13" s="54">
        <v>45.90</v>
      </c>
      <c r="D13" s="54">
        <v>30.22</v>
      </c>
      <c r="E13" s="54">
        <v>1.18</v>
      </c>
      <c r="F13" s="54">
        <v>3.56</v>
      </c>
      <c r="G13" s="54">
        <v>50.88</v>
      </c>
      <c r="H13" s="54">
        <v>21.74</v>
      </c>
      <c r="I13" s="54">
        <v>5.08</v>
      </c>
      <c r="J13" s="54">
        <v>0.53</v>
      </c>
      <c r="K13" s="54">
        <v>217.54</v>
      </c>
      <c r="L13" s="54">
        <v>22.14</v>
      </c>
      <c r="M13" s="54">
        <v>80.75</v>
      </c>
      <c r="N13" s="54">
        <v>16.899999999999999</v>
      </c>
      <c r="O13" s="54">
        <v>0</v>
      </c>
      <c r="P13" s="54">
        <v>0.5</v>
      </c>
      <c r="Q13" s="54">
        <v>9.84</v>
      </c>
      <c r="R13" s="43"/>
      <c r="S13" s="43"/>
      <c r="T13" s="43"/>
      <c r="U13" s="43"/>
    </row>
    <row r="14" spans="1:21" s="11" customFormat="1" ht="15">
      <c r="A14" s="53" t="s">
        <v>667</v>
      </c>
      <c r="B14" s="54">
        <v>8.77</v>
      </c>
      <c r="C14" s="54">
        <v>46.13</v>
      </c>
      <c r="D14" s="54">
        <v>30.62</v>
      </c>
      <c r="E14" s="54">
        <v>1.39</v>
      </c>
      <c r="F14" s="54">
        <v>3.52</v>
      </c>
      <c r="G14" s="54">
        <v>50.88</v>
      </c>
      <c r="H14" s="54">
        <v>18.23</v>
      </c>
      <c r="I14" s="54">
        <v>5.07</v>
      </c>
      <c r="J14" s="54">
        <v>0.57999999999999996</v>
      </c>
      <c r="K14" s="54">
        <v>284.04000000000002</v>
      </c>
      <c r="L14" s="54">
        <v>21.48</v>
      </c>
      <c r="M14" s="54">
        <v>85.07</v>
      </c>
      <c r="N14" s="54">
        <v>19.80</v>
      </c>
      <c r="O14" s="54">
        <v>0</v>
      </c>
      <c r="P14" s="54">
        <v>0.49</v>
      </c>
      <c r="Q14" s="54">
        <v>10.01</v>
      </c>
      <c r="R14" s="43"/>
      <c r="S14" s="43"/>
      <c r="T14" s="43"/>
      <c r="U14" s="43"/>
    </row>
    <row r="15" spans="1:21" s="11" customFormat="1" ht="15">
      <c r="A15" s="53" t="s">
        <v>668</v>
      </c>
      <c r="B15" s="54">
        <v>11.08</v>
      </c>
      <c r="C15" s="54">
        <v>47.15</v>
      </c>
      <c r="D15" s="54">
        <v>32.56</v>
      </c>
      <c r="E15" s="54">
        <v>1.30</v>
      </c>
      <c r="F15" s="54">
        <v>3.51</v>
      </c>
      <c r="G15" s="54">
        <v>47.23</v>
      </c>
      <c r="H15" s="54">
        <v>19.79</v>
      </c>
      <c r="I15" s="54">
        <v>5.04</v>
      </c>
      <c r="J15" s="54">
        <v>0.48</v>
      </c>
      <c r="K15" s="54">
        <v>353.54</v>
      </c>
      <c r="L15" s="54">
        <v>23.66</v>
      </c>
      <c r="M15" s="54">
        <v>85.61</v>
      </c>
      <c r="N15" s="54">
        <v>108.70</v>
      </c>
      <c r="O15" s="54">
        <v>0</v>
      </c>
      <c r="P15" s="54">
        <v>0.52</v>
      </c>
      <c r="Q15" s="54">
        <v>9.99</v>
      </c>
      <c r="R15" s="43"/>
      <c r="S15" s="43"/>
      <c r="T15" s="43"/>
      <c r="U15" s="43"/>
    </row>
    <row r="16" spans="1:21" s="11" customFormat="1" ht="15">
      <c r="A16" s="53" t="s">
        <v>669</v>
      </c>
      <c r="B16" s="54">
        <v>11.86</v>
      </c>
      <c r="C16" s="54">
        <v>47.09</v>
      </c>
      <c r="D16" s="54">
        <v>34.03</v>
      </c>
      <c r="E16" s="54">
        <v>2.27</v>
      </c>
      <c r="F16" s="54">
        <v>3.42</v>
      </c>
      <c r="G16" s="54">
        <v>46.70</v>
      </c>
      <c r="H16" s="54">
        <v>22.30</v>
      </c>
      <c r="I16" s="54">
        <v>5.03</v>
      </c>
      <c r="J16" s="54">
        <v>0.5</v>
      </c>
      <c r="K16" s="54">
        <v>352.16</v>
      </c>
      <c r="L16" s="54">
        <v>29.65</v>
      </c>
      <c r="M16" s="54">
        <v>67.92</v>
      </c>
      <c r="N16" s="54">
        <v>315.70</v>
      </c>
      <c r="O16" s="54">
        <v>0</v>
      </c>
      <c r="P16" s="54">
        <v>0.56000000000000005</v>
      </c>
      <c r="Q16" s="54">
        <v>10.08</v>
      </c>
      <c r="R16" s="43"/>
      <c r="S16" s="43"/>
      <c r="T16" s="43"/>
      <c r="U16" s="43"/>
    </row>
    <row r="17" spans="1:21" s="11" customFormat="1" ht="15">
      <c r="A17" s="53" t="s">
        <v>670</v>
      </c>
      <c r="B17" s="54">
        <v>11.55</v>
      </c>
      <c r="C17" s="54">
        <v>50.94</v>
      </c>
      <c r="D17" s="54">
        <v>34.46</v>
      </c>
      <c r="E17" s="54">
        <v>2.52</v>
      </c>
      <c r="F17" s="54">
        <v>3.86</v>
      </c>
      <c r="G17" s="54">
        <v>51.73</v>
      </c>
      <c r="H17" s="54">
        <v>22.30</v>
      </c>
      <c r="I17" s="54">
        <v>5.03</v>
      </c>
      <c r="J17" s="54">
        <v>0.39</v>
      </c>
      <c r="K17" s="54">
        <v>339.87</v>
      </c>
      <c r="L17" s="54">
        <v>31.33</v>
      </c>
      <c r="M17" s="54">
        <v>47.08</v>
      </c>
      <c r="N17" s="54">
        <v>526.70000000000005</v>
      </c>
      <c r="O17" s="54">
        <v>0</v>
      </c>
      <c r="P17" s="54">
        <v>0.61</v>
      </c>
      <c r="Q17" s="54">
        <v>10.02</v>
      </c>
      <c r="R17" s="43"/>
      <c r="S17" s="43"/>
      <c r="T17" s="43"/>
      <c r="U17" s="43"/>
    </row>
    <row r="18" spans="1:21" s="11" customFormat="1" ht="15">
      <c r="A18" s="53" t="s">
        <v>671</v>
      </c>
      <c r="B18" s="54">
        <v>9.14</v>
      </c>
      <c r="C18" s="54">
        <v>51.05</v>
      </c>
      <c r="D18" s="54">
        <v>32.82</v>
      </c>
      <c r="E18" s="54">
        <v>2.21</v>
      </c>
      <c r="F18" s="54">
        <v>3.98</v>
      </c>
      <c r="G18" s="54">
        <v>51.73</v>
      </c>
      <c r="H18" s="54">
        <v>24.67</v>
      </c>
      <c r="I18" s="54">
        <v>5.0199999999999996</v>
      </c>
      <c r="J18" s="54">
        <v>0.69</v>
      </c>
      <c r="K18" s="54">
        <v>334.03</v>
      </c>
      <c r="L18" s="54">
        <v>32.26</v>
      </c>
      <c r="M18" s="54">
        <v>46</v>
      </c>
      <c r="N18" s="54">
        <v>708.70</v>
      </c>
      <c r="O18" s="54">
        <v>0</v>
      </c>
      <c r="P18" s="54">
        <v>0.61</v>
      </c>
      <c r="Q18" s="54">
        <v>10</v>
      </c>
      <c r="R18" s="43"/>
      <c r="S18" s="43"/>
      <c r="T18" s="43"/>
      <c r="U18" s="43"/>
    </row>
    <row r="19" spans="1:21" s="11" customFormat="1" ht="15">
      <c r="A19" s="53" t="s">
        <v>672</v>
      </c>
      <c r="B19" s="54">
        <v>7.01</v>
      </c>
      <c r="C19" s="54">
        <v>51.56</v>
      </c>
      <c r="D19" s="54">
        <v>32.39</v>
      </c>
      <c r="E19" s="54">
        <v>2.13</v>
      </c>
      <c r="F19" s="54">
        <v>4.41</v>
      </c>
      <c r="G19" s="54">
        <v>51.66</v>
      </c>
      <c r="H19" s="54">
        <v>24.67</v>
      </c>
      <c r="I19" s="54">
        <v>5.04</v>
      </c>
      <c r="J19" s="54">
        <v>0.84</v>
      </c>
      <c r="K19" s="54">
        <v>341.91</v>
      </c>
      <c r="L19" s="54">
        <v>34.99</v>
      </c>
      <c r="M19" s="54">
        <v>38.729999999999997</v>
      </c>
      <c r="N19" s="54">
        <v>821.60</v>
      </c>
      <c r="O19" s="54">
        <v>0</v>
      </c>
      <c r="P19" s="54">
        <v>0.61</v>
      </c>
      <c r="Q19" s="54">
        <v>9.9499999999999993</v>
      </c>
      <c r="R19" s="43"/>
      <c r="S19" s="43"/>
      <c r="T19" s="43"/>
      <c r="U19" s="43"/>
    </row>
    <row r="20" spans="1:21" s="11" customFormat="1" ht="15">
      <c r="A20" s="53" t="s">
        <v>673</v>
      </c>
      <c r="B20" s="54">
        <v>4.57</v>
      </c>
      <c r="C20" s="54">
        <v>51.40</v>
      </c>
      <c r="D20" s="54">
        <v>30.44</v>
      </c>
      <c r="E20" s="54">
        <v>2.54</v>
      </c>
      <c r="F20" s="54">
        <v>5.81</v>
      </c>
      <c r="G20" s="54">
        <v>51</v>
      </c>
      <c r="H20" s="54">
        <v>26.11</v>
      </c>
      <c r="I20" s="54">
        <v>5</v>
      </c>
      <c r="J20" s="54">
        <v>0.92</v>
      </c>
      <c r="K20" s="54">
        <v>339.38</v>
      </c>
      <c r="L20" s="54">
        <v>35.979999999999997</v>
      </c>
      <c r="M20" s="54">
        <v>30.36</v>
      </c>
      <c r="N20" s="54">
        <v>853.30</v>
      </c>
      <c r="O20" s="54">
        <v>0</v>
      </c>
      <c r="P20" s="54">
        <v>0.67</v>
      </c>
      <c r="Q20" s="54">
        <v>9.84</v>
      </c>
      <c r="R20" s="43"/>
      <c r="S20" s="43"/>
      <c r="T20" s="43"/>
      <c r="U20" s="43"/>
    </row>
    <row r="21" spans="1:21" s="11" customFormat="1" ht="15">
      <c r="A21" s="53" t="s">
        <v>674</v>
      </c>
      <c r="B21" s="54">
        <v>2.25</v>
      </c>
      <c r="C21" s="54">
        <v>50.21</v>
      </c>
      <c r="D21" s="54">
        <v>27.74</v>
      </c>
      <c r="E21" s="54">
        <v>1.58</v>
      </c>
      <c r="F21" s="54">
        <v>7.18</v>
      </c>
      <c r="G21" s="54">
        <v>52.85</v>
      </c>
      <c r="H21" s="54">
        <v>26.11</v>
      </c>
      <c r="I21" s="54">
        <v>5.01</v>
      </c>
      <c r="J21" s="54">
        <v>0.87</v>
      </c>
      <c r="K21" s="54">
        <v>334.35</v>
      </c>
      <c r="L21" s="54">
        <v>37.049999999999997</v>
      </c>
      <c r="M21" s="54">
        <v>28.23</v>
      </c>
      <c r="N21" s="54">
        <v>849.80</v>
      </c>
      <c r="O21" s="54">
        <v>0</v>
      </c>
      <c r="P21" s="54">
        <v>0.74</v>
      </c>
      <c r="Q21" s="54">
        <v>9.84</v>
      </c>
      <c r="R21" s="43"/>
      <c r="S21" s="43"/>
      <c r="T21" s="43"/>
      <c r="U21" s="43"/>
    </row>
    <row r="22" spans="1:21" s="11" customFormat="1" ht="15">
      <c r="A22" s="53" t="s">
        <v>675</v>
      </c>
      <c r="B22" s="54">
        <v>1.87</v>
      </c>
      <c r="C22" s="54">
        <v>51.06</v>
      </c>
      <c r="D22" s="54">
        <v>28.09</v>
      </c>
      <c r="E22" s="54">
        <v>1.83</v>
      </c>
      <c r="F22" s="54">
        <v>7.39</v>
      </c>
      <c r="G22" s="54">
        <v>52.85</v>
      </c>
      <c r="H22" s="54">
        <v>25.46</v>
      </c>
      <c r="I22" s="54">
        <v>5.03</v>
      </c>
      <c r="J22" s="54">
        <v>0.43</v>
      </c>
      <c r="K22" s="54">
        <v>358.5</v>
      </c>
      <c r="L22" s="54">
        <v>36.40</v>
      </c>
      <c r="M22" s="54">
        <v>27.98</v>
      </c>
      <c r="N22" s="54">
        <v>780.60</v>
      </c>
      <c r="O22" s="54">
        <v>0</v>
      </c>
      <c r="P22" s="54">
        <v>0.76</v>
      </c>
      <c r="Q22" s="54">
        <v>9.81</v>
      </c>
      <c r="R22" s="43"/>
      <c r="S22" s="43"/>
      <c r="T22" s="43"/>
      <c r="U22" s="43"/>
    </row>
    <row r="23" spans="1:21" s="11" customFormat="1" ht="15">
      <c r="A23" s="53" t="s">
        <v>676</v>
      </c>
      <c r="B23" s="54">
        <v>2.0099999999999998</v>
      </c>
      <c r="C23" s="54">
        <v>49.95</v>
      </c>
      <c r="D23" s="54">
        <v>27.45</v>
      </c>
      <c r="E23" s="54">
        <v>1.49</v>
      </c>
      <c r="F23" s="54">
        <v>7.88</v>
      </c>
      <c r="G23" s="54">
        <v>51.77</v>
      </c>
      <c r="H23" s="54">
        <v>25.46</v>
      </c>
      <c r="I23" s="54">
        <v>5.01</v>
      </c>
      <c r="J23" s="54">
        <v>0.40</v>
      </c>
      <c r="K23" s="54">
        <v>315.23</v>
      </c>
      <c r="L23" s="54">
        <v>34.92</v>
      </c>
      <c r="M23" s="54">
        <v>28.16</v>
      </c>
      <c r="N23" s="54">
        <v>650.90</v>
      </c>
      <c r="O23" s="54">
        <v>0</v>
      </c>
      <c r="P23" s="54">
        <v>0.75</v>
      </c>
      <c r="Q23" s="54">
        <v>9.81</v>
      </c>
      <c r="R23" s="43"/>
      <c r="S23" s="43"/>
      <c r="T23" s="43"/>
      <c r="U23" s="43"/>
    </row>
    <row r="24" spans="1:21" s="11" customFormat="1" ht="15">
      <c r="A24" s="53" t="s">
        <v>677</v>
      </c>
      <c r="B24" s="54">
        <v>1.87</v>
      </c>
      <c r="C24" s="54">
        <v>58.73</v>
      </c>
      <c r="D24" s="54">
        <v>32.10</v>
      </c>
      <c r="E24" s="54">
        <v>2.09</v>
      </c>
      <c r="F24" s="54">
        <v>7.99</v>
      </c>
      <c r="G24" s="54">
        <v>50.86</v>
      </c>
      <c r="H24" s="54">
        <v>25.21</v>
      </c>
      <c r="I24" s="54">
        <v>5.0199999999999996</v>
      </c>
      <c r="J24" s="54">
        <v>0.46</v>
      </c>
      <c r="K24" s="54">
        <v>341.09</v>
      </c>
      <c r="L24" s="54">
        <v>33.76</v>
      </c>
      <c r="M24" s="54">
        <v>29.85</v>
      </c>
      <c r="N24" s="54">
        <v>326.70</v>
      </c>
      <c r="O24" s="54">
        <v>0</v>
      </c>
      <c r="P24" s="54">
        <v>0.70</v>
      </c>
      <c r="Q24" s="54">
        <v>9.91</v>
      </c>
      <c r="R24" s="43"/>
      <c r="S24" s="43"/>
      <c r="T24" s="43"/>
      <c r="U24" s="43"/>
    </row>
    <row r="25" spans="1:21" s="11" customFormat="1" ht="15">
      <c r="A25" s="53" t="s">
        <v>678</v>
      </c>
      <c r="B25" s="54">
        <v>2.2799999999999998</v>
      </c>
      <c r="C25" s="54">
        <v>60.78</v>
      </c>
      <c r="D25" s="54">
        <v>33.51</v>
      </c>
      <c r="E25" s="54">
        <v>2.96</v>
      </c>
      <c r="F25" s="54">
        <v>6.77</v>
      </c>
      <c r="G25" s="54">
        <v>48.28</v>
      </c>
      <c r="H25" s="54">
        <v>21.71</v>
      </c>
      <c r="I25" s="54">
        <v>5.04</v>
      </c>
      <c r="J25" s="54">
        <v>0.91</v>
      </c>
      <c r="K25" s="54">
        <v>354.76</v>
      </c>
      <c r="L25" s="54">
        <v>33.619999999999997</v>
      </c>
      <c r="M25" s="54">
        <v>30.93</v>
      </c>
      <c r="N25" s="54">
        <v>146.5</v>
      </c>
      <c r="O25" s="54">
        <v>0</v>
      </c>
      <c r="P25" s="54">
        <v>0.70</v>
      </c>
      <c r="Q25" s="54">
        <v>9.98</v>
      </c>
      <c r="R25" s="43"/>
      <c r="S25" s="43"/>
      <c r="T25" s="43"/>
      <c r="U25" s="43"/>
    </row>
    <row r="26" spans="1:21" s="11" customFormat="1" ht="15">
      <c r="A26" s="53" t="s">
        <v>679</v>
      </c>
      <c r="B26" s="54">
        <v>2.91</v>
      </c>
      <c r="C26" s="54">
        <v>65.03</v>
      </c>
      <c r="D26" s="54">
        <v>36.22</v>
      </c>
      <c r="E26" s="54">
        <v>2.56</v>
      </c>
      <c r="F26" s="54">
        <v>5.54</v>
      </c>
      <c r="G26" s="54">
        <v>48.28</v>
      </c>
      <c r="H26" s="54">
        <v>21.07</v>
      </c>
      <c r="I26" s="54">
        <v>5.03</v>
      </c>
      <c r="J26" s="54">
        <v>0.46</v>
      </c>
      <c r="K26" s="54">
        <v>358.05</v>
      </c>
      <c r="L26" s="54">
        <v>31.57</v>
      </c>
      <c r="M26" s="54">
        <v>43.30</v>
      </c>
      <c r="N26" s="54">
        <v>77.80</v>
      </c>
      <c r="O26" s="54">
        <v>0</v>
      </c>
      <c r="P26" s="54">
        <v>0.75</v>
      </c>
      <c r="Q26" s="54">
        <v>10.08</v>
      </c>
      <c r="R26" s="43"/>
      <c r="S26" s="43"/>
      <c r="T26" s="43"/>
      <c r="U26" s="43"/>
    </row>
    <row r="27" spans="1:21" s="11" customFormat="1" ht="15">
      <c r="A27" s="53" t="s">
        <v>680</v>
      </c>
      <c r="B27" s="54">
        <v>3.71</v>
      </c>
      <c r="C27" s="54">
        <v>60.28</v>
      </c>
      <c r="D27" s="54">
        <v>33.71</v>
      </c>
      <c r="E27" s="54">
        <v>2.89</v>
      </c>
      <c r="F27" s="54">
        <v>4.4800000000000004</v>
      </c>
      <c r="G27" s="54">
        <v>48.47</v>
      </c>
      <c r="H27" s="54">
        <v>21.07</v>
      </c>
      <c r="I27" s="54">
        <v>5.03</v>
      </c>
      <c r="J27" s="54">
        <v>0.31</v>
      </c>
      <c r="K27" s="54">
        <v>60.36</v>
      </c>
      <c r="L27" s="54">
        <v>28.48</v>
      </c>
      <c r="M27" s="54">
        <v>44.25</v>
      </c>
      <c r="N27" s="54">
        <v>26</v>
      </c>
      <c r="O27" s="54">
        <v>0</v>
      </c>
      <c r="P27" s="54">
        <v>0.80</v>
      </c>
      <c r="Q27" s="54">
        <v>9.9700000000000006</v>
      </c>
      <c r="R27" s="43"/>
      <c r="S27" s="43"/>
      <c r="T27" s="43"/>
      <c r="U27" s="43"/>
    </row>
    <row r="28" spans="1:21" s="11" customFormat="1" ht="15">
      <c r="A28" s="53" t="s">
        <v>681</v>
      </c>
      <c r="B28" s="54">
        <v>4.6399999999999997</v>
      </c>
      <c r="C28" s="54">
        <v>58.64</v>
      </c>
      <c r="D28" s="54">
        <v>34.28</v>
      </c>
      <c r="E28" s="54">
        <v>2.5299999999999998</v>
      </c>
      <c r="F28" s="54">
        <v>3.90</v>
      </c>
      <c r="G28" s="54">
        <v>56.29</v>
      </c>
      <c r="H28" s="54">
        <v>23.74</v>
      </c>
      <c r="I28" s="54">
        <v>5.04</v>
      </c>
      <c r="J28" s="54">
        <v>0.60</v>
      </c>
      <c r="K28" s="54">
        <v>83.76</v>
      </c>
      <c r="L28" s="54">
        <v>28.29</v>
      </c>
      <c r="M28" s="54">
        <v>41.33</v>
      </c>
      <c r="N28" s="54">
        <v>23.20</v>
      </c>
      <c r="O28" s="54">
        <v>0</v>
      </c>
      <c r="P28" s="54">
        <v>0.76</v>
      </c>
      <c r="Q28" s="54">
        <v>10.039999999999999</v>
      </c>
      <c r="R28" s="43"/>
      <c r="S28" s="43"/>
      <c r="T28" s="43"/>
      <c r="U28" s="43"/>
    </row>
    <row r="29" spans="1:21" s="11" customFormat="1" ht="15">
      <c r="A29" s="53" t="s">
        <v>682</v>
      </c>
      <c r="B29" s="54">
        <v>4.6399999999999997</v>
      </c>
      <c r="C29" s="54">
        <v>57.97</v>
      </c>
      <c r="D29" s="54">
        <v>33.93</v>
      </c>
      <c r="E29" s="54">
        <v>1.20</v>
      </c>
      <c r="F29" s="54">
        <v>4.59</v>
      </c>
      <c r="G29" s="54">
        <v>56.29</v>
      </c>
      <c r="H29" s="54">
        <v>24.83</v>
      </c>
      <c r="I29" s="54">
        <v>5.03</v>
      </c>
      <c r="J29" s="54">
        <v>0.45</v>
      </c>
      <c r="K29" s="54">
        <v>91.49</v>
      </c>
      <c r="L29" s="54">
        <v>27.67</v>
      </c>
      <c r="M29" s="54">
        <v>44.72</v>
      </c>
      <c r="N29" s="54">
        <v>23.90</v>
      </c>
      <c r="O29" s="54">
        <v>0</v>
      </c>
      <c r="P29" s="54">
        <v>0.74</v>
      </c>
      <c r="Q29" s="54">
        <v>10.029999999999999</v>
      </c>
      <c r="R29" s="43"/>
      <c r="S29" s="43"/>
      <c r="T29" s="43"/>
      <c r="U29" s="43"/>
    </row>
    <row r="30" spans="1:21" s="11" customFormat="1" ht="15">
      <c r="A30" s="53" t="s">
        <v>683</v>
      </c>
      <c r="B30" s="54">
        <v>9.40</v>
      </c>
      <c r="C30" s="54">
        <v>62.53</v>
      </c>
      <c r="D30" s="54">
        <v>40.130000000000003</v>
      </c>
      <c r="E30" s="54">
        <v>1.25</v>
      </c>
      <c r="F30" s="54">
        <v>4.25</v>
      </c>
      <c r="G30" s="54">
        <v>59.93</v>
      </c>
      <c r="H30" s="54">
        <v>27.38</v>
      </c>
      <c r="I30" s="54">
        <v>5.04</v>
      </c>
      <c r="J30" s="54">
        <v>0.22</v>
      </c>
      <c r="K30" s="54">
        <v>359.34</v>
      </c>
      <c r="L30" s="54">
        <v>26.49</v>
      </c>
      <c r="M30" s="54">
        <v>51.10</v>
      </c>
      <c r="N30" s="54">
        <v>23.80</v>
      </c>
      <c r="O30" s="54">
        <v>0</v>
      </c>
      <c r="P30" s="54">
        <v>0.89</v>
      </c>
      <c r="Q30" s="54">
        <v>10</v>
      </c>
      <c r="R30" s="43"/>
      <c r="S30" s="43"/>
      <c r="T30" s="43"/>
      <c r="U30" s="43"/>
    </row>
    <row r="31" spans="1:21" s="11" customFormat="1" ht="15">
      <c r="A31" s="53" t="s">
        <v>684</v>
      </c>
      <c r="B31" s="54">
        <v>13.44</v>
      </c>
      <c r="C31" s="54">
        <v>65.20</v>
      </c>
      <c r="D31" s="54">
        <v>44.76</v>
      </c>
      <c r="E31" s="54">
        <v>1.25</v>
      </c>
      <c r="F31" s="54">
        <v>3.51</v>
      </c>
      <c r="G31" s="54">
        <v>64.540000000000006</v>
      </c>
      <c r="H31" s="54">
        <v>29.15</v>
      </c>
      <c r="I31" s="54">
        <v>5.03</v>
      </c>
      <c r="J31" s="54">
        <v>0.38</v>
      </c>
      <c r="K31" s="54">
        <v>192.88</v>
      </c>
      <c r="L31" s="54">
        <v>26.61</v>
      </c>
      <c r="M31" s="54">
        <v>49.38</v>
      </c>
      <c r="N31" s="54">
        <v>23.60</v>
      </c>
      <c r="O31" s="54">
        <v>0</v>
      </c>
      <c r="P31" s="54">
        <v>0.94</v>
      </c>
      <c r="Q31" s="54">
        <v>10.14</v>
      </c>
      <c r="R31" s="43"/>
      <c r="S31" s="43"/>
      <c r="T31" s="43"/>
      <c r="U31" s="43"/>
    </row>
    <row r="32" spans="1:21" s="11" customFormat="1" ht="15">
      <c r="A32" s="53" t="s">
        <v>685</v>
      </c>
      <c r="B32" s="54">
        <v>14.28</v>
      </c>
      <c r="C32" s="54">
        <v>60.82</v>
      </c>
      <c r="D32" s="54">
        <v>42.63</v>
      </c>
      <c r="E32" s="54">
        <v>1.77</v>
      </c>
      <c r="F32" s="54">
        <v>3.47</v>
      </c>
      <c r="G32" s="54">
        <v>67.88</v>
      </c>
      <c r="H32" s="54">
        <v>29.15</v>
      </c>
      <c r="I32" s="54">
        <v>5.0199999999999996</v>
      </c>
      <c r="J32" s="54">
        <v>0.38</v>
      </c>
      <c r="K32" s="54">
        <v>356.14</v>
      </c>
      <c r="L32" s="54">
        <v>25.87</v>
      </c>
      <c r="M32" s="54">
        <v>59.47</v>
      </c>
      <c r="N32" s="54">
        <v>24.20</v>
      </c>
      <c r="O32" s="54">
        <v>0</v>
      </c>
      <c r="P32" s="54">
        <v>0.91</v>
      </c>
      <c r="Q32" s="54">
        <v>10.18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1.8700000000000001</v>
      </c>
      <c r="C34" s="28">
        <f t="shared" si="0"/>
        <v>44.380000000000003</v>
      </c>
      <c r="D34" s="28">
        <f t="shared" si="0"/>
        <v>27.449999999999999</v>
      </c>
      <c r="E34" s="28">
        <f t="shared" si="0"/>
        <v>1.1799999999999999</v>
      </c>
      <c r="F34" s="28">
        <f t="shared" si="0"/>
        <v>3.4199999999999999</v>
      </c>
      <c r="G34" s="28">
        <f t="shared" si="0"/>
        <v>38.850000000000001</v>
      </c>
      <c r="H34" s="28">
        <f t="shared" si="0"/>
        <v>18.23</v>
      </c>
      <c r="I34" s="28">
        <f t="shared" si="0"/>
        <v>5</v>
      </c>
      <c r="J34" s="28">
        <f t="shared" si="0"/>
        <v>0.22</v>
      </c>
      <c r="K34" s="28">
        <f t="shared" si="0"/>
        <v>60.359999999999999</v>
      </c>
      <c r="L34" s="28">
        <f t="shared" si="0"/>
        <v>21.48</v>
      </c>
      <c r="M34" s="28">
        <f t="shared" si="0"/>
        <v>27.98</v>
      </c>
      <c r="N34" s="28">
        <f t="shared" si="0"/>
        <v>16.899999999999999</v>
      </c>
      <c r="O34" s="28">
        <f t="shared" si="0"/>
        <v>0</v>
      </c>
      <c r="P34" s="28">
        <f t="shared" si="0"/>
        <v>0.34999999999999998</v>
      </c>
      <c r="Q34" s="28">
        <f t="shared" si="0"/>
        <v>9.8100000000000005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14.279999999999999</v>
      </c>
      <c r="C35" s="29">
        <f t="shared" si="1"/>
        <v>65.200000000000003</v>
      </c>
      <c r="D35" s="29">
        <f t="shared" si="1"/>
        <v>44.759999999999998</v>
      </c>
      <c r="E35" s="29">
        <f t="shared" si="1"/>
        <v>2.96</v>
      </c>
      <c r="F35" s="29">
        <f t="shared" si="1"/>
        <v>7.9900000000000002</v>
      </c>
      <c r="G35" s="29">
        <f t="shared" si="1"/>
        <v>67.879999999999995</v>
      </c>
      <c r="H35" s="29">
        <f t="shared" si="1"/>
        <v>29.149999999999999</v>
      </c>
      <c r="I35" s="29">
        <f t="shared" si="1"/>
        <v>5.0800000000000001</v>
      </c>
      <c r="J35" s="29">
        <f t="shared" si="1"/>
        <v>1.1599999999999999</v>
      </c>
      <c r="K35" s="29">
        <f t="shared" si="1"/>
        <v>359.33999999999997</v>
      </c>
      <c r="L35" s="29">
        <f t="shared" si="1"/>
        <v>37.049999999999997</v>
      </c>
      <c r="M35" s="29">
        <f t="shared" si="1"/>
        <v>85.609999999999999</v>
      </c>
      <c r="N35" s="29">
        <f t="shared" si="1"/>
        <v>853.29999999999995</v>
      </c>
      <c r="O35" s="29">
        <f t="shared" si="1"/>
        <v>0</v>
      </c>
      <c r="P35" s="29">
        <f t="shared" si="1"/>
        <v>0.93999999999999995</v>
      </c>
      <c r="Q35" s="29">
        <f t="shared" si="1"/>
        <v>10.18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6.6691666666666665</v>
      </c>
      <c r="C36" s="28">
        <f t="shared" si="2"/>
        <v>53.166250000000012</v>
      </c>
      <c r="D36" s="28">
        <f t="shared" si="2"/>
        <v>32.795833333333327</v>
      </c>
      <c r="E36" s="28">
        <f t="shared" si="2"/>
        <v>1.9179166666666669</v>
      </c>
      <c r="F36" s="28">
        <f t="shared" si="2"/>
        <v>4.7454166666666673</v>
      </c>
      <c r="G36" s="28">
        <f t="shared" si="2"/>
        <v>52.466250000000002</v>
      </c>
      <c r="H36" s="28">
        <f t="shared" si="2"/>
        <v>23.63208333333333</v>
      </c>
      <c r="I36" s="28">
        <f t="shared" si="2"/>
        <v>5.0325000000000006</v>
      </c>
      <c r="J36" s="28">
        <f t="shared" si="2"/>
        <v>0.5870833333333334</v>
      </c>
      <c r="K36" s="28">
        <f t="shared" si="2"/>
        <v>283.73416666666662</v>
      </c>
      <c r="L36" s="28">
        <f t="shared" si="2"/>
        <v>28.969999999999999</v>
      </c>
      <c r="M36" s="28">
        <f t="shared" si="2"/>
        <v>52.150416666666665</v>
      </c>
      <c r="N36" s="28">
        <f t="shared" si="2"/>
        <v>267.35833333333335</v>
      </c>
      <c r="O36" s="28">
        <f t="shared" si="2"/>
        <v>0</v>
      </c>
      <c r="P36" s="28">
        <f t="shared" si="2"/>
        <v>0.66041666666666665</v>
      </c>
      <c r="Q36" s="28">
        <f t="shared" si="2"/>
        <v>9.9716666666666658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3.8345782792518568</v>
      </c>
      <c r="C37" s="28">
        <f t="shared" si="3" ref="C37:Q37">STDEV(C9:C32)</f>
        <v>6.7821407499529611</v>
      </c>
      <c r="D37" s="28">
        <f t="shared" si="3"/>
        <v>4.5439476388849425</v>
      </c>
      <c r="E37" s="28">
        <f t="shared" si="3"/>
        <v>0.54759536923333785</v>
      </c>
      <c r="F37" s="28">
        <f t="shared" si="3"/>
        <v>1.5498723065680791</v>
      </c>
      <c r="G37" s="28">
        <f t="shared" si="3"/>
        <v>5.9091019052041709</v>
      </c>
      <c r="H37" s="28">
        <f t="shared" si="3"/>
        <v>2.8735706907074356</v>
      </c>
      <c r="I37" s="28">
        <f t="shared" si="3"/>
        <v>0.019392961520142925</v>
      </c>
      <c r="J37" s="28">
        <f t="shared" si="3"/>
        <v>0.26235520506212212</v>
      </c>
      <c r="K37" s="28">
        <f t="shared" si="3"/>
        <v>101.47539234439708</v>
      </c>
      <c r="L37" s="28">
        <f t="shared" si="3"/>
        <v>5.0980951259312093</v>
      </c>
      <c r="M37" s="28">
        <f t="shared" si="3"/>
        <v>19.665305462902836</v>
      </c>
      <c r="N37" s="28">
        <f t="shared" si="3"/>
        <v>327.9393474100205</v>
      </c>
      <c r="O37" s="28">
        <f t="shared" si="3"/>
        <v>0</v>
      </c>
      <c r="P37" s="28">
        <f t="shared" si="3"/>
        <v>0.15230059426835088</v>
      </c>
      <c r="Q37" s="28">
        <f t="shared" si="3"/>
        <v>0.098186453801656956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93c70bc-03c7-4d2e-a955-8cd2a6fab8ae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60"/>
      <c r="B8" s="61" t="s">
        <v>22</v>
      </c>
      <c r="C8" s="61" t="s">
        <v>22</v>
      </c>
      <c r="D8" s="29" t="s">
        <v>61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61" t="s">
        <v>22</v>
      </c>
      <c r="R8" s="27"/>
      <c r="S8" s="29"/>
      <c r="T8" s="27"/>
      <c r="U8" s="27"/>
    </row>
    <row r="9" spans="1:21" s="11" customFormat="1" ht="15">
      <c r="A9" s="53" t="s">
        <v>686</v>
      </c>
      <c r="B9" s="54">
        <v>13.72</v>
      </c>
      <c r="C9" s="54">
        <v>58.31</v>
      </c>
      <c r="D9" s="54">
        <v>41.39</v>
      </c>
      <c r="E9" s="54">
        <v>1.91</v>
      </c>
      <c r="F9" s="54">
        <v>3.55</v>
      </c>
      <c r="G9" s="54">
        <v>67.88</v>
      </c>
      <c r="H9" s="54">
        <v>28.46</v>
      </c>
      <c r="I9" s="54">
        <v>5.03</v>
      </c>
      <c r="J9" s="54">
        <v>0.49</v>
      </c>
      <c r="K9" s="54">
        <v>284.39999999999998</v>
      </c>
      <c r="L9" s="54">
        <v>25.80</v>
      </c>
      <c r="M9" s="54">
        <v>61.43</v>
      </c>
      <c r="N9" s="54">
        <v>24.20</v>
      </c>
      <c r="O9" s="54">
        <v>0</v>
      </c>
      <c r="P9" s="54">
        <v>0.81</v>
      </c>
      <c r="Q9" s="54">
        <v>10.31</v>
      </c>
      <c r="R9" s="43"/>
      <c r="S9" s="43"/>
      <c r="T9" s="43"/>
      <c r="U9" s="43"/>
    </row>
    <row r="10" spans="1:21" s="11" customFormat="1" ht="15">
      <c r="A10" s="53" t="s">
        <v>687</v>
      </c>
      <c r="B10" s="54">
        <v>10.30</v>
      </c>
      <c r="C10" s="54">
        <v>54.89</v>
      </c>
      <c r="D10" s="54">
        <v>36.86</v>
      </c>
      <c r="E10" s="54">
        <v>2.04</v>
      </c>
      <c r="F10" s="54">
        <v>4</v>
      </c>
      <c r="G10" s="54">
        <v>61.81</v>
      </c>
      <c r="H10" s="54">
        <v>26.60</v>
      </c>
      <c r="I10" s="54">
        <v>5.05</v>
      </c>
      <c r="J10" s="54">
        <v>0.28000000000000003</v>
      </c>
      <c r="K10" s="54">
        <v>309.05</v>
      </c>
      <c r="L10" s="54">
        <v>23.91</v>
      </c>
      <c r="M10" s="54">
        <v>65.959999999999994</v>
      </c>
      <c r="N10" s="54">
        <v>23.80</v>
      </c>
      <c r="O10" s="54">
        <v>0</v>
      </c>
      <c r="P10" s="54">
        <v>0.77</v>
      </c>
      <c r="Q10" s="54">
        <v>9.91</v>
      </c>
      <c r="R10" s="43"/>
      <c r="S10" s="43"/>
      <c r="T10" s="43"/>
      <c r="U10" s="43"/>
    </row>
    <row r="11" spans="1:21" s="11" customFormat="1" ht="15">
      <c r="A11" s="53" t="s">
        <v>688</v>
      </c>
      <c r="B11" s="54">
        <v>7.10</v>
      </c>
      <c r="C11" s="54">
        <v>53.08</v>
      </c>
      <c r="D11" s="54">
        <v>33.35</v>
      </c>
      <c r="E11" s="54">
        <v>1.67</v>
      </c>
      <c r="F11" s="54">
        <v>3.78</v>
      </c>
      <c r="G11" s="54">
        <v>61.06</v>
      </c>
      <c r="H11" s="54">
        <v>27.56</v>
      </c>
      <c r="I11" s="54">
        <v>5.04</v>
      </c>
      <c r="J11" s="54">
        <v>0.16</v>
      </c>
      <c r="K11" s="54">
        <v>345.26</v>
      </c>
      <c r="L11" s="54">
        <v>23.06</v>
      </c>
      <c r="M11" s="54">
        <v>69.709999999999994</v>
      </c>
      <c r="N11" s="54">
        <v>23.70</v>
      </c>
      <c r="O11" s="54">
        <v>0</v>
      </c>
      <c r="P11" s="54">
        <v>0.71</v>
      </c>
      <c r="Q11" s="54">
        <v>10.06</v>
      </c>
      <c r="R11" s="43"/>
      <c r="S11" s="43"/>
      <c r="T11" s="43"/>
      <c r="U11" s="43"/>
    </row>
    <row r="12" spans="1:21" s="11" customFormat="1" ht="15">
      <c r="A12" s="53" t="s">
        <v>689</v>
      </c>
      <c r="B12" s="54">
        <v>7.46</v>
      </c>
      <c r="C12" s="54">
        <v>52.46</v>
      </c>
      <c r="D12" s="54">
        <v>33.31</v>
      </c>
      <c r="E12" s="54">
        <v>2.0499999999999998</v>
      </c>
      <c r="F12" s="54">
        <v>3.65</v>
      </c>
      <c r="G12" s="54">
        <v>60.72</v>
      </c>
      <c r="H12" s="54">
        <v>27.56</v>
      </c>
      <c r="I12" s="54">
        <v>5.05</v>
      </c>
      <c r="J12" s="54">
        <v>0.82</v>
      </c>
      <c r="K12" s="54">
        <v>344.56</v>
      </c>
      <c r="L12" s="54">
        <v>22.56</v>
      </c>
      <c r="M12" s="54">
        <v>73.94</v>
      </c>
      <c r="N12" s="54">
        <v>23.5</v>
      </c>
      <c r="O12" s="54">
        <v>0</v>
      </c>
      <c r="P12" s="54">
        <v>0.66</v>
      </c>
      <c r="Q12" s="54">
        <v>9.98</v>
      </c>
      <c r="R12" s="43"/>
      <c r="S12" s="43"/>
      <c r="T12" s="43"/>
      <c r="U12" s="43"/>
    </row>
    <row r="13" spans="1:21" s="11" customFormat="1" ht="15">
      <c r="A13" s="53" t="s">
        <v>690</v>
      </c>
      <c r="B13" s="54">
        <v>9.35</v>
      </c>
      <c r="C13" s="54">
        <v>51.80</v>
      </c>
      <c r="D13" s="54">
        <v>34.28</v>
      </c>
      <c r="E13" s="54">
        <v>2.31</v>
      </c>
      <c r="F13" s="54">
        <v>3.81</v>
      </c>
      <c r="G13" s="54">
        <v>82.19</v>
      </c>
      <c r="H13" s="54">
        <v>33.54</v>
      </c>
      <c r="I13" s="54">
        <v>5.08</v>
      </c>
      <c r="J13" s="54">
        <v>0.70</v>
      </c>
      <c r="K13" s="54">
        <v>358.89</v>
      </c>
      <c r="L13" s="54">
        <v>22.62</v>
      </c>
      <c r="M13" s="54">
        <v>67.03</v>
      </c>
      <c r="N13" s="54">
        <v>23.60</v>
      </c>
      <c r="O13" s="54">
        <v>0</v>
      </c>
      <c r="P13" s="54">
        <v>0.68</v>
      </c>
      <c r="Q13" s="54">
        <v>9.9499999999999993</v>
      </c>
      <c r="R13" s="43"/>
      <c r="S13" s="43"/>
      <c r="T13" s="43"/>
      <c r="U13" s="43"/>
    </row>
    <row r="14" spans="1:21" s="11" customFormat="1" ht="15">
      <c r="A14" s="53" t="s">
        <v>691</v>
      </c>
      <c r="B14" s="54">
        <v>14.23</v>
      </c>
      <c r="C14" s="54">
        <v>52.03</v>
      </c>
      <c r="D14" s="54">
        <v>38.51</v>
      </c>
      <c r="E14" s="54">
        <v>2.38</v>
      </c>
      <c r="F14" s="54">
        <v>3.59</v>
      </c>
      <c r="G14" s="54">
        <v>95.45</v>
      </c>
      <c r="H14" s="54">
        <v>41.67</v>
      </c>
      <c r="I14" s="54">
        <v>5.09</v>
      </c>
      <c r="J14" s="54">
        <v>0.14000000000000001</v>
      </c>
      <c r="K14" s="54">
        <v>326.86</v>
      </c>
      <c r="L14" s="54">
        <v>22.38</v>
      </c>
      <c r="M14" s="54">
        <v>69.12</v>
      </c>
      <c r="N14" s="54">
        <v>26.90</v>
      </c>
      <c r="O14" s="54">
        <v>0</v>
      </c>
      <c r="P14" s="54">
        <v>0.73</v>
      </c>
      <c r="Q14" s="54">
        <v>10.08</v>
      </c>
      <c r="R14" s="43"/>
      <c r="S14" s="43"/>
      <c r="T14" s="43"/>
      <c r="U14" s="43"/>
    </row>
    <row r="15" spans="1:21" s="11" customFormat="1" ht="15">
      <c r="A15" s="53" t="s">
        <v>692</v>
      </c>
      <c r="B15" s="54">
        <v>23.40</v>
      </c>
      <c r="C15" s="54">
        <v>55.61</v>
      </c>
      <c r="D15" s="54">
        <v>47.74</v>
      </c>
      <c r="E15" s="54">
        <v>2.72</v>
      </c>
      <c r="F15" s="54">
        <v>3.52</v>
      </c>
      <c r="G15" s="54">
        <v>125.90</v>
      </c>
      <c r="H15" s="54">
        <v>45.68</v>
      </c>
      <c r="I15" s="54">
        <v>5.01</v>
      </c>
      <c r="J15" s="54">
        <v>0.26</v>
      </c>
      <c r="K15" s="54">
        <v>325.56</v>
      </c>
      <c r="L15" s="54">
        <v>24.74</v>
      </c>
      <c r="M15" s="54">
        <v>63.64</v>
      </c>
      <c r="N15" s="54">
        <v>121</v>
      </c>
      <c r="O15" s="54">
        <v>0</v>
      </c>
      <c r="P15" s="54">
        <v>0.81</v>
      </c>
      <c r="Q15" s="54">
        <v>10.220000000000001</v>
      </c>
      <c r="R15" s="43"/>
      <c r="S15" s="43"/>
      <c r="T15" s="43"/>
      <c r="U15" s="43"/>
    </row>
    <row r="16" spans="1:21" s="11" customFormat="1" ht="15">
      <c r="A16" s="53" t="s">
        <v>693</v>
      </c>
      <c r="B16" s="54">
        <v>26.78</v>
      </c>
      <c r="C16" s="54">
        <v>58.78</v>
      </c>
      <c r="D16" s="54">
        <v>51.57</v>
      </c>
      <c r="E16" s="54">
        <v>2.5</v>
      </c>
      <c r="F16" s="54">
        <v>3.43</v>
      </c>
      <c r="G16" s="54">
        <v>125.90</v>
      </c>
      <c r="H16" s="54">
        <v>45.68</v>
      </c>
      <c r="I16" s="54">
        <v>5</v>
      </c>
      <c r="J16" s="54">
        <v>0.39</v>
      </c>
      <c r="K16" s="54">
        <v>325.76</v>
      </c>
      <c r="L16" s="54">
        <v>29.05</v>
      </c>
      <c r="M16" s="54">
        <v>56.97</v>
      </c>
      <c r="N16" s="54">
        <v>288.80</v>
      </c>
      <c r="O16" s="54">
        <v>0</v>
      </c>
      <c r="P16" s="54">
        <v>0.87</v>
      </c>
      <c r="Q16" s="54">
        <v>10.26</v>
      </c>
      <c r="R16" s="43"/>
      <c r="S16" s="43"/>
      <c r="T16" s="43"/>
      <c r="U16" s="43"/>
    </row>
    <row r="17" spans="1:21" s="11" customFormat="1" ht="15">
      <c r="A17" s="53" t="s">
        <v>694</v>
      </c>
      <c r="B17" s="54">
        <v>25.16</v>
      </c>
      <c r="C17" s="54">
        <v>59.02</v>
      </c>
      <c r="D17" s="54">
        <v>49.97</v>
      </c>
      <c r="E17" s="54">
        <v>1.34</v>
      </c>
      <c r="F17" s="54">
        <v>3.49</v>
      </c>
      <c r="G17" s="54">
        <v>122.92</v>
      </c>
      <c r="H17" s="54">
        <v>46.57</v>
      </c>
      <c r="I17" s="54">
        <v>5.03</v>
      </c>
      <c r="J17" s="54">
        <v>0.28000000000000003</v>
      </c>
      <c r="K17" s="54">
        <v>345.39</v>
      </c>
      <c r="L17" s="54">
        <v>31.27</v>
      </c>
      <c r="M17" s="54">
        <v>53.63</v>
      </c>
      <c r="N17" s="54">
        <v>463.70</v>
      </c>
      <c r="O17" s="54">
        <v>0</v>
      </c>
      <c r="P17" s="54">
        <v>0.87</v>
      </c>
      <c r="Q17" s="54">
        <v>10.18</v>
      </c>
      <c r="R17" s="43"/>
      <c r="S17" s="43"/>
      <c r="T17" s="43"/>
      <c r="U17" s="43"/>
    </row>
    <row r="18" spans="1:21" s="11" customFormat="1" ht="15">
      <c r="A18" s="53" t="s">
        <v>695</v>
      </c>
      <c r="B18" s="54">
        <v>21.89</v>
      </c>
      <c r="C18" s="54">
        <v>62.23</v>
      </c>
      <c r="D18" s="54">
        <v>48.32</v>
      </c>
      <c r="E18" s="54">
        <v>1.61</v>
      </c>
      <c r="F18" s="54">
        <v>3.65</v>
      </c>
      <c r="G18" s="54">
        <v>120.39</v>
      </c>
      <c r="H18" s="54">
        <v>50.55</v>
      </c>
      <c r="I18" s="54">
        <v>5</v>
      </c>
      <c r="J18" s="54">
        <v>0.35</v>
      </c>
      <c r="K18" s="54">
        <v>314.79000000000002</v>
      </c>
      <c r="L18" s="54">
        <v>33.08</v>
      </c>
      <c r="M18" s="54">
        <v>41.18</v>
      </c>
      <c r="N18" s="54">
        <v>626.5</v>
      </c>
      <c r="O18" s="54">
        <v>0</v>
      </c>
      <c r="P18" s="54">
        <v>0.88</v>
      </c>
      <c r="Q18" s="54">
        <v>10.38</v>
      </c>
      <c r="R18" s="43"/>
      <c r="S18" s="43"/>
      <c r="T18" s="43"/>
      <c r="U18" s="43"/>
    </row>
    <row r="19" spans="1:21" s="11" customFormat="1" ht="15">
      <c r="A19" s="53" t="s">
        <v>696</v>
      </c>
      <c r="B19" s="54">
        <v>14.89</v>
      </c>
      <c r="C19" s="54">
        <v>69.06</v>
      </c>
      <c r="D19" s="54">
        <v>45.18</v>
      </c>
      <c r="E19" s="54">
        <v>1.66</v>
      </c>
      <c r="F19" s="54">
        <v>6.5</v>
      </c>
      <c r="G19" s="54">
        <v>120.39</v>
      </c>
      <c r="H19" s="54">
        <v>50.55</v>
      </c>
      <c r="I19" s="54">
        <v>5.0599999999999996</v>
      </c>
      <c r="J19" s="54">
        <v>0.71</v>
      </c>
      <c r="K19" s="54">
        <v>323.60000000000002</v>
      </c>
      <c r="L19" s="54">
        <v>35.90</v>
      </c>
      <c r="M19" s="54">
        <v>33.60</v>
      </c>
      <c r="N19" s="54">
        <v>759.20</v>
      </c>
      <c r="O19" s="54">
        <v>0</v>
      </c>
      <c r="P19" s="54">
        <v>0.99</v>
      </c>
      <c r="Q19" s="54">
        <v>10.16</v>
      </c>
      <c r="R19" s="43"/>
      <c r="S19" s="43"/>
      <c r="T19" s="43"/>
      <c r="U19" s="43"/>
    </row>
    <row r="20" spans="1:21" s="11" customFormat="1" ht="15">
      <c r="A20" s="53" t="s">
        <v>697</v>
      </c>
      <c r="B20" s="54">
        <v>2.5</v>
      </c>
      <c r="C20" s="54">
        <v>68.39</v>
      </c>
      <c r="D20" s="54">
        <v>37.299999999999997</v>
      </c>
      <c r="E20" s="54">
        <v>3.03</v>
      </c>
      <c r="F20" s="54">
        <v>29.58</v>
      </c>
      <c r="G20" s="54">
        <v>106.26</v>
      </c>
      <c r="H20" s="54">
        <v>48.26</v>
      </c>
      <c r="I20" s="54">
        <v>5.01</v>
      </c>
      <c r="J20" s="54">
        <v>0.59</v>
      </c>
      <c r="K20" s="54">
        <v>323.24</v>
      </c>
      <c r="L20" s="54">
        <v>36.299999999999997</v>
      </c>
      <c r="M20" s="54">
        <v>28.30</v>
      </c>
      <c r="N20" s="54">
        <v>833.10</v>
      </c>
      <c r="O20" s="54">
        <v>0</v>
      </c>
      <c r="P20" s="54">
        <v>1.63</v>
      </c>
      <c r="Q20" s="54">
        <v>9.7899999999999991</v>
      </c>
      <c r="R20" s="43"/>
      <c r="S20" s="43"/>
      <c r="T20" s="43"/>
      <c r="U20" s="43"/>
    </row>
    <row r="21" spans="1:21" s="11" customFormat="1" ht="15">
      <c r="A21" s="53" t="s">
        <v>698</v>
      </c>
      <c r="B21" s="54">
        <v>2.42</v>
      </c>
      <c r="C21" s="54">
        <v>53.21</v>
      </c>
      <c r="D21" s="54">
        <v>29.66</v>
      </c>
      <c r="E21" s="54">
        <v>2.29</v>
      </c>
      <c r="F21" s="54">
        <v>18.52</v>
      </c>
      <c r="G21" s="54">
        <v>106.26</v>
      </c>
      <c r="H21" s="54">
        <v>98.53</v>
      </c>
      <c r="I21" s="54">
        <v>5.0199999999999996</v>
      </c>
      <c r="J21" s="54">
        <v>0.37</v>
      </c>
      <c r="K21" s="54">
        <v>335.93</v>
      </c>
      <c r="L21" s="54">
        <v>36.42</v>
      </c>
      <c r="M21" s="54">
        <v>27.96</v>
      </c>
      <c r="N21" s="54">
        <v>825.70</v>
      </c>
      <c r="O21" s="54">
        <v>0</v>
      </c>
      <c r="P21" s="54">
        <v>1.42</v>
      </c>
      <c r="Q21" s="54">
        <v>9.69</v>
      </c>
      <c r="R21" s="43"/>
      <c r="S21" s="43"/>
      <c r="T21" s="43"/>
      <c r="U21" s="43"/>
    </row>
    <row r="22" spans="1:21" s="11" customFormat="1" ht="15">
      <c r="A22" s="53" t="s">
        <v>699</v>
      </c>
      <c r="B22" s="54">
        <v>1.82</v>
      </c>
      <c r="C22" s="54">
        <v>51.92</v>
      </c>
      <c r="D22" s="54">
        <v>28.5</v>
      </c>
      <c r="E22" s="54">
        <v>3.35</v>
      </c>
      <c r="F22" s="54">
        <v>11.08</v>
      </c>
      <c r="G22" s="54">
        <v>81.22</v>
      </c>
      <c r="H22" s="54">
        <v>98.53</v>
      </c>
      <c r="I22" s="54">
        <v>5.04</v>
      </c>
      <c r="J22" s="54">
        <v>0.41</v>
      </c>
      <c r="K22" s="54">
        <v>337.31</v>
      </c>
      <c r="L22" s="54">
        <v>36.11</v>
      </c>
      <c r="M22" s="54">
        <v>27.58</v>
      </c>
      <c r="N22" s="54">
        <v>727.40</v>
      </c>
      <c r="O22" s="54">
        <v>0</v>
      </c>
      <c r="P22" s="54">
        <v>0.98</v>
      </c>
      <c r="Q22" s="54">
        <v>9.81</v>
      </c>
      <c r="R22" s="43"/>
      <c r="S22" s="43"/>
      <c r="T22" s="43"/>
      <c r="U22" s="43"/>
    </row>
    <row r="23" spans="1:21" s="11" customFormat="1" ht="15">
      <c r="A23" s="53" t="s">
        <v>700</v>
      </c>
      <c r="B23" s="54">
        <v>1.99</v>
      </c>
      <c r="C23" s="54">
        <v>53.77</v>
      </c>
      <c r="D23" s="54">
        <v>29.58</v>
      </c>
      <c r="E23" s="54">
        <v>1.93</v>
      </c>
      <c r="F23" s="54">
        <v>9.09</v>
      </c>
      <c r="G23" s="54">
        <v>79.66</v>
      </c>
      <c r="H23" s="54">
        <v>32.17</v>
      </c>
      <c r="I23" s="54">
        <v>5.0199999999999996</v>
      </c>
      <c r="J23" s="54">
        <v>0.34</v>
      </c>
      <c r="K23" s="54">
        <v>336.45</v>
      </c>
      <c r="L23" s="54">
        <v>35.39</v>
      </c>
      <c r="M23" s="54">
        <v>26.61</v>
      </c>
      <c r="N23" s="54">
        <v>601.60</v>
      </c>
      <c r="O23" s="54">
        <v>0</v>
      </c>
      <c r="P23" s="54">
        <v>0.94</v>
      </c>
      <c r="Q23" s="54">
        <v>9.7899999999999991</v>
      </c>
      <c r="R23" s="43"/>
      <c r="S23" s="43"/>
      <c r="T23" s="43"/>
      <c r="U23" s="43"/>
    </row>
    <row r="24" spans="1:21" s="11" customFormat="1" ht="15">
      <c r="A24" s="53" t="s">
        <v>701</v>
      </c>
      <c r="B24" s="54">
        <v>1.88</v>
      </c>
      <c r="C24" s="54">
        <v>59.51</v>
      </c>
      <c r="D24" s="54">
        <v>32.47</v>
      </c>
      <c r="E24" s="54">
        <v>1.99</v>
      </c>
      <c r="F24" s="54">
        <v>8.8800000000000008</v>
      </c>
      <c r="G24" s="54">
        <v>69.260000000000005</v>
      </c>
      <c r="H24" s="54">
        <v>40.49</v>
      </c>
      <c r="I24" s="54">
        <v>5.03</v>
      </c>
      <c r="J24" s="54">
        <v>0.36</v>
      </c>
      <c r="K24" s="54">
        <v>325.83</v>
      </c>
      <c r="L24" s="54">
        <v>35.11</v>
      </c>
      <c r="M24" s="54">
        <v>24.75</v>
      </c>
      <c r="N24" s="54">
        <v>333.60</v>
      </c>
      <c r="O24" s="54">
        <v>0</v>
      </c>
      <c r="P24" s="54">
        <v>0.84</v>
      </c>
      <c r="Q24" s="54">
        <v>9.83</v>
      </c>
      <c r="R24" s="43"/>
      <c r="S24" s="43"/>
      <c r="T24" s="43"/>
      <c r="U24" s="43"/>
    </row>
    <row r="25" spans="1:21" s="11" customFormat="1" ht="15">
      <c r="A25" s="53" t="s">
        <v>702</v>
      </c>
      <c r="B25" s="54">
        <v>1.89</v>
      </c>
      <c r="C25" s="54">
        <v>46.23</v>
      </c>
      <c r="D25" s="54">
        <v>25.49</v>
      </c>
      <c r="E25" s="54">
        <v>2.5299999999999998</v>
      </c>
      <c r="F25" s="54">
        <v>9.64</v>
      </c>
      <c r="G25" s="54">
        <v>62.20</v>
      </c>
      <c r="H25" s="54">
        <v>40.49</v>
      </c>
      <c r="I25" s="54">
        <v>5.03</v>
      </c>
      <c r="J25" s="54">
        <v>0.24</v>
      </c>
      <c r="K25" s="54">
        <v>352.21</v>
      </c>
      <c r="L25" s="54">
        <v>33.65</v>
      </c>
      <c r="M25" s="54">
        <v>26.71</v>
      </c>
      <c r="N25" s="54">
        <v>156.90</v>
      </c>
      <c r="O25" s="54">
        <v>0</v>
      </c>
      <c r="P25" s="54">
        <v>0.75</v>
      </c>
      <c r="Q25" s="54">
        <v>9.6199999999999992</v>
      </c>
      <c r="R25" s="43"/>
      <c r="S25" s="43"/>
      <c r="T25" s="43"/>
      <c r="U25" s="43"/>
    </row>
    <row r="26" spans="1:21" s="11" customFormat="1" ht="15">
      <c r="A26" s="53" t="s">
        <v>703</v>
      </c>
      <c r="B26" s="54">
        <v>2.2599999999999998</v>
      </c>
      <c r="C26" s="54">
        <v>47.69</v>
      </c>
      <c r="D26" s="54">
        <v>26.42</v>
      </c>
      <c r="E26" s="54">
        <v>2.40</v>
      </c>
      <c r="F26" s="54">
        <v>5.87</v>
      </c>
      <c r="G26" s="54">
        <v>46.42</v>
      </c>
      <c r="H26" s="54">
        <v>10.130000000000001</v>
      </c>
      <c r="I26" s="54">
        <v>5.03</v>
      </c>
      <c r="J26" s="54">
        <v>0.28999999999999998</v>
      </c>
      <c r="K26" s="54">
        <v>217.96</v>
      </c>
      <c r="L26" s="54">
        <v>32.67</v>
      </c>
      <c r="M26" s="54">
        <v>32.42</v>
      </c>
      <c r="N26" s="54">
        <v>69.099999999999994</v>
      </c>
      <c r="O26" s="54">
        <v>0</v>
      </c>
      <c r="P26" s="54">
        <v>0.69</v>
      </c>
      <c r="Q26" s="54">
        <v>9.73</v>
      </c>
      <c r="R26" s="43"/>
      <c r="S26" s="43"/>
      <c r="T26" s="43"/>
      <c r="U26" s="43"/>
    </row>
    <row r="27" spans="1:21" s="11" customFormat="1" ht="15">
      <c r="A27" s="53" t="s">
        <v>704</v>
      </c>
      <c r="B27" s="54">
        <v>8.9499999999999993</v>
      </c>
      <c r="C27" s="54">
        <v>54.64</v>
      </c>
      <c r="D27" s="54">
        <v>35.65</v>
      </c>
      <c r="E27" s="54">
        <v>2.64</v>
      </c>
      <c r="F27" s="54">
        <v>3.96</v>
      </c>
      <c r="G27" s="54">
        <v>60.39</v>
      </c>
      <c r="H27" s="54">
        <v>47.80</v>
      </c>
      <c r="I27" s="54">
        <v>5.05</v>
      </c>
      <c r="J27" s="54">
        <v>0.35</v>
      </c>
      <c r="K27" s="54">
        <v>313.45</v>
      </c>
      <c r="L27" s="54">
        <v>30.61</v>
      </c>
      <c r="M27" s="54">
        <v>41.65</v>
      </c>
      <c r="N27" s="54">
        <v>18.899999999999999</v>
      </c>
      <c r="O27" s="54">
        <v>0</v>
      </c>
      <c r="P27" s="54">
        <v>1.01</v>
      </c>
      <c r="Q27" s="54">
        <v>9.85</v>
      </c>
      <c r="R27" s="43"/>
      <c r="S27" s="43"/>
      <c r="T27" s="43"/>
      <c r="U27" s="43"/>
    </row>
    <row r="28" spans="1:21" s="11" customFormat="1" ht="15">
      <c r="A28" s="53" t="s">
        <v>705</v>
      </c>
      <c r="B28" s="54">
        <v>32.90</v>
      </c>
      <c r="C28" s="54">
        <v>70.790000000000006</v>
      </c>
      <c r="D28" s="54">
        <v>62.77</v>
      </c>
      <c r="E28" s="54">
        <v>2.89</v>
      </c>
      <c r="F28" s="54">
        <v>3.54</v>
      </c>
      <c r="G28" s="54">
        <v>80.28</v>
      </c>
      <c r="H28" s="54">
        <v>47.80</v>
      </c>
      <c r="I28" s="54">
        <v>5.01</v>
      </c>
      <c r="J28" s="54">
        <v>0.12</v>
      </c>
      <c r="K28" s="54">
        <v>273.95999999999998</v>
      </c>
      <c r="L28" s="54">
        <v>28.24</v>
      </c>
      <c r="M28" s="54">
        <v>47.64</v>
      </c>
      <c r="N28" s="54">
        <v>17</v>
      </c>
      <c r="O28" s="54">
        <v>0</v>
      </c>
      <c r="P28" s="54">
        <v>1.24</v>
      </c>
      <c r="Q28" s="54">
        <v>10.33</v>
      </c>
      <c r="R28" s="43"/>
      <c r="S28" s="43"/>
      <c r="T28" s="43"/>
      <c r="U28" s="43"/>
    </row>
    <row r="29" spans="1:21" s="11" customFormat="1" ht="15">
      <c r="A29" s="53" t="s">
        <v>706</v>
      </c>
      <c r="B29" s="54">
        <v>46.41</v>
      </c>
      <c r="C29" s="54">
        <v>69.55</v>
      </c>
      <c r="D29" s="54">
        <v>73.400000000000006</v>
      </c>
      <c r="E29" s="54">
        <v>2.86</v>
      </c>
      <c r="F29" s="54">
        <v>3.54</v>
      </c>
      <c r="G29" s="54">
        <v>90.41</v>
      </c>
      <c r="H29" s="54">
        <v>38.93</v>
      </c>
      <c r="I29" s="54">
        <v>5.0199999999999996</v>
      </c>
      <c r="J29" s="54">
        <v>0.24</v>
      </c>
      <c r="K29" s="54">
        <v>359.24</v>
      </c>
      <c r="L29" s="54">
        <v>27.15</v>
      </c>
      <c r="M29" s="54">
        <v>51.27</v>
      </c>
      <c r="N29" s="54">
        <v>16.899999999999999</v>
      </c>
      <c r="O29" s="54">
        <v>0</v>
      </c>
      <c r="P29" s="54">
        <v>1.61</v>
      </c>
      <c r="Q29" s="54">
        <v>10.63</v>
      </c>
      <c r="R29" s="43"/>
      <c r="S29" s="43"/>
      <c r="T29" s="43"/>
      <c r="U29" s="43"/>
    </row>
    <row r="30" spans="1:21" s="11" customFormat="1" ht="15">
      <c r="A30" s="53" t="s">
        <v>707</v>
      </c>
      <c r="B30" s="54">
        <v>47.05</v>
      </c>
      <c r="C30" s="54">
        <v>70.150000000000006</v>
      </c>
      <c r="D30" s="54">
        <v>73.89</v>
      </c>
      <c r="E30" s="54">
        <v>2.77</v>
      </c>
      <c r="F30" s="54">
        <v>3.52</v>
      </c>
      <c r="G30" s="54">
        <v>90.41</v>
      </c>
      <c r="H30" s="54">
        <v>30.99</v>
      </c>
      <c r="I30" s="54">
        <v>5.0599999999999996</v>
      </c>
      <c r="J30" s="54">
        <v>0.51</v>
      </c>
      <c r="K30" s="54">
        <v>227.18</v>
      </c>
      <c r="L30" s="54">
        <v>27.56</v>
      </c>
      <c r="M30" s="54">
        <v>49.25</v>
      </c>
      <c r="N30" s="54">
        <v>16</v>
      </c>
      <c r="O30" s="54">
        <v>0</v>
      </c>
      <c r="P30" s="54">
        <v>1.57</v>
      </c>
      <c r="Q30" s="54">
        <v>10.60</v>
      </c>
      <c r="R30" s="43"/>
      <c r="S30" s="43"/>
      <c r="T30" s="43"/>
      <c r="U30" s="43"/>
    </row>
    <row r="31" spans="1:21" s="11" customFormat="1" ht="15">
      <c r="A31" s="53" t="s">
        <v>708</v>
      </c>
      <c r="B31" s="54">
        <v>38.96</v>
      </c>
      <c r="C31" s="54">
        <v>67.290000000000006</v>
      </c>
      <c r="D31" s="54">
        <v>66.319999999999993</v>
      </c>
      <c r="E31" s="54">
        <v>2.46</v>
      </c>
      <c r="F31" s="54">
        <v>3.65</v>
      </c>
      <c r="G31" s="54">
        <v>84.04</v>
      </c>
      <c r="H31" s="54">
        <v>30.99</v>
      </c>
      <c r="I31" s="54">
        <v>5.03</v>
      </c>
      <c r="J31" s="54">
        <v>0.24</v>
      </c>
      <c r="K31" s="54">
        <v>219.15</v>
      </c>
      <c r="L31" s="54">
        <v>26.98</v>
      </c>
      <c r="M31" s="54">
        <v>49.15</v>
      </c>
      <c r="N31" s="54">
        <v>16.600000000000001</v>
      </c>
      <c r="O31" s="54">
        <v>0</v>
      </c>
      <c r="P31" s="54">
        <v>1.35</v>
      </c>
      <c r="Q31" s="54">
        <v>10.55</v>
      </c>
      <c r="R31" s="43"/>
      <c r="S31" s="43"/>
      <c r="T31" s="43"/>
      <c r="U31" s="43"/>
    </row>
    <row r="32" spans="1:21" s="11" customFormat="1" ht="15">
      <c r="A32" s="53" t="s">
        <v>709</v>
      </c>
      <c r="B32" s="54">
        <v>32.28</v>
      </c>
      <c r="C32" s="54">
        <v>61.73</v>
      </c>
      <c r="D32" s="54">
        <v>58.06</v>
      </c>
      <c r="E32" s="54">
        <v>2.5499999999999998</v>
      </c>
      <c r="F32" s="54">
        <v>3.79</v>
      </c>
      <c r="G32" s="54">
        <v>71.27</v>
      </c>
      <c r="H32" s="54">
        <v>27.97</v>
      </c>
      <c r="I32" s="54">
        <v>5</v>
      </c>
      <c r="J32" s="54">
        <v>0.18</v>
      </c>
      <c r="K32" s="54">
        <v>333.59</v>
      </c>
      <c r="L32" s="54">
        <v>26.38</v>
      </c>
      <c r="M32" s="54">
        <v>57.48</v>
      </c>
      <c r="N32" s="54">
        <v>17.20</v>
      </c>
      <c r="O32" s="54">
        <v>0</v>
      </c>
      <c r="P32" s="54">
        <v>1.27</v>
      </c>
      <c r="Q32" s="54">
        <v>10.48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1.8200000000000001</v>
      </c>
      <c r="C34" s="28">
        <f t="shared" si="0"/>
        <v>46.229999999999997</v>
      </c>
      <c r="D34" s="28">
        <f t="shared" si="0"/>
        <v>25.489999999999998</v>
      </c>
      <c r="E34" s="28">
        <f t="shared" si="0"/>
        <v>1.3400000000000001</v>
      </c>
      <c r="F34" s="28">
        <f t="shared" si="0"/>
        <v>3.4300000000000002</v>
      </c>
      <c r="G34" s="28">
        <f t="shared" si="0"/>
        <v>46.420000000000002</v>
      </c>
      <c r="H34" s="28">
        <f t="shared" si="0"/>
        <v>10.130000000000001</v>
      </c>
      <c r="I34" s="28">
        <f t="shared" si="0"/>
        <v>5</v>
      </c>
      <c r="J34" s="28">
        <f t="shared" si="0"/>
        <v>0.12</v>
      </c>
      <c r="K34" s="28">
        <f t="shared" si="0"/>
        <v>217.96000000000001</v>
      </c>
      <c r="L34" s="28">
        <f t="shared" si="0"/>
        <v>22.379999999999999</v>
      </c>
      <c r="M34" s="28">
        <f t="shared" si="0"/>
        <v>24.75</v>
      </c>
      <c r="N34" s="28">
        <f t="shared" si="0"/>
        <v>16</v>
      </c>
      <c r="O34" s="28">
        <f t="shared" si="0"/>
        <v>0</v>
      </c>
      <c r="P34" s="28">
        <f t="shared" si="0"/>
        <v>0.66000000000000003</v>
      </c>
      <c r="Q34" s="28">
        <f t="shared" si="0"/>
        <v>9.6199999999999992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47.049999999999997</v>
      </c>
      <c r="C35" s="29">
        <f t="shared" si="1"/>
        <v>70.790000000000006</v>
      </c>
      <c r="D35" s="29">
        <f t="shared" si="1"/>
        <v>73.890000000000001</v>
      </c>
      <c r="E35" s="29">
        <f t="shared" si="1"/>
        <v>3.3500000000000001</v>
      </c>
      <c r="F35" s="29">
        <f t="shared" si="1"/>
        <v>29.579999999999998</v>
      </c>
      <c r="G35" s="29">
        <f t="shared" si="1"/>
        <v>125.90000000000001</v>
      </c>
      <c r="H35" s="29">
        <f t="shared" si="1"/>
        <v>98.530000000000001</v>
      </c>
      <c r="I35" s="29">
        <f t="shared" si="1"/>
        <v>5.0899999999999999</v>
      </c>
      <c r="J35" s="29">
        <f t="shared" si="1"/>
        <v>0.81999999999999995</v>
      </c>
      <c r="K35" s="29">
        <f t="shared" si="1"/>
        <v>359.24000000000001</v>
      </c>
      <c r="L35" s="29">
        <f t="shared" si="1"/>
        <v>36.420000000000002</v>
      </c>
      <c r="M35" s="29">
        <f t="shared" si="1"/>
        <v>73.939999999999998</v>
      </c>
      <c r="N35" s="29">
        <f t="shared" si="1"/>
        <v>833.10000000000002</v>
      </c>
      <c r="O35" s="29">
        <f t="shared" si="1"/>
        <v>0</v>
      </c>
      <c r="P35" s="29">
        <f t="shared" si="1"/>
        <v>1.6299999999999999</v>
      </c>
      <c r="Q35" s="29">
        <f t="shared" si="1"/>
        <v>10.630000000000001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16.482916666666664</v>
      </c>
      <c r="C36" s="28">
        <f t="shared" si="2"/>
        <v>58.422500000000007</v>
      </c>
      <c r="D36" s="28">
        <f t="shared" si="2"/>
        <v>43.332916666666669</v>
      </c>
      <c r="E36" s="28">
        <f t="shared" si="2"/>
        <v>2.3283333333333336</v>
      </c>
      <c r="F36" s="28">
        <f t="shared" si="2"/>
        <v>6.5679166666666662</v>
      </c>
      <c r="G36" s="28">
        <f t="shared" si="2"/>
        <v>86.362083333333359</v>
      </c>
      <c r="H36" s="28">
        <f t="shared" si="2"/>
        <v>42.395833333333329</v>
      </c>
      <c r="I36" s="28">
        <f t="shared" si="2"/>
        <v>5.0329166666666669</v>
      </c>
      <c r="J36" s="28">
        <f t="shared" si="2"/>
        <v>0.36749999999999999</v>
      </c>
      <c r="K36" s="28">
        <f t="shared" si="2"/>
        <v>314.98416666666668</v>
      </c>
      <c r="L36" s="28">
        <f t="shared" si="2"/>
        <v>29.455833333333331</v>
      </c>
      <c r="M36" s="28">
        <f t="shared" si="2"/>
        <v>47.790833333333332</v>
      </c>
      <c r="N36" s="28">
        <f t="shared" si="2"/>
        <v>252.28749999999999</v>
      </c>
      <c r="O36" s="28">
        <f t="shared" si="2"/>
        <v>0</v>
      </c>
      <c r="P36" s="28">
        <f t="shared" si="2"/>
        <v>1.0033333333333334</v>
      </c>
      <c r="Q36" s="28">
        <f t="shared" si="2"/>
        <v>10.09125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14.581171146130675</v>
      </c>
      <c r="C37" s="28">
        <f t="shared" si="3" ref="C37:Q37">STDEV(C9:C32)</f>
        <v>7.4338258919149167</v>
      </c>
      <c r="D37" s="28">
        <f t="shared" si="3"/>
        <v>14.574277364192227</v>
      </c>
      <c r="E37" s="28">
        <f t="shared" si="3"/>
        <v>0.49815892929925409</v>
      </c>
      <c r="F37" s="28">
        <f t="shared" si="3"/>
        <v>6.0815072353507205</v>
      </c>
      <c r="G37" s="28">
        <f t="shared" si="3"/>
        <v>24.167189036083499</v>
      </c>
      <c r="H37" s="28">
        <f t="shared" si="3"/>
        <v>19.959693061303575</v>
      </c>
      <c r="I37" s="28">
        <f t="shared" si="3"/>
        <v>0.024043288255663511</v>
      </c>
      <c r="J37" s="28">
        <f t="shared" si="3"/>
        <v>0.18580611680856543</v>
      </c>
      <c r="K37" s="28">
        <f t="shared" si="3"/>
        <v>41.349263798363566</v>
      </c>
      <c r="L37" s="28">
        <f t="shared" si="3"/>
        <v>4.9859427756763131</v>
      </c>
      <c r="M37" s="28">
        <f t="shared" si="3"/>
        <v>16.298283162896961</v>
      </c>
      <c r="N37" s="28">
        <f t="shared" si="3"/>
        <v>306.96494958177084</v>
      </c>
      <c r="O37" s="28">
        <f t="shared" si="3"/>
        <v>0</v>
      </c>
      <c r="P37" s="28">
        <f t="shared" si="3"/>
        <v>0.31344740445937447</v>
      </c>
      <c r="Q37" s="28">
        <f t="shared" si="3"/>
        <v>0.30384939776431891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67d41b-29e2-4c1b-9fbd-c24e26e172b9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710</v>
      </c>
      <c r="B9" s="54">
        <v>26.03</v>
      </c>
      <c r="C9" s="54">
        <v>60.99</v>
      </c>
      <c r="D9" s="54">
        <v>52.66</v>
      </c>
      <c r="E9" s="54">
        <v>1.98</v>
      </c>
      <c r="F9" s="54">
        <v>3.84</v>
      </c>
      <c r="G9" s="54">
        <v>68.540000000000006</v>
      </c>
      <c r="H9" s="54">
        <v>22.80</v>
      </c>
      <c r="I9" s="54">
        <v>5.03</v>
      </c>
      <c r="J9" s="54">
        <v>0.19</v>
      </c>
      <c r="K9" s="54">
        <v>321.72000000000003</v>
      </c>
      <c r="L9" s="54">
        <v>24.27</v>
      </c>
      <c r="M9" s="54">
        <v>67.099999999999994</v>
      </c>
      <c r="N9" s="54">
        <v>16.899999999999999</v>
      </c>
      <c r="O9" s="54">
        <v>0</v>
      </c>
      <c r="P9" s="54">
        <v>1.23</v>
      </c>
      <c r="Q9" s="54">
        <v>10.34</v>
      </c>
      <c r="R9" s="43"/>
      <c r="S9" s="43"/>
      <c r="T9" s="43"/>
      <c r="U9" s="43"/>
    </row>
    <row r="10" spans="1:21" s="11" customFormat="1" ht="15">
      <c r="A10" s="53" t="s">
        <v>711</v>
      </c>
      <c r="B10" s="54">
        <v>21.54</v>
      </c>
      <c r="C10" s="54">
        <v>57.95</v>
      </c>
      <c r="D10" s="54">
        <v>47.47</v>
      </c>
      <c r="E10" s="54">
        <v>1.81</v>
      </c>
      <c r="F10" s="54">
        <v>3.45</v>
      </c>
      <c r="G10" s="54">
        <v>68.540000000000006</v>
      </c>
      <c r="H10" s="54">
        <v>28.79</v>
      </c>
      <c r="I10" s="54">
        <v>5.04</v>
      </c>
      <c r="J10" s="54">
        <v>0.14000000000000001</v>
      </c>
      <c r="K10" s="54">
        <v>346.47</v>
      </c>
      <c r="L10" s="54">
        <v>23.35</v>
      </c>
      <c r="M10" s="54">
        <v>71.180000000000007</v>
      </c>
      <c r="N10" s="54">
        <v>16.70</v>
      </c>
      <c r="O10" s="54">
        <v>0</v>
      </c>
      <c r="P10" s="54">
        <v>1.02</v>
      </c>
      <c r="Q10" s="54">
        <v>10.36</v>
      </c>
      <c r="R10" s="43"/>
      <c r="S10" s="43"/>
      <c r="T10" s="43"/>
      <c r="U10" s="43"/>
    </row>
    <row r="11" spans="1:21" s="11" customFormat="1" ht="15">
      <c r="A11" s="53" t="s">
        <v>712</v>
      </c>
      <c r="B11" s="54">
        <v>18.18</v>
      </c>
      <c r="C11" s="54">
        <v>56.19</v>
      </c>
      <c r="D11" s="54">
        <v>43.85</v>
      </c>
      <c r="E11" s="54">
        <v>1.79</v>
      </c>
      <c r="F11" s="54">
        <v>3.40</v>
      </c>
      <c r="G11" s="54">
        <v>63.47</v>
      </c>
      <c r="H11" s="54">
        <v>32.61</v>
      </c>
      <c r="I11" s="54">
        <v>5.0199999999999996</v>
      </c>
      <c r="J11" s="54">
        <v>0.45</v>
      </c>
      <c r="K11" s="54">
        <v>326.22000000000003</v>
      </c>
      <c r="L11" s="54">
        <v>23.75</v>
      </c>
      <c r="M11" s="54">
        <v>71.510000000000005</v>
      </c>
      <c r="N11" s="54">
        <v>17.100000000000001</v>
      </c>
      <c r="O11" s="54">
        <v>0</v>
      </c>
      <c r="P11" s="54">
        <v>0.94</v>
      </c>
      <c r="Q11" s="54">
        <v>10.07</v>
      </c>
      <c r="R11" s="43"/>
      <c r="S11" s="43"/>
      <c r="T11" s="43"/>
      <c r="U11" s="43"/>
    </row>
    <row r="12" spans="1:21" s="11" customFormat="1" ht="15">
      <c r="A12" s="53" t="s">
        <v>713</v>
      </c>
      <c r="B12" s="54">
        <v>17.190000000000001</v>
      </c>
      <c r="C12" s="54">
        <v>53.45</v>
      </c>
      <c r="D12" s="54">
        <v>41.63</v>
      </c>
      <c r="E12" s="54">
        <v>1.53</v>
      </c>
      <c r="F12" s="54">
        <v>3.86</v>
      </c>
      <c r="G12" s="54">
        <v>61.41</v>
      </c>
      <c r="H12" s="54">
        <v>32.61</v>
      </c>
      <c r="I12" s="54">
        <v>5.05</v>
      </c>
      <c r="J12" s="54">
        <v>0.56000000000000005</v>
      </c>
      <c r="K12" s="54">
        <v>315.20999999999998</v>
      </c>
      <c r="L12" s="54">
        <v>23.12</v>
      </c>
      <c r="M12" s="54">
        <v>67.94</v>
      </c>
      <c r="N12" s="54">
        <v>16.80</v>
      </c>
      <c r="O12" s="54">
        <v>0</v>
      </c>
      <c r="P12" s="54">
        <v>0.84</v>
      </c>
      <c r="Q12" s="54">
        <v>10.29</v>
      </c>
      <c r="R12" s="43"/>
      <c r="S12" s="43"/>
      <c r="T12" s="43"/>
      <c r="U12" s="43"/>
    </row>
    <row r="13" spans="1:21" s="11" customFormat="1" ht="15">
      <c r="A13" s="53" t="s">
        <v>714</v>
      </c>
      <c r="B13" s="54">
        <v>16.91</v>
      </c>
      <c r="C13" s="54">
        <v>53.55</v>
      </c>
      <c r="D13" s="54">
        <v>40.479999999999997</v>
      </c>
      <c r="E13" s="54">
        <v>1.59</v>
      </c>
      <c r="F13" s="54">
        <v>3.83</v>
      </c>
      <c r="G13" s="54">
        <v>57.96</v>
      </c>
      <c r="H13" s="54">
        <v>31.14</v>
      </c>
      <c r="I13" s="54">
        <v>5.0199999999999996</v>
      </c>
      <c r="J13" s="54">
        <v>0.61</v>
      </c>
      <c r="K13" s="54">
        <v>318.20999999999998</v>
      </c>
      <c r="L13" s="54">
        <v>23.11</v>
      </c>
      <c r="M13" s="54">
        <v>74.010000000000005</v>
      </c>
      <c r="N13" s="54">
        <v>17</v>
      </c>
      <c r="O13" s="54">
        <v>0</v>
      </c>
      <c r="P13" s="54">
        <v>0.82</v>
      </c>
      <c r="Q13" s="54">
        <v>10.25</v>
      </c>
      <c r="R13" s="43"/>
      <c r="S13" s="43"/>
      <c r="T13" s="43"/>
      <c r="U13" s="43"/>
    </row>
    <row r="14" spans="1:21" s="11" customFormat="1" ht="15">
      <c r="A14" s="53" t="s">
        <v>715</v>
      </c>
      <c r="B14" s="54">
        <v>18.53</v>
      </c>
      <c r="C14" s="54">
        <v>53.47</v>
      </c>
      <c r="D14" s="54">
        <v>42.72</v>
      </c>
      <c r="E14" s="54">
        <v>1.88</v>
      </c>
      <c r="F14" s="54">
        <v>3.59</v>
      </c>
      <c r="G14" s="54">
        <v>71.63</v>
      </c>
      <c r="H14" s="54">
        <v>28.40</v>
      </c>
      <c r="I14" s="54">
        <v>5.04</v>
      </c>
      <c r="J14" s="54">
        <v>0.25</v>
      </c>
      <c r="K14" s="54">
        <v>337.60</v>
      </c>
      <c r="L14" s="54">
        <v>22.30</v>
      </c>
      <c r="M14" s="54">
        <v>76.010000000000005</v>
      </c>
      <c r="N14" s="54">
        <v>20.30</v>
      </c>
      <c r="O14" s="54">
        <v>0</v>
      </c>
      <c r="P14" s="54">
        <v>0.80</v>
      </c>
      <c r="Q14" s="54">
        <v>10.23</v>
      </c>
      <c r="R14" s="43"/>
      <c r="S14" s="43"/>
      <c r="T14" s="43"/>
      <c r="U14" s="43"/>
    </row>
    <row r="15" spans="1:21" s="11" customFormat="1" ht="15">
      <c r="A15" s="53" t="s">
        <v>716</v>
      </c>
      <c r="B15" s="54">
        <v>16.32</v>
      </c>
      <c r="C15" s="54">
        <v>53.07</v>
      </c>
      <c r="D15" s="54">
        <v>40.369999999999997</v>
      </c>
      <c r="E15" s="54">
        <v>1.73</v>
      </c>
      <c r="F15" s="54">
        <v>3.38</v>
      </c>
      <c r="G15" s="54">
        <v>71.63</v>
      </c>
      <c r="H15" s="54">
        <v>37.31</v>
      </c>
      <c r="I15" s="54">
        <v>5.0199999999999996</v>
      </c>
      <c r="J15" s="54">
        <v>0.24</v>
      </c>
      <c r="K15" s="54">
        <v>236.24</v>
      </c>
      <c r="L15" s="54">
        <v>23.54</v>
      </c>
      <c r="M15" s="54">
        <v>66.73</v>
      </c>
      <c r="N15" s="54">
        <v>120.40</v>
      </c>
      <c r="O15" s="54">
        <v>0</v>
      </c>
      <c r="P15" s="54">
        <v>0.78</v>
      </c>
      <c r="Q15" s="54">
        <v>10.19</v>
      </c>
      <c r="R15" s="43"/>
      <c r="S15" s="43"/>
      <c r="T15" s="43"/>
      <c r="U15" s="43"/>
    </row>
    <row r="16" spans="1:21" s="11" customFormat="1" ht="15">
      <c r="A16" s="53" t="s">
        <v>717</v>
      </c>
      <c r="B16" s="54">
        <v>15.21</v>
      </c>
      <c r="C16" s="54">
        <v>51.94</v>
      </c>
      <c r="D16" s="54">
        <v>38.979999999999997</v>
      </c>
      <c r="E16" s="54">
        <v>1.81</v>
      </c>
      <c r="F16" s="54">
        <v>3.63</v>
      </c>
      <c r="G16" s="54">
        <v>66.569999999999993</v>
      </c>
      <c r="H16" s="54">
        <v>38.14</v>
      </c>
      <c r="I16" s="54">
        <v>5.0999999999999996</v>
      </c>
      <c r="J16" s="54">
        <v>0.42</v>
      </c>
      <c r="K16" s="54">
        <v>351.41</v>
      </c>
      <c r="L16" s="54">
        <v>28.19</v>
      </c>
      <c r="M16" s="54">
        <v>56.83</v>
      </c>
      <c r="N16" s="54">
        <v>325</v>
      </c>
      <c r="O16" s="54">
        <v>0</v>
      </c>
      <c r="P16" s="54">
        <v>0.83</v>
      </c>
      <c r="Q16" s="54">
        <v>10.119999999999999</v>
      </c>
      <c r="R16" s="43"/>
      <c r="S16" s="43"/>
      <c r="T16" s="43"/>
      <c r="U16" s="43"/>
    </row>
    <row r="17" spans="1:21" s="11" customFormat="1" ht="15">
      <c r="A17" s="53" t="s">
        <v>718</v>
      </c>
      <c r="B17" s="54">
        <v>14.51</v>
      </c>
      <c r="C17" s="54">
        <v>54.82</v>
      </c>
      <c r="D17" s="54">
        <v>39.08</v>
      </c>
      <c r="E17" s="54">
        <v>1.64</v>
      </c>
      <c r="F17" s="54">
        <v>3.98</v>
      </c>
      <c r="G17" s="54">
        <v>69.790000000000006</v>
      </c>
      <c r="H17" s="54">
        <v>38.14</v>
      </c>
      <c r="I17" s="54">
        <v>5.0199999999999996</v>
      </c>
      <c r="J17" s="54">
        <v>0.25</v>
      </c>
      <c r="K17" s="54">
        <v>355.56</v>
      </c>
      <c r="L17" s="54">
        <v>31.44</v>
      </c>
      <c r="M17" s="54">
        <v>41</v>
      </c>
      <c r="N17" s="54">
        <v>532.70000000000005</v>
      </c>
      <c r="O17" s="54">
        <v>0</v>
      </c>
      <c r="P17" s="54">
        <v>0.91</v>
      </c>
      <c r="Q17" s="54">
        <v>10.10</v>
      </c>
      <c r="R17" s="43"/>
      <c r="S17" s="43"/>
      <c r="T17" s="43"/>
      <c r="U17" s="43"/>
    </row>
    <row r="18" spans="1:21" s="11" customFormat="1" ht="15">
      <c r="A18" s="53" t="s">
        <v>719</v>
      </c>
      <c r="B18" s="54">
        <v>10.57</v>
      </c>
      <c r="C18" s="54">
        <v>60.33</v>
      </c>
      <c r="D18" s="54">
        <v>38.76</v>
      </c>
      <c r="E18" s="54">
        <v>1.37</v>
      </c>
      <c r="F18" s="54">
        <v>4.93</v>
      </c>
      <c r="G18" s="54">
        <v>70.81</v>
      </c>
      <c r="H18" s="54">
        <v>31.66</v>
      </c>
      <c r="I18" s="54">
        <v>5.0199999999999996</v>
      </c>
      <c r="J18" s="54">
        <v>0.5</v>
      </c>
      <c r="K18" s="54">
        <v>330.73</v>
      </c>
      <c r="L18" s="54">
        <v>35.10</v>
      </c>
      <c r="M18" s="54">
        <v>39.92</v>
      </c>
      <c r="N18" s="54">
        <v>714.60</v>
      </c>
      <c r="O18" s="54">
        <v>0</v>
      </c>
      <c r="P18" s="54">
        <v>0.95</v>
      </c>
      <c r="Q18" s="54">
        <v>10.16</v>
      </c>
      <c r="R18" s="43"/>
      <c r="S18" s="43"/>
      <c r="T18" s="43"/>
      <c r="U18" s="43"/>
    </row>
    <row r="19" spans="1:21" s="11" customFormat="1" ht="15">
      <c r="A19" s="53" t="s">
        <v>720</v>
      </c>
      <c r="B19" s="54">
        <v>4.2699999999999996</v>
      </c>
      <c r="C19" s="54">
        <v>58.73</v>
      </c>
      <c r="D19" s="54">
        <v>34.020000000000003</v>
      </c>
      <c r="E19" s="54">
        <v>1.58</v>
      </c>
      <c r="F19" s="54">
        <v>6.95</v>
      </c>
      <c r="G19" s="54">
        <v>70.81</v>
      </c>
      <c r="H19" s="54">
        <v>45.47</v>
      </c>
      <c r="I19" s="54">
        <v>5.04</v>
      </c>
      <c r="J19" s="54">
        <v>0.46</v>
      </c>
      <c r="K19" s="54">
        <v>317.24</v>
      </c>
      <c r="L19" s="54">
        <v>36.07</v>
      </c>
      <c r="M19" s="54">
        <v>34.11</v>
      </c>
      <c r="N19" s="54">
        <v>811.5</v>
      </c>
      <c r="O19" s="54">
        <v>0</v>
      </c>
      <c r="P19" s="54">
        <v>0.89</v>
      </c>
      <c r="Q19" s="54">
        <v>9.86</v>
      </c>
      <c r="R19" s="43"/>
      <c r="S19" s="43"/>
      <c r="T19" s="43"/>
      <c r="U19" s="43"/>
    </row>
    <row r="20" spans="1:21" s="11" customFormat="1" ht="15">
      <c r="A20" s="53" t="s">
        <v>721</v>
      </c>
      <c r="B20" s="54">
        <v>1.91</v>
      </c>
      <c r="C20" s="54">
        <v>55.82</v>
      </c>
      <c r="D20" s="54">
        <v>30.43</v>
      </c>
      <c r="E20" s="54">
        <v>1.83</v>
      </c>
      <c r="F20" s="54">
        <v>9.58</v>
      </c>
      <c r="G20" s="54">
        <v>68.78</v>
      </c>
      <c r="H20" s="54">
        <v>45.47</v>
      </c>
      <c r="I20" s="54">
        <v>5</v>
      </c>
      <c r="J20" s="54">
        <v>0.35</v>
      </c>
      <c r="K20" s="54">
        <v>343.14</v>
      </c>
      <c r="L20" s="54">
        <v>36.409999999999997</v>
      </c>
      <c r="M20" s="54">
        <v>29.57</v>
      </c>
      <c r="N20" s="54">
        <v>854.40</v>
      </c>
      <c r="O20" s="54">
        <v>0</v>
      </c>
      <c r="P20" s="54">
        <v>1.01</v>
      </c>
      <c r="Q20" s="54">
        <v>9.7799999999999994</v>
      </c>
      <c r="R20" s="43"/>
      <c r="S20" s="43"/>
      <c r="T20" s="43"/>
      <c r="U20" s="43"/>
    </row>
    <row r="21" spans="1:21" s="11" customFormat="1" ht="15">
      <c r="A21" s="53" t="s">
        <v>722</v>
      </c>
      <c r="B21" s="54">
        <v>1.62</v>
      </c>
      <c r="C21" s="54">
        <v>56.40</v>
      </c>
      <c r="D21" s="54">
        <v>30.68</v>
      </c>
      <c r="E21" s="54">
        <v>2.52</v>
      </c>
      <c r="F21" s="54">
        <v>9.2200000000000006</v>
      </c>
      <c r="G21" s="54">
        <v>68.849999999999994</v>
      </c>
      <c r="H21" s="54">
        <v>45.17</v>
      </c>
      <c r="I21" s="54">
        <v>5.04</v>
      </c>
      <c r="J21" s="54">
        <v>0.53</v>
      </c>
      <c r="K21" s="54">
        <v>328.70</v>
      </c>
      <c r="L21" s="54">
        <v>36.729999999999997</v>
      </c>
      <c r="M21" s="54">
        <v>29.47</v>
      </c>
      <c r="N21" s="54">
        <v>854.90</v>
      </c>
      <c r="O21" s="54">
        <v>0</v>
      </c>
      <c r="P21" s="54">
        <v>1.06</v>
      </c>
      <c r="Q21" s="54">
        <v>9.76</v>
      </c>
      <c r="R21" s="43"/>
      <c r="S21" s="43"/>
      <c r="T21" s="43"/>
      <c r="U21" s="43"/>
    </row>
    <row r="22" spans="1:21" s="11" customFormat="1" ht="15">
      <c r="A22" s="53" t="s">
        <v>723</v>
      </c>
      <c r="B22" s="54">
        <v>1.56</v>
      </c>
      <c r="C22" s="54">
        <v>56.89</v>
      </c>
      <c r="D22" s="54">
        <v>30.90</v>
      </c>
      <c r="E22" s="54">
        <v>3.30</v>
      </c>
      <c r="F22" s="54">
        <v>9.83</v>
      </c>
      <c r="G22" s="54">
        <v>68.849999999999994</v>
      </c>
      <c r="H22" s="54">
        <v>40.270000000000003</v>
      </c>
      <c r="I22" s="54">
        <v>5.12</v>
      </c>
      <c r="J22" s="54">
        <v>0.21</v>
      </c>
      <c r="K22" s="54">
        <v>283.70999999999998</v>
      </c>
      <c r="L22" s="54">
        <v>36.89</v>
      </c>
      <c r="M22" s="54">
        <v>23.85</v>
      </c>
      <c r="N22" s="54">
        <v>787.70</v>
      </c>
      <c r="O22" s="54">
        <v>0</v>
      </c>
      <c r="P22" s="54">
        <v>0.97</v>
      </c>
      <c r="Q22" s="54">
        <v>9.89</v>
      </c>
      <c r="R22" s="43"/>
      <c r="S22" s="43"/>
      <c r="T22" s="43"/>
      <c r="U22" s="43"/>
    </row>
    <row r="23" spans="1:21" s="11" customFormat="1" ht="15">
      <c r="A23" s="53" t="s">
        <v>724</v>
      </c>
      <c r="B23" s="54">
        <v>1.56</v>
      </c>
      <c r="C23" s="54">
        <v>55.16</v>
      </c>
      <c r="D23" s="54">
        <v>29.99</v>
      </c>
      <c r="E23" s="54">
        <v>2.52</v>
      </c>
      <c r="F23" s="54">
        <v>9.02</v>
      </c>
      <c r="G23" s="54">
        <v>62.34</v>
      </c>
      <c r="H23" s="54">
        <v>32.47</v>
      </c>
      <c r="I23" s="54">
        <v>5.0199999999999996</v>
      </c>
      <c r="J23" s="54">
        <v>0.68</v>
      </c>
      <c r="K23" s="54">
        <v>332.55</v>
      </c>
      <c r="L23" s="54">
        <v>36.31</v>
      </c>
      <c r="M23" s="54">
        <v>23.88</v>
      </c>
      <c r="N23" s="54">
        <v>598.20000000000005</v>
      </c>
      <c r="O23" s="54">
        <v>0</v>
      </c>
      <c r="P23" s="54">
        <v>0.87</v>
      </c>
      <c r="Q23" s="54">
        <v>9.75</v>
      </c>
      <c r="R23" s="43"/>
      <c r="S23" s="43"/>
      <c r="T23" s="43"/>
      <c r="U23" s="43"/>
    </row>
    <row r="24" spans="1:21" s="11" customFormat="1" ht="15">
      <c r="A24" s="53" t="s">
        <v>725</v>
      </c>
      <c r="B24" s="54">
        <v>1.56</v>
      </c>
      <c r="C24" s="54">
        <v>55.62</v>
      </c>
      <c r="D24" s="54">
        <v>30.23</v>
      </c>
      <c r="E24" s="54">
        <v>2.5099999999999998</v>
      </c>
      <c r="F24" s="54">
        <v>8.8000000000000007</v>
      </c>
      <c r="G24" s="54">
        <v>58.40</v>
      </c>
      <c r="H24" s="54">
        <v>28.78</v>
      </c>
      <c r="I24" s="54">
        <v>5.01</v>
      </c>
      <c r="J24" s="54">
        <v>0.24</v>
      </c>
      <c r="K24" s="54">
        <v>325.77</v>
      </c>
      <c r="L24" s="54">
        <v>35.5</v>
      </c>
      <c r="M24" s="54">
        <v>24.19</v>
      </c>
      <c r="N24" s="54">
        <v>348.10</v>
      </c>
      <c r="O24" s="54">
        <v>0</v>
      </c>
      <c r="P24" s="54">
        <v>0.75</v>
      </c>
      <c r="Q24" s="54">
        <v>9.73</v>
      </c>
      <c r="R24" s="43"/>
      <c r="S24" s="43"/>
      <c r="T24" s="43"/>
      <c r="U24" s="43"/>
    </row>
    <row r="25" spans="1:21" s="11" customFormat="1" ht="15">
      <c r="A25" s="53" t="s">
        <v>726</v>
      </c>
      <c r="B25" s="54">
        <v>1.82</v>
      </c>
      <c r="C25" s="54">
        <v>51.17</v>
      </c>
      <c r="D25" s="54">
        <v>28.12</v>
      </c>
      <c r="E25" s="54">
        <v>1.34</v>
      </c>
      <c r="F25" s="54">
        <v>7.69</v>
      </c>
      <c r="G25" s="54">
        <v>52.59</v>
      </c>
      <c r="H25" s="54">
        <v>28.78</v>
      </c>
      <c r="I25" s="54">
        <v>5.0599999999999996</v>
      </c>
      <c r="J25" s="54">
        <v>0.28000000000000003</v>
      </c>
      <c r="K25" s="54">
        <v>319.13</v>
      </c>
      <c r="L25" s="54">
        <v>35.020000000000003</v>
      </c>
      <c r="M25" s="54">
        <v>24.10</v>
      </c>
      <c r="N25" s="54">
        <v>166.70</v>
      </c>
      <c r="O25" s="54">
        <v>0</v>
      </c>
      <c r="P25" s="54">
        <v>0.66</v>
      </c>
      <c r="Q25" s="54">
        <v>9.76</v>
      </c>
      <c r="R25" s="43"/>
      <c r="S25" s="43"/>
      <c r="T25" s="43"/>
      <c r="U25" s="43"/>
    </row>
    <row r="26" spans="1:21" s="11" customFormat="1" ht="15">
      <c r="A26" s="53" t="s">
        <v>727</v>
      </c>
      <c r="B26" s="54">
        <v>2.2999999999999998</v>
      </c>
      <c r="C26" s="54">
        <v>54.82</v>
      </c>
      <c r="D26" s="54">
        <v>30.40</v>
      </c>
      <c r="E26" s="54">
        <v>1.24</v>
      </c>
      <c r="F26" s="54">
        <v>6.46</v>
      </c>
      <c r="G26" s="54">
        <v>50.34</v>
      </c>
      <c r="H26" s="54">
        <v>30.93</v>
      </c>
      <c r="I26" s="54">
        <v>5.05</v>
      </c>
      <c r="J26" s="54">
        <v>0.15</v>
      </c>
      <c r="K26" s="54">
        <v>341.67</v>
      </c>
      <c r="L26" s="54">
        <v>33.979999999999997</v>
      </c>
      <c r="M26" s="54">
        <v>25.91</v>
      </c>
      <c r="N26" s="54">
        <v>70.5</v>
      </c>
      <c r="O26" s="54">
        <v>0</v>
      </c>
      <c r="P26" s="54">
        <v>0.63</v>
      </c>
      <c r="Q26" s="54">
        <v>9.8000000000000007</v>
      </c>
      <c r="R26" s="43"/>
      <c r="S26" s="43"/>
      <c r="T26" s="43"/>
      <c r="U26" s="43"/>
    </row>
    <row r="27" spans="1:21" s="11" customFormat="1" ht="15">
      <c r="A27" s="53" t="s">
        <v>728</v>
      </c>
      <c r="B27" s="54">
        <v>4.74</v>
      </c>
      <c r="C27" s="54">
        <v>63.54</v>
      </c>
      <c r="D27" s="54">
        <v>36.92</v>
      </c>
      <c r="E27" s="54">
        <v>1.33</v>
      </c>
      <c r="F27" s="54">
        <v>4.8499999999999996</v>
      </c>
      <c r="G27" s="54">
        <v>56.45</v>
      </c>
      <c r="H27" s="54">
        <v>30.93</v>
      </c>
      <c r="I27" s="54">
        <v>5.03</v>
      </c>
      <c r="J27" s="54">
        <v>0.32</v>
      </c>
      <c r="K27" s="54">
        <v>229.21</v>
      </c>
      <c r="L27" s="54">
        <v>32</v>
      </c>
      <c r="M27" s="54">
        <v>34.43</v>
      </c>
      <c r="N27" s="54">
        <v>20.60</v>
      </c>
      <c r="O27" s="54">
        <v>0</v>
      </c>
      <c r="P27" s="54">
        <v>0.68</v>
      </c>
      <c r="Q27" s="54">
        <v>9.99</v>
      </c>
      <c r="R27" s="43"/>
      <c r="S27" s="43"/>
      <c r="T27" s="43"/>
      <c r="U27" s="43"/>
    </row>
    <row r="28" spans="1:21" s="11" customFormat="1" ht="15">
      <c r="A28" s="53" t="s">
        <v>729</v>
      </c>
      <c r="B28" s="54">
        <v>6.78</v>
      </c>
      <c r="C28" s="54">
        <v>67.37</v>
      </c>
      <c r="D28" s="54">
        <v>40.56</v>
      </c>
      <c r="E28" s="54">
        <v>2.10</v>
      </c>
      <c r="F28" s="54">
        <v>3.79</v>
      </c>
      <c r="G28" s="54">
        <v>58.27</v>
      </c>
      <c r="H28" s="54">
        <v>29.83</v>
      </c>
      <c r="I28" s="54">
        <v>5.0199999999999996</v>
      </c>
      <c r="J28" s="54">
        <v>0.25</v>
      </c>
      <c r="K28" s="54">
        <v>241.91</v>
      </c>
      <c r="L28" s="54">
        <v>30.38</v>
      </c>
      <c r="M28" s="54">
        <v>34.21</v>
      </c>
      <c r="N28" s="54">
        <v>17.20</v>
      </c>
      <c r="O28" s="54">
        <v>0</v>
      </c>
      <c r="P28" s="54">
        <v>0.71</v>
      </c>
      <c r="Q28" s="54">
        <v>9.91</v>
      </c>
      <c r="R28" s="43"/>
      <c r="S28" s="43"/>
      <c r="T28" s="43"/>
      <c r="U28" s="43"/>
    </row>
    <row r="29" spans="1:21" s="11" customFormat="1" ht="15">
      <c r="A29" s="53" t="s">
        <v>730</v>
      </c>
      <c r="B29" s="54">
        <v>6.11</v>
      </c>
      <c r="C29" s="54">
        <v>65.09</v>
      </c>
      <c r="D29" s="54">
        <v>38.83</v>
      </c>
      <c r="E29" s="54">
        <v>2.42</v>
      </c>
      <c r="F29" s="54">
        <v>4.04</v>
      </c>
      <c r="G29" s="54">
        <v>60</v>
      </c>
      <c r="H29" s="54">
        <v>27.35</v>
      </c>
      <c r="I29" s="54">
        <v>5.01</v>
      </c>
      <c r="J29" s="54">
        <v>0.38</v>
      </c>
      <c r="K29" s="54">
        <v>224.69</v>
      </c>
      <c r="L29" s="54">
        <v>29.34</v>
      </c>
      <c r="M29" s="54">
        <v>36.369999999999997</v>
      </c>
      <c r="N29" s="54">
        <v>17.30</v>
      </c>
      <c r="O29" s="54">
        <v>0</v>
      </c>
      <c r="P29" s="54">
        <v>0.75</v>
      </c>
      <c r="Q29" s="54">
        <v>10.02</v>
      </c>
      <c r="R29" s="43"/>
      <c r="S29" s="43"/>
      <c r="T29" s="43"/>
      <c r="U29" s="43"/>
    </row>
    <row r="30" spans="1:21" s="11" customFormat="1" ht="15">
      <c r="A30" s="53" t="s">
        <v>731</v>
      </c>
      <c r="B30" s="54">
        <v>13.84</v>
      </c>
      <c r="C30" s="54">
        <v>61.72</v>
      </c>
      <c r="D30" s="54">
        <v>43.27</v>
      </c>
      <c r="E30" s="54">
        <v>2.31</v>
      </c>
      <c r="F30" s="54">
        <v>3.74</v>
      </c>
      <c r="G30" s="54">
        <v>68.66</v>
      </c>
      <c r="H30" s="54">
        <v>27.69</v>
      </c>
      <c r="I30" s="54">
        <v>5.05</v>
      </c>
      <c r="J30" s="54">
        <v>0.25</v>
      </c>
      <c r="K30" s="54">
        <v>298.77</v>
      </c>
      <c r="L30" s="54">
        <v>28.14</v>
      </c>
      <c r="M30" s="54">
        <v>43.01</v>
      </c>
      <c r="N30" s="54">
        <v>18</v>
      </c>
      <c r="O30" s="54">
        <v>0</v>
      </c>
      <c r="P30" s="54">
        <v>1.05</v>
      </c>
      <c r="Q30" s="54">
        <v>10.10</v>
      </c>
      <c r="R30" s="43"/>
      <c r="S30" s="43"/>
      <c r="T30" s="43"/>
      <c r="U30" s="43"/>
    </row>
    <row r="31" spans="1:21" s="11" customFormat="1" ht="15">
      <c r="A31" s="53" t="s">
        <v>732</v>
      </c>
      <c r="B31" s="54">
        <v>20.12</v>
      </c>
      <c r="C31" s="54">
        <v>63.55</v>
      </c>
      <c r="D31" s="54">
        <v>49.25</v>
      </c>
      <c r="E31" s="54">
        <v>2.29</v>
      </c>
      <c r="F31" s="54">
        <v>3.41</v>
      </c>
      <c r="G31" s="54">
        <v>69.58</v>
      </c>
      <c r="H31" s="54">
        <v>29.79</v>
      </c>
      <c r="I31" s="54">
        <v>5.03</v>
      </c>
      <c r="J31" s="54">
        <v>0.35</v>
      </c>
      <c r="K31" s="54">
        <v>241.13</v>
      </c>
      <c r="L31" s="54">
        <v>27.24</v>
      </c>
      <c r="M31" s="54">
        <v>47.46</v>
      </c>
      <c r="N31" s="54">
        <v>18</v>
      </c>
      <c r="O31" s="54">
        <v>0</v>
      </c>
      <c r="P31" s="54">
        <v>0.90</v>
      </c>
      <c r="Q31" s="54">
        <v>10.18</v>
      </c>
      <c r="R31" s="43"/>
      <c r="S31" s="43"/>
      <c r="T31" s="43"/>
      <c r="U31" s="43"/>
    </row>
    <row r="32" spans="1:21" s="11" customFormat="1" ht="15">
      <c r="A32" s="53" t="s">
        <v>733</v>
      </c>
      <c r="B32" s="54">
        <v>18.86</v>
      </c>
      <c r="C32" s="54">
        <v>63.25</v>
      </c>
      <c r="D32" s="54">
        <v>48.09</v>
      </c>
      <c r="E32" s="54">
        <v>2.2999999999999998</v>
      </c>
      <c r="F32" s="54">
        <v>3.58</v>
      </c>
      <c r="G32" s="54">
        <v>69.58</v>
      </c>
      <c r="H32" s="54">
        <v>29.82</v>
      </c>
      <c r="I32" s="54">
        <v>5</v>
      </c>
      <c r="J32" s="54">
        <v>0.21</v>
      </c>
      <c r="K32" s="54">
        <v>319.29000000000002</v>
      </c>
      <c r="L32" s="54">
        <v>26.64</v>
      </c>
      <c r="M32" s="54">
        <v>47.54</v>
      </c>
      <c r="N32" s="54">
        <v>17.70</v>
      </c>
      <c r="O32" s="54">
        <v>0</v>
      </c>
      <c r="P32" s="54">
        <v>0.89</v>
      </c>
      <c r="Q32" s="54">
        <v>10.26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1.5600000000000001</v>
      </c>
      <c r="C34" s="28">
        <f t="shared" si="0"/>
        <v>51.170000000000002</v>
      </c>
      <c r="D34" s="28">
        <f t="shared" si="0"/>
        <v>28.120000000000001</v>
      </c>
      <c r="E34" s="28">
        <f t="shared" si="0"/>
        <v>1.24</v>
      </c>
      <c r="F34" s="28">
        <f t="shared" si="0"/>
        <v>3.3799999999999999</v>
      </c>
      <c r="G34" s="28">
        <f t="shared" si="0"/>
        <v>50.340000000000003</v>
      </c>
      <c r="H34" s="28">
        <f t="shared" si="0"/>
        <v>22.800000000000001</v>
      </c>
      <c r="I34" s="28">
        <f t="shared" si="0"/>
        <v>5</v>
      </c>
      <c r="J34" s="28">
        <f t="shared" si="0"/>
        <v>0.14000000000000001</v>
      </c>
      <c r="K34" s="28">
        <f t="shared" si="0"/>
        <v>224.69</v>
      </c>
      <c r="L34" s="28">
        <f t="shared" si="0"/>
        <v>22.300000000000001</v>
      </c>
      <c r="M34" s="28">
        <f t="shared" si="0"/>
        <v>23.850000000000001</v>
      </c>
      <c r="N34" s="28">
        <f t="shared" si="0"/>
        <v>16.699999999999999</v>
      </c>
      <c r="O34" s="28">
        <f t="shared" si="0"/>
        <v>0</v>
      </c>
      <c r="P34" s="28">
        <f t="shared" si="0"/>
        <v>0.63</v>
      </c>
      <c r="Q34" s="28">
        <f t="shared" si="0"/>
        <v>9.7300000000000004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26.030000000000001</v>
      </c>
      <c r="C35" s="29">
        <f t="shared" si="1"/>
        <v>67.370000000000005</v>
      </c>
      <c r="D35" s="29">
        <f t="shared" si="1"/>
        <v>52.659999999999997</v>
      </c>
      <c r="E35" s="29">
        <f t="shared" si="1"/>
        <v>3.2999999999999998</v>
      </c>
      <c r="F35" s="29">
        <f t="shared" si="1"/>
        <v>9.8300000000000001</v>
      </c>
      <c r="G35" s="29">
        <f t="shared" si="1"/>
        <v>71.629999999999995</v>
      </c>
      <c r="H35" s="29">
        <f t="shared" si="1"/>
        <v>45.469999999999999</v>
      </c>
      <c r="I35" s="29">
        <f t="shared" si="1"/>
        <v>5.1200000000000001</v>
      </c>
      <c r="J35" s="29">
        <f t="shared" si="1"/>
        <v>0.68000000000000005</v>
      </c>
      <c r="K35" s="29">
        <f t="shared" si="1"/>
        <v>355.56</v>
      </c>
      <c r="L35" s="29">
        <f t="shared" si="1"/>
        <v>36.890000000000001</v>
      </c>
      <c r="M35" s="29">
        <f t="shared" si="1"/>
        <v>76.010000000000005</v>
      </c>
      <c r="N35" s="29">
        <f t="shared" si="1"/>
        <v>854.89999999999998</v>
      </c>
      <c r="O35" s="29">
        <f t="shared" si="1"/>
        <v>0</v>
      </c>
      <c r="P35" s="29">
        <f t="shared" si="1"/>
        <v>1.23</v>
      </c>
      <c r="Q35" s="29">
        <f t="shared" si="1"/>
        <v>10.359999999999999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10.918333333333335</v>
      </c>
      <c r="C36" s="28">
        <f t="shared" si="2"/>
        <v>57.703750000000007</v>
      </c>
      <c r="D36" s="28">
        <f t="shared" si="2"/>
        <v>38.653749999999995</v>
      </c>
      <c r="E36" s="28">
        <f t="shared" si="2"/>
        <v>1.946666666666667</v>
      </c>
      <c r="F36" s="28">
        <f t="shared" si="2"/>
        <v>5.3687499999999995</v>
      </c>
      <c r="G36" s="28">
        <f t="shared" si="2"/>
        <v>64.743749999999991</v>
      </c>
      <c r="H36" s="28">
        <f t="shared" si="2"/>
        <v>33.09791666666667</v>
      </c>
      <c r="I36" s="28">
        <f t="shared" si="2"/>
        <v>5.0350000000000001</v>
      </c>
      <c r="J36" s="28">
        <f t="shared" si="2"/>
        <v>0.34458333333333341</v>
      </c>
      <c r="K36" s="28">
        <f t="shared" si="2"/>
        <v>307.7616666666666</v>
      </c>
      <c r="L36" s="28">
        <f t="shared" si="2"/>
        <v>29.950833333333332</v>
      </c>
      <c r="M36" s="28">
        <f t="shared" si="2"/>
        <v>45.430416666666673</v>
      </c>
      <c r="N36" s="28">
        <f t="shared" si="2"/>
        <v>266.59583333333336</v>
      </c>
      <c r="O36" s="28">
        <f t="shared" si="2"/>
        <v>0</v>
      </c>
      <c r="P36" s="28">
        <f t="shared" si="2"/>
        <v>0.87250000000000005</v>
      </c>
      <c r="Q36" s="28">
        <f t="shared" si="2"/>
        <v>10.0375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7.9509303074308972</v>
      </c>
      <c r="C37" s="28">
        <f t="shared" si="3" ref="C37:Q37">STDEV(C9:C32)</f>
        <v>4.5119973524699297</v>
      </c>
      <c r="D37" s="28">
        <f t="shared" si="3"/>
        <v>6.9159115922757701</v>
      </c>
      <c r="E37" s="28">
        <f t="shared" si="3"/>
        <v>0.49634022926658283</v>
      </c>
      <c r="F37" s="28">
        <f t="shared" si="3"/>
        <v>2.3560510670260935</v>
      </c>
      <c r="G37" s="28">
        <f t="shared" si="3"/>
        <v>6.3634464359714888</v>
      </c>
      <c r="H37" s="28">
        <f t="shared" si="3"/>
        <v>6.1385588020859227</v>
      </c>
      <c r="I37" s="28">
        <f t="shared" si="3"/>
        <v>0.028130132381951004</v>
      </c>
      <c r="J37" s="28">
        <f t="shared" si="3"/>
        <v>0.15059242912625082</v>
      </c>
      <c r="K37" s="28">
        <f t="shared" si="3"/>
        <v>41.472347798069961</v>
      </c>
      <c r="L37" s="28">
        <f t="shared" si="3"/>
        <v>5.3242651394687712</v>
      </c>
      <c r="M37" s="28">
        <f t="shared" si="3"/>
        <v>18.533338346170193</v>
      </c>
      <c r="N37" s="28">
        <f t="shared" si="3"/>
        <v>327.32362722297603</v>
      </c>
      <c r="O37" s="28">
        <f t="shared" si="3"/>
        <v>0</v>
      </c>
      <c r="P37" s="28">
        <f t="shared" si="3"/>
        <v>0.1436859498138657</v>
      </c>
      <c r="Q37" s="28">
        <f t="shared" si="3"/>
        <v>0.20760015916890928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fc7e561-780a-4594-bfe7-4e929e988269}">
  <sheetPr codeName=""/>
  <dimension ref="A1:U119"/>
  <sheetViews>
    <sheetView zoomScale="85" zoomScaleNormal="85" workbookViewId="0" topLeftCell="A1">
      <selection pane="topLef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734</v>
      </c>
      <c r="B9" s="54">
        <v>14.11</v>
      </c>
      <c r="C9" s="54">
        <v>60.91</v>
      </c>
      <c r="D9" s="54">
        <v>43.05</v>
      </c>
      <c r="E9" s="54">
        <v>2.0499999999999998</v>
      </c>
      <c r="F9" s="54">
        <v>4.22</v>
      </c>
      <c r="G9" s="54">
        <v>63.99</v>
      </c>
      <c r="H9" s="54">
        <v>29.82</v>
      </c>
      <c r="I9" s="54">
        <v>5.03</v>
      </c>
      <c r="J9" s="54">
        <v>0.24</v>
      </c>
      <c r="K9" s="54">
        <v>317.39</v>
      </c>
      <c r="L9" s="54">
        <v>25.61</v>
      </c>
      <c r="M9" s="54">
        <v>49.17</v>
      </c>
      <c r="N9" s="54">
        <v>17.600000000000001</v>
      </c>
      <c r="O9" s="54">
        <v>0</v>
      </c>
      <c r="P9" s="54">
        <v>0.85</v>
      </c>
      <c r="Q9" s="54">
        <v>10.14</v>
      </c>
      <c r="R9" s="43"/>
      <c r="S9" s="43"/>
      <c r="T9" s="43"/>
      <c r="U9" s="43"/>
    </row>
    <row r="10" spans="1:21" s="11" customFormat="1" ht="15">
      <c r="A10" s="53" t="s">
        <v>735</v>
      </c>
      <c r="B10" s="54">
        <v>10.17</v>
      </c>
      <c r="C10" s="54">
        <v>58.86</v>
      </c>
      <c r="D10" s="54">
        <v>38.83</v>
      </c>
      <c r="E10" s="54">
        <v>1.75</v>
      </c>
      <c r="F10" s="54">
        <v>3.83</v>
      </c>
      <c r="G10" s="54">
        <v>63.71</v>
      </c>
      <c r="H10" s="54">
        <v>30.01</v>
      </c>
      <c r="I10" s="54">
        <v>5.03</v>
      </c>
      <c r="J10" s="54">
        <v>0.23</v>
      </c>
      <c r="K10" s="54">
        <v>311.29000000000002</v>
      </c>
      <c r="L10" s="54">
        <v>24.87</v>
      </c>
      <c r="M10" s="54">
        <v>52.29</v>
      </c>
      <c r="N10" s="54">
        <v>17.70</v>
      </c>
      <c r="O10" s="54">
        <v>0</v>
      </c>
      <c r="P10" s="54">
        <v>0.76</v>
      </c>
      <c r="Q10" s="54">
        <v>10.06</v>
      </c>
      <c r="R10" s="43"/>
      <c r="S10" s="43"/>
      <c r="T10" s="43"/>
      <c r="U10" s="43"/>
    </row>
    <row r="11" spans="1:21" s="11" customFormat="1" ht="15">
      <c r="A11" s="53" t="s">
        <v>736</v>
      </c>
      <c r="B11" s="54">
        <v>9.18</v>
      </c>
      <c r="C11" s="54">
        <v>54.10</v>
      </c>
      <c r="D11" s="54">
        <v>35.549999999999997</v>
      </c>
      <c r="E11" s="54">
        <v>1.5</v>
      </c>
      <c r="F11" s="54">
        <v>3.72</v>
      </c>
      <c r="G11" s="54">
        <v>61.35</v>
      </c>
      <c r="H11" s="54">
        <v>31.01</v>
      </c>
      <c r="I11" s="54">
        <v>4.99</v>
      </c>
      <c r="J11" s="54">
        <v>0.63</v>
      </c>
      <c r="K11" s="54">
        <v>293.26</v>
      </c>
      <c r="L11" s="54">
        <v>24.81</v>
      </c>
      <c r="M11" s="54">
        <v>56.40</v>
      </c>
      <c r="N11" s="54">
        <v>17.899999999999999</v>
      </c>
      <c r="O11" s="54">
        <v>0</v>
      </c>
      <c r="P11" s="54">
        <v>0.76</v>
      </c>
      <c r="Q11" s="54">
        <v>10.08</v>
      </c>
      <c r="R11" s="43"/>
      <c r="S11" s="43"/>
      <c r="T11" s="43"/>
      <c r="U11" s="43"/>
    </row>
    <row r="12" spans="1:21" s="11" customFormat="1" ht="15">
      <c r="A12" s="53" t="s">
        <v>737</v>
      </c>
      <c r="B12" s="54">
        <v>8.7899999999999991</v>
      </c>
      <c r="C12" s="54">
        <v>50.88</v>
      </c>
      <c r="D12" s="54">
        <v>33.549999999999997</v>
      </c>
      <c r="E12" s="54">
        <v>1.93</v>
      </c>
      <c r="F12" s="54">
        <v>3.71</v>
      </c>
      <c r="G12" s="54">
        <v>56.35</v>
      </c>
      <c r="H12" s="54">
        <v>31.01</v>
      </c>
      <c r="I12" s="54">
        <v>5.03</v>
      </c>
      <c r="J12" s="54">
        <v>0.32</v>
      </c>
      <c r="K12" s="54">
        <v>271.06</v>
      </c>
      <c r="L12" s="54">
        <v>24.81</v>
      </c>
      <c r="M12" s="54">
        <v>57.95</v>
      </c>
      <c r="N12" s="54">
        <v>17.70</v>
      </c>
      <c r="O12" s="54">
        <v>0</v>
      </c>
      <c r="P12" s="54">
        <v>0.74</v>
      </c>
      <c r="Q12" s="54">
        <v>10.06</v>
      </c>
      <c r="R12" s="43"/>
      <c r="S12" s="43"/>
      <c r="T12" s="43"/>
      <c r="U12" s="43"/>
    </row>
    <row r="13" spans="1:21" s="11" customFormat="1" ht="15">
      <c r="A13" s="53" t="s">
        <v>738</v>
      </c>
      <c r="B13" s="54">
        <v>8.02</v>
      </c>
      <c r="C13" s="54">
        <v>52.29</v>
      </c>
      <c r="D13" s="54">
        <v>33.67</v>
      </c>
      <c r="E13" s="54">
        <v>0.91</v>
      </c>
      <c r="F13" s="54">
        <v>3.75</v>
      </c>
      <c r="G13" s="54">
        <v>53.77</v>
      </c>
      <c r="H13" s="54">
        <v>29.44</v>
      </c>
      <c r="I13" s="54">
        <v>5.03</v>
      </c>
      <c r="J13" s="54">
        <v>0.23</v>
      </c>
      <c r="K13" s="54">
        <v>314.77999999999997</v>
      </c>
      <c r="L13" s="54">
        <v>23.57</v>
      </c>
      <c r="M13" s="54">
        <v>66.81</v>
      </c>
      <c r="N13" s="54">
        <v>18</v>
      </c>
      <c r="O13" s="54">
        <v>0</v>
      </c>
      <c r="P13" s="54">
        <v>0.70</v>
      </c>
      <c r="Q13" s="54">
        <v>9.92</v>
      </c>
      <c r="R13" s="43"/>
      <c r="S13" s="43"/>
      <c r="T13" s="43"/>
      <c r="U13" s="43"/>
    </row>
    <row r="14" spans="1:21" s="11" customFormat="1" ht="15">
      <c r="A14" s="53" t="s">
        <v>739</v>
      </c>
      <c r="B14" s="54">
        <v>12.61</v>
      </c>
      <c r="C14" s="54">
        <v>54.65</v>
      </c>
      <c r="D14" s="54">
        <v>38.520000000000003</v>
      </c>
      <c r="E14" s="54">
        <v>1.0900000000000001</v>
      </c>
      <c r="F14" s="54">
        <v>3.34</v>
      </c>
      <c r="G14" s="54">
        <v>57.66</v>
      </c>
      <c r="H14" s="54">
        <v>30.49</v>
      </c>
      <c r="I14" s="54">
        <v>5.05</v>
      </c>
      <c r="J14" s="54">
        <v>0.23</v>
      </c>
      <c r="K14" s="54">
        <v>354.49</v>
      </c>
      <c r="L14" s="54">
        <v>23.42</v>
      </c>
      <c r="M14" s="54">
        <v>73.06</v>
      </c>
      <c r="N14" s="54">
        <v>22.20</v>
      </c>
      <c r="O14" s="54">
        <v>0</v>
      </c>
      <c r="P14" s="54">
        <v>0.74</v>
      </c>
      <c r="Q14" s="54">
        <v>10.09</v>
      </c>
      <c r="R14" s="43"/>
      <c r="S14" s="43"/>
      <c r="T14" s="43"/>
      <c r="U14" s="43"/>
    </row>
    <row r="15" spans="1:21" s="11" customFormat="1" ht="15">
      <c r="A15" s="53" t="s">
        <v>740</v>
      </c>
      <c r="B15" s="54">
        <v>23.11</v>
      </c>
      <c r="C15" s="54">
        <v>55.07</v>
      </c>
      <c r="D15" s="54">
        <v>47.23</v>
      </c>
      <c r="E15" s="54">
        <v>1.1100000000000001</v>
      </c>
      <c r="F15" s="54">
        <v>3.62</v>
      </c>
      <c r="G15" s="54">
        <v>79.760000000000005</v>
      </c>
      <c r="H15" s="54">
        <v>33.270000000000003</v>
      </c>
      <c r="I15" s="54">
        <v>5.0599999999999996</v>
      </c>
      <c r="J15" s="54">
        <v>0.21</v>
      </c>
      <c r="K15" s="54">
        <v>308.20999999999998</v>
      </c>
      <c r="L15" s="54">
        <v>25.15</v>
      </c>
      <c r="M15" s="54">
        <v>74.70</v>
      </c>
      <c r="N15" s="54">
        <v>118.90</v>
      </c>
      <c r="O15" s="54">
        <v>0</v>
      </c>
      <c r="P15" s="54">
        <v>0.77</v>
      </c>
      <c r="Q15" s="54">
        <v>10.23</v>
      </c>
      <c r="R15" s="43"/>
      <c r="S15" s="43"/>
      <c r="T15" s="43"/>
      <c r="U15" s="43"/>
    </row>
    <row r="16" spans="1:21" s="11" customFormat="1" ht="15">
      <c r="A16" s="53" t="s">
        <v>741</v>
      </c>
      <c r="B16" s="54">
        <v>25.86</v>
      </c>
      <c r="C16" s="54">
        <v>55.54</v>
      </c>
      <c r="D16" s="54">
        <v>49.43</v>
      </c>
      <c r="E16" s="54">
        <v>1.1399999999999999</v>
      </c>
      <c r="F16" s="54">
        <v>3.71</v>
      </c>
      <c r="G16" s="54">
        <v>79.760000000000005</v>
      </c>
      <c r="H16" s="54">
        <v>34.119999999999997</v>
      </c>
      <c r="I16" s="54">
        <v>5.0199999999999996</v>
      </c>
      <c r="J16" s="54">
        <v>0.55000000000000004</v>
      </c>
      <c r="K16" s="54">
        <v>210.93</v>
      </c>
      <c r="L16" s="54">
        <v>26</v>
      </c>
      <c r="M16" s="54">
        <v>53.75</v>
      </c>
      <c r="N16" s="54">
        <v>166.90</v>
      </c>
      <c r="O16" s="54">
        <v>0</v>
      </c>
      <c r="P16" s="54">
        <v>0.75</v>
      </c>
      <c r="Q16" s="54">
        <v>10.35</v>
      </c>
      <c r="R16" s="43"/>
      <c r="S16" s="43"/>
      <c r="T16" s="43"/>
      <c r="U16" s="43"/>
    </row>
    <row r="17" spans="1:21" s="11" customFormat="1" ht="15">
      <c r="A17" s="53" t="s">
        <v>742</v>
      </c>
      <c r="B17" s="54">
        <v>21.70</v>
      </c>
      <c r="C17" s="54">
        <v>56.21</v>
      </c>
      <c r="D17" s="54">
        <v>45.35</v>
      </c>
      <c r="E17" s="54">
        <v>1.30</v>
      </c>
      <c r="F17" s="54">
        <v>3.63</v>
      </c>
      <c r="G17" s="54">
        <v>79.28</v>
      </c>
      <c r="H17" s="54">
        <v>34.119999999999997</v>
      </c>
      <c r="I17" s="54">
        <v>5.03</v>
      </c>
      <c r="J17" s="54">
        <v>1.39</v>
      </c>
      <c r="K17" s="54">
        <v>162.08000000000001</v>
      </c>
      <c r="L17" s="54">
        <v>28.89</v>
      </c>
      <c r="M17" s="54">
        <v>52.81</v>
      </c>
      <c r="N17" s="54">
        <v>484.5</v>
      </c>
      <c r="O17" s="54">
        <v>0</v>
      </c>
      <c r="P17" s="54">
        <v>0.75</v>
      </c>
      <c r="Q17" s="54">
        <v>10.24</v>
      </c>
      <c r="R17" s="43"/>
      <c r="S17" s="43"/>
      <c r="T17" s="43"/>
      <c r="U17" s="43"/>
    </row>
    <row r="18" spans="1:21" s="11" customFormat="1" ht="15">
      <c r="A18" s="53" t="s">
        <v>743</v>
      </c>
      <c r="B18" s="54">
        <v>13.35</v>
      </c>
      <c r="C18" s="54">
        <v>59.10</v>
      </c>
      <c r="D18" s="54">
        <v>40.74</v>
      </c>
      <c r="E18" s="54">
        <v>1.23</v>
      </c>
      <c r="F18" s="54">
        <v>4.2699999999999996</v>
      </c>
      <c r="G18" s="54">
        <v>76.36</v>
      </c>
      <c r="H18" s="54">
        <v>30.94</v>
      </c>
      <c r="I18" s="54">
        <v>5.0199999999999996</v>
      </c>
      <c r="J18" s="54">
        <v>1.07</v>
      </c>
      <c r="K18" s="54">
        <v>176.93</v>
      </c>
      <c r="L18" s="54">
        <v>31.23</v>
      </c>
      <c r="M18" s="54">
        <v>38.56</v>
      </c>
      <c r="N18" s="54">
        <v>604.60</v>
      </c>
      <c r="O18" s="54">
        <v>0</v>
      </c>
      <c r="P18" s="54">
        <v>0.72</v>
      </c>
      <c r="Q18" s="54">
        <v>10</v>
      </c>
      <c r="R18" s="43"/>
      <c r="S18" s="43"/>
      <c r="T18" s="43"/>
      <c r="U18" s="43"/>
    </row>
    <row r="19" spans="1:21" s="11" customFormat="1" ht="15">
      <c r="A19" s="53" t="s">
        <v>744</v>
      </c>
      <c r="B19" s="54">
        <v>4.8600000000000003</v>
      </c>
      <c r="C19" s="54">
        <v>59.27</v>
      </c>
      <c r="D19" s="54">
        <v>34.78</v>
      </c>
      <c r="E19" s="54">
        <v>1.97</v>
      </c>
      <c r="F19" s="54">
        <v>12.47</v>
      </c>
      <c r="G19" s="54">
        <v>70.67</v>
      </c>
      <c r="H19" s="54">
        <v>30.94</v>
      </c>
      <c r="I19" s="54">
        <v>5.04</v>
      </c>
      <c r="J19" s="54">
        <v>0.18</v>
      </c>
      <c r="K19" s="54">
        <v>345.34</v>
      </c>
      <c r="L19" s="54">
        <v>34.270000000000003</v>
      </c>
      <c r="M19" s="54">
        <v>33.46</v>
      </c>
      <c r="N19" s="54">
        <v>730.80</v>
      </c>
      <c r="O19" s="54">
        <v>0</v>
      </c>
      <c r="P19" s="54">
        <v>0.71</v>
      </c>
      <c r="Q19" s="54">
        <v>9.93</v>
      </c>
      <c r="R19" s="43"/>
      <c r="S19" s="43"/>
      <c r="T19" s="43"/>
      <c r="U19" s="43"/>
    </row>
    <row r="20" spans="1:21" s="11" customFormat="1" ht="15">
      <c r="A20" s="53" t="s">
        <v>745</v>
      </c>
      <c r="B20" s="54">
        <v>2.58</v>
      </c>
      <c r="C20" s="54">
        <v>52.41</v>
      </c>
      <c r="D20" s="54">
        <v>29.16</v>
      </c>
      <c r="E20" s="54">
        <v>1.77</v>
      </c>
      <c r="F20" s="54">
        <v>9.75</v>
      </c>
      <c r="G20" s="54">
        <v>56.11</v>
      </c>
      <c r="H20" s="54">
        <v>33.97</v>
      </c>
      <c r="I20" s="54">
        <v>5</v>
      </c>
      <c r="J20" s="54">
        <v>0.31</v>
      </c>
      <c r="K20" s="54">
        <v>349.34</v>
      </c>
      <c r="L20" s="54">
        <v>36.79</v>
      </c>
      <c r="M20" s="54">
        <v>26.82</v>
      </c>
      <c r="N20" s="54">
        <v>847.70</v>
      </c>
      <c r="O20" s="54">
        <v>0</v>
      </c>
      <c r="P20" s="54">
        <v>0.64</v>
      </c>
      <c r="Q20" s="54">
        <v>9.74</v>
      </c>
      <c r="R20" s="43"/>
      <c r="S20" s="43"/>
      <c r="T20" s="43"/>
      <c r="U20" s="43"/>
    </row>
    <row r="21" spans="1:21" s="11" customFormat="1" ht="15">
      <c r="A21" s="53" t="s">
        <v>746</v>
      </c>
      <c r="B21" s="54">
        <v>2.12</v>
      </c>
      <c r="C21" s="54">
        <v>50.87</v>
      </c>
      <c r="D21" s="54">
        <v>27.76</v>
      </c>
      <c r="E21" s="54">
        <v>2.06</v>
      </c>
      <c r="F21" s="54">
        <v>19.34</v>
      </c>
      <c r="G21" s="54">
        <v>65.62</v>
      </c>
      <c r="H21" s="54">
        <v>35.94</v>
      </c>
      <c r="I21" s="54">
        <v>3.51</v>
      </c>
      <c r="J21" s="54">
        <v>0.22</v>
      </c>
      <c r="K21" s="54">
        <v>353.61</v>
      </c>
      <c r="L21" s="54">
        <v>36.92</v>
      </c>
      <c r="M21" s="54">
        <v>22.97</v>
      </c>
      <c r="N21" s="54">
        <v>818.90</v>
      </c>
      <c r="O21" s="54">
        <v>0</v>
      </c>
      <c r="P21" s="54">
        <v>0.59</v>
      </c>
      <c r="Q21" s="54">
        <v>9.77</v>
      </c>
      <c r="R21" s="43"/>
      <c r="S21" s="43"/>
      <c r="T21" s="43"/>
      <c r="U21" s="43"/>
    </row>
    <row r="22" spans="1:21" s="11" customFormat="1" ht="15">
      <c r="A22" s="53" t="s">
        <v>747</v>
      </c>
      <c r="B22" s="54">
        <v>1.32</v>
      </c>
      <c r="C22" s="54">
        <v>51.48</v>
      </c>
      <c r="D22" s="54">
        <v>27.88</v>
      </c>
      <c r="E22" s="54">
        <v>3.76</v>
      </c>
      <c r="F22" s="54">
        <v>25.94</v>
      </c>
      <c r="G22" s="54">
        <v>65.62</v>
      </c>
      <c r="H22" s="54">
        <v>35.94</v>
      </c>
      <c r="I22" s="54">
        <v>3.10</v>
      </c>
      <c r="J22" s="54">
        <v>0.45</v>
      </c>
      <c r="K22" s="54">
        <v>334.97</v>
      </c>
      <c r="L22" s="54">
        <v>38.409999999999997</v>
      </c>
      <c r="M22" s="54">
        <v>21.57</v>
      </c>
      <c r="N22" s="54">
        <v>746.60</v>
      </c>
      <c r="O22" s="54">
        <v>0</v>
      </c>
      <c r="P22" s="54">
        <v>0.5</v>
      </c>
      <c r="Q22" s="54">
        <v>9.77</v>
      </c>
      <c r="R22" s="43"/>
      <c r="S22" s="43"/>
      <c r="T22" s="43"/>
      <c r="U22" s="43"/>
    </row>
    <row r="23" spans="1:21" s="11" customFormat="1" ht="15">
      <c r="A23" s="53" t="s">
        <v>748</v>
      </c>
      <c r="B23" s="54">
        <v>1.1599999999999999</v>
      </c>
      <c r="C23" s="54">
        <v>45.99</v>
      </c>
      <c r="D23" s="54">
        <v>24.85</v>
      </c>
      <c r="E23" s="54">
        <v>2.2400000000000002</v>
      </c>
      <c r="F23" s="54">
        <v>16.940000000000001</v>
      </c>
      <c r="G23" s="54">
        <v>57.10</v>
      </c>
      <c r="H23" s="54">
        <v>30.10</v>
      </c>
      <c r="I23" s="54">
        <v>2.09</v>
      </c>
      <c r="J23" s="54">
        <v>0.44</v>
      </c>
      <c r="K23" s="54">
        <v>352.13</v>
      </c>
      <c r="L23" s="54">
        <v>38.25</v>
      </c>
      <c r="M23" s="54">
        <v>20.149999999999999</v>
      </c>
      <c r="N23" s="54">
        <v>629.10</v>
      </c>
      <c r="O23" s="54">
        <v>0</v>
      </c>
      <c r="P23" s="54">
        <v>0.51</v>
      </c>
      <c r="Q23" s="54">
        <v>9.56</v>
      </c>
      <c r="R23" s="43"/>
      <c r="S23" s="43"/>
      <c r="T23" s="43"/>
      <c r="U23" s="43"/>
    </row>
    <row r="24" spans="1:21" s="11" customFormat="1" ht="15">
      <c r="A24" s="53" t="s">
        <v>749</v>
      </c>
      <c r="B24" s="54">
        <v>0.66</v>
      </c>
      <c r="C24" s="54">
        <v>53.91</v>
      </c>
      <c r="D24" s="54">
        <v>28.57</v>
      </c>
      <c r="E24" s="54">
        <v>1.90</v>
      </c>
      <c r="F24" s="54">
        <v>16.38</v>
      </c>
      <c r="G24" s="54">
        <v>51.27</v>
      </c>
      <c r="H24" s="54">
        <v>28.79</v>
      </c>
      <c r="I24" s="54">
        <v>1.88</v>
      </c>
      <c r="J24" s="54">
        <v>0.42</v>
      </c>
      <c r="K24" s="54">
        <v>346.91</v>
      </c>
      <c r="L24" s="54">
        <v>37.200000000000003</v>
      </c>
      <c r="M24" s="54">
        <v>20.76</v>
      </c>
      <c r="N24" s="54">
        <v>357.5</v>
      </c>
      <c r="O24" s="54">
        <v>0</v>
      </c>
      <c r="P24" s="54">
        <v>0.42</v>
      </c>
      <c r="Q24" s="54">
        <v>9.67</v>
      </c>
      <c r="R24" s="43"/>
      <c r="S24" s="43"/>
      <c r="T24" s="43"/>
      <c r="U24" s="43"/>
    </row>
    <row r="25" spans="1:21" s="11" customFormat="1" ht="15">
      <c r="A25" s="53" t="s">
        <v>750</v>
      </c>
      <c r="B25" s="54">
        <v>0.78</v>
      </c>
      <c r="C25" s="54">
        <v>57.45</v>
      </c>
      <c r="D25" s="54">
        <v>30.39</v>
      </c>
      <c r="E25" s="54">
        <v>1.27</v>
      </c>
      <c r="F25" s="54">
        <v>13.99</v>
      </c>
      <c r="G25" s="54">
        <v>51.27</v>
      </c>
      <c r="H25" s="54">
        <v>28.79</v>
      </c>
      <c r="I25" s="54">
        <v>1.69</v>
      </c>
      <c r="J25" s="54">
        <v>0.31</v>
      </c>
      <c r="K25" s="54">
        <v>358.41</v>
      </c>
      <c r="L25" s="54">
        <v>35.700000000000003</v>
      </c>
      <c r="M25" s="54">
        <v>22.75</v>
      </c>
      <c r="N25" s="54">
        <v>166.30</v>
      </c>
      <c r="O25" s="54">
        <v>0</v>
      </c>
      <c r="P25" s="54">
        <v>0.43</v>
      </c>
      <c r="Q25" s="54">
        <v>9.90</v>
      </c>
      <c r="R25" s="43"/>
      <c r="S25" s="43"/>
      <c r="T25" s="43"/>
      <c r="U25" s="43"/>
    </row>
    <row r="26" spans="1:21" s="11" customFormat="1" ht="15">
      <c r="A26" s="53" t="s">
        <v>751</v>
      </c>
      <c r="B26" s="54">
        <v>0.90</v>
      </c>
      <c r="C26" s="54">
        <v>49.42</v>
      </c>
      <c r="D26" s="54">
        <v>26.17</v>
      </c>
      <c r="E26" s="54">
        <v>1.72</v>
      </c>
      <c r="F26" s="54">
        <v>16.059999999999999</v>
      </c>
      <c r="G26" s="54">
        <v>55.03</v>
      </c>
      <c r="H26" s="54">
        <v>26.10</v>
      </c>
      <c r="I26" s="54">
        <v>2.4900000000000002</v>
      </c>
      <c r="J26" s="54">
        <v>0.38</v>
      </c>
      <c r="K26" s="54">
        <v>242.80</v>
      </c>
      <c r="L26" s="54">
        <v>34.32</v>
      </c>
      <c r="M26" s="54">
        <v>27.71</v>
      </c>
      <c r="N26" s="54">
        <v>79.400000000000006</v>
      </c>
      <c r="O26" s="54">
        <v>0</v>
      </c>
      <c r="P26" s="54">
        <v>0.55000000000000004</v>
      </c>
      <c r="Q26" s="54">
        <v>9.74</v>
      </c>
      <c r="R26" s="43"/>
      <c r="S26" s="43"/>
      <c r="T26" s="43"/>
      <c r="U26" s="43"/>
    </row>
    <row r="27" spans="1:21" s="11" customFormat="1" ht="15">
      <c r="A27" s="53" t="s">
        <v>752</v>
      </c>
      <c r="B27" s="54">
        <v>5.32</v>
      </c>
      <c r="C27" s="54">
        <v>54.88</v>
      </c>
      <c r="D27" s="54">
        <v>32.85</v>
      </c>
      <c r="E27" s="54">
        <v>1.05</v>
      </c>
      <c r="F27" s="54">
        <v>6.07</v>
      </c>
      <c r="G27" s="54">
        <v>66.56</v>
      </c>
      <c r="H27" s="54">
        <v>26.10</v>
      </c>
      <c r="I27" s="54">
        <v>3.71</v>
      </c>
      <c r="J27" s="54">
        <v>0.34</v>
      </c>
      <c r="K27" s="54">
        <v>222.40</v>
      </c>
      <c r="L27" s="54">
        <v>31.94</v>
      </c>
      <c r="M27" s="54">
        <v>32.85</v>
      </c>
      <c r="N27" s="54">
        <v>26.5</v>
      </c>
      <c r="O27" s="54">
        <v>0</v>
      </c>
      <c r="P27" s="54">
        <v>0.63</v>
      </c>
      <c r="Q27" s="54">
        <v>9.8800000000000008</v>
      </c>
      <c r="R27" s="43"/>
      <c r="S27" s="43"/>
      <c r="T27" s="43"/>
      <c r="U27" s="43"/>
    </row>
    <row r="28" spans="1:21" s="11" customFormat="1" ht="15">
      <c r="A28" s="53" t="s">
        <v>753</v>
      </c>
      <c r="B28" s="54">
        <v>6.60</v>
      </c>
      <c r="C28" s="54">
        <v>76.790000000000006</v>
      </c>
      <c r="D28" s="54">
        <v>45.04</v>
      </c>
      <c r="E28" s="54">
        <v>2.11</v>
      </c>
      <c r="F28" s="54">
        <v>3.85</v>
      </c>
      <c r="G28" s="54">
        <v>68.42</v>
      </c>
      <c r="H28" s="54">
        <v>25.90</v>
      </c>
      <c r="I28" s="54">
        <v>4.49</v>
      </c>
      <c r="J28" s="54">
        <v>0.37</v>
      </c>
      <c r="K28" s="54">
        <v>215.14</v>
      </c>
      <c r="L28" s="54">
        <v>30.76</v>
      </c>
      <c r="M28" s="54">
        <v>34.58</v>
      </c>
      <c r="N28" s="54">
        <v>25.70</v>
      </c>
      <c r="O28" s="54">
        <v>0</v>
      </c>
      <c r="P28" s="54">
        <v>0.74</v>
      </c>
      <c r="Q28" s="54">
        <v>9.65</v>
      </c>
      <c r="R28" s="43"/>
      <c r="S28" s="43"/>
      <c r="T28" s="43"/>
      <c r="U28" s="43"/>
    </row>
    <row r="29" spans="1:21" s="11" customFormat="1" ht="15">
      <c r="A29" s="53" t="s">
        <v>754</v>
      </c>
      <c r="B29" s="54">
        <v>8.65</v>
      </c>
      <c r="C29" s="54">
        <v>71.81</v>
      </c>
      <c r="D29" s="54">
        <v>43.58</v>
      </c>
      <c r="E29" s="54">
        <v>1.67</v>
      </c>
      <c r="F29" s="54">
        <v>4.05</v>
      </c>
      <c r="G29" s="54">
        <v>74.489999999999995</v>
      </c>
      <c r="H29" s="54">
        <v>35.67</v>
      </c>
      <c r="I29" s="54">
        <v>5.18</v>
      </c>
      <c r="J29" s="54">
        <v>0.30</v>
      </c>
      <c r="K29" s="54">
        <v>340.14</v>
      </c>
      <c r="L29" s="54">
        <v>29.81</v>
      </c>
      <c r="M29" s="54">
        <v>35.409999999999997</v>
      </c>
      <c r="N29" s="54">
        <v>26.70</v>
      </c>
      <c r="O29" s="54">
        <v>0</v>
      </c>
      <c r="P29" s="54">
        <v>0.84</v>
      </c>
      <c r="Q29" s="54">
        <v>10.02</v>
      </c>
      <c r="R29" s="43"/>
      <c r="S29" s="43"/>
      <c r="T29" s="43"/>
      <c r="U29" s="43"/>
    </row>
    <row r="30" spans="1:21" s="11" customFormat="1" ht="15">
      <c r="A30" s="53" t="s">
        <v>755</v>
      </c>
      <c r="B30" s="54">
        <v>8.25</v>
      </c>
      <c r="C30" s="54">
        <v>64.84</v>
      </c>
      <c r="D30" s="54">
        <v>40.409999999999997</v>
      </c>
      <c r="E30" s="54">
        <v>1.66</v>
      </c>
      <c r="F30" s="54">
        <v>3.88</v>
      </c>
      <c r="G30" s="54">
        <v>75.260000000000005</v>
      </c>
      <c r="H30" s="54">
        <v>35.67</v>
      </c>
      <c r="I30" s="54">
        <v>6.34</v>
      </c>
      <c r="J30" s="54">
        <v>0.39</v>
      </c>
      <c r="K30" s="54">
        <v>325.85000000000002</v>
      </c>
      <c r="L30" s="54">
        <v>29.70</v>
      </c>
      <c r="M30" s="54">
        <v>37.630000000000003</v>
      </c>
      <c r="N30" s="54">
        <v>27.90</v>
      </c>
      <c r="O30" s="54">
        <v>0</v>
      </c>
      <c r="P30" s="54">
        <v>0.86</v>
      </c>
      <c r="Q30" s="54">
        <v>10.210000000000001</v>
      </c>
      <c r="R30" s="43"/>
      <c r="S30" s="43"/>
      <c r="T30" s="43"/>
      <c r="U30" s="43"/>
    </row>
    <row r="31" spans="1:21" s="11" customFormat="1" ht="15">
      <c r="A31" s="53" t="s">
        <v>756</v>
      </c>
      <c r="B31" s="54">
        <v>6.40</v>
      </c>
      <c r="C31" s="54">
        <v>52.40</v>
      </c>
      <c r="D31" s="54">
        <v>32.43</v>
      </c>
      <c r="E31" s="54">
        <v>1.59</v>
      </c>
      <c r="F31" s="54">
        <v>3.84</v>
      </c>
      <c r="G31" s="54">
        <v>76.98</v>
      </c>
      <c r="H31" s="54">
        <v>39.19</v>
      </c>
      <c r="I31" s="54">
        <v>6.70</v>
      </c>
      <c r="J31" s="54">
        <v>0.40</v>
      </c>
      <c r="K31" s="54">
        <v>228.67</v>
      </c>
      <c r="L31" s="54">
        <v>28.26</v>
      </c>
      <c r="M31" s="54">
        <v>43.25</v>
      </c>
      <c r="N31" s="54">
        <v>28.80</v>
      </c>
      <c r="O31" s="54">
        <v>0</v>
      </c>
      <c r="P31" s="54">
        <v>0.83</v>
      </c>
      <c r="Q31" s="54">
        <v>9.86</v>
      </c>
      <c r="R31" s="43"/>
      <c r="S31" s="43"/>
      <c r="T31" s="43"/>
      <c r="U31" s="43"/>
    </row>
    <row r="32" spans="1:21" s="11" customFormat="1" ht="15">
      <c r="A32" s="53" t="s">
        <v>757</v>
      </c>
      <c r="B32" s="54">
        <v>5.43</v>
      </c>
      <c r="C32" s="54">
        <v>49.58</v>
      </c>
      <c r="D32" s="54">
        <v>30.17</v>
      </c>
      <c r="E32" s="54">
        <v>1.71</v>
      </c>
      <c r="F32" s="54">
        <v>3.88</v>
      </c>
      <c r="G32" s="54">
        <v>76.98</v>
      </c>
      <c r="H32" s="54">
        <v>39.19</v>
      </c>
      <c r="I32" s="54">
        <v>5.95</v>
      </c>
      <c r="J32" s="54">
        <v>0.17</v>
      </c>
      <c r="K32" s="54">
        <v>302.86</v>
      </c>
      <c r="L32" s="54">
        <v>26.92</v>
      </c>
      <c r="M32" s="54">
        <v>48.17</v>
      </c>
      <c r="N32" s="54">
        <v>28.90</v>
      </c>
      <c r="O32" s="54">
        <v>0</v>
      </c>
      <c r="P32" s="54">
        <v>0.78</v>
      </c>
      <c r="Q32" s="54">
        <v>9.7899999999999991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0.66000000000000003</v>
      </c>
      <c r="C34" s="28">
        <f t="shared" si="0"/>
        <v>45.990000000000002</v>
      </c>
      <c r="D34" s="28">
        <f t="shared" si="0"/>
        <v>24.850000000000001</v>
      </c>
      <c r="E34" s="28">
        <f t="shared" si="0"/>
        <v>0.91000000000000003</v>
      </c>
      <c r="F34" s="28">
        <f t="shared" si="0"/>
        <v>3.3399999999999999</v>
      </c>
      <c r="G34" s="28">
        <f t="shared" si="0"/>
        <v>51.270000000000003</v>
      </c>
      <c r="H34" s="28">
        <f t="shared" si="0"/>
        <v>25.899999999999999</v>
      </c>
      <c r="I34" s="28">
        <f t="shared" si="0"/>
        <v>1.6899999999999999</v>
      </c>
      <c r="J34" s="28">
        <f t="shared" si="0"/>
        <v>0.17000000000000001</v>
      </c>
      <c r="K34" s="28">
        <f t="shared" si="0"/>
        <v>162.08000000000001</v>
      </c>
      <c r="L34" s="28">
        <f t="shared" si="0"/>
        <v>23.420000000000002</v>
      </c>
      <c r="M34" s="28">
        <f t="shared" si="0"/>
        <v>20.149999999999999</v>
      </c>
      <c r="N34" s="28">
        <f t="shared" si="0"/>
        <v>17.600000000000001</v>
      </c>
      <c r="O34" s="28">
        <f t="shared" si="0"/>
        <v>0</v>
      </c>
      <c r="P34" s="28">
        <f t="shared" si="0"/>
        <v>0.41999999999999998</v>
      </c>
      <c r="Q34" s="28">
        <f t="shared" si="0"/>
        <v>9.5600000000000005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25.859999999999999</v>
      </c>
      <c r="C35" s="29">
        <f t="shared" si="1"/>
        <v>76.790000000000006</v>
      </c>
      <c r="D35" s="29">
        <f t="shared" si="1"/>
        <v>49.43</v>
      </c>
      <c r="E35" s="29">
        <f t="shared" si="1"/>
        <v>3.7599999999999998</v>
      </c>
      <c r="F35" s="29">
        <f t="shared" si="1"/>
        <v>25.940000000000001</v>
      </c>
      <c r="G35" s="29">
        <f t="shared" si="1"/>
        <v>79.760000000000005</v>
      </c>
      <c r="H35" s="29">
        <f t="shared" si="1"/>
        <v>39.189999999999998</v>
      </c>
      <c r="I35" s="29">
        <f t="shared" si="1"/>
        <v>6.7000000000000002</v>
      </c>
      <c r="J35" s="29">
        <f t="shared" si="1"/>
        <v>1.3899999999999999</v>
      </c>
      <c r="K35" s="29">
        <f t="shared" si="1"/>
        <v>358.41000000000003</v>
      </c>
      <c r="L35" s="29">
        <f t="shared" si="1"/>
        <v>38.409999999999997</v>
      </c>
      <c r="M35" s="29">
        <f t="shared" si="1"/>
        <v>74.700000000000003</v>
      </c>
      <c r="N35" s="29">
        <f t="shared" si="1"/>
        <v>847.70000000000005</v>
      </c>
      <c r="O35" s="29">
        <f t="shared" si="1"/>
        <v>0</v>
      </c>
      <c r="P35" s="29">
        <f t="shared" si="1"/>
        <v>0.85999999999999999</v>
      </c>
      <c r="Q35" s="29">
        <f t="shared" si="1"/>
        <v>10.35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8.4137500000000003</v>
      </c>
      <c r="C36" s="28">
        <f t="shared" si="2"/>
        <v>56.196249999999992</v>
      </c>
      <c r="D36" s="28">
        <f t="shared" si="2"/>
        <v>35.831666666666671</v>
      </c>
      <c r="E36" s="28">
        <f t="shared" si="2"/>
        <v>1.6870833333333335</v>
      </c>
      <c r="F36" s="28">
        <f t="shared" si="2"/>
        <v>8.0933333333333337</v>
      </c>
      <c r="G36" s="28">
        <f t="shared" si="2"/>
        <v>65.97375000000001</v>
      </c>
      <c r="H36" s="28">
        <f t="shared" si="2"/>
        <v>31.938333333333333</v>
      </c>
      <c r="I36" s="28">
        <f t="shared" si="2"/>
        <v>4.4774999999999991</v>
      </c>
      <c r="J36" s="28">
        <f t="shared" si="2"/>
        <v>0.40750000000000003</v>
      </c>
      <c r="K36" s="28">
        <f t="shared" si="2"/>
        <v>293.29125000000005</v>
      </c>
      <c r="L36" s="28">
        <f t="shared" si="2"/>
        <v>30.31708333333334</v>
      </c>
      <c r="M36" s="28">
        <f t="shared" si="2"/>
        <v>41.815833333333337</v>
      </c>
      <c r="N36" s="28">
        <f t="shared" si="2"/>
        <v>251.11666666666665</v>
      </c>
      <c r="O36" s="28">
        <f t="shared" si="2"/>
        <v>0</v>
      </c>
      <c r="P36" s="28">
        <f t="shared" si="2"/>
        <v>0.69041666666666668</v>
      </c>
      <c r="Q36" s="28">
        <f t="shared" si="2"/>
        <v>9.9441666666666659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7.1177376794816629</v>
      </c>
      <c r="C37" s="28">
        <f t="shared" si="3" ref="C37:Q37">STDEV(C9:C32)</f>
        <v>6.9892991578120478</v>
      </c>
      <c r="D37" s="28">
        <f t="shared" si="3"/>
        <v>7.2123093248349743</v>
      </c>
      <c r="E37" s="28">
        <f t="shared" si="3"/>
        <v>0.58331495830272473</v>
      </c>
      <c r="F37" s="28">
        <f t="shared" si="3"/>
        <v>6.5635546219531342</v>
      </c>
      <c r="G37" s="28">
        <f t="shared" si="3"/>
        <v>9.6999089249422727</v>
      </c>
      <c r="H37" s="28">
        <f t="shared" si="3"/>
        <v>3.7796384306791797</v>
      </c>
      <c r="I37" s="28">
        <f t="shared" si="3"/>
        <v>1.3560564628490932</v>
      </c>
      <c r="J37" s="28">
        <f t="shared" si="3"/>
        <v>0.28186105118287086</v>
      </c>
      <c r="K37" s="28">
        <f t="shared" si="3"/>
        <v>61.282165595780675</v>
      </c>
      <c r="L37" s="28">
        <f t="shared" si="3"/>
        <v>5.0859768666801131</v>
      </c>
      <c r="M37" s="28">
        <f t="shared" si="3"/>
        <v>16.631158791666415</v>
      </c>
      <c r="N37" s="28">
        <f t="shared" si="3"/>
        <v>307.41859249969377</v>
      </c>
      <c r="O37" s="28">
        <f t="shared" si="3"/>
        <v>0</v>
      </c>
      <c r="P37" s="28">
        <f t="shared" si="3"/>
        <v>0.12882341019586729</v>
      </c>
      <c r="Q37" s="28">
        <f t="shared" si="3"/>
        <v>0.20949041000498808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cc1cec4-a29a-4f81-9446-5133ce26c92c}">
  <sheetPr codeName=""/>
  <dimension ref="A1:U119"/>
  <sheetViews>
    <sheetView zoomScale="85" zoomScaleNormal="85" workbookViewId="0" topLeftCell="A1">
      <selection pane="topLeft" activeCell="G47" sqref="G4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758</v>
      </c>
      <c r="B9" s="54">
        <v>6.68</v>
      </c>
      <c r="C9" s="54">
        <v>48.32</v>
      </c>
      <c r="D9" s="54">
        <v>30.52</v>
      </c>
      <c r="E9" s="54">
        <v>1.04</v>
      </c>
      <c r="F9" s="54">
        <v>3.92</v>
      </c>
      <c r="G9" s="54">
        <v>66.23</v>
      </c>
      <c r="H9" s="54">
        <v>41.41</v>
      </c>
      <c r="I9" s="54">
        <v>5.71</v>
      </c>
      <c r="J9" s="54">
        <v>0.30</v>
      </c>
      <c r="K9" s="54">
        <v>338.34</v>
      </c>
      <c r="L9" s="54">
        <v>25.98</v>
      </c>
      <c r="M9" s="54">
        <v>52.99</v>
      </c>
      <c r="N9" s="54">
        <v>28.80</v>
      </c>
      <c r="O9" s="54">
        <v>0</v>
      </c>
      <c r="P9" s="54">
        <v>0.78</v>
      </c>
      <c r="Q9" s="54">
        <v>9.83</v>
      </c>
      <c r="R9" s="43"/>
      <c r="S9" s="43"/>
      <c r="T9" s="43"/>
      <c r="U9" s="43"/>
    </row>
    <row r="10" spans="1:21" s="11" customFormat="1" ht="15">
      <c r="A10" s="53" t="s">
        <v>759</v>
      </c>
      <c r="B10" s="54">
        <v>6.87</v>
      </c>
      <c r="C10" s="54">
        <v>48.27</v>
      </c>
      <c r="D10" s="54">
        <v>30.64</v>
      </c>
      <c r="E10" s="54">
        <v>1.03</v>
      </c>
      <c r="F10" s="54">
        <v>3.87</v>
      </c>
      <c r="G10" s="54">
        <v>65.30</v>
      </c>
      <c r="H10" s="54">
        <v>41.41</v>
      </c>
      <c r="I10" s="54">
        <v>6.47</v>
      </c>
      <c r="J10" s="54">
        <v>0.76</v>
      </c>
      <c r="K10" s="54">
        <v>312.93</v>
      </c>
      <c r="L10" s="54">
        <v>26.89</v>
      </c>
      <c r="M10" s="54">
        <v>52.51</v>
      </c>
      <c r="N10" s="54">
        <v>28.80</v>
      </c>
      <c r="O10" s="54">
        <v>0</v>
      </c>
      <c r="P10" s="54">
        <v>0.72</v>
      </c>
      <c r="Q10" s="54">
        <v>9.8699999999999992</v>
      </c>
      <c r="R10" s="43"/>
      <c r="S10" s="43"/>
      <c r="T10" s="43"/>
      <c r="U10" s="43"/>
    </row>
    <row r="11" spans="1:21" s="11" customFormat="1" ht="15">
      <c r="A11" s="53" t="s">
        <v>760</v>
      </c>
      <c r="B11" s="54">
        <v>5.83</v>
      </c>
      <c r="C11" s="54">
        <v>49.99</v>
      </c>
      <c r="D11" s="54">
        <v>30.10</v>
      </c>
      <c r="E11" s="54">
        <v>1.17</v>
      </c>
      <c r="F11" s="54">
        <v>4.0199999999999996</v>
      </c>
      <c r="G11" s="54">
        <v>65.30</v>
      </c>
      <c r="H11" s="54">
        <v>47.12</v>
      </c>
      <c r="I11" s="54">
        <v>7.15</v>
      </c>
      <c r="J11" s="54">
        <v>0.34</v>
      </c>
      <c r="K11" s="54">
        <v>348.36</v>
      </c>
      <c r="L11" s="54">
        <v>26.74</v>
      </c>
      <c r="M11" s="54">
        <v>44.47</v>
      </c>
      <c r="N11" s="54">
        <v>28.80</v>
      </c>
      <c r="O11" s="54">
        <v>0</v>
      </c>
      <c r="P11" s="54">
        <v>0.71</v>
      </c>
      <c r="Q11" s="54">
        <v>9.76</v>
      </c>
      <c r="R11" s="43"/>
      <c r="S11" s="43"/>
      <c r="T11" s="43"/>
      <c r="U11" s="43"/>
    </row>
    <row r="12" spans="1:21" s="11" customFormat="1" ht="15">
      <c r="A12" s="53" t="s">
        <v>761</v>
      </c>
      <c r="B12" s="54">
        <v>3.85</v>
      </c>
      <c r="C12" s="54">
        <v>47.88</v>
      </c>
      <c r="D12" s="54">
        <v>28.02</v>
      </c>
      <c r="E12" s="54">
        <v>2.14</v>
      </c>
      <c r="F12" s="54">
        <v>4.13</v>
      </c>
      <c r="G12" s="54">
        <v>63.52</v>
      </c>
      <c r="H12" s="54">
        <v>47.12</v>
      </c>
      <c r="I12" s="54">
        <v>6.87</v>
      </c>
      <c r="J12" s="54">
        <v>0.69</v>
      </c>
      <c r="K12" s="54">
        <v>200.43</v>
      </c>
      <c r="L12" s="54">
        <v>26.02</v>
      </c>
      <c r="M12" s="54">
        <v>51.96</v>
      </c>
      <c r="N12" s="54">
        <v>28.60</v>
      </c>
      <c r="O12" s="54">
        <v>0</v>
      </c>
      <c r="P12" s="54">
        <v>0.67</v>
      </c>
      <c r="Q12" s="54">
        <v>9.74</v>
      </c>
      <c r="R12" s="43"/>
      <c r="S12" s="43"/>
      <c r="T12" s="43"/>
      <c r="U12" s="43"/>
    </row>
    <row r="13" spans="1:21" s="11" customFormat="1" ht="15">
      <c r="A13" s="53" t="s">
        <v>762</v>
      </c>
      <c r="B13" s="54">
        <v>3.89</v>
      </c>
      <c r="C13" s="54">
        <v>47.23</v>
      </c>
      <c r="D13" s="54">
        <v>27.5</v>
      </c>
      <c r="E13" s="54">
        <v>2.1800000000000002</v>
      </c>
      <c r="F13" s="54">
        <v>3.74</v>
      </c>
      <c r="G13" s="54">
        <v>63.52</v>
      </c>
      <c r="H13" s="54">
        <v>34.26</v>
      </c>
      <c r="I13" s="54">
        <v>6.56</v>
      </c>
      <c r="J13" s="54">
        <v>0.47</v>
      </c>
      <c r="K13" s="54">
        <v>358.58</v>
      </c>
      <c r="L13" s="54">
        <v>24.93</v>
      </c>
      <c r="M13" s="54">
        <v>55.87</v>
      </c>
      <c r="N13" s="54">
        <v>28.10</v>
      </c>
      <c r="O13" s="54">
        <v>0</v>
      </c>
      <c r="P13" s="54">
        <v>0.65</v>
      </c>
      <c r="Q13" s="54">
        <v>9.8000000000000007</v>
      </c>
      <c r="R13" s="43"/>
      <c r="S13" s="43"/>
      <c r="T13" s="43"/>
      <c r="U13" s="43"/>
    </row>
    <row r="14" spans="1:21" s="11" customFormat="1" ht="15">
      <c r="A14" s="53" t="s">
        <v>763</v>
      </c>
      <c r="B14" s="54">
        <v>6.03</v>
      </c>
      <c r="C14" s="54">
        <v>45.58</v>
      </c>
      <c r="D14" s="54">
        <v>28.57</v>
      </c>
      <c r="E14" s="54">
        <v>2.2000000000000002</v>
      </c>
      <c r="F14" s="54">
        <v>3.66</v>
      </c>
      <c r="G14" s="54">
        <v>66.25</v>
      </c>
      <c r="H14" s="54">
        <v>33.64</v>
      </c>
      <c r="I14" s="54">
        <v>6.26</v>
      </c>
      <c r="J14" s="54">
        <v>0.20</v>
      </c>
      <c r="K14" s="54">
        <v>311.80</v>
      </c>
      <c r="L14" s="54">
        <v>24.46</v>
      </c>
      <c r="M14" s="54">
        <v>59.06</v>
      </c>
      <c r="N14" s="54">
        <v>32.299999999999997</v>
      </c>
      <c r="O14" s="54">
        <v>0</v>
      </c>
      <c r="P14" s="54">
        <v>0.68</v>
      </c>
      <c r="Q14" s="54">
        <v>9.7799999999999994</v>
      </c>
      <c r="R14" s="43"/>
      <c r="S14" s="43"/>
      <c r="T14" s="43"/>
      <c r="U14" s="43"/>
    </row>
    <row r="15" spans="1:21" s="11" customFormat="1" ht="15">
      <c r="A15" s="53" t="s">
        <v>764</v>
      </c>
      <c r="B15" s="54">
        <v>8.1199999999999992</v>
      </c>
      <c r="C15" s="54">
        <v>48.81</v>
      </c>
      <c r="D15" s="54">
        <v>31.91</v>
      </c>
      <c r="E15" s="54">
        <v>2.23</v>
      </c>
      <c r="F15" s="54">
        <v>3.70</v>
      </c>
      <c r="G15" s="54">
        <v>67.70</v>
      </c>
      <c r="H15" s="54">
        <v>33.36</v>
      </c>
      <c r="I15" s="54">
        <v>6.27</v>
      </c>
      <c r="J15" s="54">
        <v>0.18</v>
      </c>
      <c r="K15" s="54">
        <v>291.31</v>
      </c>
      <c r="L15" s="54">
        <v>25</v>
      </c>
      <c r="M15" s="54">
        <v>59.15</v>
      </c>
      <c r="N15" s="54">
        <v>130.19999999999999</v>
      </c>
      <c r="O15" s="54">
        <v>0</v>
      </c>
      <c r="P15" s="54">
        <v>0.68</v>
      </c>
      <c r="Q15" s="54">
        <v>9.91</v>
      </c>
      <c r="R15" s="43"/>
      <c r="S15" s="43"/>
      <c r="T15" s="43"/>
      <c r="U15" s="43"/>
    </row>
    <row r="16" spans="1:21" s="11" customFormat="1" ht="15">
      <c r="A16" s="53" t="s">
        <v>765</v>
      </c>
      <c r="B16" s="54">
        <v>8.99</v>
      </c>
      <c r="C16" s="54">
        <v>52.48</v>
      </c>
      <c r="D16" s="54">
        <v>34.06</v>
      </c>
      <c r="E16" s="54">
        <v>2.15</v>
      </c>
      <c r="F16" s="54">
        <v>3.64</v>
      </c>
      <c r="G16" s="54">
        <v>69.260000000000005</v>
      </c>
      <c r="H16" s="54">
        <v>34.11</v>
      </c>
      <c r="I16" s="54">
        <v>7.58</v>
      </c>
      <c r="J16" s="54">
        <v>0.26</v>
      </c>
      <c r="K16" s="54">
        <v>309.87</v>
      </c>
      <c r="L16" s="54">
        <v>28.56</v>
      </c>
      <c r="M16" s="54">
        <v>52.83</v>
      </c>
      <c r="N16" s="54">
        <v>276.30</v>
      </c>
      <c r="O16" s="54">
        <v>0</v>
      </c>
      <c r="P16" s="54">
        <v>0.75</v>
      </c>
      <c r="Q16" s="54">
        <v>9.90</v>
      </c>
      <c r="R16" s="43"/>
      <c r="S16" s="43"/>
      <c r="T16" s="43"/>
      <c r="U16" s="43"/>
    </row>
    <row r="17" spans="1:21" s="11" customFormat="1" ht="15">
      <c r="A17" s="53" t="s">
        <v>766</v>
      </c>
      <c r="B17" s="54">
        <v>7.64</v>
      </c>
      <c r="C17" s="54">
        <v>52.95</v>
      </c>
      <c r="D17" s="54">
        <v>33.369999999999997</v>
      </c>
      <c r="E17" s="54">
        <v>1.5</v>
      </c>
      <c r="F17" s="54">
        <v>4.2300000000000004</v>
      </c>
      <c r="G17" s="54">
        <v>71.23</v>
      </c>
      <c r="H17" s="54">
        <v>34.11</v>
      </c>
      <c r="I17" s="54">
        <v>7.35</v>
      </c>
      <c r="J17" s="54">
        <v>0.13</v>
      </c>
      <c r="K17" s="54">
        <v>332.16</v>
      </c>
      <c r="L17" s="54">
        <v>30.84</v>
      </c>
      <c r="M17" s="54">
        <v>43.34</v>
      </c>
      <c r="N17" s="54">
        <v>499</v>
      </c>
      <c r="O17" s="54">
        <v>0</v>
      </c>
      <c r="P17" s="54">
        <v>0.78</v>
      </c>
      <c r="Q17" s="54">
        <v>9.9700000000000006</v>
      </c>
      <c r="R17" s="43"/>
      <c r="S17" s="43"/>
      <c r="T17" s="43"/>
      <c r="U17" s="43"/>
    </row>
    <row r="18" spans="1:21" s="11" customFormat="1" ht="15">
      <c r="A18" s="53" t="s">
        <v>767</v>
      </c>
      <c r="B18" s="54">
        <v>3.76</v>
      </c>
      <c r="C18" s="54">
        <v>55.42</v>
      </c>
      <c r="D18" s="54">
        <v>30.75</v>
      </c>
      <c r="E18" s="54">
        <v>1.58</v>
      </c>
      <c r="F18" s="54">
        <v>6.47</v>
      </c>
      <c r="G18" s="54">
        <v>72.05</v>
      </c>
      <c r="H18" s="54">
        <v>32.799999999999997</v>
      </c>
      <c r="I18" s="54">
        <v>6.86</v>
      </c>
      <c r="J18" s="54">
        <v>0.23</v>
      </c>
      <c r="K18" s="54">
        <v>359.11</v>
      </c>
      <c r="L18" s="54">
        <v>33.31</v>
      </c>
      <c r="M18" s="54">
        <v>36.08</v>
      </c>
      <c r="N18" s="54">
        <v>641.60</v>
      </c>
      <c r="O18" s="54">
        <v>0</v>
      </c>
      <c r="P18" s="54">
        <v>0.83</v>
      </c>
      <c r="Q18" s="54">
        <v>9.7200000000000006</v>
      </c>
      <c r="R18" s="43"/>
      <c r="S18" s="43"/>
      <c r="T18" s="43"/>
      <c r="U18" s="43"/>
    </row>
    <row r="19" spans="1:21" s="11" customFormat="1" ht="15">
      <c r="A19" s="53" t="s">
        <v>768</v>
      </c>
      <c r="B19" s="54">
        <v>1.57</v>
      </c>
      <c r="C19" s="54">
        <v>60.5</v>
      </c>
      <c r="D19" s="54">
        <v>32.770000000000003</v>
      </c>
      <c r="E19" s="54">
        <v>2.19</v>
      </c>
      <c r="F19" s="54">
        <v>10.46</v>
      </c>
      <c r="G19" s="54">
        <v>72.05</v>
      </c>
      <c r="H19" s="54">
        <v>32.799999999999997</v>
      </c>
      <c r="I19" s="54">
        <v>6.66</v>
      </c>
      <c r="J19" s="54">
        <v>0.46</v>
      </c>
      <c r="K19" s="54">
        <v>341.85</v>
      </c>
      <c r="L19" s="54">
        <v>35.869999999999997</v>
      </c>
      <c r="M19" s="54">
        <v>26.93</v>
      </c>
      <c r="N19" s="54">
        <v>729.20</v>
      </c>
      <c r="O19" s="54">
        <v>0</v>
      </c>
      <c r="P19" s="54">
        <v>0.92</v>
      </c>
      <c r="Q19" s="54">
        <v>9.7100000000000009</v>
      </c>
      <c r="R19" s="43"/>
      <c r="S19" s="43"/>
      <c r="T19" s="43"/>
      <c r="U19" s="43"/>
    </row>
    <row r="20" spans="1:21" s="11" customFormat="1" ht="15">
      <c r="A20" s="53" t="s">
        <v>769</v>
      </c>
      <c r="B20" s="54">
        <v>1.97</v>
      </c>
      <c r="C20" s="54">
        <v>66.89</v>
      </c>
      <c r="D20" s="54">
        <v>36.29</v>
      </c>
      <c r="E20" s="54">
        <v>2.23</v>
      </c>
      <c r="F20" s="54">
        <v>9.1199999999999992</v>
      </c>
      <c r="G20" s="54">
        <v>57.57</v>
      </c>
      <c r="H20" s="54">
        <v>30.45</v>
      </c>
      <c r="I20" s="54">
        <v>5.70</v>
      </c>
      <c r="J20" s="54">
        <v>0.97</v>
      </c>
      <c r="K20" s="54">
        <v>349.73</v>
      </c>
      <c r="L20" s="54">
        <v>39.08</v>
      </c>
      <c r="M20" s="54">
        <v>22.09</v>
      </c>
      <c r="N20" s="54">
        <v>781</v>
      </c>
      <c r="O20" s="54">
        <v>0</v>
      </c>
      <c r="P20" s="54">
        <v>0.93</v>
      </c>
      <c r="Q20" s="54">
        <v>9.7200000000000006</v>
      </c>
      <c r="R20" s="43"/>
      <c r="S20" s="43"/>
      <c r="T20" s="43"/>
      <c r="U20" s="43"/>
    </row>
    <row r="21" spans="1:21" s="11" customFormat="1" ht="15">
      <c r="A21" s="53" t="s">
        <v>770</v>
      </c>
      <c r="B21" s="54">
        <v>1.85</v>
      </c>
      <c r="C21" s="54">
        <v>64.98</v>
      </c>
      <c r="D21" s="54">
        <v>34.89</v>
      </c>
      <c r="E21" s="54">
        <v>2.66</v>
      </c>
      <c r="F21" s="54">
        <v>8.58</v>
      </c>
      <c r="G21" s="54">
        <v>70.87</v>
      </c>
      <c r="H21" s="54">
        <v>29</v>
      </c>
      <c r="I21" s="54">
        <v>5.33</v>
      </c>
      <c r="J21" s="54">
        <v>0.35</v>
      </c>
      <c r="K21" s="54">
        <v>349.15</v>
      </c>
      <c r="L21" s="54">
        <v>37.380000000000003</v>
      </c>
      <c r="M21" s="54">
        <v>25.19</v>
      </c>
      <c r="N21" s="54">
        <v>633.40</v>
      </c>
      <c r="O21" s="54">
        <v>0</v>
      </c>
      <c r="P21" s="54">
        <v>0.81</v>
      </c>
      <c r="Q21" s="54">
        <v>9.90</v>
      </c>
      <c r="R21" s="43"/>
      <c r="S21" s="43"/>
      <c r="T21" s="43"/>
      <c r="U21" s="43"/>
    </row>
    <row r="22" spans="1:21" s="11" customFormat="1" ht="15">
      <c r="A22" s="53" t="s">
        <v>771</v>
      </c>
      <c r="B22" s="54">
        <v>1.84</v>
      </c>
      <c r="C22" s="54">
        <v>49.86</v>
      </c>
      <c r="D22" s="54">
        <v>27.44</v>
      </c>
      <c r="E22" s="54">
        <v>3.12</v>
      </c>
      <c r="F22" s="54">
        <v>8.66</v>
      </c>
      <c r="G22" s="54">
        <v>70.87</v>
      </c>
      <c r="H22" s="54">
        <v>31.96</v>
      </c>
      <c r="I22" s="54">
        <v>6.02</v>
      </c>
      <c r="J22" s="54">
        <v>1.26</v>
      </c>
      <c r="K22" s="54">
        <v>348.23</v>
      </c>
      <c r="L22" s="54">
        <v>37.68</v>
      </c>
      <c r="M22" s="54">
        <v>28.46</v>
      </c>
      <c r="N22" s="54">
        <v>670.20</v>
      </c>
      <c r="O22" s="54">
        <v>0</v>
      </c>
      <c r="P22" s="54">
        <v>0.75</v>
      </c>
      <c r="Q22" s="54">
        <v>9.7200000000000006</v>
      </c>
      <c r="R22" s="43"/>
      <c r="S22" s="43"/>
      <c r="T22" s="43"/>
      <c r="U22" s="43"/>
    </row>
    <row r="23" spans="1:21" s="11" customFormat="1" ht="15">
      <c r="A23" s="53" t="s">
        <v>772</v>
      </c>
      <c r="B23" s="54">
        <v>1.02</v>
      </c>
      <c r="C23" s="54">
        <v>45.40</v>
      </c>
      <c r="D23" s="54">
        <v>24.33</v>
      </c>
      <c r="E23" s="54">
        <v>2.68</v>
      </c>
      <c r="F23" s="54">
        <v>8.73</v>
      </c>
      <c r="G23" s="54">
        <v>68.72</v>
      </c>
      <c r="H23" s="54">
        <v>31.96</v>
      </c>
      <c r="I23" s="54">
        <v>6.33</v>
      </c>
      <c r="J23" s="54">
        <v>0.33</v>
      </c>
      <c r="K23" s="54">
        <v>358.34</v>
      </c>
      <c r="L23" s="54">
        <v>37.85</v>
      </c>
      <c r="M23" s="54">
        <v>27.11</v>
      </c>
      <c r="N23" s="54">
        <v>574</v>
      </c>
      <c r="O23" s="54">
        <v>0</v>
      </c>
      <c r="P23" s="54">
        <v>0.68</v>
      </c>
      <c r="Q23" s="54">
        <v>9.68</v>
      </c>
      <c r="R23" s="43"/>
      <c r="S23" s="43"/>
      <c r="T23" s="43"/>
      <c r="U23" s="43"/>
    </row>
    <row r="24" spans="1:21" s="11" customFormat="1" ht="15">
      <c r="A24" s="53" t="s">
        <v>773</v>
      </c>
      <c r="B24" s="54">
        <v>1.17</v>
      </c>
      <c r="C24" s="54">
        <v>45.07</v>
      </c>
      <c r="D24" s="54">
        <v>24.40</v>
      </c>
      <c r="E24" s="54">
        <v>2.62</v>
      </c>
      <c r="F24" s="54">
        <v>10.36</v>
      </c>
      <c r="G24" s="54">
        <v>67.05</v>
      </c>
      <c r="H24" s="54">
        <v>29.87</v>
      </c>
      <c r="I24" s="54">
        <v>6.33</v>
      </c>
      <c r="J24" s="54">
        <v>0.22</v>
      </c>
      <c r="K24" s="54">
        <v>358.34</v>
      </c>
      <c r="L24" s="54">
        <v>36.549999999999997</v>
      </c>
      <c r="M24" s="54">
        <v>31.71</v>
      </c>
      <c r="N24" s="54">
        <v>411.90</v>
      </c>
      <c r="O24" s="54">
        <v>0</v>
      </c>
      <c r="P24" s="54">
        <v>0.63</v>
      </c>
      <c r="Q24" s="54">
        <v>9.74</v>
      </c>
      <c r="R24" s="43"/>
      <c r="S24" s="43"/>
      <c r="T24" s="43"/>
      <c r="U24" s="43"/>
    </row>
    <row r="25" spans="1:21" s="11" customFormat="1" ht="15">
      <c r="A25" s="53" t="s">
        <v>774</v>
      </c>
      <c r="B25" s="54">
        <v>1.68</v>
      </c>
      <c r="C25" s="54">
        <v>44.70</v>
      </c>
      <c r="D25" s="54">
        <v>24.29</v>
      </c>
      <c r="E25" s="54">
        <v>2.80</v>
      </c>
      <c r="F25" s="54">
        <v>9.3000000000000007</v>
      </c>
      <c r="G25" s="54">
        <v>66.61</v>
      </c>
      <c r="H25" s="54">
        <v>33.479999999999997</v>
      </c>
      <c r="I25" s="54">
        <v>5.20</v>
      </c>
      <c r="J25" s="54">
        <v>0.37</v>
      </c>
      <c r="K25" s="54">
        <v>345.91</v>
      </c>
      <c r="L25" s="54">
        <v>34.89</v>
      </c>
      <c r="M25" s="54">
        <v>30.26</v>
      </c>
      <c r="N25" s="54">
        <v>173.5</v>
      </c>
      <c r="O25" s="54">
        <v>0</v>
      </c>
      <c r="P25" s="54">
        <v>0.68</v>
      </c>
      <c r="Q25" s="54">
        <v>9.68</v>
      </c>
      <c r="R25" s="43"/>
      <c r="S25" s="43"/>
      <c r="T25" s="43"/>
      <c r="U25" s="43"/>
    </row>
    <row r="26" spans="1:21" s="11" customFormat="1" ht="15">
      <c r="A26" s="53" t="s">
        <v>775</v>
      </c>
      <c r="B26" s="54">
        <v>1.76</v>
      </c>
      <c r="C26" s="54">
        <v>42.60</v>
      </c>
      <c r="D26" s="54">
        <v>23.49</v>
      </c>
      <c r="E26" s="54">
        <v>2.35</v>
      </c>
      <c r="F26" s="54">
        <v>4.92</v>
      </c>
      <c r="G26" s="54">
        <v>66.61</v>
      </c>
      <c r="H26" s="54">
        <v>33.479999999999997</v>
      </c>
      <c r="I26" s="54">
        <v>4.96</v>
      </c>
      <c r="J26" s="54">
        <v>0.08</v>
      </c>
      <c r="K26" s="54">
        <v>358.68</v>
      </c>
      <c r="L26" s="54">
        <v>33.46</v>
      </c>
      <c r="M26" s="54">
        <v>30.70</v>
      </c>
      <c r="N26" s="54">
        <v>81.80</v>
      </c>
      <c r="O26" s="54">
        <v>0</v>
      </c>
      <c r="P26" s="54">
        <v>0.66</v>
      </c>
      <c r="Q26" s="54">
        <v>9.60</v>
      </c>
      <c r="R26" s="43"/>
      <c r="S26" s="43"/>
      <c r="T26" s="43"/>
      <c r="U26" s="43"/>
    </row>
    <row r="27" spans="1:21" s="11" customFormat="1" ht="15">
      <c r="A27" s="53" t="s">
        <v>776</v>
      </c>
      <c r="B27" s="54">
        <v>2.88</v>
      </c>
      <c r="C27" s="54">
        <v>49.18</v>
      </c>
      <c r="D27" s="54">
        <v>27.92</v>
      </c>
      <c r="E27" s="54">
        <v>2.4300000000000002</v>
      </c>
      <c r="F27" s="54">
        <v>4.72</v>
      </c>
      <c r="G27" s="54">
        <v>55.54</v>
      </c>
      <c r="H27" s="54">
        <v>25.57</v>
      </c>
      <c r="I27" s="54">
        <v>4.53</v>
      </c>
      <c r="J27" s="54">
        <v>0.20</v>
      </c>
      <c r="K27" s="54">
        <v>325.58</v>
      </c>
      <c r="L27" s="54">
        <v>32.130000000000003</v>
      </c>
      <c r="M27" s="54">
        <v>37.200000000000003</v>
      </c>
      <c r="N27" s="54">
        <v>23.90</v>
      </c>
      <c r="O27" s="54">
        <v>0</v>
      </c>
      <c r="P27" s="54">
        <v>0.73</v>
      </c>
      <c r="Q27" s="54">
        <v>9.61</v>
      </c>
      <c r="R27" s="43"/>
      <c r="S27" s="43"/>
      <c r="T27" s="43"/>
      <c r="U27" s="43"/>
    </row>
    <row r="28" spans="1:21" s="11" customFormat="1" ht="15">
      <c r="A28" s="53" t="s">
        <v>777</v>
      </c>
      <c r="B28" s="54">
        <v>3.94</v>
      </c>
      <c r="C28" s="54">
        <v>49.67</v>
      </c>
      <c r="D28" s="54">
        <v>28.66</v>
      </c>
      <c r="E28" s="54">
        <v>2.2200000000000002</v>
      </c>
      <c r="F28" s="54">
        <v>3.87</v>
      </c>
      <c r="G28" s="54">
        <v>70.95</v>
      </c>
      <c r="H28" s="54">
        <v>26.19</v>
      </c>
      <c r="I28" s="54">
        <v>5.24</v>
      </c>
      <c r="J28" s="54">
        <v>0.41</v>
      </c>
      <c r="K28" s="54">
        <v>270.75</v>
      </c>
      <c r="L28" s="54">
        <v>29.98</v>
      </c>
      <c r="M28" s="54">
        <v>40.97</v>
      </c>
      <c r="N28" s="54">
        <v>22.20</v>
      </c>
      <c r="O28" s="54">
        <v>0</v>
      </c>
      <c r="P28" s="54">
        <v>0.76</v>
      </c>
      <c r="Q28" s="54">
        <v>9.84</v>
      </c>
      <c r="R28" s="43"/>
      <c r="S28" s="43"/>
      <c r="T28" s="43"/>
      <c r="U28" s="43"/>
    </row>
    <row r="29" spans="1:21" s="11" customFormat="1" ht="15">
      <c r="A29" s="53" t="s">
        <v>778</v>
      </c>
      <c r="B29" s="54">
        <v>4.3499999999999996</v>
      </c>
      <c r="C29" s="54">
        <v>48.55</v>
      </c>
      <c r="D29" s="54">
        <v>28.54</v>
      </c>
      <c r="E29" s="54">
        <v>2.42</v>
      </c>
      <c r="F29" s="54">
        <v>3.97</v>
      </c>
      <c r="G29" s="54">
        <v>70.95</v>
      </c>
      <c r="H29" s="54">
        <v>26.19</v>
      </c>
      <c r="I29" s="54">
        <v>6.21</v>
      </c>
      <c r="J29" s="54">
        <v>0.14000000000000001</v>
      </c>
      <c r="K29" s="54">
        <v>348.72</v>
      </c>
      <c r="L29" s="54">
        <v>29.57</v>
      </c>
      <c r="M29" s="54">
        <v>39.49</v>
      </c>
      <c r="N29" s="54">
        <v>22.10</v>
      </c>
      <c r="O29" s="54">
        <v>0</v>
      </c>
      <c r="P29" s="54">
        <v>0.77</v>
      </c>
      <c r="Q29" s="54">
        <v>9.7799999999999994</v>
      </c>
      <c r="R29" s="43"/>
      <c r="S29" s="43"/>
      <c r="T29" s="43"/>
      <c r="U29" s="43"/>
    </row>
    <row r="30" spans="1:21" s="11" customFormat="1" ht="15">
      <c r="A30" s="53" t="s">
        <v>779</v>
      </c>
      <c r="B30" s="54">
        <v>10.30</v>
      </c>
      <c r="C30" s="54">
        <v>49.48</v>
      </c>
      <c r="D30" s="54">
        <v>34.03</v>
      </c>
      <c r="E30" s="54">
        <v>2.57</v>
      </c>
      <c r="F30" s="54">
        <v>3.47</v>
      </c>
      <c r="G30" s="54">
        <v>62.52</v>
      </c>
      <c r="H30" s="54">
        <v>35.229999999999997</v>
      </c>
      <c r="I30" s="54">
        <v>6.35</v>
      </c>
      <c r="J30" s="54">
        <v>0.26</v>
      </c>
      <c r="K30" s="54">
        <v>353.64</v>
      </c>
      <c r="L30" s="54">
        <v>28.23</v>
      </c>
      <c r="M30" s="54">
        <v>41.95</v>
      </c>
      <c r="N30" s="54">
        <v>22.40</v>
      </c>
      <c r="O30" s="54">
        <v>0</v>
      </c>
      <c r="P30" s="54">
        <v>0.89</v>
      </c>
      <c r="Q30" s="54">
        <v>9.77</v>
      </c>
      <c r="R30" s="43"/>
      <c r="S30" s="43"/>
      <c r="T30" s="43"/>
      <c r="U30" s="43"/>
    </row>
    <row r="31" spans="1:21" s="11" customFormat="1" ht="15">
      <c r="A31" s="53" t="s">
        <v>780</v>
      </c>
      <c r="B31" s="54">
        <v>9.08</v>
      </c>
      <c r="C31" s="54">
        <v>49.14</v>
      </c>
      <c r="D31" s="54">
        <v>32.869999999999997</v>
      </c>
      <c r="E31" s="54">
        <v>2.4700000000000002</v>
      </c>
      <c r="F31" s="54">
        <v>3.90</v>
      </c>
      <c r="G31" s="54">
        <v>61.60</v>
      </c>
      <c r="H31" s="54">
        <v>47.22</v>
      </c>
      <c r="I31" s="54">
        <v>6.20</v>
      </c>
      <c r="J31" s="54">
        <v>0.71</v>
      </c>
      <c r="K31" s="54">
        <v>349.05</v>
      </c>
      <c r="L31" s="54">
        <v>28.08</v>
      </c>
      <c r="M31" s="54">
        <v>43.90</v>
      </c>
      <c r="N31" s="54">
        <v>23</v>
      </c>
      <c r="O31" s="54">
        <v>0</v>
      </c>
      <c r="P31" s="54">
        <v>0.87</v>
      </c>
      <c r="Q31" s="54">
        <v>9.89</v>
      </c>
      <c r="R31" s="43"/>
      <c r="S31" s="43"/>
      <c r="T31" s="43"/>
      <c r="U31" s="43"/>
    </row>
    <row r="32" spans="1:21" s="11" customFormat="1" ht="15">
      <c r="A32" s="53" t="s">
        <v>781</v>
      </c>
      <c r="B32" s="54">
        <v>8.27</v>
      </c>
      <c r="C32" s="54">
        <v>53.67</v>
      </c>
      <c r="D32" s="54">
        <v>34.340000000000003</v>
      </c>
      <c r="E32" s="54">
        <v>2.5299999999999998</v>
      </c>
      <c r="F32" s="54">
        <v>3.84</v>
      </c>
      <c r="G32" s="54">
        <v>58.76</v>
      </c>
      <c r="H32" s="54">
        <v>47.22</v>
      </c>
      <c r="I32" s="54">
        <v>6</v>
      </c>
      <c r="J32" s="54">
        <v>0.46</v>
      </c>
      <c r="K32" s="54">
        <v>342.68</v>
      </c>
      <c r="L32" s="54">
        <v>27.94</v>
      </c>
      <c r="M32" s="54">
        <v>47.39</v>
      </c>
      <c r="N32" s="54">
        <v>23.80</v>
      </c>
      <c r="O32" s="54">
        <v>0</v>
      </c>
      <c r="P32" s="54">
        <v>0.83</v>
      </c>
      <c r="Q32" s="54">
        <v>9.85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1.02</v>
      </c>
      <c r="C34" s="28">
        <f t="shared" si="0"/>
        <v>42.600000000000001</v>
      </c>
      <c r="D34" s="28">
        <f t="shared" si="0"/>
        <v>23.489999999999998</v>
      </c>
      <c r="E34" s="28">
        <f t="shared" si="0"/>
        <v>1.03</v>
      </c>
      <c r="F34" s="28">
        <f t="shared" si="0"/>
        <v>3.4700000000000002</v>
      </c>
      <c r="G34" s="28">
        <f t="shared" si="0"/>
        <v>55.539999999999999</v>
      </c>
      <c r="H34" s="28">
        <f t="shared" si="0"/>
        <v>25.57</v>
      </c>
      <c r="I34" s="28">
        <f t="shared" si="0"/>
        <v>4.5300000000000002</v>
      </c>
      <c r="J34" s="28">
        <f t="shared" si="0"/>
        <v>0.080000000000000002</v>
      </c>
      <c r="K34" s="28">
        <f t="shared" si="0"/>
        <v>200.43000000000001</v>
      </c>
      <c r="L34" s="28">
        <f t="shared" si="0"/>
        <v>24.460000000000001</v>
      </c>
      <c r="M34" s="28">
        <f t="shared" si="0"/>
        <v>22.09</v>
      </c>
      <c r="N34" s="28">
        <f t="shared" si="0"/>
        <v>22.100000000000001</v>
      </c>
      <c r="O34" s="28">
        <f t="shared" si="0"/>
        <v>0</v>
      </c>
      <c r="P34" s="28">
        <f t="shared" si="0"/>
        <v>0.63</v>
      </c>
      <c r="Q34" s="28">
        <f t="shared" si="0"/>
        <v>9.5999999999999996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10.300000000000001</v>
      </c>
      <c r="C35" s="29">
        <f t="shared" si="1"/>
        <v>66.890000000000001</v>
      </c>
      <c r="D35" s="29">
        <f t="shared" si="1"/>
        <v>36.289999999999999</v>
      </c>
      <c r="E35" s="29">
        <f t="shared" si="1"/>
        <v>3.1200000000000001</v>
      </c>
      <c r="F35" s="29">
        <f t="shared" si="1"/>
        <v>10.460000000000001</v>
      </c>
      <c r="G35" s="29">
        <f t="shared" si="1"/>
        <v>72.049999999999997</v>
      </c>
      <c r="H35" s="29">
        <f t="shared" si="1"/>
        <v>47.219999999999999</v>
      </c>
      <c r="I35" s="29">
        <f t="shared" si="1"/>
        <v>7.5800000000000001</v>
      </c>
      <c r="J35" s="29">
        <f t="shared" si="1"/>
        <v>1.26</v>
      </c>
      <c r="K35" s="29">
        <f t="shared" si="1"/>
        <v>359.11000000000001</v>
      </c>
      <c r="L35" s="29">
        <f t="shared" si="1"/>
        <v>39.079999999999998</v>
      </c>
      <c r="M35" s="29">
        <f t="shared" si="1"/>
        <v>59.149999999999999</v>
      </c>
      <c r="N35" s="29">
        <f t="shared" si="1"/>
        <v>781</v>
      </c>
      <c r="O35" s="29">
        <f t="shared" si="1"/>
        <v>0</v>
      </c>
      <c r="P35" s="29">
        <f t="shared" si="1"/>
        <v>0.93000000000000005</v>
      </c>
      <c r="Q35" s="29">
        <f t="shared" si="1"/>
        <v>9.9700000000000006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4.7224999999999993</v>
      </c>
      <c r="C36" s="28">
        <f t="shared" si="2"/>
        <v>50.692500000000017</v>
      </c>
      <c r="D36" s="28">
        <f t="shared" si="2"/>
        <v>29.987499999999994</v>
      </c>
      <c r="E36" s="28">
        <f t="shared" si="2"/>
        <v>2.1879166666666667</v>
      </c>
      <c r="F36" s="28">
        <f t="shared" si="2"/>
        <v>5.6366666666666667</v>
      </c>
      <c r="G36" s="28">
        <f t="shared" si="2"/>
        <v>66.292916666666656</v>
      </c>
      <c r="H36" s="28">
        <f t="shared" si="2"/>
        <v>34.998333333333342</v>
      </c>
      <c r="I36" s="28">
        <f t="shared" si="2"/>
        <v>6.1724999999999985</v>
      </c>
      <c r="J36" s="28">
        <f t="shared" si="2"/>
        <v>0.40750000000000003</v>
      </c>
      <c r="K36" s="28">
        <f t="shared" si="2"/>
        <v>331.81416666666672</v>
      </c>
      <c r="L36" s="28">
        <f t="shared" si="2"/>
        <v>30.892500000000013</v>
      </c>
      <c r="M36" s="28">
        <f t="shared" si="2"/>
        <v>40.900416666666679</v>
      </c>
      <c r="N36" s="28">
        <f t="shared" si="2"/>
        <v>246.45416666666665</v>
      </c>
      <c r="O36" s="28">
        <f t="shared" si="2"/>
        <v>0</v>
      </c>
      <c r="P36" s="28">
        <f t="shared" si="2"/>
        <v>0.75666666666666671</v>
      </c>
      <c r="Q36" s="28">
        <f t="shared" si="2"/>
        <v>9.7820833333333361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2.9287944544678703</v>
      </c>
      <c r="C37" s="28">
        <f t="shared" si="3" ref="C37:Q37">STDEV(C9:C32)</f>
        <v>6.0335109470212194</v>
      </c>
      <c r="D37" s="28">
        <f t="shared" si="3"/>
        <v>3.6873193397160406</v>
      </c>
      <c r="E37" s="28">
        <f t="shared" si="3"/>
        <v>0.54861072891810725</v>
      </c>
      <c r="F37" s="28">
        <f t="shared" si="3"/>
        <v>2.5156772217552019</v>
      </c>
      <c r="G37" s="28">
        <f t="shared" si="3"/>
        <v>4.6413121075521468</v>
      </c>
      <c r="H37" s="28">
        <f t="shared" si="3"/>
        <v>6.7286090472061089</v>
      </c>
      <c r="I37" s="28">
        <f t="shared" si="3"/>
        <v>0.75303011083628013</v>
      </c>
      <c r="J37" s="28">
        <f t="shared" si="3"/>
        <v>0.28581310402915844</v>
      </c>
      <c r="K37" s="28">
        <f t="shared" si="3"/>
        <v>36.226028105753223</v>
      </c>
      <c r="L37" s="28">
        <f t="shared" si="3"/>
        <v>4.73129658669838</v>
      </c>
      <c r="M37" s="28">
        <f t="shared" si="3"/>
        <v>11.391832878890876</v>
      </c>
      <c r="N37" s="28">
        <f t="shared" si="3"/>
        <v>282.26342303225204</v>
      </c>
      <c r="O37" s="28">
        <f t="shared" si="3"/>
        <v>0</v>
      </c>
      <c r="P37" s="28">
        <f t="shared" si="3"/>
        <v>0.087061530798210551</v>
      </c>
      <c r="Q37" s="28">
        <f t="shared" si="3"/>
        <v>0.096458108351069619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630ff6f-9eb5-4ee3-a57d-419054a22892}">
  <sheetPr codeName=""/>
  <dimension ref="A1:U119"/>
  <sheetViews>
    <sheetView zoomScale="80" zoomScaleNormal="80" workbookViewId="0" topLeftCell="A1">
      <selection pane="topLeft" activeCell="F52" sqref="F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31-03-2024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782</v>
      </c>
      <c r="B9" s="54">
        <v>8.4499999999999993</v>
      </c>
      <c r="C9" s="54">
        <v>53.19</v>
      </c>
      <c r="D9" s="54">
        <v>34.479999999999997</v>
      </c>
      <c r="E9" s="54">
        <v>1.63</v>
      </c>
      <c r="F9" s="54">
        <v>4.91</v>
      </c>
      <c r="G9" s="54">
        <v>66.73</v>
      </c>
      <c r="H9" s="54">
        <v>38.33</v>
      </c>
      <c r="I9" s="54">
        <v>7.05</v>
      </c>
      <c r="J9" s="54">
        <v>2</v>
      </c>
      <c r="K9" s="54">
        <v>324.45999999999998</v>
      </c>
      <c r="L9" s="54">
        <v>28.10</v>
      </c>
      <c r="M9" s="54">
        <v>44.89</v>
      </c>
      <c r="N9" s="54">
        <v>24.40</v>
      </c>
      <c r="O9" s="54">
        <v>0</v>
      </c>
      <c r="P9" s="54">
        <v>0.81</v>
      </c>
      <c r="Q9" s="54">
        <v>9.8000000000000007</v>
      </c>
      <c r="R9" s="43"/>
      <c r="S9" s="43"/>
      <c r="T9" s="43"/>
      <c r="U9" s="43"/>
    </row>
    <row r="10" spans="1:21" s="11" customFormat="1" ht="15">
      <c r="A10" s="53" t="s">
        <v>783</v>
      </c>
      <c r="B10" s="54">
        <v>2.54</v>
      </c>
      <c r="C10" s="54">
        <v>46.96</v>
      </c>
      <c r="D10" s="54">
        <v>26.49</v>
      </c>
      <c r="E10" s="54">
        <v>1.62</v>
      </c>
      <c r="F10" s="54">
        <v>5.47</v>
      </c>
      <c r="G10" s="54">
        <v>66.73</v>
      </c>
      <c r="H10" s="54">
        <v>34.36</v>
      </c>
      <c r="I10" s="54">
        <v>6.62</v>
      </c>
      <c r="J10" s="54">
        <v>1.28</v>
      </c>
      <c r="K10" s="54">
        <v>309.52999999999997</v>
      </c>
      <c r="L10" s="54">
        <v>27.10</v>
      </c>
      <c r="M10" s="54">
        <v>99.99</v>
      </c>
      <c r="N10" s="54">
        <v>32.60</v>
      </c>
      <c r="O10" s="54">
        <v>2</v>
      </c>
      <c r="P10" s="54">
        <v>0.63</v>
      </c>
      <c r="Q10" s="54">
        <v>9.65</v>
      </c>
      <c r="R10" s="43"/>
      <c r="S10" s="43"/>
      <c r="T10" s="43"/>
      <c r="U10" s="43"/>
    </row>
    <row r="11" spans="1:21" s="11" customFormat="1" ht="15">
      <c r="A11" s="53" t="s">
        <v>784</v>
      </c>
      <c r="B11" s="54">
        <v>2.69</v>
      </c>
      <c r="C11" s="54">
        <v>38.64</v>
      </c>
      <c r="D11" s="54">
        <v>21.62</v>
      </c>
      <c r="E11" s="54">
        <v>1.82</v>
      </c>
      <c r="F11" s="54">
        <v>4.29</v>
      </c>
      <c r="G11" s="54">
        <v>59.21</v>
      </c>
      <c r="H11" s="54">
        <v>27.34</v>
      </c>
      <c r="I11" s="54">
        <v>5.47</v>
      </c>
      <c r="J11" s="54">
        <v>0.39</v>
      </c>
      <c r="K11" s="54">
        <v>249.34</v>
      </c>
      <c r="L11" s="54">
        <v>23.63</v>
      </c>
      <c r="M11" s="54">
        <v>97.18</v>
      </c>
      <c r="N11" s="54">
        <v>26.90</v>
      </c>
      <c r="O11" s="54">
        <v>0</v>
      </c>
      <c r="P11" s="54">
        <v>0.54</v>
      </c>
      <c r="Q11" s="54">
        <v>9.61</v>
      </c>
      <c r="R11" s="43"/>
      <c r="S11" s="43"/>
      <c r="T11" s="43"/>
      <c r="U11" s="43"/>
    </row>
    <row r="12" spans="1:21" s="11" customFormat="1" ht="15">
      <c r="A12" s="53" t="s">
        <v>785</v>
      </c>
      <c r="B12" s="54">
        <v>4.7699999999999996</v>
      </c>
      <c r="C12" s="54">
        <v>37.56</v>
      </c>
      <c r="D12" s="54">
        <v>23.37</v>
      </c>
      <c r="E12" s="54">
        <v>1.66</v>
      </c>
      <c r="F12" s="54">
        <v>3.44</v>
      </c>
      <c r="G12" s="54">
        <v>55.15</v>
      </c>
      <c r="H12" s="54">
        <v>21.84</v>
      </c>
      <c r="I12" s="54">
        <v>5.05</v>
      </c>
      <c r="J12" s="54">
        <v>0.28999999999999998</v>
      </c>
      <c r="K12" s="54">
        <v>347.03</v>
      </c>
      <c r="L12" s="54">
        <v>24.28</v>
      </c>
      <c r="M12" s="54">
        <v>86.93</v>
      </c>
      <c r="N12" s="54">
        <v>26.20</v>
      </c>
      <c r="O12" s="54">
        <v>0</v>
      </c>
      <c r="P12" s="54">
        <v>0.49</v>
      </c>
      <c r="Q12" s="54">
        <v>9.6199999999999992</v>
      </c>
      <c r="R12" s="43"/>
      <c r="S12" s="43"/>
      <c r="T12" s="43"/>
      <c r="U12" s="43"/>
    </row>
    <row r="13" spans="1:21" s="11" customFormat="1" ht="15">
      <c r="A13" s="53" t="s">
        <v>786</v>
      </c>
      <c r="B13" s="54">
        <v>7.19</v>
      </c>
      <c r="C13" s="54">
        <v>40.020000000000003</v>
      </c>
      <c r="D13" s="54">
        <v>26.59</v>
      </c>
      <c r="E13" s="54">
        <v>1.43</v>
      </c>
      <c r="F13" s="54">
        <v>3.69</v>
      </c>
      <c r="G13" s="54">
        <v>48.59</v>
      </c>
      <c r="H13" s="54">
        <v>22.30</v>
      </c>
      <c r="I13" s="54">
        <v>5.22</v>
      </c>
      <c r="J13" s="54">
        <v>0.20</v>
      </c>
      <c r="K13" s="54">
        <v>324.52</v>
      </c>
      <c r="L13" s="54">
        <v>24.54</v>
      </c>
      <c r="M13" s="54">
        <v>88.10</v>
      </c>
      <c r="N13" s="54">
        <v>24.70</v>
      </c>
      <c r="O13" s="54">
        <v>0</v>
      </c>
      <c r="P13" s="54">
        <v>0.47</v>
      </c>
      <c r="Q13" s="54">
        <v>9.65</v>
      </c>
      <c r="R13" s="43"/>
      <c r="S13" s="43"/>
      <c r="T13" s="43"/>
      <c r="U13" s="43"/>
    </row>
    <row r="14" spans="1:21" s="11" customFormat="1" ht="15">
      <c r="A14" s="53" t="s">
        <v>787</v>
      </c>
      <c r="B14" s="54">
        <v>8.84</v>
      </c>
      <c r="C14" s="54">
        <v>41.74</v>
      </c>
      <c r="D14" s="54">
        <v>28.82</v>
      </c>
      <c r="E14" s="54">
        <v>1.55</v>
      </c>
      <c r="F14" s="54">
        <v>3.46</v>
      </c>
      <c r="G14" s="54">
        <v>50.38</v>
      </c>
      <c r="H14" s="54">
        <v>22.30</v>
      </c>
      <c r="I14" s="54">
        <v>5.64</v>
      </c>
      <c r="J14" s="54">
        <v>0.22</v>
      </c>
      <c r="K14" s="54">
        <v>355.47</v>
      </c>
      <c r="L14" s="54">
        <v>24.20</v>
      </c>
      <c r="M14" s="54">
        <v>78.739999999999995</v>
      </c>
      <c r="N14" s="54">
        <v>27.80</v>
      </c>
      <c r="O14" s="54">
        <v>0</v>
      </c>
      <c r="P14" s="54">
        <v>0.46</v>
      </c>
      <c r="Q14" s="54">
        <v>9.74</v>
      </c>
      <c r="R14" s="43"/>
      <c r="S14" s="43"/>
      <c r="T14" s="43"/>
      <c r="U14" s="43"/>
    </row>
    <row r="15" spans="1:21" s="11" customFormat="1" ht="15">
      <c r="A15" s="53" t="s">
        <v>788</v>
      </c>
      <c r="B15" s="54">
        <v>17.61</v>
      </c>
      <c r="C15" s="54">
        <v>40.47</v>
      </c>
      <c r="D15" s="54">
        <v>34.56</v>
      </c>
      <c r="E15" s="54">
        <v>1.75</v>
      </c>
      <c r="F15" s="54">
        <v>3.72</v>
      </c>
      <c r="G15" s="54">
        <v>51.72</v>
      </c>
      <c r="H15" s="54">
        <v>22.63</v>
      </c>
      <c r="I15" s="54">
        <v>6.15</v>
      </c>
      <c r="J15" s="54">
        <v>0.15</v>
      </c>
      <c r="K15" s="54">
        <v>309.30</v>
      </c>
      <c r="L15" s="54">
        <v>24.44</v>
      </c>
      <c r="M15" s="54">
        <v>81.510000000000005</v>
      </c>
      <c r="N15" s="54">
        <v>123.40</v>
      </c>
      <c r="O15" s="54">
        <v>0</v>
      </c>
      <c r="P15" s="54">
        <v>0.53</v>
      </c>
      <c r="Q15" s="54">
        <v>9.7200000000000006</v>
      </c>
      <c r="R15" s="43"/>
      <c r="S15" s="43"/>
      <c r="T15" s="43"/>
      <c r="U15" s="43"/>
    </row>
    <row r="16" spans="1:21" s="11" customFormat="1" ht="15">
      <c r="A16" s="53" t="s">
        <v>789</v>
      </c>
      <c r="B16" s="54">
        <v>24.07</v>
      </c>
      <c r="C16" s="54">
        <v>40.21</v>
      </c>
      <c r="D16" s="54">
        <v>40.03</v>
      </c>
      <c r="E16" s="54">
        <v>2.09</v>
      </c>
      <c r="F16" s="54">
        <v>3.64</v>
      </c>
      <c r="G16" s="54">
        <v>63.93</v>
      </c>
      <c r="H16" s="54">
        <v>22.99</v>
      </c>
      <c r="I16" s="54">
        <v>6.17</v>
      </c>
      <c r="J16" s="54">
        <v>0.23</v>
      </c>
      <c r="K16" s="54">
        <v>310.20999999999998</v>
      </c>
      <c r="L16" s="54">
        <v>27.68</v>
      </c>
      <c r="M16" s="54">
        <v>70.180000000000007</v>
      </c>
      <c r="N16" s="54">
        <v>187</v>
      </c>
      <c r="O16" s="54">
        <v>0</v>
      </c>
      <c r="P16" s="54">
        <v>0.65</v>
      </c>
      <c r="Q16" s="54">
        <v>9.89</v>
      </c>
      <c r="R16" s="43"/>
      <c r="S16" s="43"/>
      <c r="T16" s="43"/>
      <c r="U16" s="43"/>
    </row>
    <row r="17" spans="1:21" s="11" customFormat="1" ht="15">
      <c r="A17" s="53" t="s">
        <v>790</v>
      </c>
      <c r="B17" s="54">
        <v>23.27</v>
      </c>
      <c r="C17" s="54">
        <v>42.56</v>
      </c>
      <c r="D17" s="54">
        <v>40.82</v>
      </c>
      <c r="E17" s="54">
        <v>0.95</v>
      </c>
      <c r="F17" s="54">
        <v>3.79</v>
      </c>
      <c r="G17" s="54">
        <v>63.94</v>
      </c>
      <c r="H17" s="54">
        <v>25.67</v>
      </c>
      <c r="I17" s="54">
        <v>6.98</v>
      </c>
      <c r="J17" s="54">
        <v>0.23</v>
      </c>
      <c r="K17" s="54">
        <v>349.19</v>
      </c>
      <c r="L17" s="54">
        <v>28.43</v>
      </c>
      <c r="M17" s="54">
        <v>59.57</v>
      </c>
      <c r="N17" s="54">
        <v>317.5</v>
      </c>
      <c r="O17" s="54">
        <v>0</v>
      </c>
      <c r="P17" s="54">
        <v>0.69</v>
      </c>
      <c r="Q17" s="54">
        <v>9.85</v>
      </c>
      <c r="R17" s="43"/>
      <c r="S17" s="43"/>
      <c r="T17" s="43"/>
      <c r="U17" s="43"/>
    </row>
    <row r="18" spans="1:21" s="11" customFormat="1" ht="15">
      <c r="A18" s="53" t="s">
        <v>791</v>
      </c>
      <c r="B18" s="54">
        <v>21.63</v>
      </c>
      <c r="C18" s="54">
        <v>42.40</v>
      </c>
      <c r="D18" s="54">
        <v>38.93</v>
      </c>
      <c r="E18" s="54">
        <v>0.62</v>
      </c>
      <c r="F18" s="54">
        <v>4.17</v>
      </c>
      <c r="G18" s="54">
        <v>63.94</v>
      </c>
      <c r="H18" s="54">
        <v>25.67</v>
      </c>
      <c r="I18" s="54">
        <v>7.55</v>
      </c>
      <c r="J18" s="54">
        <v>0.23</v>
      </c>
      <c r="K18" s="54">
        <v>332.28</v>
      </c>
      <c r="L18" s="54">
        <v>32.83</v>
      </c>
      <c r="M18" s="54">
        <v>46.64</v>
      </c>
      <c r="N18" s="54">
        <v>750</v>
      </c>
      <c r="O18" s="54">
        <v>0</v>
      </c>
      <c r="P18" s="54">
        <v>0.69</v>
      </c>
      <c r="Q18" s="54">
        <v>9.8000000000000007</v>
      </c>
      <c r="R18" s="43"/>
      <c r="S18" s="43"/>
      <c r="T18" s="43"/>
      <c r="U18" s="43"/>
    </row>
    <row r="19" spans="1:21" s="11" customFormat="1" ht="15">
      <c r="A19" s="53" t="s">
        <v>792</v>
      </c>
      <c r="B19" s="54">
        <v>16.73</v>
      </c>
      <c r="C19" s="54">
        <v>50.54</v>
      </c>
      <c r="D19" s="54">
        <v>36.479999999999997</v>
      </c>
      <c r="E19" s="54">
        <v>0.69</v>
      </c>
      <c r="F19" s="54">
        <v>4.54</v>
      </c>
      <c r="G19" s="54">
        <v>59</v>
      </c>
      <c r="H19" s="54">
        <v>22.73</v>
      </c>
      <c r="I19" s="54">
        <v>7.64</v>
      </c>
      <c r="J19" s="54">
        <v>0.26</v>
      </c>
      <c r="K19" s="54">
        <v>331.19</v>
      </c>
      <c r="L19" s="54">
        <v>34.36</v>
      </c>
      <c r="M19" s="54">
        <v>34.14</v>
      </c>
      <c r="N19" s="54">
        <v>849.60</v>
      </c>
      <c r="O19" s="54">
        <v>0</v>
      </c>
      <c r="P19" s="54">
        <v>0.66</v>
      </c>
      <c r="Q19" s="54">
        <v>9.73</v>
      </c>
      <c r="R19" s="43"/>
      <c r="S19" s="43"/>
      <c r="T19" s="43"/>
      <c r="U19" s="43"/>
    </row>
    <row r="20" spans="1:21" s="11" customFormat="1" ht="15">
      <c r="A20" s="53" t="s">
        <v>793</v>
      </c>
      <c r="B20" s="54">
        <v>6.67</v>
      </c>
      <c r="C20" s="54">
        <v>56.27</v>
      </c>
      <c r="D20" s="54">
        <v>33.08</v>
      </c>
      <c r="E20" s="54">
        <v>1.96</v>
      </c>
      <c r="F20" s="54">
        <v>5.48</v>
      </c>
      <c r="G20" s="54">
        <v>51.04</v>
      </c>
      <c r="H20" s="54">
        <v>18.52</v>
      </c>
      <c r="I20" s="54">
        <v>7.19</v>
      </c>
      <c r="J20" s="54">
        <v>1.18</v>
      </c>
      <c r="K20" s="54">
        <v>193.21</v>
      </c>
      <c r="L20" s="54">
        <v>33.270000000000003</v>
      </c>
      <c r="M20" s="54">
        <v>34.770000000000003</v>
      </c>
      <c r="N20" s="54">
        <v>890.80</v>
      </c>
      <c r="O20" s="54">
        <v>0</v>
      </c>
      <c r="P20" s="54">
        <v>0.70</v>
      </c>
      <c r="Q20" s="54">
        <v>9.65</v>
      </c>
      <c r="R20" s="43"/>
      <c r="S20" s="43"/>
      <c r="T20" s="43"/>
      <c r="U20" s="43"/>
    </row>
    <row r="21" spans="1:21" s="11" customFormat="1" ht="15">
      <c r="A21" s="53" t="s">
        <v>794</v>
      </c>
      <c r="B21" s="54">
        <v>1.1599999999999999</v>
      </c>
      <c r="C21" s="54">
        <v>46.14</v>
      </c>
      <c r="D21" s="54">
        <v>24.96</v>
      </c>
      <c r="E21" s="54">
        <v>1.69</v>
      </c>
      <c r="F21" s="54">
        <v>8.0299999999999994</v>
      </c>
      <c r="G21" s="54">
        <v>46.35</v>
      </c>
      <c r="H21" s="54">
        <v>16.43</v>
      </c>
      <c r="I21" s="54">
        <v>7.04</v>
      </c>
      <c r="J21" s="54">
        <v>0.31</v>
      </c>
      <c r="K21" s="54">
        <v>320.10000000000002</v>
      </c>
      <c r="L21" s="54">
        <v>34.159999999999997</v>
      </c>
      <c r="M21" s="54">
        <v>32.159999999999997</v>
      </c>
      <c r="N21" s="54">
        <v>874.5</v>
      </c>
      <c r="O21" s="54">
        <v>0</v>
      </c>
      <c r="P21" s="54">
        <v>0.64</v>
      </c>
      <c r="Q21" s="54">
        <v>9.4499999999999993</v>
      </c>
      <c r="R21" s="43"/>
      <c r="S21" s="43"/>
      <c r="T21" s="43"/>
      <c r="U21" s="43"/>
    </row>
    <row r="22" spans="1:21" s="11" customFormat="1" ht="15">
      <c r="A22" s="53" t="s">
        <v>795</v>
      </c>
      <c r="B22" s="54">
        <v>0.63</v>
      </c>
      <c r="C22" s="54">
        <v>43.05</v>
      </c>
      <c r="D22" s="54">
        <v>22.91</v>
      </c>
      <c r="E22" s="54">
        <v>2.1800000000000002</v>
      </c>
      <c r="F22" s="54">
        <v>9.11</v>
      </c>
      <c r="G22" s="54">
        <v>42.73</v>
      </c>
      <c r="H22" s="54">
        <v>15.33</v>
      </c>
      <c r="I22" s="54">
        <v>5.25</v>
      </c>
      <c r="J22" s="54">
        <v>0.31</v>
      </c>
      <c r="K22" s="54">
        <v>354.19</v>
      </c>
      <c r="L22" s="54">
        <v>34.700000000000003</v>
      </c>
      <c r="M22" s="54">
        <v>29.74</v>
      </c>
      <c r="N22" s="54">
        <v>806</v>
      </c>
      <c r="O22" s="54">
        <v>0</v>
      </c>
      <c r="P22" s="54">
        <v>0.48</v>
      </c>
      <c r="Q22" s="54">
        <v>9.51</v>
      </c>
      <c r="R22" s="43"/>
      <c r="S22" s="43"/>
      <c r="T22" s="43"/>
      <c r="U22" s="43"/>
    </row>
    <row r="23" spans="1:21" s="11" customFormat="1" ht="15">
      <c r="A23" s="53" t="s">
        <v>796</v>
      </c>
      <c r="B23" s="54">
        <v>0.84</v>
      </c>
      <c r="C23" s="54">
        <v>42.76</v>
      </c>
      <c r="D23" s="54">
        <v>22.94</v>
      </c>
      <c r="E23" s="54">
        <v>1.47</v>
      </c>
      <c r="F23" s="54">
        <v>8.5299999999999994</v>
      </c>
      <c r="G23" s="54">
        <v>38.08</v>
      </c>
      <c r="H23" s="54">
        <v>14.43</v>
      </c>
      <c r="I23" s="54">
        <v>3.64</v>
      </c>
      <c r="J23" s="54">
        <v>0.33</v>
      </c>
      <c r="K23" s="54">
        <v>341.47</v>
      </c>
      <c r="L23" s="54">
        <v>35.47</v>
      </c>
      <c r="M23" s="54">
        <v>29</v>
      </c>
      <c r="N23" s="54">
        <v>621.20000000000005</v>
      </c>
      <c r="O23" s="54">
        <v>0</v>
      </c>
      <c r="P23" s="54">
        <v>0.43</v>
      </c>
      <c r="Q23" s="54">
        <v>9.5</v>
      </c>
      <c r="R23" s="43"/>
      <c r="S23" s="43"/>
      <c r="T23" s="43"/>
      <c r="U23" s="43"/>
    </row>
    <row r="24" spans="1:21" s="11" customFormat="1" ht="15">
      <c r="A24" s="53" t="s">
        <v>797</v>
      </c>
      <c r="B24" s="54">
        <v>1.25</v>
      </c>
      <c r="C24" s="54">
        <v>54.13</v>
      </c>
      <c r="D24" s="54">
        <v>29.14</v>
      </c>
      <c r="E24" s="54">
        <v>1.89</v>
      </c>
      <c r="F24" s="54">
        <v>6.88</v>
      </c>
      <c r="G24" s="54">
        <v>34.79</v>
      </c>
      <c r="H24" s="54">
        <v>24.79</v>
      </c>
      <c r="I24" s="54">
        <v>3.08</v>
      </c>
      <c r="J24" s="54">
        <v>0.31</v>
      </c>
      <c r="K24" s="54">
        <v>335.31</v>
      </c>
      <c r="L24" s="54">
        <v>34.950000000000003</v>
      </c>
      <c r="M24" s="54">
        <v>30.73</v>
      </c>
      <c r="N24" s="54">
        <v>402.90</v>
      </c>
      <c r="O24" s="54">
        <v>0</v>
      </c>
      <c r="P24" s="54">
        <v>0.49</v>
      </c>
      <c r="Q24" s="54">
        <v>9.6199999999999992</v>
      </c>
      <c r="R24" s="43"/>
      <c r="S24" s="43"/>
      <c r="T24" s="43"/>
      <c r="U24" s="43"/>
    </row>
    <row r="25" spans="1:21" s="11" customFormat="1" ht="15">
      <c r="A25" s="53" t="s">
        <v>798</v>
      </c>
      <c r="B25" s="54">
        <v>0.83</v>
      </c>
      <c r="C25" s="54">
        <v>43.72</v>
      </c>
      <c r="D25" s="54">
        <v>23.42</v>
      </c>
      <c r="E25" s="54">
        <v>1.97</v>
      </c>
      <c r="F25" s="54">
        <v>7.72</v>
      </c>
      <c r="G25" s="54">
        <v>34.79</v>
      </c>
      <c r="H25" s="54">
        <v>24.79</v>
      </c>
      <c r="I25" s="54">
        <v>3.06</v>
      </c>
      <c r="J25" s="54">
        <v>0.45</v>
      </c>
      <c r="K25" s="54">
        <v>309.04000000000002</v>
      </c>
      <c r="L25" s="54">
        <v>33.549999999999997</v>
      </c>
      <c r="M25" s="54">
        <v>30.75</v>
      </c>
      <c r="N25" s="54">
        <v>196.80</v>
      </c>
      <c r="O25" s="54">
        <v>0</v>
      </c>
      <c r="P25" s="54">
        <v>0.49</v>
      </c>
      <c r="Q25" s="54">
        <v>9.56</v>
      </c>
      <c r="R25" s="43"/>
      <c r="S25" s="43"/>
      <c r="T25" s="43"/>
      <c r="U25" s="43"/>
    </row>
    <row r="26" spans="1:21" s="11" customFormat="1" ht="15">
      <c r="A26" s="53" t="s">
        <v>799</v>
      </c>
      <c r="B26" s="54">
        <v>1.81</v>
      </c>
      <c r="C26" s="54">
        <v>45.67</v>
      </c>
      <c r="D26" s="54">
        <v>25.23</v>
      </c>
      <c r="E26" s="54">
        <v>1.77</v>
      </c>
      <c r="F26" s="54">
        <v>7.02</v>
      </c>
      <c r="G26" s="54">
        <v>32.409999999999997</v>
      </c>
      <c r="H26" s="54">
        <v>17.47</v>
      </c>
      <c r="I26" s="54">
        <v>2.88</v>
      </c>
      <c r="J26" s="54">
        <v>0.84</v>
      </c>
      <c r="K26" s="54">
        <v>204.5</v>
      </c>
      <c r="L26" s="54">
        <v>32.200000000000003</v>
      </c>
      <c r="M26" s="54">
        <v>38.299999999999997</v>
      </c>
      <c r="N26" s="54">
        <v>87.20</v>
      </c>
      <c r="O26" s="54">
        <v>0</v>
      </c>
      <c r="P26" s="54">
        <v>0.44</v>
      </c>
      <c r="Q26" s="54">
        <v>9.41</v>
      </c>
      <c r="R26" s="43"/>
      <c r="S26" s="43"/>
      <c r="T26" s="43"/>
      <c r="U26" s="43"/>
    </row>
    <row r="27" spans="1:21" s="11" customFormat="1" ht="15">
      <c r="A27" s="53" t="s">
        <v>800</v>
      </c>
      <c r="B27" s="54">
        <v>2.0699999999999998</v>
      </c>
      <c r="C27" s="54">
        <v>44.06</v>
      </c>
      <c r="D27" s="54">
        <v>24.29</v>
      </c>
      <c r="E27" s="54">
        <v>1.82</v>
      </c>
      <c r="F27" s="54">
        <v>4.34</v>
      </c>
      <c r="G27" s="54">
        <v>32.90</v>
      </c>
      <c r="H27" s="54">
        <v>14.89</v>
      </c>
      <c r="I27" s="54">
        <v>3.5</v>
      </c>
      <c r="J27" s="54">
        <v>0.30</v>
      </c>
      <c r="K27" s="54">
        <v>241.91</v>
      </c>
      <c r="L27" s="54">
        <v>30.45</v>
      </c>
      <c r="M27" s="54">
        <v>39.68</v>
      </c>
      <c r="N27" s="54">
        <v>28.40</v>
      </c>
      <c r="O27" s="54">
        <v>0</v>
      </c>
      <c r="P27" s="54">
        <v>0.40</v>
      </c>
      <c r="Q27" s="54">
        <v>9.49</v>
      </c>
      <c r="R27" s="43"/>
      <c r="S27" s="43"/>
      <c r="T27" s="43"/>
      <c r="U27" s="43"/>
    </row>
    <row r="28" spans="1:21" s="11" customFormat="1" ht="15">
      <c r="A28" s="53" t="s">
        <v>801</v>
      </c>
      <c r="B28" s="54">
        <v>2.52</v>
      </c>
      <c r="C28" s="54">
        <v>42.43</v>
      </c>
      <c r="D28" s="54">
        <v>23.92</v>
      </c>
      <c r="E28" s="54">
        <v>1.75</v>
      </c>
      <c r="F28" s="54">
        <v>4.24</v>
      </c>
      <c r="G28" s="54">
        <v>32.90</v>
      </c>
      <c r="H28" s="54">
        <v>17.36</v>
      </c>
      <c r="I28" s="54">
        <v>4.32</v>
      </c>
      <c r="J28" s="54">
        <v>0.56999999999999995</v>
      </c>
      <c r="K28" s="54">
        <v>193.66</v>
      </c>
      <c r="L28" s="54">
        <v>29.28</v>
      </c>
      <c r="M28" s="54">
        <v>45.56</v>
      </c>
      <c r="N28" s="54">
        <v>25.90</v>
      </c>
      <c r="O28" s="54">
        <v>0</v>
      </c>
      <c r="P28" s="54">
        <v>0.47</v>
      </c>
      <c r="Q28" s="54">
        <v>9.59</v>
      </c>
      <c r="R28" s="43"/>
      <c r="S28" s="43"/>
      <c r="T28" s="43"/>
      <c r="U28" s="43"/>
    </row>
    <row r="29" spans="1:21" s="11" customFormat="1" ht="15">
      <c r="A29" s="53" t="s">
        <v>802</v>
      </c>
      <c r="B29" s="54">
        <v>3.74</v>
      </c>
      <c r="C29" s="54">
        <v>53.31</v>
      </c>
      <c r="D29" s="54">
        <v>30.26</v>
      </c>
      <c r="E29" s="54">
        <v>1.62</v>
      </c>
      <c r="F29" s="54">
        <v>3.96</v>
      </c>
      <c r="G29" s="54">
        <v>32.880000000000003</v>
      </c>
      <c r="H29" s="54">
        <v>17.36</v>
      </c>
      <c r="I29" s="54">
        <v>4.5</v>
      </c>
      <c r="J29" s="54">
        <v>0.38</v>
      </c>
      <c r="K29" s="54">
        <v>211.53</v>
      </c>
      <c r="L29" s="54">
        <v>27.95</v>
      </c>
      <c r="M29" s="54">
        <v>49.60</v>
      </c>
      <c r="N29" s="54">
        <v>25.80</v>
      </c>
      <c r="O29" s="54">
        <v>0</v>
      </c>
      <c r="P29" s="54">
        <v>0.5</v>
      </c>
      <c r="Q29" s="54">
        <v>9.69</v>
      </c>
      <c r="R29" s="43"/>
      <c r="S29" s="43"/>
      <c r="T29" s="43"/>
      <c r="U29" s="43"/>
    </row>
    <row r="30" spans="1:21" s="11" customFormat="1" ht="15">
      <c r="A30" s="53" t="s">
        <v>803</v>
      </c>
      <c r="B30" s="54">
        <v>4.3600000000000003</v>
      </c>
      <c r="C30" s="54">
        <v>40.98</v>
      </c>
      <c r="D30" s="54">
        <v>24.83</v>
      </c>
      <c r="E30" s="54">
        <v>1.35</v>
      </c>
      <c r="F30" s="54">
        <v>4.1900000000000004</v>
      </c>
      <c r="G30" s="54">
        <v>34.65</v>
      </c>
      <c r="H30" s="54">
        <v>15.68</v>
      </c>
      <c r="I30" s="54">
        <v>4.51</v>
      </c>
      <c r="J30" s="54">
        <v>0.43</v>
      </c>
      <c r="K30" s="54">
        <v>267.22000000000003</v>
      </c>
      <c r="L30" s="54">
        <v>27.65</v>
      </c>
      <c r="M30" s="54">
        <v>46.74</v>
      </c>
      <c r="N30" s="54">
        <v>26.30</v>
      </c>
      <c r="O30" s="54">
        <v>0</v>
      </c>
      <c r="P30" s="54">
        <v>0.51</v>
      </c>
      <c r="Q30" s="54">
        <v>9.64</v>
      </c>
      <c r="R30" s="43"/>
      <c r="S30" s="43"/>
      <c r="T30" s="43"/>
      <c r="U30" s="43"/>
    </row>
    <row r="31" spans="1:21" s="11" customFormat="1" ht="15">
      <c r="A31" s="53" t="s">
        <v>804</v>
      </c>
      <c r="B31" s="54">
        <v>5.01</v>
      </c>
      <c r="C31" s="54">
        <v>41.21</v>
      </c>
      <c r="D31" s="54">
        <v>25.42</v>
      </c>
      <c r="E31" s="54">
        <v>1.34</v>
      </c>
      <c r="F31" s="54">
        <v>4.13</v>
      </c>
      <c r="G31" s="54">
        <v>37.21</v>
      </c>
      <c r="H31" s="54">
        <v>17.920000000000002</v>
      </c>
      <c r="I31" s="54">
        <v>4.3099999999999996</v>
      </c>
      <c r="J31" s="54">
        <v>0.32</v>
      </c>
      <c r="K31" s="54">
        <v>219.55</v>
      </c>
      <c r="L31" s="54">
        <v>26.96</v>
      </c>
      <c r="M31" s="54">
        <v>46.98</v>
      </c>
      <c r="N31" s="54">
        <v>26.20</v>
      </c>
      <c r="O31" s="54">
        <v>0</v>
      </c>
      <c r="P31" s="54">
        <v>0.51</v>
      </c>
      <c r="Q31" s="54">
        <v>9.59</v>
      </c>
      <c r="R31" s="43"/>
      <c r="S31" s="43"/>
      <c r="T31" s="43"/>
      <c r="U31" s="43"/>
    </row>
    <row r="32" spans="1:21" s="11" customFormat="1" ht="15">
      <c r="A32" s="53" t="s">
        <v>805</v>
      </c>
      <c r="B32" s="54">
        <v>6.08</v>
      </c>
      <c r="C32" s="54">
        <v>44.60</v>
      </c>
      <c r="D32" s="54">
        <v>28.10</v>
      </c>
      <c r="E32" s="54">
        <v>1.58</v>
      </c>
      <c r="F32" s="54">
        <v>3.78</v>
      </c>
      <c r="G32" s="54">
        <v>37.21</v>
      </c>
      <c r="H32" s="54">
        <v>20.48</v>
      </c>
      <c r="I32" s="54">
        <v>4</v>
      </c>
      <c r="J32" s="54">
        <v>0.22</v>
      </c>
      <c r="K32" s="54">
        <v>304.62</v>
      </c>
      <c r="L32" s="54">
        <v>26.57</v>
      </c>
      <c r="M32" s="54">
        <v>50.98</v>
      </c>
      <c r="N32" s="54">
        <v>26.30</v>
      </c>
      <c r="O32" s="54">
        <v>0</v>
      </c>
      <c r="P32" s="54">
        <v>0.54</v>
      </c>
      <c r="Q32" s="54">
        <v>9.61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0.63</v>
      </c>
      <c r="C34" s="28">
        <f t="shared" si="0"/>
        <v>37.560000000000002</v>
      </c>
      <c r="D34" s="28">
        <f t="shared" si="0"/>
        <v>21.620000000000001</v>
      </c>
      <c r="E34" s="28">
        <f t="shared" si="0"/>
        <v>0.62</v>
      </c>
      <c r="F34" s="28">
        <f t="shared" si="0"/>
        <v>3.4399999999999999</v>
      </c>
      <c r="G34" s="28">
        <f t="shared" si="0"/>
        <v>32.409999999999997</v>
      </c>
      <c r="H34" s="28">
        <f t="shared" si="0"/>
        <v>14.43</v>
      </c>
      <c r="I34" s="28">
        <f t="shared" si="0"/>
        <v>2.8799999999999999</v>
      </c>
      <c r="J34" s="28">
        <f t="shared" si="0"/>
        <v>0.14999999999999999</v>
      </c>
      <c r="K34" s="28">
        <f t="shared" si="0"/>
        <v>193.21000000000001</v>
      </c>
      <c r="L34" s="28">
        <f t="shared" si="0"/>
        <v>23.629999999999999</v>
      </c>
      <c r="M34" s="28">
        <f t="shared" si="0"/>
        <v>29</v>
      </c>
      <c r="N34" s="28">
        <f t="shared" si="0"/>
        <v>24.399999999999999</v>
      </c>
      <c r="O34" s="28">
        <f t="shared" si="0"/>
        <v>0</v>
      </c>
      <c r="P34" s="28">
        <f t="shared" si="0"/>
        <v>0.40000000000000002</v>
      </c>
      <c r="Q34" s="28">
        <f t="shared" si="0"/>
        <v>9.4100000000000001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24.07</v>
      </c>
      <c r="C35" s="29">
        <f t="shared" si="1"/>
        <v>56.270000000000003</v>
      </c>
      <c r="D35" s="29">
        <f t="shared" si="1"/>
        <v>40.82</v>
      </c>
      <c r="E35" s="29">
        <f t="shared" si="1"/>
        <v>2.1800000000000002</v>
      </c>
      <c r="F35" s="29">
        <f t="shared" si="1"/>
        <v>9.1099999999999994</v>
      </c>
      <c r="G35" s="29">
        <f t="shared" si="1"/>
        <v>66.730000000000004</v>
      </c>
      <c r="H35" s="29">
        <f t="shared" si="1"/>
        <v>38.329999999999998</v>
      </c>
      <c r="I35" s="29">
        <f t="shared" si="1"/>
        <v>7.6399999999999997</v>
      </c>
      <c r="J35" s="29">
        <f t="shared" si="1"/>
        <v>2</v>
      </c>
      <c r="K35" s="29">
        <f t="shared" si="1"/>
        <v>355.47000000000003</v>
      </c>
      <c r="L35" s="29">
        <f t="shared" si="1"/>
        <v>35.469999999999999</v>
      </c>
      <c r="M35" s="29">
        <f t="shared" si="1"/>
        <v>99.989999999999995</v>
      </c>
      <c r="N35" s="29">
        <f t="shared" si="1"/>
        <v>890.79999999999995</v>
      </c>
      <c r="O35" s="29">
        <f t="shared" si="1"/>
        <v>2</v>
      </c>
      <c r="P35" s="29">
        <f t="shared" si="1"/>
        <v>0.81000000000000005</v>
      </c>
      <c r="Q35" s="29">
        <f t="shared" si="1"/>
        <v>9.8900000000000006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7.2816666666666672</v>
      </c>
      <c r="C36" s="28">
        <f t="shared" si="2"/>
        <v>44.692499999999995</v>
      </c>
      <c r="D36" s="28">
        <f t="shared" si="2"/>
        <v>28.778749999999999</v>
      </c>
      <c r="E36" s="28">
        <f t="shared" si="2"/>
        <v>1.5916666666666668</v>
      </c>
      <c r="F36" s="28">
        <f t="shared" si="2"/>
        <v>5.1054166666666658</v>
      </c>
      <c r="G36" s="28">
        <f t="shared" si="2"/>
        <v>47.385833333333331</v>
      </c>
      <c r="H36" s="28">
        <f t="shared" si="2"/>
        <v>21.733750000000004</v>
      </c>
      <c r="I36" s="28">
        <f t="shared" si="2"/>
        <v>5.2841666666666667</v>
      </c>
      <c r="J36" s="28">
        <f t="shared" si="2"/>
        <v>0.47625000000000006</v>
      </c>
      <c r="K36" s="28">
        <f t="shared" si="2"/>
        <v>293.28458333333333</v>
      </c>
      <c r="L36" s="28">
        <f t="shared" si="2"/>
        <v>29.447916666666671</v>
      </c>
      <c r="M36" s="28">
        <f t="shared" si="2"/>
        <v>53.869166666666665</v>
      </c>
      <c r="N36" s="28">
        <f t="shared" si="2"/>
        <v>267.84999999999997</v>
      </c>
      <c r="O36" s="28">
        <f t="shared" si="2"/>
        <v>0.083333333333333329</v>
      </c>
      <c r="P36" s="28">
        <f t="shared" si="2"/>
        <v>0.55083333333333329</v>
      </c>
      <c r="Q36" s="28">
        <f t="shared" si="2"/>
        <v>9.6404166666666669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7.5239441938310527</v>
      </c>
      <c r="C37" s="28">
        <f t="shared" si="3" ref="C37:Q37">STDEV(C9:C32)</f>
        <v>5.1775252187995857</v>
      </c>
      <c r="D37" s="28">
        <f t="shared" si="3"/>
        <v>5.922476209873853</v>
      </c>
      <c r="E37" s="28">
        <f t="shared" si="3"/>
        <v>0.39005759515260169</v>
      </c>
      <c r="F37" s="28">
        <f t="shared" si="3"/>
        <v>1.7645543326159263</v>
      </c>
      <c r="G37" s="28">
        <f t="shared" si="3"/>
        <v>12.507471477226071</v>
      </c>
      <c r="H37" s="28">
        <f t="shared" si="3"/>
        <v>5.9301541973499692</v>
      </c>
      <c r="I37" s="28">
        <f t="shared" si="3"/>
        <v>1.5201113136205193</v>
      </c>
      <c r="J37" s="28">
        <f t="shared" si="3"/>
        <v>0.43543893397052968</v>
      </c>
      <c r="K37" s="28">
        <f t="shared" si="3"/>
        <v>55.041194057697354</v>
      </c>
      <c r="L37" s="28">
        <f t="shared" si="3"/>
        <v>3.9597869718355128</v>
      </c>
      <c r="M37" s="28">
        <f t="shared" si="3"/>
        <v>23.045586942758323</v>
      </c>
      <c r="N37" s="28">
        <f t="shared" si="3"/>
        <v>331.30852428041987</v>
      </c>
      <c r="O37" s="28">
        <f t="shared" si="3"/>
        <v>0.40824829046386302</v>
      </c>
      <c r="P37" s="28">
        <f t="shared" si="3"/>
        <v>0.10586770524807301</v>
      </c>
      <c r="Q37" s="28">
        <f t="shared" si="3"/>
        <v>0.1228459327304158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593992-8780-4d37-83dd-c213ac180992}">
  <sheetPr codeName=""/>
  <dimension ref="A1:X55"/>
  <sheetViews>
    <sheetView tabSelected="1" zoomScale="85" zoomScaleNormal="85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Q19" sqref="Q19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01-03-2024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01-03-2024 01:00</v>
      </c>
      <c r="B9" s="24">
        <f>'01'!B36</f>
        <v>24.535</v>
      </c>
      <c r="C9" s="24">
        <f>'01'!C36</f>
        <v>58.317499999999995</v>
      </c>
      <c r="D9" s="24">
        <f>'01'!D36</f>
        <v>52.165416666666658</v>
      </c>
      <c r="E9" s="24">
        <f>'01'!E36</f>
        <v>4.2649999999999997</v>
      </c>
      <c r="F9" s="24">
        <f>'01'!F36</f>
        <v>3.7562499999999996</v>
      </c>
      <c r="G9" s="24">
        <f>'01'!G36</f>
        <v>92.80958333333335</v>
      </c>
      <c r="H9" s="24">
        <f>'01'!H36</f>
        <v>34.094999999999999</v>
      </c>
      <c r="I9" s="24">
        <f>'01'!I36</f>
        <v>1.5541666666666665</v>
      </c>
      <c r="J9" s="24">
        <f>'01'!J36</f>
        <v>0.51666666666666661</v>
      </c>
      <c r="K9" s="24">
        <f>'01'!K36</f>
        <v>269.91708333333332</v>
      </c>
      <c r="L9" s="24">
        <f>'01'!L36</f>
        <v>26.281250000000004</v>
      </c>
      <c r="M9" s="24">
        <f>'01'!M36</f>
        <v>41.762083333333344</v>
      </c>
      <c r="N9" s="24">
        <f>'01'!N36</f>
        <v>284.01250000000005</v>
      </c>
      <c r="O9" s="24">
        <f>'01'!O36</f>
        <v>0</v>
      </c>
      <c r="P9" s="30">
        <f>'01'!$P$36</f>
        <v>0.79166666666666652</v>
      </c>
      <c r="Q9" s="24">
        <f>'01'!Q36</f>
        <v>9.4558333333333326</v>
      </c>
      <c r="R9" s="45"/>
      <c r="S9" s="45"/>
      <c r="T9" s="45"/>
      <c r="U9" s="46"/>
    </row>
    <row r="10" spans="1:21" s="34" customFormat="1" ht="15">
      <c r="A10" s="36" t="str">
        <f>'02'!$B$2</f>
        <v>02-03-2024 01:00</v>
      </c>
      <c r="B10" s="33">
        <f>'02'!B36</f>
        <v>15.559583333333336</v>
      </c>
      <c r="C10" s="33">
        <f>'02'!C36</f>
        <v>60.797083333333326</v>
      </c>
      <c r="D10" s="33">
        <f>'02'!D36</f>
        <v>46.309583333333343</v>
      </c>
      <c r="E10" s="33">
        <f>'02'!E36</f>
        <v>4.6687500000000011</v>
      </c>
      <c r="F10" s="33">
        <f>'02'!F36</f>
        <v>4.7158333333333333</v>
      </c>
      <c r="G10" s="33">
        <f>'02'!G36</f>
        <v>62.917391304347824</v>
      </c>
      <c r="H10" s="33">
        <f>'02'!H36</f>
        <v>24.62043478260869</v>
      </c>
      <c r="I10" s="33">
        <f>'02'!I36</f>
        <v>1.5458333333333334</v>
      </c>
      <c r="J10" s="33">
        <f>'02'!J36</f>
        <v>0.86041666666666672</v>
      </c>
      <c r="K10" s="33">
        <f>'02'!K36</f>
        <v>278.91333333333336</v>
      </c>
      <c r="L10" s="33">
        <f>'02'!L36</f>
        <v>26.317916666666672</v>
      </c>
      <c r="M10" s="33">
        <f>'02'!M36</f>
        <v>45.848333333333336</v>
      </c>
      <c r="N10" s="33">
        <f>'02'!N36</f>
        <v>255.94999999999993</v>
      </c>
      <c r="O10" s="33">
        <f>'02'!O36</f>
        <v>0</v>
      </c>
      <c r="P10" s="30">
        <f>'02'!$P$36</f>
        <v>0.72416666666666651</v>
      </c>
      <c r="Q10" s="33">
        <f>'02'!Q36</f>
        <v>9.4125000000000014</v>
      </c>
      <c r="R10" s="47"/>
      <c r="S10" s="47"/>
      <c r="T10" s="47"/>
      <c r="U10" s="47"/>
    </row>
    <row r="11" spans="1:21" s="34" customFormat="1" ht="15">
      <c r="A11" s="36" t="str">
        <f>'03'!$B$2</f>
        <v>03-03-2024 01:00</v>
      </c>
      <c r="B11" s="33">
        <f>'03'!B36</f>
        <v>13.619166666666667</v>
      </c>
      <c r="C11" s="33">
        <f>'03'!C36</f>
        <v>56.121666666666677</v>
      </c>
      <c r="D11" s="33">
        <f>'03'!D36</f>
        <v>42.296666666666667</v>
      </c>
      <c r="E11" s="33">
        <f>'03'!E36</f>
        <v>4.585416666666668</v>
      </c>
      <c r="F11" s="33">
        <f>'03'!F36</f>
        <v>4.5737500000000004</v>
      </c>
      <c r="G11" s="33">
        <f>'03'!G36</f>
        <v>80.587916666666686</v>
      </c>
      <c r="H11" s="33">
        <f>'03'!H36</f>
        <v>28.614166666666666</v>
      </c>
      <c r="I11" s="33">
        <f>'03'!I36</f>
        <v>1.5441666666666665</v>
      </c>
      <c r="J11" s="33">
        <f>'03'!J36</f>
        <v>0.60208333333333353</v>
      </c>
      <c r="K11" s="33">
        <f>'03'!K36</f>
        <v>288.72999999999996</v>
      </c>
      <c r="L11" s="33">
        <f>'03'!L36</f>
        <v>25.857916666666664</v>
      </c>
      <c r="M11" s="33">
        <f>'03'!M36</f>
        <v>53.531666666666666</v>
      </c>
      <c r="N11" s="33">
        <f>'03'!N36</f>
        <v>236.36666666666667</v>
      </c>
      <c r="O11" s="33">
        <f>'03'!O36</f>
        <v>0</v>
      </c>
      <c r="P11" s="30">
        <f>'03'!$P$36</f>
        <v>0.68208333333333337</v>
      </c>
      <c r="Q11" s="33">
        <f>'03'!Q36</f>
        <v>9.2991666666666681</v>
      </c>
      <c r="R11" s="47"/>
      <c r="S11" s="47"/>
      <c r="T11" s="47"/>
      <c r="U11" s="47"/>
    </row>
    <row r="12" spans="1:21" s="34" customFormat="1" ht="15">
      <c r="A12" s="36" t="str">
        <f>'04'!$B$2</f>
        <v>04-03-2024 01:00</v>
      </c>
      <c r="B12" s="33">
        <f>'04'!B36</f>
        <v>19.871904761904766</v>
      </c>
      <c r="C12" s="33">
        <f>'04'!C36</f>
        <v>56.966666666666661</v>
      </c>
      <c r="D12" s="33">
        <f>'04'!D36</f>
        <v>47.623809523809527</v>
      </c>
      <c r="E12" s="33">
        <f>'04'!E36</f>
        <v>4.9034999999999993</v>
      </c>
      <c r="F12" s="33">
        <f>'04'!F36</f>
        <v>4.1191666666666675</v>
      </c>
      <c r="G12" s="33">
        <f>'04'!G36</f>
        <v>103.82833333333332</v>
      </c>
      <c r="H12" s="33">
        <f>'04'!H36</f>
        <v>35.827916666666674</v>
      </c>
      <c r="I12" s="33">
        <f>'04'!I36</f>
        <v>1.5462499999999997</v>
      </c>
      <c r="J12" s="33">
        <f>'04'!J36</f>
        <v>0.70250000000000001</v>
      </c>
      <c r="K12" s="33">
        <f>'04'!K36</f>
        <v>297.90000000000003</v>
      </c>
      <c r="L12" s="33">
        <f>'04'!L36</f>
        <v>26.432916666666657</v>
      </c>
      <c r="M12" s="33">
        <f>'04'!M36</f>
        <v>59.259583333333332</v>
      </c>
      <c r="N12" s="33">
        <f>'04'!N36</f>
        <v>215.5958333333333</v>
      </c>
      <c r="O12" s="33">
        <f>'04'!O36</f>
        <v>0</v>
      </c>
      <c r="P12" s="30">
        <f>'04'!$P$36</f>
        <v>0.93916666666666659</v>
      </c>
      <c r="Q12" s="33">
        <f>'04'!Q36</f>
        <v>9.4608333333333352</v>
      </c>
      <c r="R12" s="47"/>
      <c r="S12" s="47"/>
      <c r="T12" s="47"/>
      <c r="U12" s="47"/>
    </row>
    <row r="13" spans="1:21" s="34" customFormat="1" ht="15">
      <c r="A13" s="36" t="str">
        <f>'05'!$B$2</f>
        <v>05-03-2024 01:00</v>
      </c>
      <c r="B13" s="33">
        <f>'05'!B36</f>
        <v>20.080714285714286</v>
      </c>
      <c r="C13" s="33">
        <f>'05'!C36</f>
        <v>55.443571428571438</v>
      </c>
      <c r="D13" s="33">
        <f>'05'!D36</f>
        <v>47.152857142857144</v>
      </c>
      <c r="E13" s="33">
        <f>'05'!E36</f>
        <v>3.9230434782608699</v>
      </c>
      <c r="F13" s="33">
        <f>'05'!F36</f>
        <v>4.0408695652173918</v>
      </c>
      <c r="G13" s="33">
        <f>'05'!G36</f>
        <v>73.947391304347818</v>
      </c>
      <c r="H13" s="33">
        <f>'05'!H36</f>
        <v>26.545217391304352</v>
      </c>
      <c r="I13" s="33">
        <f>'05'!I36</f>
        <v>1.5486956521739133</v>
      </c>
      <c r="J13" s="33">
        <f>'05'!J36</f>
        <v>0.89521739130434785</v>
      </c>
      <c r="K13" s="33">
        <f>'05'!K36</f>
        <v>310.75217391304346</v>
      </c>
      <c r="L13" s="33">
        <f>'05'!L36</f>
        <v>25.912608695652175</v>
      </c>
      <c r="M13" s="33">
        <f>'05'!M36</f>
        <v>55.538695652173921</v>
      </c>
      <c r="N13" s="33">
        <f>'05'!N36</f>
        <v>230.17826086956521</v>
      </c>
      <c r="O13" s="33">
        <f>'05'!O36</f>
        <v>0</v>
      </c>
      <c r="P13" s="30">
        <f>'05'!$P$36</f>
        <v>0.74260869565217402</v>
      </c>
      <c r="Q13" s="33">
        <f>'05'!Q36</f>
        <v>10.278260869565219</v>
      </c>
      <c r="R13" s="47"/>
      <c r="S13" s="47"/>
      <c r="T13" s="47"/>
      <c r="U13" s="47"/>
    </row>
    <row r="14" spans="1:21" s="34" customFormat="1" ht="15">
      <c r="A14" s="36" t="str">
        <f>'06'!$B$2</f>
        <v>06-03-2024 01:00</v>
      </c>
      <c r="B14" s="59" t="s">
        <v>8</v>
      </c>
      <c r="C14" s="59" t="s">
        <v>8</v>
      </c>
      <c r="D14" s="59" t="s">
        <v>8</v>
      </c>
      <c r="E14" s="33">
        <f>'06'!E36</f>
        <v>4.2112499999999997</v>
      </c>
      <c r="F14" s="33">
        <f>'06'!F36</f>
        <v>6.7137499999999983</v>
      </c>
      <c r="G14" s="33">
        <f>'06'!G36</f>
        <v>63.075833333333328</v>
      </c>
      <c r="H14" s="33">
        <f>'06'!H36</f>
        <v>22.467916666666667</v>
      </c>
      <c r="I14" s="33">
        <f>'06'!I36</f>
        <v>1.5558333333333334</v>
      </c>
      <c r="J14" s="33">
        <f>'06'!J36</f>
        <v>0.76708333333333323</v>
      </c>
      <c r="K14" s="33">
        <f>'06'!K36</f>
        <v>208.4483333333333</v>
      </c>
      <c r="L14" s="33">
        <f>'06'!L36</f>
        <v>26.783749999999998</v>
      </c>
      <c r="M14" s="33">
        <f>'06'!M36</f>
        <v>46.885416666666679</v>
      </c>
      <c r="N14" s="33">
        <f>'06'!N36</f>
        <v>240.34166666666667</v>
      </c>
      <c r="O14" s="33">
        <f>'06'!O36</f>
        <v>0</v>
      </c>
      <c r="P14" s="30">
        <f>'06'!$P$36</f>
        <v>0.64249999999999996</v>
      </c>
      <c r="Q14" s="33">
        <f>'06'!Q36</f>
        <v>11.067916666666669</v>
      </c>
      <c r="R14" s="47"/>
      <c r="S14" s="47"/>
      <c r="T14" s="47"/>
      <c r="U14" s="47"/>
    </row>
    <row r="15" spans="1:21" s="34" customFormat="1" ht="15">
      <c r="A15" s="36" t="str">
        <f>'07'!$B$2</f>
        <v>07-03-2024 01:00</v>
      </c>
      <c r="B15" s="59" t="s">
        <v>8</v>
      </c>
      <c r="C15" s="59" t="s">
        <v>8</v>
      </c>
      <c r="D15" s="59" t="s">
        <v>8</v>
      </c>
      <c r="E15" s="33">
        <f>'07'!E36</f>
        <v>4.1395833333333334</v>
      </c>
      <c r="F15" s="33">
        <f>'07'!F36</f>
        <v>6.2850000000000001</v>
      </c>
      <c r="G15" s="33">
        <f>'07'!G36</f>
        <v>68.001249999999985</v>
      </c>
      <c r="H15" s="33">
        <f>'07'!H36</f>
        <v>26.006666666666664</v>
      </c>
      <c r="I15" s="33">
        <f>'07'!I36</f>
        <v>1.5341666666666667</v>
      </c>
      <c r="J15" s="33">
        <f>'07'!J36</f>
        <v>0.98375000000000012</v>
      </c>
      <c r="K15" s="33">
        <f>'07'!K36</f>
        <v>288.81708333333341</v>
      </c>
      <c r="L15" s="33">
        <f>'07'!L36</f>
        <v>25.0275</v>
      </c>
      <c r="M15" s="33">
        <f>'07'!M36</f>
        <v>60.250833333333333</v>
      </c>
      <c r="N15" s="33">
        <f>'07'!N37</f>
        <v>278.69542979851627</v>
      </c>
      <c r="O15" s="33">
        <f>'07'!O37</f>
        <v>0</v>
      </c>
      <c r="P15" s="30">
        <f>'07'!$P$36</f>
        <v>0.66874999999999984</v>
      </c>
      <c r="Q15" s="33">
        <f>'07'!Q36</f>
        <v>10.814166666666665</v>
      </c>
      <c r="R15" s="47"/>
      <c r="S15" s="47"/>
      <c r="T15" s="47"/>
      <c r="U15" s="47"/>
    </row>
    <row r="16" spans="1:21" s="34" customFormat="1" ht="15">
      <c r="A16" s="36" t="str">
        <f>'08'!$B$2</f>
        <v>08-03-2024 01:00</v>
      </c>
      <c r="B16" s="33">
        <f>'08'!B36</f>
        <v>12.920000000000002</v>
      </c>
      <c r="C16" s="33">
        <f>'08'!C36</f>
        <v>41.032000000000004</v>
      </c>
      <c r="D16" s="33">
        <f>'08'!D36</f>
        <v>31.239000000000004</v>
      </c>
      <c r="E16" s="33">
        <f>'08'!E36</f>
        <v>4.0291666666666677</v>
      </c>
      <c r="F16" s="33">
        <f>'08'!F36</f>
        <v>4.8754166666666672</v>
      </c>
      <c r="G16" s="33">
        <f>'08'!G36</f>
        <v>70.039166666666674</v>
      </c>
      <c r="H16" s="33">
        <f>'08'!H36</f>
        <v>28.267500000000002</v>
      </c>
      <c r="I16" s="33">
        <f>'08'!I36</f>
        <v>1.5462500000000003</v>
      </c>
      <c r="J16" s="33">
        <f>'08'!J36</f>
        <v>0.78833333333333344</v>
      </c>
      <c r="K16" s="33">
        <f>'08'!K36</f>
        <v>165.70208333333332</v>
      </c>
      <c r="L16" s="33">
        <f>'08'!L36</f>
        <v>25.161249999999999</v>
      </c>
      <c r="M16" s="33">
        <f>'08'!M36</f>
        <v>37.630416666666669</v>
      </c>
      <c r="N16" s="33">
        <f>'08'!N36</f>
        <v>256.02500000000003</v>
      </c>
      <c r="O16" s="33">
        <f>'08'!O36</f>
        <v>0</v>
      </c>
      <c r="P16" s="30">
        <f>'08'!$P$36</f>
        <v>0.76749999999999996</v>
      </c>
      <c r="Q16" s="33">
        <f>'08'!Q36</f>
        <v>11.062916666666666</v>
      </c>
      <c r="R16" s="47"/>
      <c r="S16" s="47"/>
      <c r="T16" s="47"/>
      <c r="U16" s="47"/>
    </row>
    <row r="17" spans="1:24" s="34" customFormat="1" ht="15">
      <c r="A17" s="36" t="str">
        <f>'09'!$B$2</f>
        <v>09-03-2024 01:00</v>
      </c>
      <c r="B17" s="33">
        <f>'09'!B36</f>
        <v>13.884166666666667</v>
      </c>
      <c r="C17" s="33">
        <f>'09'!C36</f>
        <v>37.229166666666664</v>
      </c>
      <c r="D17" s="33">
        <f>'09'!D36</f>
        <v>30.10958333333333</v>
      </c>
      <c r="E17" s="33">
        <f>'09'!E36</f>
        <v>3.8420833333333331</v>
      </c>
      <c r="F17" s="33">
        <f>'09'!F36</f>
        <v>4.003750000000001</v>
      </c>
      <c r="G17" s="33">
        <f>'09'!G36</f>
        <v>65.990833333333327</v>
      </c>
      <c r="H17" s="33">
        <f>'09'!H36</f>
        <v>25.462083333333336</v>
      </c>
      <c r="I17" s="33">
        <f>'09'!I36</f>
        <v>1.5408333333333335</v>
      </c>
      <c r="J17" s="33">
        <f>'09'!J36</f>
        <v>0.79208333333333325</v>
      </c>
      <c r="K17" s="33">
        <f>'09'!K36</f>
        <v>192.72916666666663</v>
      </c>
      <c r="L17" s="33">
        <f>'09'!L36</f>
        <v>25.323749999999993</v>
      </c>
      <c r="M17" s="33">
        <f>'09'!M36</f>
        <v>38.633749999999999</v>
      </c>
      <c r="N17" s="33">
        <f>'09'!N37</f>
        <v>319.74263764738998</v>
      </c>
      <c r="O17" s="33">
        <f>'09'!O37</f>
        <v>0</v>
      </c>
      <c r="P17" s="30">
        <f>'09'!$P$36</f>
        <v>0.78000000000000014</v>
      </c>
      <c r="Q17" s="33">
        <f>'09'!Q36</f>
        <v>11.014583333333334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10-03-2024 01:00</v>
      </c>
      <c r="B18" s="33">
        <f>'10'!B36</f>
        <v>7.8116666666666665</v>
      </c>
      <c r="C18" s="33">
        <f>'10'!C36</f>
        <v>40.810833333333335</v>
      </c>
      <c r="D18" s="33">
        <f>'10'!D36</f>
        <v>27.23041666666667</v>
      </c>
      <c r="E18" s="33">
        <f>'10'!E36</f>
        <v>3.8745833333333333</v>
      </c>
      <c r="F18" s="33">
        <f>'10'!F36</f>
        <v>4.4758333333333331</v>
      </c>
      <c r="G18" s="33">
        <f>'10'!G36</f>
        <v>75.037499999999994</v>
      </c>
      <c r="H18" s="33">
        <f>'10'!H36</f>
        <v>32.735999999999997</v>
      </c>
      <c r="I18" s="33">
        <f>'10'!I36</f>
        <v>1.5491666666666664</v>
      </c>
      <c r="J18" s="33">
        <f>'10'!J36</f>
        <v>0.76250000000000007</v>
      </c>
      <c r="K18" s="33">
        <f>'10'!K36</f>
        <v>240.29000000000005</v>
      </c>
      <c r="L18" s="33">
        <f>'10'!L36</f>
        <v>27.080416666666665</v>
      </c>
      <c r="M18" s="33">
        <f>'10'!M36</f>
        <v>38.975833333333327</v>
      </c>
      <c r="N18" s="33">
        <f>'10'!N36</f>
        <v>253.54166666666666</v>
      </c>
      <c r="O18" s="33">
        <f>'10'!O36</f>
        <v>0</v>
      </c>
      <c r="P18" s="30">
        <f>'10'!$P$36</f>
        <v>0.80374999999999996</v>
      </c>
      <c r="Q18" s="33">
        <f>'10'!Q36</f>
        <v>11.015416666666669</v>
      </c>
      <c r="R18" s="47"/>
      <c r="S18" s="47"/>
      <c r="T18" s="47"/>
      <c r="U18" s="47"/>
    </row>
    <row r="19" spans="1:21" s="34" customFormat="1" ht="15">
      <c r="A19" s="36" t="str">
        <f>'11'!$B$2</f>
        <v>11-03-2024 01:00</v>
      </c>
      <c r="B19" s="33">
        <f>'11'!B36</f>
        <v>9.9391666666666669</v>
      </c>
      <c r="C19" s="33">
        <f>'11'!C36</f>
        <v>37.329583333333332</v>
      </c>
      <c r="D19" s="33">
        <f>'11'!D36</f>
        <v>27.061250000000001</v>
      </c>
      <c r="E19" s="33">
        <f>'11'!E36</f>
        <v>3.9704166666666669</v>
      </c>
      <c r="F19" s="33">
        <f>'11'!F36</f>
        <v>4.9245833333333335</v>
      </c>
      <c r="G19" s="33">
        <f>'11'!G36</f>
        <v>84.226666666666659</v>
      </c>
      <c r="H19" s="33">
        <f>'11'!H36</f>
        <v>35.274736842105263</v>
      </c>
      <c r="I19" s="33">
        <f>'11'!I36</f>
        <v>1.5483333333333331</v>
      </c>
      <c r="J19" s="33">
        <f>'11'!J36</f>
        <v>0.48083333333333322</v>
      </c>
      <c r="K19" s="33">
        <f>'11'!K36</f>
        <v>283.58250000000004</v>
      </c>
      <c r="L19" s="33">
        <f>'11'!L36</f>
        <v>27.781250000000004</v>
      </c>
      <c r="M19" s="33">
        <f>'11'!M36</f>
        <v>50.015416666666674</v>
      </c>
      <c r="N19" s="33">
        <f>'11'!N36</f>
        <v>228.0749999999999</v>
      </c>
      <c r="O19" s="33">
        <f>'11'!O36</f>
        <v>0</v>
      </c>
      <c r="P19" s="33">
        <f>'11'!P36</f>
        <v>0.75208333333333333</v>
      </c>
      <c r="Q19" s="33">
        <f>'11'!Q36</f>
        <v>11.055416666666668</v>
      </c>
      <c r="R19" s="47"/>
      <c r="S19" s="47"/>
      <c r="T19" s="47"/>
      <c r="U19" s="47"/>
    </row>
    <row r="20" spans="1:21" s="34" customFormat="1" ht="15">
      <c r="A20" s="36" t="str">
        <f>'12'!$B$2</f>
        <v>12-03-2024 01:00</v>
      </c>
      <c r="B20" s="33">
        <f>'12'!B36</f>
        <v>22.300416666666667</v>
      </c>
      <c r="C20" s="33">
        <f>'12'!C36</f>
        <v>34.838333333333338</v>
      </c>
      <c r="D20" s="33">
        <f>'12'!D36</f>
        <v>34.893750000000004</v>
      </c>
      <c r="E20" s="33">
        <f>'12'!E36</f>
        <v>3.9312499999999999</v>
      </c>
      <c r="F20" s="33">
        <f>'12'!F36</f>
        <v>4.3170833333333336</v>
      </c>
      <c r="G20" s="33">
        <f>'12'!G36</f>
        <v>83.181666666666672</v>
      </c>
      <c r="H20" s="33">
        <f>'12'!H36</f>
        <v>38.395714285714291</v>
      </c>
      <c r="I20" s="33">
        <f>'12'!I36</f>
        <v>1.5504166666666668</v>
      </c>
      <c r="J20" s="33">
        <f>'12'!J36</f>
        <v>0.37416666666666676</v>
      </c>
      <c r="K20" s="33">
        <f>'12'!K36</f>
        <v>326.15791666666661</v>
      </c>
      <c r="L20" s="33">
        <f>'12'!L36</f>
        <v>28.974583333333332</v>
      </c>
      <c r="M20" s="33">
        <f>'12'!M36</f>
        <v>45.302916666666668</v>
      </c>
      <c r="N20" s="33">
        <f>'12'!N36</f>
        <v>259.41666666666669</v>
      </c>
      <c r="O20" s="33">
        <f>'12'!O36</f>
        <v>0</v>
      </c>
      <c r="P20" s="33">
        <f>'12'!P36</f>
        <v>0.86958333333333326</v>
      </c>
      <c r="Q20" s="33">
        <f>'12'!Q36</f>
        <v>11.411250000000001</v>
      </c>
      <c r="R20" s="47"/>
      <c r="S20" s="47"/>
      <c r="T20" s="47"/>
      <c r="U20" s="47"/>
    </row>
    <row r="21" spans="1:21" s="34" customFormat="1" ht="15">
      <c r="A21" s="36" t="str">
        <f>'13'!$B$2</f>
        <v>13-03-2024 01:00</v>
      </c>
      <c r="B21" s="33">
        <f>'13'!B36</f>
        <v>37.631666666666668</v>
      </c>
      <c r="C21" s="33">
        <f>'13'!C36</f>
        <v>43.212272727272719</v>
      </c>
      <c r="D21" s="33">
        <f>'13'!D36</f>
        <v>48.382500000000014</v>
      </c>
      <c r="E21" s="33">
        <f>'13'!E36</f>
        <v>3.3558333333333334</v>
      </c>
      <c r="F21" s="33">
        <f>'13'!F36</f>
        <v>6.5637499999999989</v>
      </c>
      <c r="G21" s="33">
        <f>'13'!G36</f>
        <v>82.452608695652174</v>
      </c>
      <c r="H21" s="33">
        <f>'13'!H36</f>
        <v>29.012173913043483</v>
      </c>
      <c r="I21" s="33">
        <f>'13'!I36</f>
        <v>1.5475000000000003</v>
      </c>
      <c r="J21" s="33">
        <f>'13'!J36</f>
        <v>0.47374999999999989</v>
      </c>
      <c r="K21" s="33">
        <f>'13'!K36</f>
        <v>292.6829166666667</v>
      </c>
      <c r="L21" s="33">
        <f>'13'!L36</f>
        <v>29.039999999999996</v>
      </c>
      <c r="M21" s="33">
        <f>'13'!M36</f>
        <v>41.367916666666666</v>
      </c>
      <c r="N21" s="33">
        <f>'13'!N36</f>
        <v>265.89999999999998</v>
      </c>
      <c r="O21" s="33">
        <f>'13'!O36</f>
        <v>0</v>
      </c>
      <c r="P21" s="33">
        <f>'13'!P36</f>
        <v>0.9720833333333333</v>
      </c>
      <c r="Q21" s="33">
        <f>'13'!Q36</f>
        <v>11.805416666666668</v>
      </c>
      <c r="R21" s="47"/>
      <c r="S21" s="47"/>
      <c r="T21" s="47"/>
      <c r="U21" s="47"/>
    </row>
    <row r="22" spans="1:21" s="34" customFormat="1" ht="15">
      <c r="A22" s="36" t="str">
        <f>'14'!$B$2</f>
        <v>14-03-2024 01:00</v>
      </c>
      <c r="B22" s="30">
        <f>'14'!B36</f>
        <v>19.618750000000002</v>
      </c>
      <c r="C22" s="30">
        <f>'14'!C36</f>
        <v>56.355833333333344</v>
      </c>
      <c r="D22" s="30">
        <f>'14'!D36</f>
        <v>44.511666666666663</v>
      </c>
      <c r="E22" s="30">
        <f>'14'!E36</f>
        <v>2.1916666666666664</v>
      </c>
      <c r="F22" s="30">
        <f>'14'!F36</f>
        <v>5.1941666666666668</v>
      </c>
      <c r="G22" s="30">
        <f>'14'!G36</f>
        <v>79.522083333333342</v>
      </c>
      <c r="H22" s="30">
        <f>'14'!H36</f>
        <v>27.958333333333329</v>
      </c>
      <c r="I22" s="30">
        <f>'14'!I36</f>
        <v>1.5404166666666665</v>
      </c>
      <c r="J22" s="30">
        <f>'14'!J36</f>
        <v>0.55500000000000005</v>
      </c>
      <c r="K22" s="30">
        <f>'14'!K36</f>
        <v>305.36333333333334</v>
      </c>
      <c r="L22" s="30">
        <f>'14'!L36</f>
        <v>28.434166666666666</v>
      </c>
      <c r="M22" s="30">
        <f>'14'!M36</f>
        <v>32.802500000000002</v>
      </c>
      <c r="N22" s="30">
        <f>'14'!N36</f>
        <v>272.30833333333328</v>
      </c>
      <c r="O22" s="30">
        <f>'14'!O36</f>
        <v>0</v>
      </c>
      <c r="P22" s="30">
        <f>'14'!P36</f>
        <v>0.79874999999999996</v>
      </c>
      <c r="Q22" s="30">
        <f>'14'!Q36</f>
        <v>11.187083333333332</v>
      </c>
      <c r="R22" s="48"/>
      <c r="S22" s="48"/>
      <c r="T22" s="48"/>
      <c r="U22" s="48"/>
    </row>
    <row r="23" spans="1:21" s="34" customFormat="1" ht="15">
      <c r="A23" s="36" t="str">
        <f>'15'!$B$2</f>
        <v>15-03-2024 01:00</v>
      </c>
      <c r="B23" s="33">
        <f>'15'!B36</f>
        <v>27.234166666666667</v>
      </c>
      <c r="C23" s="33">
        <f>'15'!C36</f>
        <v>58.16375</v>
      </c>
      <c r="D23" s="33">
        <f>'15'!D36</f>
        <v>51.679583333333333</v>
      </c>
      <c r="E23" s="33">
        <f>'15'!E36</f>
        <v>1.8825000000000001</v>
      </c>
      <c r="F23" s="33">
        <f>'15'!F36</f>
        <v>3.9912499999999995</v>
      </c>
      <c r="G23" s="33">
        <f>'15'!G36</f>
        <v>79.65124999999999</v>
      </c>
      <c r="H23" s="33">
        <f>'15'!H36</f>
        <v>24.974583333333339</v>
      </c>
      <c r="I23" s="33">
        <f>'15'!I36</f>
        <v>1.5520833333333333</v>
      </c>
      <c r="J23" s="33">
        <f>'15'!J36</f>
        <v>0.49208333333333343</v>
      </c>
      <c r="K23" s="33">
        <f>'15'!K36</f>
        <v>296.04208333333338</v>
      </c>
      <c r="L23" s="33">
        <f>'15'!L36</f>
        <v>28.407499999999995</v>
      </c>
      <c r="M23" s="33">
        <f>'15'!M36</f>
        <v>32.422499999999999</v>
      </c>
      <c r="N23" s="33">
        <f>'15'!N36</f>
        <v>265.46666666666664</v>
      </c>
      <c r="O23" s="33">
        <f>'15'!O36</f>
        <v>0</v>
      </c>
      <c r="P23" s="30">
        <f>'15'!P36</f>
        <v>0.90333333333333343</v>
      </c>
      <c r="Q23" s="30">
        <f>'15'!Q36</f>
        <v>11.193333333333333</v>
      </c>
      <c r="R23" s="48"/>
      <c r="S23" s="48"/>
      <c r="T23" s="48"/>
      <c r="U23" s="47"/>
    </row>
    <row r="24" spans="1:21" s="34" customFormat="1" ht="15">
      <c r="A24" s="36" t="str">
        <f>'16'!$B$2</f>
        <v>16-03-2024 01:00</v>
      </c>
      <c r="B24" s="33">
        <f>'16'!B36</f>
        <v>12.422916666666667</v>
      </c>
      <c r="C24" s="33">
        <f>'16'!C36</f>
        <v>59.618333333333339</v>
      </c>
      <c r="D24" s="33">
        <f>'16'!D36</f>
        <v>40.639583333333327</v>
      </c>
      <c r="E24" s="33">
        <f>'16'!E36</f>
        <v>1.9695833333333332</v>
      </c>
      <c r="F24" s="33">
        <f>'16'!F36</f>
        <v>4.5500000000000007</v>
      </c>
      <c r="G24" s="33">
        <f>'16'!G36</f>
        <v>98.607916666666654</v>
      </c>
      <c r="H24" s="33">
        <f>'16'!H36</f>
        <v>42.859583333333319</v>
      </c>
      <c r="I24" s="33">
        <f>'16'!I36</f>
        <v>1.5441666666666671</v>
      </c>
      <c r="J24" s="33">
        <f>'16'!J36</f>
        <v>0.93583333333333352</v>
      </c>
      <c r="K24" s="33">
        <f>'16'!K36</f>
        <v>274.67874999999998</v>
      </c>
      <c r="L24" s="33">
        <f>'16'!L36</f>
        <v>27.444166666666661</v>
      </c>
      <c r="M24" s="33">
        <f>'16'!M36</f>
        <v>44.042083333333331</v>
      </c>
      <c r="N24" s="33">
        <f>'16'!N36</f>
        <v>203.70000000000005</v>
      </c>
      <c r="O24" s="33">
        <f>'16'!O36</f>
        <v>0</v>
      </c>
      <c r="P24" s="30">
        <f>'16'!P36</f>
        <v>0.89375000000000016</v>
      </c>
      <c r="Q24" s="30">
        <f>'16'!Q36</f>
        <v>11.284166666666666</v>
      </c>
      <c r="R24" s="48"/>
      <c r="S24" s="48"/>
      <c r="T24" s="48"/>
      <c r="U24" s="47"/>
    </row>
    <row r="25" spans="1:21" s="34" customFormat="1" ht="15">
      <c r="A25" s="36" t="str">
        <f>'17'!$B$2</f>
        <v>17-03-2024 01:00</v>
      </c>
      <c r="B25" s="33">
        <f>'17'!B36</f>
        <v>7.0324999999999989</v>
      </c>
      <c r="C25" s="33">
        <f>'17'!C36</f>
        <v>55.404583333333342</v>
      </c>
      <c r="D25" s="33">
        <f>'17'!D36</f>
        <v>34.320416666666659</v>
      </c>
      <c r="E25" s="33">
        <f>'17'!E36</f>
        <v>1.9612499999999997</v>
      </c>
      <c r="F25" s="33">
        <f>'17'!F36</f>
        <v>4.496666666666667</v>
      </c>
      <c r="G25" s="33">
        <f>'17'!G36</f>
        <v>71.730000000000004</v>
      </c>
      <c r="H25" s="33">
        <f>'17'!H36</f>
        <v>28.526250000000008</v>
      </c>
      <c r="I25" s="33">
        <f>'17'!I36</f>
        <v>1.5387500000000001</v>
      </c>
      <c r="J25" s="33">
        <f>'17'!J36</f>
        <v>1.0033333333333336</v>
      </c>
      <c r="K25" s="33">
        <f>'17'!K36</f>
        <v>286.83874999999995</v>
      </c>
      <c r="L25" s="33">
        <f>'17'!L36</f>
        <v>26.492083333333337</v>
      </c>
      <c r="M25" s="33">
        <f>'17'!M36</f>
        <v>55.442916666666655</v>
      </c>
      <c r="N25" s="33">
        <f>'17'!N36</f>
        <v>251.27083333333334</v>
      </c>
      <c r="O25" s="33">
        <f>'17'!O36</f>
        <v>0</v>
      </c>
      <c r="P25" s="30">
        <f>'17'!P36</f>
        <v>0.60624999999999996</v>
      </c>
      <c r="Q25" s="30">
        <f>'17'!Q36</f>
        <v>10.965416666666664</v>
      </c>
      <c r="R25" s="48"/>
      <c r="S25" s="48"/>
      <c r="T25" s="48"/>
      <c r="U25" s="47"/>
    </row>
    <row r="26" spans="1:21" s="34" customFormat="1" ht="15">
      <c r="A26" s="36" t="str">
        <f>'18'!$B$2</f>
        <v>18-03-2024 01:00</v>
      </c>
      <c r="B26" s="33">
        <f>'18'!B36</f>
        <v>4.1920833333333336</v>
      </c>
      <c r="C26" s="33">
        <f>'18'!C36</f>
        <v>45.533333333333331</v>
      </c>
      <c r="D26" s="33">
        <f>'18'!D36</f>
        <v>26.965416666666666</v>
      </c>
      <c r="E26" s="33">
        <f>'18'!E36</f>
        <v>1.7054166666666666</v>
      </c>
      <c r="F26" s="33">
        <f>'18'!F36</f>
        <v>5.1870833333333337</v>
      </c>
      <c r="G26" s="33">
        <f>'18'!G36</f>
        <v>41.68333333333333</v>
      </c>
      <c r="H26" s="33">
        <f>'18'!H36</f>
        <v>17.265000000000004</v>
      </c>
      <c r="I26" s="33">
        <f>'18'!I36</f>
        <v>1.5425000000000002</v>
      </c>
      <c r="J26" s="33">
        <f>'18'!J36</f>
        <v>1.6208333333333336</v>
      </c>
      <c r="K26" s="33">
        <f>'18'!K36</f>
        <v>235.67583333333337</v>
      </c>
      <c r="L26" s="33">
        <f>'18'!L36</f>
        <v>24.133750000000003</v>
      </c>
      <c r="M26" s="33">
        <f>'18'!M36</f>
        <v>69.611666666666665</v>
      </c>
      <c r="N26" s="33">
        <f>'18'!N36</f>
        <v>226.6333333333333</v>
      </c>
      <c r="O26" s="33">
        <f>'18'!O36</f>
        <v>0.11666666666666668</v>
      </c>
      <c r="P26" s="30">
        <f>'18'!P36</f>
        <v>0.42291666666666666</v>
      </c>
      <c r="Q26" s="30">
        <f>'18'!Q36</f>
        <v>10.738749999999998</v>
      </c>
      <c r="R26" s="48"/>
      <c r="S26" s="48"/>
      <c r="T26" s="48"/>
      <c r="U26" s="47"/>
    </row>
    <row r="27" spans="1:21" s="34" customFormat="1" ht="15">
      <c r="A27" s="36" t="str">
        <f>'19'!$B$2</f>
        <v>19-03-2024 01:00</v>
      </c>
      <c r="B27" s="33">
        <f>'19'!B36</f>
        <v>7.6358333333333333</v>
      </c>
      <c r="C27" s="33">
        <f>'19'!C36</f>
        <v>39.600833333333334</v>
      </c>
      <c r="D27" s="33">
        <f>'19'!D36</f>
        <v>26.374583333333334</v>
      </c>
      <c r="E27" s="33">
        <f>'19'!E36</f>
        <v>1.8337500000000002</v>
      </c>
      <c r="F27" s="33">
        <f>'19'!F36</f>
        <v>5.6625000000000005</v>
      </c>
      <c r="G27" s="33">
        <f>'19'!G36</f>
        <v>28.031666666666666</v>
      </c>
      <c r="H27" s="33">
        <f>'19'!H36</f>
        <v>10.432083333333333</v>
      </c>
      <c r="I27" s="33">
        <f>'19'!I36</f>
        <v>3.1124999999999998</v>
      </c>
      <c r="J27" s="33">
        <f>'19'!J36</f>
        <v>1.6008333333333333</v>
      </c>
      <c r="K27" s="33">
        <f>'19'!K36</f>
        <v>182.97708333333333</v>
      </c>
      <c r="L27" s="33">
        <f>'19'!L36</f>
        <v>19.493750000000002</v>
      </c>
      <c r="M27" s="33">
        <f>'19'!M36</f>
        <v>91.77500000000002</v>
      </c>
      <c r="N27" s="33">
        <f>'19'!N36</f>
        <v>161.45833333333334</v>
      </c>
      <c r="O27" s="33">
        <f>'19'!O36</f>
        <v>0.49166666666666664</v>
      </c>
      <c r="P27" s="30">
        <f>'19'!P36</f>
        <v>0.39833333333333337</v>
      </c>
      <c r="Q27" s="30">
        <f>'19'!Q36</f>
        <v>10.481666666666667</v>
      </c>
      <c r="R27" s="48"/>
      <c r="S27" s="48"/>
      <c r="T27" s="48"/>
      <c r="U27" s="47"/>
    </row>
    <row r="28" spans="1:21" s="34" customFormat="1" ht="15">
      <c r="A28" s="36" t="str">
        <f>'20'!$B$2</f>
        <v>20-03-2024 01:00</v>
      </c>
      <c r="B28" s="33">
        <f>'20'!B36</f>
        <v>8.6650000000000009</v>
      </c>
      <c r="C28" s="33">
        <f>'20'!C36</f>
        <v>45.855833333333344</v>
      </c>
      <c r="D28" s="33">
        <f>'20'!D36</f>
        <v>30.694583333333338</v>
      </c>
      <c r="E28" s="33">
        <f>'20'!E36</f>
        <v>1.8624999999999998</v>
      </c>
      <c r="F28" s="33">
        <f>'20'!F36</f>
        <v>4.0212500000000002</v>
      </c>
      <c r="G28" s="33">
        <f>'20'!G36</f>
        <v>29.032500000000002</v>
      </c>
      <c r="H28" s="33">
        <f>'20'!H36</f>
        <v>20.127083333333339</v>
      </c>
      <c r="I28" s="33">
        <f>'20'!I36</f>
        <v>5.0333333333333341</v>
      </c>
      <c r="J28" s="33">
        <f>'20'!J36</f>
        <v>1.03</v>
      </c>
      <c r="K28" s="33">
        <f>'20'!K36</f>
        <v>248.89750000000004</v>
      </c>
      <c r="L28" s="33">
        <f>'20'!L36</f>
        <v>21.427083333333332</v>
      </c>
      <c r="M28" s="33">
        <f>'20'!M36</f>
        <v>66.747500000000002</v>
      </c>
      <c r="N28" s="33">
        <f>'20'!N36</f>
        <v>334.11250000000001</v>
      </c>
      <c r="O28" s="33">
        <f>'20'!O36</f>
        <v>0.016666666666666666</v>
      </c>
      <c r="P28" s="30">
        <f>'20'!P36</f>
        <v>0.46999999999999997</v>
      </c>
      <c r="Q28" s="30">
        <f>'20'!Q36</f>
        <v>10.515833333333335</v>
      </c>
      <c r="R28" s="48"/>
      <c r="S28" s="48"/>
      <c r="T28" s="48"/>
      <c r="U28" s="47"/>
    </row>
    <row r="29" spans="1:21" s="34" customFormat="1" ht="15">
      <c r="A29" s="36" t="str">
        <f>'21'!$B$2</f>
        <v>21-03-2024 01:00</v>
      </c>
      <c r="B29" s="33">
        <f>'21'!B36</f>
        <v>26.940000000000001</v>
      </c>
      <c r="C29" s="33">
        <f>'21'!C36</f>
        <v>53.880416666666662</v>
      </c>
      <c r="D29" s="33">
        <f>'21'!D36</f>
        <v>49.308749999999996</v>
      </c>
      <c r="E29" s="33">
        <f>'21'!E36</f>
        <v>2.2979166666666666</v>
      </c>
      <c r="F29" s="33">
        <f>'21'!F36</f>
        <v>4.8462500000000013</v>
      </c>
      <c r="G29" s="33">
        <f>'21'!G36</f>
        <v>53.723333333333322</v>
      </c>
      <c r="H29" s="33">
        <f>'21'!H36</f>
        <v>18.838750000000001</v>
      </c>
      <c r="I29" s="33">
        <f>'21'!I36</f>
        <v>5.0300000000000002</v>
      </c>
      <c r="J29" s="33">
        <f>'21'!J36</f>
        <v>0.66500000000000015</v>
      </c>
      <c r="K29" s="33">
        <f>'21'!K36</f>
        <v>285.71999999999997</v>
      </c>
      <c r="L29" s="33">
        <f>'21'!L36</f>
        <v>23.032499999999999</v>
      </c>
      <c r="M29" s="33">
        <f>'21'!M36</f>
        <v>62.142499999999991</v>
      </c>
      <c r="N29" s="33">
        <f>'21'!N36</f>
        <v>308.32500000000005</v>
      </c>
      <c r="O29" s="33">
        <f>'21'!O36</f>
        <v>0</v>
      </c>
      <c r="P29" s="30">
        <f>'21'!P36</f>
        <v>0.69833333333333336</v>
      </c>
      <c r="Q29" s="30">
        <f>'21'!Q36</f>
        <v>11.110000000000001</v>
      </c>
      <c r="R29" s="48"/>
      <c r="S29" s="48"/>
      <c r="T29" s="48"/>
      <c r="U29" s="47"/>
    </row>
    <row r="30" spans="1:21" s="34" customFormat="1" ht="15">
      <c r="A30" s="36" t="str">
        <f>'22'!$B$2</f>
        <v>22-03-2024 01:00</v>
      </c>
      <c r="B30" s="33">
        <f>'22'!B36</f>
        <v>42.197916666666679</v>
      </c>
      <c r="C30" s="33">
        <f>'22'!C36</f>
        <v>61.532499999999992</v>
      </c>
      <c r="D30" s="33">
        <f>'22'!D36</f>
        <v>65.514583333333334</v>
      </c>
      <c r="E30" s="33">
        <f>'22'!E36</f>
        <v>2.0324999999999998</v>
      </c>
      <c r="F30" s="33">
        <f>'22'!F36</f>
        <v>4.3016666666666659</v>
      </c>
      <c r="G30" s="33">
        <f>'22'!G36</f>
        <v>85.307083333333338</v>
      </c>
      <c r="H30" s="33">
        <f>'22'!H36</f>
        <v>30.402916666666666</v>
      </c>
      <c r="I30" s="33">
        <f>'22'!I36</f>
        <v>5.0387500000000003</v>
      </c>
      <c r="J30" s="33">
        <f>'22'!J36</f>
        <v>0.56666666666666676</v>
      </c>
      <c r="K30" s="33">
        <f>'22'!K36</f>
        <v>276.58666666666664</v>
      </c>
      <c r="L30" s="33">
        <f>'22'!L36</f>
        <v>25.736250000000002</v>
      </c>
      <c r="M30" s="33">
        <f>'22'!M36</f>
        <v>57.110833333333339</v>
      </c>
      <c r="N30" s="33">
        <f>'22'!N36</f>
        <v>278.38333333333327</v>
      </c>
      <c r="O30" s="33">
        <f>'22'!O36</f>
        <v>0</v>
      </c>
      <c r="P30" s="30">
        <f>'22'!P36</f>
        <v>1.1575000000000002</v>
      </c>
      <c r="Q30" s="30">
        <f>'22'!Q36</f>
        <v>11.300416666666665</v>
      </c>
      <c r="R30" s="48"/>
      <c r="S30" s="47"/>
      <c r="T30" s="47"/>
      <c r="U30" s="47"/>
    </row>
    <row r="31" spans="1:21" s="34" customFormat="1" ht="15">
      <c r="A31" s="36" t="str">
        <f>'23'!$B$2</f>
        <v>23-03-2024 01:00</v>
      </c>
      <c r="B31" s="33">
        <f>'23'!B36</f>
        <v>34.080000000000005</v>
      </c>
      <c r="C31" s="33">
        <f>'23'!C36</f>
        <v>60.664999999999992</v>
      </c>
      <c r="D31" s="33">
        <f>'23'!D36</f>
        <v>58.684166666666677</v>
      </c>
      <c r="E31" s="33">
        <f>'23'!E36</f>
        <v>2.011304347826087</v>
      </c>
      <c r="F31" s="33">
        <f>'23'!F36</f>
        <v>5.7883333333333331</v>
      </c>
      <c r="G31" s="33">
        <f>'23'!G36</f>
        <v>90.337826086956525</v>
      </c>
      <c r="H31" s="33">
        <f>'23'!H36</f>
        <v>38.190434782608691</v>
      </c>
      <c r="I31" s="33">
        <f>'23'!I36</f>
        <v>5.0333333333333341</v>
      </c>
      <c r="J31" s="33">
        <f>'23'!J36</f>
        <v>0.45083333333333325</v>
      </c>
      <c r="K31" s="33">
        <f>'23'!K36</f>
        <v>280.18375000000003</v>
      </c>
      <c r="L31" s="33">
        <f>'23'!L36</f>
        <v>26.51541666666667</v>
      </c>
      <c r="M31" s="33">
        <f>'23'!M36</f>
        <v>52.825416666666662</v>
      </c>
      <c r="N31" s="33">
        <f>'23'!N36</f>
        <v>283.95000000000005</v>
      </c>
      <c r="O31" s="33">
        <f>'23'!O36</f>
        <v>0</v>
      </c>
      <c r="P31" s="33">
        <f>'23'!P36</f>
        <v>1.0291666666666666</v>
      </c>
      <c r="Q31" s="33">
        <f>'23'!Q36</f>
        <v>10.716666666666667</v>
      </c>
      <c r="R31" s="47"/>
      <c r="S31" s="47"/>
      <c r="T31" s="47"/>
      <c r="U31" s="47"/>
    </row>
    <row r="32" spans="1:21" s="34" customFormat="1" ht="15">
      <c r="A32" s="36" t="str">
        <f>'24'!$B$2</f>
        <v>24-03-2024 01:00</v>
      </c>
      <c r="B32" s="33">
        <f>'24'!B36</f>
        <v>28.955833333333331</v>
      </c>
      <c r="C32" s="33">
        <f>'24'!C36</f>
        <v>59.019583333333337</v>
      </c>
      <c r="D32" s="33">
        <f>'24'!D36</f>
        <v>53.484583333333326</v>
      </c>
      <c r="E32" s="33">
        <f>'24'!E36</f>
        <v>1.8558333333333332</v>
      </c>
      <c r="F32" s="33">
        <f>'24'!F36</f>
        <v>4.4787499999999998</v>
      </c>
      <c r="G32" s="33">
        <f>'24'!G36</f>
        <v>81.796666666666667</v>
      </c>
      <c r="H32" s="33">
        <f>'24'!H36</f>
        <v>35.745416666666671</v>
      </c>
      <c r="I32" s="33">
        <f>'24'!I36</f>
        <v>5.029583333333334</v>
      </c>
      <c r="J32" s="33">
        <f>'24'!J36</f>
        <v>0.40166666666666662</v>
      </c>
      <c r="K32" s="33">
        <f>'24'!K36</f>
        <v>297.78166666666658</v>
      </c>
      <c r="L32" s="33">
        <f>'24'!L36</f>
        <v>28.032916666666665</v>
      </c>
      <c r="M32" s="33">
        <f>'24'!M36</f>
        <v>50.85125</v>
      </c>
      <c r="N32" s="33">
        <f>'24'!N36</f>
        <v>259.62916666666672</v>
      </c>
      <c r="O32" s="33">
        <f>'24'!O36</f>
        <v>0</v>
      </c>
      <c r="P32" s="33">
        <f>'24'!P36</f>
        <v>0.9654166666666667</v>
      </c>
      <c r="Q32" s="33">
        <f>'24'!Q36</f>
        <v>10.516249999999999</v>
      </c>
      <c r="R32" s="47"/>
      <c r="S32" s="47"/>
      <c r="T32" s="47"/>
      <c r="U32" s="47"/>
    </row>
    <row r="33" spans="1:21" s="34" customFormat="1" ht="15">
      <c r="A33" s="36" t="str">
        <f>'25'!$B$2</f>
        <v>25-03-2024 01:00</v>
      </c>
      <c r="B33" s="33">
        <f>'25'!B36</f>
        <v>6.7645833333333369</v>
      </c>
      <c r="C33" s="33">
        <f>'25'!C36</f>
        <v>49.755000000000017</v>
      </c>
      <c r="D33" s="33">
        <f>'25'!D36</f>
        <v>31.175416666666667</v>
      </c>
      <c r="E33" s="33">
        <f>'25'!E36</f>
        <v>1.9837499999999997</v>
      </c>
      <c r="F33" s="33">
        <f>'25'!F36</f>
        <v>5.7908333333333326</v>
      </c>
      <c r="G33" s="33">
        <f>'25'!G36</f>
        <v>55.367083333333319</v>
      </c>
      <c r="H33" s="33">
        <f>'25'!H36</f>
        <v>28.068333333333339</v>
      </c>
      <c r="I33" s="33">
        <f>'25'!I36</f>
        <v>5.0300000000000002</v>
      </c>
      <c r="J33" s="33">
        <f>'25'!J36</f>
        <v>0.59791666666666676</v>
      </c>
      <c r="K33" s="33">
        <f>'25'!K36</f>
        <v>262.70041666666663</v>
      </c>
      <c r="L33" s="33">
        <f>'25'!L36</f>
        <v>28.337500000000006</v>
      </c>
      <c r="M33" s="33">
        <f>'25'!M36</f>
        <v>51.252500000000019</v>
      </c>
      <c r="N33" s="33">
        <f>'25'!N36</f>
        <v>259.67500000000001</v>
      </c>
      <c r="O33" s="33">
        <f>'25'!O36</f>
        <v>0</v>
      </c>
      <c r="P33" s="33">
        <f>'25'!P36</f>
        <v>0.72125000000000006</v>
      </c>
      <c r="Q33" s="33">
        <f>'25'!Q36</f>
        <v>10.007083333333332</v>
      </c>
      <c r="R33" s="47"/>
      <c r="S33" s="47"/>
      <c r="T33" s="47"/>
      <c r="U33" s="47"/>
    </row>
    <row r="34" spans="1:21" s="34" customFormat="1" ht="15">
      <c r="A34" s="36" t="str">
        <f>'26'!$B$2</f>
        <v>26-03-2024 01:00</v>
      </c>
      <c r="B34" s="33">
        <f>'26'!B36</f>
        <v>6.6691666666666665</v>
      </c>
      <c r="C34" s="33">
        <f>'26'!C36</f>
        <v>53.166250000000012</v>
      </c>
      <c r="D34" s="33">
        <f>'26'!D36</f>
        <v>32.795833333333327</v>
      </c>
      <c r="E34" s="33">
        <f>'26'!E36</f>
        <v>1.9179166666666669</v>
      </c>
      <c r="F34" s="33">
        <f>'26'!F36</f>
        <v>4.7454166666666673</v>
      </c>
      <c r="G34" s="33">
        <f>'26'!G36</f>
        <v>52.466250000000002</v>
      </c>
      <c r="H34" s="33">
        <f>'26'!H36</f>
        <v>23.63208333333333</v>
      </c>
      <c r="I34" s="33">
        <f>'26'!I36</f>
        <v>5.0325000000000006</v>
      </c>
      <c r="J34" s="33">
        <f>'26'!J36</f>
        <v>0.5870833333333334</v>
      </c>
      <c r="K34" s="33">
        <f>'26'!K36</f>
        <v>283.73416666666662</v>
      </c>
      <c r="L34" s="33">
        <f>'26'!L36</f>
        <v>28.969999999999999</v>
      </c>
      <c r="M34" s="33">
        <f>'26'!M36</f>
        <v>52.150416666666665</v>
      </c>
      <c r="N34" s="33">
        <f>'26'!N36</f>
        <v>267.35833333333335</v>
      </c>
      <c r="O34" s="33">
        <f>'26'!O36</f>
        <v>0</v>
      </c>
      <c r="P34" s="33">
        <f>'26'!P36</f>
        <v>0.66041666666666665</v>
      </c>
      <c r="Q34" s="33">
        <f>'26'!Q36</f>
        <v>9.9716666666666658</v>
      </c>
      <c r="R34" s="47"/>
      <c r="S34" s="47"/>
      <c r="T34" s="47"/>
      <c r="U34" s="47"/>
    </row>
    <row r="35" spans="1:21" s="34" customFormat="1" ht="15">
      <c r="A35" s="36" t="str">
        <f>'27'!$B$2</f>
        <v>27-03-2024 01:00</v>
      </c>
      <c r="B35" s="33">
        <f>'27'!B36</f>
        <v>16.482916666666664</v>
      </c>
      <c r="C35" s="33">
        <f>'27'!C36</f>
        <v>58.422500000000007</v>
      </c>
      <c r="D35" s="33">
        <f>'27'!D36</f>
        <v>43.332916666666669</v>
      </c>
      <c r="E35" s="33">
        <f>'27'!E36</f>
        <v>2.3283333333333336</v>
      </c>
      <c r="F35" s="33">
        <f>'27'!F36</f>
        <v>6.5679166666666662</v>
      </c>
      <c r="G35" s="33">
        <f>'27'!G36</f>
        <v>86.362083333333359</v>
      </c>
      <c r="H35" s="33">
        <f>'27'!H36</f>
        <v>42.395833333333329</v>
      </c>
      <c r="I35" s="33">
        <f>'27'!I36</f>
        <v>5.0329166666666669</v>
      </c>
      <c r="J35" s="33">
        <f>'27'!J36</f>
        <v>0.36749999999999999</v>
      </c>
      <c r="K35" s="33">
        <f>'27'!K36</f>
        <v>314.98416666666668</v>
      </c>
      <c r="L35" s="33">
        <f>'27'!L36</f>
        <v>29.455833333333331</v>
      </c>
      <c r="M35" s="33">
        <f>'27'!M36</f>
        <v>47.790833333333332</v>
      </c>
      <c r="N35" s="33">
        <f>'27'!N36</f>
        <v>252.28749999999999</v>
      </c>
      <c r="O35" s="33">
        <f>'27'!O36</f>
        <v>0</v>
      </c>
      <c r="P35" s="30">
        <f>'27'!P36</f>
        <v>1.0033333333333334</v>
      </c>
      <c r="Q35" s="33">
        <f>'27'!Q36</f>
        <v>10.09125</v>
      </c>
      <c r="R35" s="47"/>
      <c r="S35" s="47"/>
      <c r="T35" s="47"/>
      <c r="U35" s="47"/>
    </row>
    <row r="36" spans="1:21" s="34" customFormat="1" ht="15">
      <c r="A36" s="36" t="str">
        <f>'28'!$B$2</f>
        <v>28-03-2024 01:00</v>
      </c>
      <c r="B36" s="33">
        <f>'28'!B36</f>
        <v>10.918333333333335</v>
      </c>
      <c r="C36" s="33">
        <f>'28'!C36</f>
        <v>57.703750000000007</v>
      </c>
      <c r="D36" s="33">
        <f>'28'!D36</f>
        <v>38.653749999999995</v>
      </c>
      <c r="E36" s="33">
        <f>'28'!E36</f>
        <v>1.946666666666667</v>
      </c>
      <c r="F36" s="33">
        <f>'28'!F36</f>
        <v>5.3687499999999995</v>
      </c>
      <c r="G36" s="33">
        <f>'28'!G36</f>
        <v>64.743749999999991</v>
      </c>
      <c r="H36" s="33">
        <f>'28'!H36</f>
        <v>33.09791666666667</v>
      </c>
      <c r="I36" s="33">
        <f>'28'!I36</f>
        <v>5.0350000000000001</v>
      </c>
      <c r="J36" s="33">
        <f>'28'!J36</f>
        <v>0.34458333333333341</v>
      </c>
      <c r="K36" s="33">
        <f>'28'!K36</f>
        <v>307.7616666666666</v>
      </c>
      <c r="L36" s="33">
        <f>'28'!L36</f>
        <v>29.950833333333332</v>
      </c>
      <c r="M36" s="33">
        <f>'28'!M36</f>
        <v>45.430416666666673</v>
      </c>
      <c r="N36" s="33">
        <f>'28'!N36</f>
        <v>266.59583333333336</v>
      </c>
      <c r="O36" s="33">
        <f>'28'!O36</f>
        <v>0</v>
      </c>
      <c r="P36" s="30">
        <f>'28'!P36</f>
        <v>0.87250000000000005</v>
      </c>
      <c r="Q36" s="33">
        <f>'28'!Q36</f>
        <v>10.0375</v>
      </c>
      <c r="R36" s="47"/>
      <c r="S36" s="47"/>
      <c r="T36" s="47"/>
      <c r="U36" s="47"/>
    </row>
    <row r="37" spans="1:21" s="34" customFormat="1" ht="15">
      <c r="A37" s="36" t="str">
        <f>'29'!$B$2</f>
        <v>29-03-2024 01:00</v>
      </c>
      <c r="B37" s="33">
        <f>'29'!B36</f>
        <v>8.4137500000000003</v>
      </c>
      <c r="C37" s="33">
        <f>'29'!C36</f>
        <v>56.196249999999992</v>
      </c>
      <c r="D37" s="33">
        <f>'29'!D36</f>
        <v>35.831666666666671</v>
      </c>
      <c r="E37" s="33">
        <f>'29'!E36</f>
        <v>1.6870833333333335</v>
      </c>
      <c r="F37" s="33">
        <f>'29'!F36</f>
        <v>8.0933333333333337</v>
      </c>
      <c r="G37" s="33">
        <f>'29'!G36</f>
        <v>65.97375000000001</v>
      </c>
      <c r="H37" s="33">
        <f>'29'!H36</f>
        <v>31.938333333333333</v>
      </c>
      <c r="I37" s="33">
        <f>'29'!I36</f>
        <v>4.4774999999999991</v>
      </c>
      <c r="J37" s="33">
        <f>'29'!J36</f>
        <v>0.40750000000000003</v>
      </c>
      <c r="K37" s="33">
        <f>'29'!K36</f>
        <v>293.29125000000005</v>
      </c>
      <c r="L37" s="33">
        <f>'29'!L36</f>
        <v>30.31708333333334</v>
      </c>
      <c r="M37" s="33">
        <f>'29'!M36</f>
        <v>41.815833333333337</v>
      </c>
      <c r="N37" s="33">
        <f>'29'!N36</f>
        <v>251.11666666666665</v>
      </c>
      <c r="O37" s="33">
        <f>'29'!O36</f>
        <v>0</v>
      </c>
      <c r="P37" s="33">
        <f>'29'!P36</f>
        <v>0.69041666666666668</v>
      </c>
      <c r="Q37" s="33">
        <f>'29'!Q36</f>
        <v>9.9441666666666659</v>
      </c>
      <c r="R37" s="47"/>
      <c r="S37" s="47"/>
      <c r="T37" s="47"/>
      <c r="U37" s="47"/>
    </row>
    <row r="38" spans="1:21" s="34" customFormat="1" ht="15">
      <c r="A38" s="36" t="str">
        <f>'30'!$B$2</f>
        <v>30-03-2024 01:00</v>
      </c>
      <c r="B38" s="33">
        <f>'30'!B36</f>
        <v>4.7224999999999993</v>
      </c>
      <c r="C38" s="33">
        <f>'30'!C36</f>
        <v>50.692500000000017</v>
      </c>
      <c r="D38" s="33">
        <f>'30'!D36</f>
        <v>29.987499999999994</v>
      </c>
      <c r="E38" s="33">
        <f>'30'!E36</f>
        <v>2.1879166666666667</v>
      </c>
      <c r="F38" s="33">
        <f>'30'!F36</f>
        <v>5.6366666666666667</v>
      </c>
      <c r="G38" s="33">
        <f>'30'!G36</f>
        <v>66.292916666666656</v>
      </c>
      <c r="H38" s="33">
        <f>'30'!H36</f>
        <v>34.998333333333342</v>
      </c>
      <c r="I38" s="33">
        <f>'30'!I36</f>
        <v>6.1724999999999985</v>
      </c>
      <c r="J38" s="33">
        <f>'30'!J36</f>
        <v>0.40750000000000003</v>
      </c>
      <c r="K38" s="33">
        <f>'30'!K36</f>
        <v>331.81416666666672</v>
      </c>
      <c r="L38" s="33">
        <f>'30'!L36</f>
        <v>30.892500000000013</v>
      </c>
      <c r="M38" s="33">
        <f>'30'!M36</f>
        <v>40.900416666666679</v>
      </c>
      <c r="N38" s="33">
        <f>'30'!N36</f>
        <v>246.45416666666665</v>
      </c>
      <c r="O38" s="33">
        <f>'30'!O36</f>
        <v>0</v>
      </c>
      <c r="P38" s="33">
        <f>'30'!P36</f>
        <v>0.75666666666666671</v>
      </c>
      <c r="Q38" s="33">
        <f>'30'!Q36</f>
        <v>9.7820833333333361</v>
      </c>
      <c r="R38" s="47"/>
      <c r="S38" s="47"/>
      <c r="T38" s="47"/>
      <c r="U38" s="47"/>
    </row>
    <row r="39" spans="1:21" s="34" customFormat="1" ht="15">
      <c r="A39" s="36" t="str">
        <f>'31'!$B$2</f>
        <v>31-03-2024 01:00</v>
      </c>
      <c r="B39" s="33">
        <f>'31'!B37</f>
        <v>7.5239441938310527</v>
      </c>
      <c r="C39" s="33">
        <f>'31'!C37</f>
        <v>5.1775252187995857</v>
      </c>
      <c r="D39" s="33">
        <f>'31'!D37</f>
        <v>5.922476209873853</v>
      </c>
      <c r="E39" s="33">
        <f>'31'!E37</f>
        <v>0.39005759515260169</v>
      </c>
      <c r="F39" s="33">
        <f>'31'!F37</f>
        <v>1.7645543326159263</v>
      </c>
      <c r="G39" s="33">
        <f>'31'!G37</f>
        <v>12.507471477226071</v>
      </c>
      <c r="H39" s="33">
        <f>'31'!H37</f>
        <v>5.9301541973499692</v>
      </c>
      <c r="I39" s="33">
        <f>'31'!I37</f>
        <v>1.5201113136205193</v>
      </c>
      <c r="J39" s="33">
        <f>'31'!J37</f>
        <v>0.43543893397052968</v>
      </c>
      <c r="K39" s="33">
        <f>'31'!K37</f>
        <v>55.041194057697354</v>
      </c>
      <c r="L39" s="33">
        <f>'31'!L37</f>
        <v>3.9597869718355128</v>
      </c>
      <c r="M39" s="33">
        <f>'31'!M37</f>
        <v>23.045586942758323</v>
      </c>
      <c r="N39" s="33">
        <f>'31'!N37</f>
        <v>331.30852428041987</v>
      </c>
      <c r="O39" s="33">
        <f>'31'!O37</f>
        <v>0.40824829046386302</v>
      </c>
      <c r="P39" s="33">
        <f>'31'!P37</f>
        <v>0.10586770524807301</v>
      </c>
      <c r="Q39" s="33">
        <f>'31'!Q37</f>
        <v>0.1228459327304158</v>
      </c>
      <c r="R39" s="47"/>
      <c r="S39" s="47"/>
      <c r="T39" s="47"/>
      <c r="U39" s="47"/>
    </row>
    <row r="40" spans="2:21" ht="1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9"/>
    </row>
    <row r="41" spans="1:21" s="21" customFormat="1" ht="15">
      <c r="A41" s="14" t="s">
        <v>30</v>
      </c>
      <c r="B41" s="15">
        <f t="shared" si="0" ref="B41:Q41">MIN(B9:B38)</f>
        <v>4.1920833333333336</v>
      </c>
      <c r="C41" s="15">
        <f t="shared" si="0"/>
        <v>34.838333333333338</v>
      </c>
      <c r="D41" s="15">
        <f t="shared" si="0"/>
        <v>26.374583333333334</v>
      </c>
      <c r="E41" s="15">
        <f t="shared" si="0"/>
        <v>1.6870833333333335</v>
      </c>
      <c r="F41" s="15">
        <f t="shared" si="0"/>
        <v>3.7562499999999996</v>
      </c>
      <c r="G41" s="15">
        <f t="shared" si="0"/>
        <v>28.031666666666666</v>
      </c>
      <c r="H41" s="15">
        <f t="shared" si="0"/>
        <v>10.432083333333333</v>
      </c>
      <c r="I41" s="15">
        <f t="shared" si="0"/>
        <v>1.5341666666666667</v>
      </c>
      <c r="J41" s="15">
        <f t="shared" si="0"/>
        <v>0.34458333333333341</v>
      </c>
      <c r="K41" s="15">
        <f t="shared" si="0"/>
        <v>165.70208333333332</v>
      </c>
      <c r="L41" s="15">
        <f t="shared" si="0"/>
        <v>19.493750000000002</v>
      </c>
      <c r="M41" s="15">
        <f t="shared" si="0"/>
        <v>32.422499999999999</v>
      </c>
      <c r="N41" s="15">
        <f t="shared" si="0"/>
        <v>161.45833333333334</v>
      </c>
      <c r="O41" s="15">
        <f t="shared" si="0"/>
        <v>0</v>
      </c>
      <c r="P41" s="15">
        <f t="shared" si="0"/>
        <v>0.39833333333333337</v>
      </c>
      <c r="Q41" s="15">
        <f t="shared" si="0"/>
        <v>9.2991666666666681</v>
      </c>
      <c r="R41" s="28"/>
      <c r="S41" s="28"/>
      <c r="T41" s="28"/>
      <c r="U41" s="28"/>
    </row>
    <row r="42" spans="1:21" s="21" customFormat="1" ht="15">
      <c r="A42" s="14" t="s">
        <v>31</v>
      </c>
      <c r="B42" s="15">
        <f t="shared" si="1" ref="B42:Q42">MAX(B9:B38)</f>
        <v>42.197916666666679</v>
      </c>
      <c r="C42" s="15">
        <f t="shared" si="1"/>
        <v>61.532499999999992</v>
      </c>
      <c r="D42" s="15">
        <f t="shared" si="1"/>
        <v>65.514583333333334</v>
      </c>
      <c r="E42" s="15">
        <f t="shared" si="1"/>
        <v>4.9034999999999993</v>
      </c>
      <c r="F42" s="15">
        <f t="shared" si="1"/>
        <v>8.0933333333333337</v>
      </c>
      <c r="G42" s="15">
        <f t="shared" si="1"/>
        <v>103.82833333333332</v>
      </c>
      <c r="H42" s="15">
        <f t="shared" si="1"/>
        <v>42.859583333333319</v>
      </c>
      <c r="I42" s="15">
        <f t="shared" si="1"/>
        <v>6.1724999999999985</v>
      </c>
      <c r="J42" s="15">
        <f t="shared" si="1"/>
        <v>1.6208333333333336</v>
      </c>
      <c r="K42" s="15">
        <f t="shared" si="1"/>
        <v>331.81416666666672</v>
      </c>
      <c r="L42" s="15">
        <f t="shared" si="1"/>
        <v>30.892500000000013</v>
      </c>
      <c r="M42" s="15">
        <f t="shared" si="1"/>
        <v>91.77500000000002</v>
      </c>
      <c r="N42" s="15">
        <f t="shared" si="1"/>
        <v>334.11250000000001</v>
      </c>
      <c r="O42" s="15">
        <f t="shared" si="1"/>
        <v>0.49166666666666664</v>
      </c>
      <c r="P42" s="15">
        <f t="shared" si="1"/>
        <v>1.1575000000000002</v>
      </c>
      <c r="Q42" s="15">
        <f t="shared" si="1"/>
        <v>11.805416666666668</v>
      </c>
      <c r="R42" s="28"/>
      <c r="S42" s="28"/>
      <c r="T42" s="28"/>
      <c r="U42" s="28"/>
    </row>
    <row r="43" spans="1:21" s="21" customFormat="1" ht="15">
      <c r="A43" s="14" t="s">
        <v>32</v>
      </c>
      <c r="B43" s="15">
        <f t="shared" si="2" ref="B43:Q43">AVERAGE(B9:B38)</f>
        <v>16.824989370748302</v>
      </c>
      <c r="C43" s="15">
        <f t="shared" si="2"/>
        <v>51.55946169604205</v>
      </c>
      <c r="D43" s="15">
        <f t="shared" si="2"/>
        <v>40.300708333333333</v>
      </c>
      <c r="E43" s="15">
        <f t="shared" si="2"/>
        <v>2.9118588164251209</v>
      </c>
      <c r="F43" s="15">
        <f t="shared" si="2"/>
        <v>5.0695289855072456</v>
      </c>
      <c r="G43" s="15">
        <f t="shared" si="2"/>
        <v>71.224187801932388</v>
      </c>
      <c r="H43" s="15">
        <f t="shared" si="2"/>
        <v>29.225893177690612</v>
      </c>
      <c r="I43" s="15">
        <f t="shared" si="2"/>
        <v>2.8962481884057967</v>
      </c>
      <c r="J43" s="15">
        <f t="shared" si="2"/>
        <v>0.70111835748792251</v>
      </c>
      <c r="K43" s="15">
        <f t="shared" si="2"/>
        <v>273.65512801932363</v>
      </c>
      <c r="L43" s="15">
        <f t="shared" si="2"/>
        <v>26.768281400966185</v>
      </c>
      <c r="M43" s="15">
        <f t="shared" si="2"/>
        <v>50.337248188405781</v>
      </c>
      <c r="N43" s="15">
        <f t="shared" si="2"/>
        <v>257.08554427718235</v>
      </c>
      <c r="O43" s="15">
        <f t="shared" si="2"/>
        <v>0.020833333333333332</v>
      </c>
      <c r="P43" s="15">
        <f t="shared" si="2"/>
        <v>0.77280917874396138</v>
      </c>
      <c r="Q43" s="15">
        <f t="shared" si="2"/>
        <v>10.56656702898551</v>
      </c>
      <c r="R43" s="28"/>
      <c r="S43" s="28"/>
      <c r="T43" s="28"/>
      <c r="U43" s="28"/>
    </row>
    <row r="44" spans="1:21" s="21" customFormat="1" ht="15">
      <c r="A44" s="14" t="s">
        <v>38</v>
      </c>
      <c r="B44" s="15">
        <f t="shared" si="3" ref="B44:Q44">STDEV(B9:B38)</f>
        <v>10.357085136802887</v>
      </c>
      <c r="C44" s="15">
        <f t="shared" si="3"/>
        <v>8.3758549934524442</v>
      </c>
      <c r="D44" s="15">
        <f t="shared" si="3"/>
        <v>10.648772425018658</v>
      </c>
      <c r="E44" s="15">
        <f t="shared" si="3"/>
        <v>1.1235931562571668</v>
      </c>
      <c r="F44" s="15">
        <f t="shared" si="3"/>
        <v>1.0129256830247051</v>
      </c>
      <c r="G44" s="15">
        <f t="shared" si="3"/>
        <v>18.163764374652956</v>
      </c>
      <c r="H44" s="15">
        <f t="shared" si="3"/>
        <v>7.3794325151423497</v>
      </c>
      <c r="I44" s="15">
        <f t="shared" si="3"/>
        <v>1.733832431992991</v>
      </c>
      <c r="J44" s="15">
        <f t="shared" si="3"/>
        <v>0.32158400848801377</v>
      </c>
      <c r="K44" s="15">
        <f t="shared" si="3"/>
        <v>41.041239857473656</v>
      </c>
      <c r="L44" s="15">
        <f t="shared" si="3"/>
        <v>2.5345723607549253</v>
      </c>
      <c r="M44" s="15">
        <f t="shared" si="3"/>
        <v>12.168648953965887</v>
      </c>
      <c r="N44" s="15">
        <f t="shared" si="3"/>
        <v>33.520533796715384</v>
      </c>
      <c r="O44" s="15">
        <f t="shared" si="3"/>
        <v>0.091463987008768802</v>
      </c>
      <c r="P44" s="15">
        <f t="shared" si="3"/>
        <v>0.17361162425522886</v>
      </c>
      <c r="Q44" s="15">
        <f t="shared" si="3"/>
        <v>0.68107174989902342</v>
      </c>
      <c r="R44" s="28"/>
      <c r="S44" s="28"/>
      <c r="T44" s="28"/>
      <c r="U44" s="28"/>
    </row>
    <row r="45" spans="1:21" s="21" customFormat="1" ht="15">
      <c r="A45" s="14" t="s">
        <v>33</v>
      </c>
      <c r="B45" s="15">
        <f>COUNT(B9:B39)+2</f>
        <v>31</v>
      </c>
      <c r="C45" s="15">
        <f>COUNT(C9:C39)+2</f>
        <v>31</v>
      </c>
      <c r="D45" s="15">
        <f>COUNT(D9:D39)+2</f>
        <v>31</v>
      </c>
      <c r="E45" s="12">
        <f t="shared" si="4" ref="E45:Q45">COUNT(E9:E39)</f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 t="shared" si="4"/>
        <v>31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ht="15">
      <c r="A46" s="14" t="s">
        <v>34</v>
      </c>
      <c r="B46" s="12" t="str">
        <f>IF(B45&gt;=28,"&gt;90%",IF(B45&lt;=28,"&lt;90%"))</f>
        <v>&gt;90%</v>
      </c>
      <c r="C46" s="12" t="str">
        <f t="shared" si="5" ref="C46:Q46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ht="15">
      <c r="A47" s="14" t="s">
        <v>1</v>
      </c>
      <c r="B47" s="12" t="str">
        <f>IF(B45&gt;=28,"OK",IF(B45&lt;=28,"LESS"))</f>
        <v>OK</v>
      </c>
      <c r="C47" s="12" t="str">
        <f t="shared" si="6" ref="C47:Q47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2:20" ht="1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ht="15">
      <c r="A50" s="14" t="s">
        <v>35</v>
      </c>
      <c r="B50" s="40" t="s">
        <v>60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>
      <c r="A52" s="17" t="s">
        <v>36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sheetProtection/>
  <mergeCells count="1">
    <mergeCell ref="B52:P52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2024-08-28T13:21:31Z</dcterms:modified>
  <cp:category/>
</cp:coreProperties>
</file>