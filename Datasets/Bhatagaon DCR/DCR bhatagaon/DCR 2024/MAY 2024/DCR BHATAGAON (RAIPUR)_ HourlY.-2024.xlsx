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24519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<sst xmlns="http://schemas.openxmlformats.org/spreadsheetml/2006/main" count="2943" uniqueCount="806">
  <si>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</si>
  <si>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</si>
  <si>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</si>
  <si>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</si>
  <si>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</si>
  <si>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</si>
  <si>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</si>
  <si>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</si>
  <si>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</si>
  <si>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</si>
  <si>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</si>
  <si>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</si>
  <si>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</si>
  <si>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</si>
  <si>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</si>
  <si>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</si>
  <si>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</si>
  <si>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</si>
  <si>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</si>
  <si>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</si>
  <si>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</si>
  <si>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</si>
  <si>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</si>
  <si>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</si>
  <si>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</si>
  <si>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</si>
  <si>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</si>
  <si>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</si>
  <si>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</si>
  <si>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</si>
  <si>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</si>
  <si>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</si>
  <si>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</si>
  <si>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</si>
  <si>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</si>
  <si>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</si>
  <si>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</si>
  <si>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</si>
  <si>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</si>
  <si>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</si>
  <si>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</si>
  <si>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</si>
  <si>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</si>
  <si>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</si>
  <si>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</si>
  <si>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</si>
  <si>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</si>
  <si>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</si>
  <si>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</si>
  <si>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</si>
  <si>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</si>
  <si>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</si>
  <si>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</si>
  <si>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</si>
  <si>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</si>
  <si>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</si>
  <si>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</si>
  <si>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</si>
  <si>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</si>
  <si>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</si>
  <si>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</si>
  <si>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</si>
  <si>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</si>
  <si>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</si>
  <si>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</si>
  <si>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</si>
  <si>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</si>
  <si>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</si>
  <si>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</si>
  <si>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</si>
  <si>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</si>
  <si>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</si>
  <si>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</si>
  <si>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</si>
  <si>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</si>
  <si>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</si>
  <si>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</si>
  <si>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</si>
  <si>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</si>
  <si>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</si>
  <si>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</si>
  <si>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</si>
  <si>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</si>
  <si>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</si>
  <si>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</si>
  <si>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01-05-2024 24:00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</si>
  <si>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</si>
  <si>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</si>
  <si>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</si>
  <si>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</si>
  <si>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</si>
  <si>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</si>
  <si>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</si>
  <si>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</si>
  <si>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</si>
  <si>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</si>
  <si>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</si>
  <si>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</si>
  <si>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</si>
  <si>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</si>
  <si>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</si>
  <si>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</si>
  <si>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</si>
  <si>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</si>
  <si>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</si>
  <si>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</si>
  <si>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</si>
  <si>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</si>
  <si>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</si>
  <si>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02-05-2024 24:00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</si>
  <si>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</si>
  <si>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</si>
  <si>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</si>
  <si>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</si>
  <si>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</si>
  <si>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</si>
  <si>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</si>
  <si>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</si>
  <si>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</si>
  <si>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</si>
  <si>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</si>
  <si>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</si>
  <si>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</si>
  <si>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</si>
  <si>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</si>
  <si>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</si>
  <si>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</si>
  <si>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</si>
  <si>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</si>
  <si>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</si>
  <si>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</si>
  <si>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</si>
  <si>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</si>
  <si>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03-05-2024 24:00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</si>
  <si>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</si>
  <si>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</si>
  <si>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</si>
  <si>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</si>
  <si>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</si>
  <si>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</si>
  <si>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</si>
  <si>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</si>
  <si>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</si>
  <si>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</si>
  <si>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</si>
  <si>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</si>
  <si>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</si>
  <si>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</si>
  <si>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</si>
  <si>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</si>
  <si>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</si>
  <si>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</si>
  <si>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</si>
  <si>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</si>
  <si>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</si>
  <si>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</si>
  <si>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</si>
  <si>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04-05-2024 24:00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</si>
  <si>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</si>
  <si>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</si>
  <si>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</si>
  <si>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</si>
  <si>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</si>
  <si>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</si>
  <si>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</si>
  <si>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</si>
  <si>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</si>
  <si>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</si>
  <si>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</si>
  <si>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</si>
  <si>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</si>
  <si>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</si>
  <si>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</si>
  <si>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</si>
  <si>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</si>
  <si>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</si>
  <si>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</si>
  <si>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</si>
  <si>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</si>
  <si>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</si>
  <si>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</si>
  <si>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05-05-2024 24:00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</si>
  <si>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</si>
  <si>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</si>
  <si>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</si>
  <si>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</si>
  <si>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</si>
  <si>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</si>
  <si>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</si>
  <si>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</si>
  <si>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</si>
  <si>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</si>
  <si>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</si>
  <si>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</si>
  <si>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</si>
  <si>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</si>
  <si>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</si>
  <si>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</si>
  <si>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</si>
  <si>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</si>
  <si>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</si>
  <si>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</si>
  <si>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</si>
  <si>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</si>
  <si>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</si>
  <si>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06-05-2024 24:00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</si>
  <si>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</si>
  <si>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</si>
  <si>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</si>
  <si>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</si>
  <si>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</si>
  <si>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</si>
  <si>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</si>
  <si>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</si>
  <si>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</si>
  <si>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</si>
  <si>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</si>
  <si>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</si>
  <si>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</si>
  <si>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</si>
  <si>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</si>
  <si>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</si>
  <si>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</si>
  <si>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</si>
  <si>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</si>
  <si>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</si>
  <si>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</si>
  <si>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</si>
  <si>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</si>
  <si>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07-05-2024 24:00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</si>
  <si>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</si>
  <si>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</si>
  <si>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</si>
  <si>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</si>
  <si>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</si>
  <si>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</si>
  <si>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</si>
  <si>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</si>
  <si>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</si>
  <si>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</si>
  <si>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</si>
  <si>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</si>
  <si>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</si>
  <si>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</si>
  <si>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</si>
  <si>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</si>
  <si>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</si>
  <si>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</si>
  <si>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</si>
  <si>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</si>
  <si>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</si>
  <si>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</si>
  <si>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</si>
  <si>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08-05-2024 24:00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</si>
  <si>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</si>
  <si>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</si>
  <si>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</si>
  <si>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</si>
  <si>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</si>
  <si>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</si>
  <si>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</si>
  <si>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</si>
  <si>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</si>
  <si>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</si>
  <si>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</si>
  <si>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</si>
  <si>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</si>
  <si>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</si>
  <si>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</si>
  <si>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</si>
  <si>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</si>
  <si>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</si>
  <si>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</si>
  <si>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</si>
  <si>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</si>
  <si>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</si>
  <si>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</si>
  <si>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09-05-2024 24:00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</si>
  <si>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</si>
  <si>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</si>
  <si>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</si>
  <si>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</si>
  <si>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</si>
  <si>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</si>
  <si>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</si>
  <si>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</si>
  <si>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</si>
  <si>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</si>
  <si>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</si>
  <si>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</si>
  <si>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</si>
  <si>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</si>
  <si>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</si>
  <si>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</si>
  <si>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</si>
  <si>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</si>
  <si>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</si>
  <si>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</si>
  <si>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</si>
  <si>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</si>
  <si>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</si>
  <si>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10-05-2024 24:00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</si>
  <si>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</si>
  <si>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</si>
  <si>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</si>
  <si>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</si>
  <si>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</si>
  <si>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</si>
  <si>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</si>
  <si>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</si>
  <si>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</si>
  <si>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</si>
  <si>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</si>
  <si>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</si>
  <si>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</si>
  <si>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</si>
  <si>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</si>
  <si>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</si>
  <si>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</si>
  <si>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</si>
  <si>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</si>
  <si>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</si>
  <si>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</si>
  <si>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</si>
  <si>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</si>
  <si>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11-05-2024 24:00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</si>
  <si>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</si>
  <si>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</si>
  <si>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</si>
  <si>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</si>
  <si>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</si>
  <si>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</si>
  <si>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</si>
  <si>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</si>
  <si>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</si>
  <si>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</si>
  <si>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</si>
  <si>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</si>
  <si>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</si>
  <si>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</si>
  <si>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</si>
  <si>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</si>
  <si>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</si>
  <si>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</si>
  <si>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</si>
  <si>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</si>
  <si>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</si>
  <si>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</si>
  <si>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</si>
  <si>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12-05-2024 24:00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</si>
  <si>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</si>
  <si>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</si>
  <si>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</si>
  <si>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</si>
  <si>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</si>
  <si>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</si>
  <si>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</si>
  <si>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</si>
  <si>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</si>
  <si>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</si>
  <si>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</si>
  <si>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</si>
  <si>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</si>
  <si>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</si>
  <si>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</si>
  <si>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</si>
  <si>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</si>
  <si>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</si>
  <si>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</si>
  <si>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</si>
  <si>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</si>
  <si>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</si>
  <si>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</si>
  <si>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13-05-2024 24:00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</si>
  <si>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</si>
  <si>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</si>
  <si>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</si>
  <si>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</si>
  <si>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</si>
  <si>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</si>
  <si>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</si>
  <si>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</si>
  <si>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</si>
  <si>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</si>
  <si>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</si>
  <si>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</si>
  <si>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</si>
  <si>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</si>
  <si>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</si>
  <si>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</si>
  <si>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</si>
  <si>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</si>
  <si>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</si>
  <si>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</si>
  <si>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</si>
  <si>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</si>
  <si>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</si>
  <si>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14-05-2024 24:00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</si>
  <si>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</si>
  <si>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</si>
  <si>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</si>
  <si>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</si>
  <si>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</si>
  <si>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</si>
  <si>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</si>
  <si>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</si>
  <si>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</si>
  <si>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</si>
  <si>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</si>
  <si>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</si>
  <si>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</si>
  <si>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</si>
  <si>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</si>
  <si>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</si>
  <si>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</si>
  <si>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</si>
  <si>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</si>
  <si>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</si>
  <si>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</si>
  <si>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</si>
  <si>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</si>
  <si>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15-05-2024 24:00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</si>
  <si>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</si>
  <si>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</si>
  <si>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</si>
  <si>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</si>
  <si>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</si>
  <si>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</si>
  <si>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</si>
  <si>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</si>
  <si>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</si>
  <si>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</si>
  <si>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</si>
  <si>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</si>
  <si>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</si>
  <si>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</si>
  <si>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</si>
  <si>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</si>
  <si>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</si>
  <si>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</si>
  <si>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</si>
  <si>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</si>
  <si>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</si>
  <si>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</si>
  <si>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</si>
  <si>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16-05-2024 24:00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</si>
  <si>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</si>
  <si>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</si>
  <si>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</si>
  <si>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</si>
  <si>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</si>
  <si>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</si>
  <si>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</si>
  <si>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</si>
  <si>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</si>
  <si>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</si>
  <si>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</si>
  <si>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</si>
  <si>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</si>
  <si>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</si>
  <si>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</si>
  <si>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</si>
  <si>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</si>
  <si>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</si>
  <si>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</si>
  <si>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</si>
  <si>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</si>
  <si>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</si>
  <si>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</si>
  <si>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17-05-2024 24:00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</si>
  <si>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</si>
  <si>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</si>
  <si>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</si>
  <si>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</si>
  <si>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</si>
  <si>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</si>
  <si>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</si>
  <si>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</si>
  <si>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</si>
  <si>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</si>
  <si>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</si>
  <si>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</si>
  <si>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</si>
  <si>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</si>
  <si>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</si>
  <si>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</si>
  <si>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</si>
  <si>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</si>
  <si>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</si>
  <si>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</si>
  <si>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</si>
  <si>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</si>
  <si>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</si>
  <si>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18-05-2024 24:00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</si>
  <si>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</si>
  <si>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</si>
  <si>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</si>
  <si>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</si>
  <si>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</si>
  <si>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</si>
  <si>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</si>
  <si>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</si>
  <si>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</si>
  <si>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</si>
  <si>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</si>
  <si>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</si>
  <si>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</si>
  <si>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</si>
  <si>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</si>
  <si>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</si>
  <si>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</si>
  <si>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</si>
  <si>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</si>
  <si>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</si>
  <si>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</si>
  <si>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</si>
  <si>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</si>
  <si>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19-05-2024 24:00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</si>
  <si>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</si>
  <si>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</si>
  <si>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</si>
  <si>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</si>
  <si>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</si>
  <si>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</si>
  <si>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</si>
  <si>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</si>
  <si>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</si>
  <si>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</si>
  <si>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</si>
  <si>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</si>
  <si>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</si>
  <si>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</si>
  <si>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</si>
  <si>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</si>
  <si>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</si>
  <si>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</si>
  <si>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</si>
  <si>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</si>
  <si>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</si>
  <si>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</si>
  <si>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</si>
  <si>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20-05-2024 24:00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</si>
  <si>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</si>
  <si>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</si>
  <si>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</si>
  <si>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</si>
  <si>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</si>
  <si>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</si>
  <si>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</si>
  <si>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</si>
  <si>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</si>
  <si>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</si>
  <si>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</si>
  <si>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</si>
  <si>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</si>
  <si>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</si>
  <si>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</si>
  <si>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</si>
  <si>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</si>
  <si>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</si>
  <si>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</si>
  <si>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</si>
  <si>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</si>
  <si>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</si>
  <si>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</si>
  <si>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21-05-2024 24:00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</si>
  <si>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</si>
  <si>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</si>
  <si>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</si>
  <si>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</si>
  <si>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</si>
  <si>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</si>
  <si>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</si>
  <si>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</si>
  <si>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</si>
  <si>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</si>
  <si>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</si>
  <si>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</si>
  <si>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</si>
  <si>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</si>
  <si>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</si>
  <si>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</si>
  <si>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</si>
  <si>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</si>
  <si>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</si>
  <si>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</si>
  <si>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</si>
  <si>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</si>
  <si>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</si>
  <si>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22-05-2024 24:00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</si>
  <si>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</si>
  <si>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</si>
  <si>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</si>
  <si>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</si>
  <si>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</si>
  <si>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</si>
  <si>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</si>
  <si>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</si>
  <si>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</si>
  <si>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</si>
  <si>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</si>
  <si>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</si>
  <si>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</si>
  <si>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</si>
  <si>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</si>
  <si>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</si>
  <si>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</si>
  <si>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</si>
  <si>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</si>
  <si>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</si>
  <si>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</si>
  <si>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</si>
  <si>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</si>
  <si>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23-05-2024 24:00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</si>
  <si>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</si>
  <si>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</si>
  <si>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</si>
  <si>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</si>
  <si>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</si>
  <si>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</si>
  <si>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</si>
  <si>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</si>
  <si>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</si>
  <si>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</si>
  <si>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</si>
  <si>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</si>
  <si>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</si>
  <si>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</si>
  <si>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</si>
  <si>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</si>
  <si>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</si>
  <si>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</si>
  <si>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</si>
  <si>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</si>
  <si>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</si>
  <si>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</si>
  <si>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</si>
  <si>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24-05-2024 24:00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</si>
  <si>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</si>
  <si>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</si>
  <si>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</si>
  <si>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</si>
  <si>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</si>
  <si>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</si>
  <si>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</si>
  <si>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</si>
  <si>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</si>
  <si>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</si>
  <si>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</si>
  <si>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</si>
  <si>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</si>
  <si>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</si>
  <si>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</si>
  <si>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</si>
  <si>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</si>
  <si>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</si>
  <si>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</si>
  <si>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</si>
  <si>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</si>
  <si>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</si>
  <si>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</si>
  <si>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25-05-2024 24:00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</si>
  <si>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</si>
  <si>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</si>
  <si>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</si>
  <si>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</si>
  <si>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</si>
  <si>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</si>
  <si>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</si>
  <si>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</si>
  <si>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</si>
  <si>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</si>
  <si>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</si>
  <si>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</si>
  <si>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</si>
  <si>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</si>
  <si>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</si>
  <si>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</si>
  <si>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</si>
  <si>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</si>
  <si>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</si>
  <si>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</si>
  <si>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</si>
  <si>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</si>
  <si>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</si>
  <si>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26-05-2024 24:00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</si>
  <si>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</si>
  <si>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</si>
  <si>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</si>
  <si>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</si>
  <si>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</si>
  <si>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</si>
  <si>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</si>
  <si>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</si>
  <si>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</si>
  <si>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</si>
  <si>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</si>
  <si>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</si>
  <si>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</si>
  <si>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</si>
  <si>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</si>
  <si>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</si>
  <si>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</si>
  <si>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</si>
  <si>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</si>
  <si>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</si>
  <si>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</si>
  <si>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</si>
  <si>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</si>
  <si>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27-05-2024 24:00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</si>
  <si>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</si>
  <si>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</si>
  <si>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</si>
  <si>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</si>
  <si>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</si>
  <si>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</si>
  <si>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</si>
  <si>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</si>
  <si>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</si>
  <si>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</si>
  <si>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</si>
  <si>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</si>
  <si>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</si>
  <si>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</si>
  <si>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</si>
  <si>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</si>
  <si>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</si>
  <si>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</si>
  <si>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</si>
  <si>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</si>
  <si>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</si>
  <si>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</si>
  <si>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</si>
  <si>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28-05-2024 24:00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</si>
  <si>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</si>
  <si>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</si>
  <si>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</si>
  <si>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</si>
  <si>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</si>
  <si>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</si>
  <si>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</si>
  <si>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</si>
  <si>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</si>
  <si>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</si>
  <si>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</si>
  <si>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</si>
  <si>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</si>
  <si>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</si>
  <si>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</si>
  <si>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</si>
  <si>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</si>
  <si>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</si>
  <si>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</si>
  <si>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</si>
  <si>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</si>
  <si>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</si>
  <si>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</si>
  <si>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29-05-2024 24:00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</si>
  <si>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</si>
  <si>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</si>
  <si>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</si>
  <si>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</si>
  <si>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</si>
  <si>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</si>
  <si>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</si>
  <si>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</si>
  <si>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</si>
  <si>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</si>
  <si>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</si>
  <si>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</si>
  <si>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</si>
  <si>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</si>
  <si>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</si>
  <si>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</si>
  <si>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</si>
  <si>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</si>
  <si>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</si>
  <si>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</si>
  <si>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</si>
  <si>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</si>
  <si>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</si>
  <si>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30-05-2024 24:00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</si>
  <si>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</si>
  <si>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</si>
  <si>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</si>
  <si>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</si>
  <si>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</si>
  <si>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</si>
  <si>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</si>
  <si>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</si>
  <si>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</si>
  <si>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</si>
  <si>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</si>
  <si>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</si>
  <si>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</si>
  <si>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</si>
  <si>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</si>
  <si>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</si>
  <si>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</si>
  <si>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</si>
  <si>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</si>
  <si>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</si>
  <si>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</si>
  <si>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</si>
  <si>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</si>
  <si>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31-05-2024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</si>
</sst>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3" Type="http://schemas.openxmlformats.org/officeDocument/2006/relationships/worksheet" Target="worksheets/sheet21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36" Type="http://schemas.openxmlformats.org/officeDocument/2006/relationships/calcChain" Target="calcChain.xml" /><Relationship Id="rId29" Type="http://schemas.openxmlformats.org/officeDocument/2006/relationships/worksheet" Target="worksheets/sheet27.xml" /><Relationship Id="rId18" Type="http://schemas.openxmlformats.org/officeDocument/2006/relationships/worksheet" Target="worksheets/sheet16.xml" /><Relationship Id="rId8" Type="http://schemas.openxmlformats.org/officeDocument/2006/relationships/worksheet" Target="worksheets/sheet6.xml" /><Relationship Id="rId33" Type="http://schemas.openxmlformats.org/officeDocument/2006/relationships/worksheet" Target="worksheets/sheet31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24" Type="http://schemas.openxmlformats.org/officeDocument/2006/relationships/worksheet" Target="worksheets/sheet22.xml" /><Relationship Id="rId32" Type="http://schemas.openxmlformats.org/officeDocument/2006/relationships/worksheet" Target="worksheets/sheet30.xml" /><Relationship Id="rId6" Type="http://schemas.openxmlformats.org/officeDocument/2006/relationships/worksheet" Target="worksheets/sheet4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2" Type="http://schemas.openxmlformats.org/officeDocument/2006/relationships/worksheet" Target="worksheets/sheet10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8" Type="http://schemas.openxmlformats.org/officeDocument/2006/relationships/worksheet" Target="worksheets/sheet26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21" Type="http://schemas.openxmlformats.org/officeDocument/2006/relationships/worksheet" Target="worksheets/sheet1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3" Type="http://schemas.openxmlformats.org/officeDocument/2006/relationships/worksheet" Target="worksheets/sheet11.xml" /><Relationship Id="rId26" Type="http://schemas.openxmlformats.org/officeDocument/2006/relationships/worksheet" Target="worksheets/sheet24.xml" /><Relationship Id="rId35" Type="http://schemas.openxmlformats.org/officeDocument/2006/relationships/sharedStrings" Target="sharedStrings.xml" /><Relationship Id="rId34" Type="http://schemas.openxmlformats.org/officeDocument/2006/relationships/worksheet" Target="worksheets/sheet32.xml" /><Relationship Id="rId27" Type="http://schemas.openxmlformats.org/officeDocument/2006/relationships/worksheet" Target="worksheets/sheet25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5e94d9-82ac-4871-8f09-0bb9fdbc4ae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62</v>
      </c>
      <c r="B9" s="56">
        <v>22.40</v>
      </c>
      <c r="C9" s="56">
        <v>35.86</v>
      </c>
      <c r="D9" s="56">
        <v>36.619999999999997</v>
      </c>
      <c r="E9" s="56">
        <v>1.39</v>
      </c>
      <c r="F9" s="56">
        <v>3.41</v>
      </c>
      <c r="G9" s="56">
        <v>78.64</v>
      </c>
      <c r="H9" s="56">
        <v>38.32</v>
      </c>
      <c r="I9" s="56">
        <v>8.8699999999999992</v>
      </c>
      <c r="J9" s="56">
        <v>0.17</v>
      </c>
      <c r="K9" s="56">
        <v>354.32</v>
      </c>
      <c r="L9" s="56">
        <v>28.25</v>
      </c>
      <c r="M9" s="56">
        <v>57.69</v>
      </c>
      <c r="N9" s="56">
        <v>28.30</v>
      </c>
      <c r="O9" s="56">
        <v>0</v>
      </c>
      <c r="P9" s="56">
        <v>1.26</v>
      </c>
      <c r="Q9" s="56">
        <v>9.73</v>
      </c>
      <c r="R9" s="43"/>
      <c r="S9" s="43"/>
      <c r="T9" s="43"/>
      <c r="U9" s="43"/>
    </row>
    <row r="10" spans="1:21" s="11" customFormat="1" ht="15">
      <c r="A10" s="55" t="s">
        <v>63</v>
      </c>
      <c r="B10" s="56">
        <v>17.55</v>
      </c>
      <c r="C10" s="56">
        <v>27.95</v>
      </c>
      <c r="D10" s="56">
        <v>28.59</v>
      </c>
      <c r="E10" s="56">
        <v>1.1499999999999999</v>
      </c>
      <c r="F10" s="56">
        <v>3.81</v>
      </c>
      <c r="G10" s="56">
        <v>76.77</v>
      </c>
      <c r="H10" s="56">
        <v>36.90</v>
      </c>
      <c r="I10" s="56">
        <v>7.74</v>
      </c>
      <c r="J10" s="56">
        <v>0.17</v>
      </c>
      <c r="K10" s="56">
        <v>333.81</v>
      </c>
      <c r="L10" s="56">
        <v>28.18</v>
      </c>
      <c r="M10" s="56">
        <v>57.87</v>
      </c>
      <c r="N10" s="56">
        <v>28.20</v>
      </c>
      <c r="O10" s="56">
        <v>0</v>
      </c>
      <c r="P10" s="56">
        <v>0.99</v>
      </c>
      <c r="Q10" s="56">
        <v>9.60</v>
      </c>
      <c r="R10" s="43"/>
      <c r="S10" s="43"/>
      <c r="T10" s="43"/>
      <c r="U10" s="43"/>
    </row>
    <row r="11" spans="1:21" s="11" customFormat="1" ht="15">
      <c r="A11" s="55" t="s">
        <v>64</v>
      </c>
      <c r="B11" s="56">
        <v>12.83</v>
      </c>
      <c r="C11" s="56">
        <v>26.88</v>
      </c>
      <c r="D11" s="56">
        <v>23.77</v>
      </c>
      <c r="E11" s="56">
        <v>1.1499999999999999</v>
      </c>
      <c r="F11" s="56">
        <v>4.03</v>
      </c>
      <c r="G11" s="56">
        <v>73.03</v>
      </c>
      <c r="H11" s="56">
        <v>28.16</v>
      </c>
      <c r="I11" s="56">
        <v>7.13</v>
      </c>
      <c r="J11" s="56">
        <v>0.35</v>
      </c>
      <c r="K11" s="56">
        <v>318.52999999999997</v>
      </c>
      <c r="L11" s="56">
        <v>27.71</v>
      </c>
      <c r="M11" s="56">
        <v>54.49</v>
      </c>
      <c r="N11" s="56">
        <v>28.20</v>
      </c>
      <c r="O11" s="56">
        <v>0</v>
      </c>
      <c r="P11" s="56">
        <v>0.87</v>
      </c>
      <c r="Q11" s="56">
        <v>9.5299999999999994</v>
      </c>
      <c r="R11" s="43"/>
      <c r="S11" s="43"/>
      <c r="T11" s="43"/>
      <c r="U11" s="43"/>
    </row>
    <row r="12" spans="1:21" s="11" customFormat="1" ht="15">
      <c r="A12" s="55" t="s">
        <v>65</v>
      </c>
      <c r="B12" s="56">
        <v>10.92</v>
      </c>
      <c r="C12" s="56">
        <v>25.72</v>
      </c>
      <c r="D12" s="56">
        <v>22.11</v>
      </c>
      <c r="E12" s="56">
        <v>1.64</v>
      </c>
      <c r="F12" s="56">
        <v>3.80</v>
      </c>
      <c r="G12" s="56">
        <v>74.13</v>
      </c>
      <c r="H12" s="56">
        <v>36</v>
      </c>
      <c r="I12" s="56">
        <v>8.1300000000000008</v>
      </c>
      <c r="J12" s="56">
        <v>0.31</v>
      </c>
      <c r="K12" s="56">
        <v>316.86</v>
      </c>
      <c r="L12" s="56">
        <v>27.59</v>
      </c>
      <c r="M12" s="56">
        <v>55.11</v>
      </c>
      <c r="N12" s="56">
        <v>28.70</v>
      </c>
      <c r="O12" s="56">
        <v>0</v>
      </c>
      <c r="P12" s="56">
        <v>0.83</v>
      </c>
      <c r="Q12" s="56">
        <v>9.5500000000000007</v>
      </c>
      <c r="R12" s="43"/>
      <c r="S12" s="43"/>
      <c r="T12" s="43"/>
      <c r="U12" s="43"/>
    </row>
    <row r="13" spans="1:21" s="11" customFormat="1" ht="15">
      <c r="A13" s="55" t="s">
        <v>66</v>
      </c>
      <c r="B13" s="56">
        <v>9.1300000000000008</v>
      </c>
      <c r="C13" s="56">
        <v>28.91</v>
      </c>
      <c r="D13" s="56">
        <v>21.24</v>
      </c>
      <c r="E13" s="56">
        <v>2.10</v>
      </c>
      <c r="F13" s="56">
        <v>4.04</v>
      </c>
      <c r="G13" s="56">
        <v>72.37</v>
      </c>
      <c r="H13" s="56">
        <v>32.78</v>
      </c>
      <c r="I13" s="56">
        <v>8.4700000000000006</v>
      </c>
      <c r="J13" s="56">
        <v>0.34</v>
      </c>
      <c r="K13" s="56">
        <v>270.75</v>
      </c>
      <c r="L13" s="56">
        <v>26.70</v>
      </c>
      <c r="M13" s="56">
        <v>57.76</v>
      </c>
      <c r="N13" s="56">
        <v>28.30</v>
      </c>
      <c r="O13" s="56">
        <v>0</v>
      </c>
      <c r="P13" s="56">
        <v>0.76</v>
      </c>
      <c r="Q13" s="56">
        <v>9.52</v>
      </c>
      <c r="R13" s="43"/>
      <c r="S13" s="43"/>
      <c r="T13" s="43"/>
      <c r="U13" s="43"/>
    </row>
    <row r="14" spans="1:21" s="11" customFormat="1" ht="15">
      <c r="A14" s="55" t="s">
        <v>67</v>
      </c>
      <c r="B14" s="56">
        <v>6.72</v>
      </c>
      <c r="C14" s="56">
        <v>26.18</v>
      </c>
      <c r="D14" s="56">
        <v>18.98</v>
      </c>
      <c r="E14" s="56">
        <v>2.33</v>
      </c>
      <c r="F14" s="56">
        <v>4.55</v>
      </c>
      <c r="G14" s="56">
        <v>67.239999999999995</v>
      </c>
      <c r="H14" s="56">
        <v>26.44</v>
      </c>
      <c r="I14" s="56">
        <v>8.52</v>
      </c>
      <c r="J14" s="56">
        <v>0.20</v>
      </c>
      <c r="K14" s="56">
        <v>201.38</v>
      </c>
      <c r="L14" s="56">
        <v>26.08</v>
      </c>
      <c r="M14" s="56">
        <v>61.04</v>
      </c>
      <c r="N14" s="56">
        <v>60.40</v>
      </c>
      <c r="O14" s="56">
        <v>0</v>
      </c>
      <c r="P14" s="56">
        <v>0.68</v>
      </c>
      <c r="Q14" s="56">
        <v>9.4700000000000006</v>
      </c>
      <c r="R14" s="43"/>
      <c r="S14" s="43"/>
      <c r="T14" s="43"/>
      <c r="U14" s="43"/>
    </row>
    <row r="15" spans="1:21" s="11" customFormat="1" ht="15">
      <c r="A15" s="55" t="s">
        <v>68</v>
      </c>
      <c r="B15" s="56">
        <v>5.60</v>
      </c>
      <c r="C15" s="56">
        <v>23.72</v>
      </c>
      <c r="D15" s="56">
        <v>16.34</v>
      </c>
      <c r="E15" s="56">
        <v>1.94</v>
      </c>
      <c r="F15" s="56">
        <v>4.09</v>
      </c>
      <c r="G15" s="56">
        <v>63.80</v>
      </c>
      <c r="H15" s="56">
        <v>24.48</v>
      </c>
      <c r="I15" s="56">
        <v>7.82</v>
      </c>
      <c r="J15" s="56">
        <v>0.47</v>
      </c>
      <c r="K15" s="56">
        <v>191.61</v>
      </c>
      <c r="L15" s="56">
        <v>28.62</v>
      </c>
      <c r="M15" s="56">
        <v>58.23</v>
      </c>
      <c r="N15" s="56">
        <v>230.90</v>
      </c>
      <c r="O15" s="56">
        <v>0</v>
      </c>
      <c r="P15" s="56">
        <v>0.61</v>
      </c>
      <c r="Q15" s="56">
        <v>9.3800000000000008</v>
      </c>
      <c r="R15" s="43"/>
      <c r="S15" s="43"/>
      <c r="T15" s="43"/>
      <c r="U15" s="43"/>
    </row>
    <row r="16" spans="1:21" s="11" customFormat="1" ht="15">
      <c r="A16" s="55" t="s">
        <v>69</v>
      </c>
      <c r="B16" s="56">
        <v>4.0999999999999996</v>
      </c>
      <c r="C16" s="56">
        <v>23.70</v>
      </c>
      <c r="D16" s="56">
        <v>15.51</v>
      </c>
      <c r="E16" s="56">
        <v>1.82</v>
      </c>
      <c r="F16" s="56">
        <v>4.72</v>
      </c>
      <c r="G16" s="56">
        <v>63.04</v>
      </c>
      <c r="H16" s="56">
        <v>21.06</v>
      </c>
      <c r="I16" s="56">
        <v>7.52</v>
      </c>
      <c r="J16" s="56">
        <v>0.25</v>
      </c>
      <c r="K16" s="56">
        <v>278.47000000000003</v>
      </c>
      <c r="L16" s="56">
        <v>31.74</v>
      </c>
      <c r="M16" s="56">
        <v>47.92</v>
      </c>
      <c r="N16" s="56">
        <v>462.5</v>
      </c>
      <c r="O16" s="56">
        <v>0</v>
      </c>
      <c r="P16" s="56">
        <v>0.61</v>
      </c>
      <c r="Q16" s="56">
        <v>9.43</v>
      </c>
      <c r="R16" s="43"/>
      <c r="S16" s="43"/>
      <c r="T16" s="43"/>
      <c r="U16" s="43"/>
    </row>
    <row r="17" spans="1:21" s="11" customFormat="1" ht="15">
      <c r="A17" s="55" t="s">
        <v>70</v>
      </c>
      <c r="B17" s="56">
        <v>2.57</v>
      </c>
      <c r="C17" s="56">
        <v>23.90</v>
      </c>
      <c r="D17" s="56">
        <v>14.38</v>
      </c>
      <c r="E17" s="56">
        <v>1.36</v>
      </c>
      <c r="F17" s="56">
        <v>7.65</v>
      </c>
      <c r="G17" s="56">
        <v>58.53</v>
      </c>
      <c r="H17" s="56">
        <v>39.57</v>
      </c>
      <c r="I17" s="56">
        <v>7.48</v>
      </c>
      <c r="J17" s="56">
        <v>0.27</v>
      </c>
      <c r="K17" s="56">
        <v>278.95999999999998</v>
      </c>
      <c r="L17" s="56">
        <v>34.020000000000003</v>
      </c>
      <c r="M17" s="56">
        <v>34.729999999999997</v>
      </c>
      <c r="N17" s="56">
        <v>670</v>
      </c>
      <c r="O17" s="56">
        <v>0</v>
      </c>
      <c r="P17" s="56">
        <v>0.55000000000000004</v>
      </c>
      <c r="Q17" s="56">
        <v>9.41</v>
      </c>
      <c r="R17" s="43"/>
      <c r="S17" s="43"/>
      <c r="T17" s="43"/>
      <c r="U17" s="43"/>
    </row>
    <row r="18" spans="1:21" s="11" customFormat="1" ht="15">
      <c r="A18" s="55" t="s">
        <v>71</v>
      </c>
      <c r="B18" s="56">
        <v>1.28</v>
      </c>
      <c r="C18" s="56">
        <v>26.11</v>
      </c>
      <c r="D18" s="56">
        <v>14.43</v>
      </c>
      <c r="E18" s="56">
        <v>1.93</v>
      </c>
      <c r="F18" s="56">
        <v>10.55</v>
      </c>
      <c r="G18" s="56">
        <v>52.80</v>
      </c>
      <c r="H18" s="56">
        <v>50.69</v>
      </c>
      <c r="I18" s="56">
        <v>5.41</v>
      </c>
      <c r="J18" s="56">
        <v>0.38</v>
      </c>
      <c r="K18" s="56">
        <v>356.16</v>
      </c>
      <c r="L18" s="56">
        <v>36.97</v>
      </c>
      <c r="M18" s="56">
        <v>29.94</v>
      </c>
      <c r="N18" s="56">
        <v>822</v>
      </c>
      <c r="O18" s="56">
        <v>0</v>
      </c>
      <c r="P18" s="56">
        <v>0.45</v>
      </c>
      <c r="Q18" s="56">
        <v>9.31</v>
      </c>
      <c r="R18" s="43"/>
      <c r="S18" s="43"/>
      <c r="T18" s="43"/>
      <c r="U18" s="43"/>
    </row>
    <row r="19" spans="1:21" s="11" customFormat="1" ht="15">
      <c r="A19" s="55" t="s">
        <v>72</v>
      </c>
      <c r="B19" s="56">
        <v>1.26</v>
      </c>
      <c r="C19" s="56">
        <v>27.93</v>
      </c>
      <c r="D19" s="56">
        <v>15.52</v>
      </c>
      <c r="E19" s="56">
        <v>1.96</v>
      </c>
      <c r="F19" s="56">
        <v>10.43</v>
      </c>
      <c r="G19" s="56">
        <v>51.05</v>
      </c>
      <c r="H19" s="56">
        <v>40.409999999999997</v>
      </c>
      <c r="I19" s="56">
        <v>3.77</v>
      </c>
      <c r="J19" s="56">
        <v>0.66</v>
      </c>
      <c r="K19" s="56">
        <v>341.59</v>
      </c>
      <c r="L19" s="56">
        <v>37.64</v>
      </c>
      <c r="M19" s="56">
        <v>21.82</v>
      </c>
      <c r="N19" s="56">
        <v>910.90</v>
      </c>
      <c r="O19" s="56">
        <v>0</v>
      </c>
      <c r="P19" s="56">
        <v>0.44</v>
      </c>
      <c r="Q19" s="56">
        <v>9.33</v>
      </c>
      <c r="R19" s="43"/>
      <c r="S19" s="43"/>
      <c r="T19" s="43"/>
      <c r="U19" s="43"/>
    </row>
    <row r="20" spans="1:21" s="11" customFormat="1" ht="15">
      <c r="A20" s="55" t="s">
        <v>73</v>
      </c>
      <c r="B20" s="56">
        <v>1.02</v>
      </c>
      <c r="C20" s="56">
        <v>30.11</v>
      </c>
      <c r="D20" s="56">
        <v>16.440000000000001</v>
      </c>
      <c r="E20" s="56">
        <v>2.12</v>
      </c>
      <c r="F20" s="56">
        <v>13.87</v>
      </c>
      <c r="G20" s="56">
        <v>47.01</v>
      </c>
      <c r="H20" s="56">
        <v>95.10</v>
      </c>
      <c r="I20" s="56">
        <v>3.41</v>
      </c>
      <c r="J20" s="56">
        <v>0.43</v>
      </c>
      <c r="K20" s="56">
        <v>338.92</v>
      </c>
      <c r="L20" s="56">
        <v>38.60</v>
      </c>
      <c r="M20" s="56">
        <v>18.489999999999998</v>
      </c>
      <c r="N20" s="56">
        <v>926.90</v>
      </c>
      <c r="O20" s="56">
        <v>0</v>
      </c>
      <c r="P20" s="56">
        <v>0.47</v>
      </c>
      <c r="Q20" s="56">
        <v>9.23</v>
      </c>
      <c r="R20" s="43"/>
      <c r="S20" s="43"/>
      <c r="T20" s="43"/>
      <c r="U20" s="43"/>
    </row>
    <row r="21" spans="1:21" s="11" customFormat="1" ht="15">
      <c r="A21" s="55" t="s">
        <v>74</v>
      </c>
      <c r="B21" s="56">
        <v>1.08</v>
      </c>
      <c r="C21" s="56">
        <v>32.04</v>
      </c>
      <c r="D21" s="56">
        <v>17.5</v>
      </c>
      <c r="E21" s="56">
        <v>2.63</v>
      </c>
      <c r="F21" s="56">
        <v>13.65</v>
      </c>
      <c r="G21" s="56">
        <v>48.84</v>
      </c>
      <c r="H21" s="56">
        <v>89.89</v>
      </c>
      <c r="I21" s="56">
        <v>3.43</v>
      </c>
      <c r="J21" s="56">
        <v>0.31</v>
      </c>
      <c r="K21" s="56">
        <v>350.02</v>
      </c>
      <c r="L21" s="56">
        <v>38.03</v>
      </c>
      <c r="M21" s="56">
        <v>18.16</v>
      </c>
      <c r="N21" s="56">
        <v>853.20</v>
      </c>
      <c r="O21" s="56">
        <v>0</v>
      </c>
      <c r="P21" s="56">
        <v>0.48</v>
      </c>
      <c r="Q21" s="56">
        <v>9.33</v>
      </c>
      <c r="R21" s="43"/>
      <c r="S21" s="43"/>
      <c r="T21" s="43"/>
      <c r="U21" s="43"/>
    </row>
    <row r="22" spans="1:21" s="11" customFormat="1" ht="15">
      <c r="A22" s="55" t="s">
        <v>75</v>
      </c>
      <c r="B22" s="56">
        <v>1.1000000000000001</v>
      </c>
      <c r="C22" s="56">
        <v>34.19</v>
      </c>
      <c r="D22" s="56">
        <v>18.66</v>
      </c>
      <c r="E22" s="56">
        <v>2.78</v>
      </c>
      <c r="F22" s="56">
        <v>13.02</v>
      </c>
      <c r="G22" s="56">
        <v>49.77</v>
      </c>
      <c r="H22" s="56">
        <v>52.42</v>
      </c>
      <c r="I22" s="56">
        <v>3.44</v>
      </c>
      <c r="J22" s="56">
        <v>0.61</v>
      </c>
      <c r="K22" s="56">
        <v>319.64</v>
      </c>
      <c r="L22" s="56">
        <v>39.68</v>
      </c>
      <c r="M22" s="56">
        <v>15.22</v>
      </c>
      <c r="N22" s="56">
        <v>847.80</v>
      </c>
      <c r="O22" s="56">
        <v>0</v>
      </c>
      <c r="P22" s="56">
        <v>0.48</v>
      </c>
      <c r="Q22" s="56">
        <v>9.36</v>
      </c>
      <c r="R22" s="43"/>
      <c r="S22" s="43"/>
      <c r="T22" s="43"/>
      <c r="U22" s="43"/>
    </row>
    <row r="23" spans="1:21" s="11" customFormat="1" ht="15">
      <c r="A23" s="55" t="s">
        <v>76</v>
      </c>
      <c r="B23" s="56">
        <v>1.08</v>
      </c>
      <c r="C23" s="56">
        <v>34.020000000000003</v>
      </c>
      <c r="D23" s="56">
        <v>18.489999999999998</v>
      </c>
      <c r="E23" s="56">
        <v>2.5099999999999998</v>
      </c>
      <c r="F23" s="56">
        <v>13.32</v>
      </c>
      <c r="G23" s="56">
        <v>52.31</v>
      </c>
      <c r="H23" s="56">
        <v>35.04</v>
      </c>
      <c r="I23" s="56">
        <v>3.44</v>
      </c>
      <c r="J23" s="56">
        <v>0.28000000000000003</v>
      </c>
      <c r="K23" s="56">
        <v>353.72</v>
      </c>
      <c r="L23" s="56">
        <v>38.090000000000003</v>
      </c>
      <c r="M23" s="56">
        <v>14.95</v>
      </c>
      <c r="N23" s="56">
        <v>634.29999999999995</v>
      </c>
      <c r="O23" s="56">
        <v>0</v>
      </c>
      <c r="P23" s="56">
        <v>0.46</v>
      </c>
      <c r="Q23" s="56">
        <v>9.36</v>
      </c>
      <c r="R23" s="43"/>
      <c r="S23" s="43"/>
      <c r="T23" s="43"/>
      <c r="U23" s="43"/>
    </row>
    <row r="24" spans="1:21" s="11" customFormat="1" ht="15">
      <c r="A24" s="55" t="s">
        <v>77</v>
      </c>
      <c r="B24" s="56">
        <v>1.22</v>
      </c>
      <c r="C24" s="56">
        <v>37.03</v>
      </c>
      <c r="D24" s="56">
        <v>20.21</v>
      </c>
      <c r="E24" s="56">
        <v>2.5299999999999998</v>
      </c>
      <c r="F24" s="56">
        <v>11.93</v>
      </c>
      <c r="G24" s="56">
        <v>51.12</v>
      </c>
      <c r="H24" s="56">
        <v>35.04</v>
      </c>
      <c r="I24" s="56">
        <v>3.09</v>
      </c>
      <c r="J24" s="56">
        <v>0.35</v>
      </c>
      <c r="K24" s="56">
        <v>347.56</v>
      </c>
      <c r="L24" s="56">
        <v>38.130000000000003</v>
      </c>
      <c r="M24" s="56">
        <v>12.70</v>
      </c>
      <c r="N24" s="56">
        <v>325.60000000000002</v>
      </c>
      <c r="O24" s="56">
        <v>0</v>
      </c>
      <c r="P24" s="56">
        <v>0.41</v>
      </c>
      <c r="Q24" s="56">
        <v>9.39</v>
      </c>
      <c r="R24" s="43"/>
      <c r="S24" s="43"/>
      <c r="T24" s="43"/>
      <c r="U24" s="43"/>
    </row>
    <row r="25" spans="1:21" s="11" customFormat="1" ht="15">
      <c r="A25" s="55" t="s">
        <v>78</v>
      </c>
      <c r="B25" s="56">
        <v>1.49</v>
      </c>
      <c r="C25" s="56">
        <v>33.61</v>
      </c>
      <c r="D25" s="56">
        <v>18.54</v>
      </c>
      <c r="E25" s="56">
        <v>1.5</v>
      </c>
      <c r="F25" s="56">
        <v>11.53</v>
      </c>
      <c r="G25" s="56">
        <v>48.61</v>
      </c>
      <c r="H25" s="56">
        <v>0.98</v>
      </c>
      <c r="I25" s="56">
        <v>2.64</v>
      </c>
      <c r="J25" s="56">
        <v>0.77</v>
      </c>
      <c r="K25" s="56">
        <v>333.05</v>
      </c>
      <c r="L25" s="56">
        <v>37.04</v>
      </c>
      <c r="M25" s="56">
        <v>14.70</v>
      </c>
      <c r="N25" s="56">
        <v>175.70</v>
      </c>
      <c r="O25" s="56">
        <v>0</v>
      </c>
      <c r="P25" s="56">
        <v>0.36</v>
      </c>
      <c r="Q25" s="56">
        <v>9.39</v>
      </c>
      <c r="R25" s="43"/>
      <c r="S25" s="43"/>
      <c r="T25" s="43"/>
      <c r="U25" s="43"/>
    </row>
    <row r="26" spans="1:21" s="11" customFormat="1" ht="15">
      <c r="A26" s="55" t="s">
        <v>79</v>
      </c>
      <c r="B26" s="56">
        <v>2.40</v>
      </c>
      <c r="C26" s="56">
        <v>36.25</v>
      </c>
      <c r="D26" s="56">
        <v>20.78</v>
      </c>
      <c r="E26" s="56">
        <v>1.18</v>
      </c>
      <c r="F26" s="56">
        <v>7.08</v>
      </c>
      <c r="G26" s="56">
        <v>47.09</v>
      </c>
      <c r="H26" s="56">
        <v>33.369999999999997</v>
      </c>
      <c r="I26" s="56">
        <v>2.10</v>
      </c>
      <c r="J26" s="56">
        <v>1.26</v>
      </c>
      <c r="K26" s="56">
        <v>312.82</v>
      </c>
      <c r="L26" s="56">
        <v>35.60</v>
      </c>
      <c r="M26" s="56">
        <v>15.27</v>
      </c>
      <c r="N26" s="56">
        <v>108.20</v>
      </c>
      <c r="O26" s="56">
        <v>0</v>
      </c>
      <c r="P26" s="56">
        <v>0.33</v>
      </c>
      <c r="Q26" s="56">
        <v>9.5</v>
      </c>
      <c r="R26" s="43"/>
      <c r="S26" s="43"/>
      <c r="T26" s="43"/>
      <c r="U26" s="43"/>
    </row>
    <row r="27" spans="1:21" s="11" customFormat="1" ht="15">
      <c r="A27" s="55" t="s">
        <v>80</v>
      </c>
      <c r="B27" s="56">
        <v>3.08</v>
      </c>
      <c r="C27" s="56">
        <v>41.26</v>
      </c>
      <c r="D27" s="56">
        <v>23.58</v>
      </c>
      <c r="E27" s="56">
        <v>1.38</v>
      </c>
      <c r="F27" s="56">
        <v>5.31</v>
      </c>
      <c r="G27" s="56">
        <v>44.04</v>
      </c>
      <c r="H27" s="57" t="s">
        <v>14</v>
      </c>
      <c r="I27" s="56">
        <v>2.3199999999999998</v>
      </c>
      <c r="J27" s="56">
        <v>0.94</v>
      </c>
      <c r="K27" s="56">
        <v>311.22000000000003</v>
      </c>
      <c r="L27" s="56">
        <v>33.65</v>
      </c>
      <c r="M27" s="56">
        <v>16.86</v>
      </c>
      <c r="N27" s="56">
        <v>54.80</v>
      </c>
      <c r="O27" s="56">
        <v>0</v>
      </c>
      <c r="P27" s="56">
        <v>0.40</v>
      </c>
      <c r="Q27" s="56">
        <v>9.58</v>
      </c>
      <c r="R27" s="43"/>
      <c r="S27" s="43"/>
      <c r="T27" s="43"/>
      <c r="U27" s="43"/>
    </row>
    <row r="28" spans="1:21" s="11" customFormat="1" ht="15">
      <c r="A28" s="55" t="s">
        <v>81</v>
      </c>
      <c r="B28" s="56">
        <v>6.64</v>
      </c>
      <c r="C28" s="56">
        <v>39.99</v>
      </c>
      <c r="D28" s="56">
        <v>26.14</v>
      </c>
      <c r="E28" s="56">
        <v>1.18</v>
      </c>
      <c r="F28" s="56">
        <v>4.96</v>
      </c>
      <c r="G28" s="56">
        <v>40.85</v>
      </c>
      <c r="H28" s="57" t="s">
        <v>14</v>
      </c>
      <c r="I28" s="56">
        <v>2.4700000000000002</v>
      </c>
      <c r="J28" s="56">
        <v>0.43</v>
      </c>
      <c r="K28" s="56">
        <v>331.40</v>
      </c>
      <c r="L28" s="56">
        <v>32.39</v>
      </c>
      <c r="M28" s="56">
        <v>18.420000000000002</v>
      </c>
      <c r="N28" s="56">
        <v>57.20</v>
      </c>
      <c r="O28" s="56">
        <v>0</v>
      </c>
      <c r="P28" s="56">
        <v>0.49</v>
      </c>
      <c r="Q28" s="56">
        <v>9.60</v>
      </c>
      <c r="R28" s="43"/>
      <c r="S28" s="43"/>
      <c r="T28" s="43"/>
      <c r="U28" s="43"/>
    </row>
    <row r="29" spans="1:21" s="11" customFormat="1" ht="15">
      <c r="A29" s="55" t="s">
        <v>82</v>
      </c>
      <c r="B29" s="56">
        <v>7.63</v>
      </c>
      <c r="C29" s="56">
        <v>40.36</v>
      </c>
      <c r="D29" s="56">
        <v>26.32</v>
      </c>
      <c r="E29" s="56">
        <v>0.98</v>
      </c>
      <c r="F29" s="56">
        <v>4.09</v>
      </c>
      <c r="G29" s="56">
        <v>42.76</v>
      </c>
      <c r="H29" s="57" t="s">
        <v>14</v>
      </c>
      <c r="I29" s="56">
        <v>3.16</v>
      </c>
      <c r="J29" s="56">
        <v>0.45</v>
      </c>
      <c r="K29" s="56">
        <v>314.5</v>
      </c>
      <c r="L29" s="56">
        <v>31.27</v>
      </c>
      <c r="M29" s="56">
        <v>21.12</v>
      </c>
      <c r="N29" s="56">
        <v>72.900000000000006</v>
      </c>
      <c r="O29" s="56">
        <v>0</v>
      </c>
      <c r="P29" s="56">
        <v>0.69</v>
      </c>
      <c r="Q29" s="56">
        <v>9.65</v>
      </c>
      <c r="R29" s="43"/>
      <c r="S29" s="43"/>
      <c r="T29" s="43"/>
      <c r="U29" s="43"/>
    </row>
    <row r="30" spans="1:21" s="11" customFormat="1" ht="15">
      <c r="A30" s="55" t="s">
        <v>83</v>
      </c>
      <c r="B30" s="56">
        <v>13.42</v>
      </c>
      <c r="C30" s="56">
        <v>37.71</v>
      </c>
      <c r="D30" s="56">
        <v>30.22</v>
      </c>
      <c r="E30" s="56">
        <v>0.95</v>
      </c>
      <c r="F30" s="56">
        <v>3.55</v>
      </c>
      <c r="G30" s="56">
        <v>43.40</v>
      </c>
      <c r="H30" s="57" t="s">
        <v>14</v>
      </c>
      <c r="I30" s="56">
        <v>4.91</v>
      </c>
      <c r="J30" s="56">
        <v>0.30</v>
      </c>
      <c r="K30" s="56">
        <v>316.20</v>
      </c>
      <c r="L30" s="56">
        <v>30.15</v>
      </c>
      <c r="M30" s="56">
        <v>23.62</v>
      </c>
      <c r="N30" s="56">
        <v>80.900000000000006</v>
      </c>
      <c r="O30" s="56">
        <v>0</v>
      </c>
      <c r="P30" s="56">
        <v>0.77</v>
      </c>
      <c r="Q30" s="56">
        <v>9.74</v>
      </c>
      <c r="R30" s="43"/>
      <c r="S30" s="43"/>
      <c r="T30" s="43"/>
      <c r="U30" s="43"/>
    </row>
    <row r="31" spans="1:21" s="11" customFormat="1" ht="15">
      <c r="A31" s="55" t="s">
        <v>84</v>
      </c>
      <c r="B31" s="56">
        <v>17.22</v>
      </c>
      <c r="C31" s="56">
        <v>40.25</v>
      </c>
      <c r="D31" s="56">
        <v>34.76</v>
      </c>
      <c r="E31" s="56">
        <v>1.38</v>
      </c>
      <c r="F31" s="56">
        <v>3.88</v>
      </c>
      <c r="G31" s="56">
        <v>54.11</v>
      </c>
      <c r="H31" s="56">
        <v>49.93</v>
      </c>
      <c r="I31" s="56">
        <v>5.5</v>
      </c>
      <c r="J31" s="56">
        <v>0.49</v>
      </c>
      <c r="K31" s="56">
        <v>319.52</v>
      </c>
      <c r="L31" s="56">
        <v>29.22</v>
      </c>
      <c r="M31" s="56">
        <v>25.09</v>
      </c>
      <c r="N31" s="56">
        <v>85.10</v>
      </c>
      <c r="O31" s="56">
        <v>0</v>
      </c>
      <c r="P31" s="56">
        <v>0.82</v>
      </c>
      <c r="Q31" s="56">
        <v>9.8699999999999992</v>
      </c>
      <c r="R31" s="43"/>
      <c r="S31" s="43"/>
      <c r="T31" s="43"/>
      <c r="U31" s="43"/>
    </row>
    <row r="32" spans="1:21" s="11" customFormat="1" ht="15">
      <c r="A32" s="55" t="s">
        <v>85</v>
      </c>
      <c r="B32" s="56">
        <v>19.02</v>
      </c>
      <c r="C32" s="56">
        <v>42.30</v>
      </c>
      <c r="D32" s="56">
        <v>37.22</v>
      </c>
      <c r="E32" s="56">
        <v>0.90</v>
      </c>
      <c r="F32" s="56">
        <v>4.07</v>
      </c>
      <c r="G32" s="56">
        <v>53.77</v>
      </c>
      <c r="H32" s="56">
        <v>49.93</v>
      </c>
      <c r="I32" s="56">
        <v>6.05</v>
      </c>
      <c r="J32" s="56">
        <v>0.32</v>
      </c>
      <c r="K32" s="56">
        <v>319.86</v>
      </c>
      <c r="L32" s="56">
        <v>28.27</v>
      </c>
      <c r="M32" s="56">
        <v>27.07</v>
      </c>
      <c r="N32" s="56">
        <v>80.20</v>
      </c>
      <c r="O32" s="56">
        <v>0</v>
      </c>
      <c r="P32" s="56">
        <v>0.81</v>
      </c>
      <c r="Q32" s="56">
        <v>9.90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1.02</v>
      </c>
      <c r="C34" s="28">
        <f t="shared" si="0"/>
        <v>23.699999999999999</v>
      </c>
      <c r="D34" s="28">
        <f t="shared" si="0"/>
        <v>14.380000000000001</v>
      </c>
      <c r="E34" s="28">
        <f t="shared" si="0"/>
        <v>0.90000000000000002</v>
      </c>
      <c r="F34" s="28">
        <f t="shared" si="0"/>
        <v>3.4100000000000001</v>
      </c>
      <c r="G34" s="28">
        <f t="shared" si="0"/>
        <v>40.850000000000001</v>
      </c>
      <c r="H34" s="28">
        <f t="shared" si="0"/>
        <v>0.97999999999999998</v>
      </c>
      <c r="I34" s="28">
        <f t="shared" si="0"/>
        <v>2.1000000000000001</v>
      </c>
      <c r="J34" s="28">
        <f t="shared" si="0"/>
        <v>0.17000000000000001</v>
      </c>
      <c r="K34" s="28">
        <f t="shared" si="0"/>
        <v>191.61000000000001</v>
      </c>
      <c r="L34" s="28">
        <f t="shared" si="0"/>
        <v>26.079999999999998</v>
      </c>
      <c r="M34" s="28">
        <f t="shared" si="0"/>
        <v>12.699999999999999</v>
      </c>
      <c r="N34" s="28">
        <f t="shared" si="0"/>
        <v>28.199999999999999</v>
      </c>
      <c r="O34" s="28">
        <f t="shared" si="0"/>
        <v>0</v>
      </c>
      <c r="P34" s="28">
        <f t="shared" si="0"/>
        <v>0.33000000000000002</v>
      </c>
      <c r="Q34" s="28">
        <f t="shared" si="0"/>
        <v>9.2300000000000004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22.399999999999999</v>
      </c>
      <c r="C35" s="29">
        <f t="shared" si="1"/>
        <v>42.299999999999997</v>
      </c>
      <c r="D35" s="29">
        <f t="shared" si="1"/>
        <v>37.219999999999999</v>
      </c>
      <c r="E35" s="29">
        <f t="shared" si="1"/>
        <v>2.7799999999999998</v>
      </c>
      <c r="F35" s="29">
        <f t="shared" si="1"/>
        <v>13.869999999999999</v>
      </c>
      <c r="G35" s="29">
        <f t="shared" si="1"/>
        <v>78.640000000000001</v>
      </c>
      <c r="H35" s="29">
        <f t="shared" si="1"/>
        <v>95.099999999999994</v>
      </c>
      <c r="I35" s="29">
        <f t="shared" si="1"/>
        <v>8.8699999999999992</v>
      </c>
      <c r="J35" s="29">
        <f t="shared" si="1"/>
        <v>1.26</v>
      </c>
      <c r="K35" s="29">
        <f t="shared" si="1"/>
        <v>356.16000000000003</v>
      </c>
      <c r="L35" s="29">
        <f t="shared" si="1"/>
        <v>39.68</v>
      </c>
      <c r="M35" s="29">
        <f t="shared" si="1"/>
        <v>61.039999999999999</v>
      </c>
      <c r="N35" s="29">
        <f t="shared" si="1"/>
        <v>926.89999999999998</v>
      </c>
      <c r="O35" s="29">
        <f t="shared" si="1"/>
        <v>0</v>
      </c>
      <c r="P35" s="29">
        <f t="shared" si="1"/>
        <v>1.26</v>
      </c>
      <c r="Q35" s="29">
        <f t="shared" si="1"/>
        <v>9.9000000000000004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7.1149999999999984</v>
      </c>
      <c r="C36" s="28">
        <f t="shared" si="2"/>
        <v>32.332500000000003</v>
      </c>
      <c r="D36" s="28">
        <f t="shared" si="2"/>
        <v>22.347916666666666</v>
      </c>
      <c r="E36" s="28">
        <f t="shared" si="2"/>
        <v>1.6995833333333337</v>
      </c>
      <c r="F36" s="28">
        <f t="shared" si="2"/>
        <v>7.139166666666668</v>
      </c>
      <c r="G36" s="28">
        <f t="shared" si="2"/>
        <v>56.461666666666652</v>
      </c>
      <c r="H36" s="28">
        <f t="shared" si="2"/>
        <v>40.825499999999991</v>
      </c>
      <c r="I36" s="28">
        <f t="shared" si="2"/>
        <v>5.2841666666666658</v>
      </c>
      <c r="J36" s="28">
        <f t="shared" si="2"/>
        <v>0.43791666666666668</v>
      </c>
      <c r="K36" s="28">
        <f t="shared" si="2"/>
        <v>312.95291666666668</v>
      </c>
      <c r="L36" s="28">
        <f t="shared" si="2"/>
        <v>32.650833333333331</v>
      </c>
      <c r="M36" s="28">
        <f t="shared" si="2"/>
        <v>32.427916666666682</v>
      </c>
      <c r="N36" s="28">
        <f t="shared" si="2"/>
        <v>316.71666666666664</v>
      </c>
      <c r="O36" s="28">
        <f t="shared" si="2"/>
        <v>0</v>
      </c>
      <c r="P36" s="28">
        <f t="shared" si="2"/>
        <v>0.62583333333333346</v>
      </c>
      <c r="Q36" s="28">
        <f t="shared" si="2"/>
        <v>9.5066666666666659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6.6900523166863213</v>
      </c>
      <c r="C37" s="28">
        <f t="shared" si="3" ref="C37:Q37">STDEV(C9:C32)</f>
        <v>6.1738475425184385</v>
      </c>
      <c r="D37" s="28">
        <f t="shared" si="3"/>
        <v>6.8849615446285926</v>
      </c>
      <c r="E37" s="28">
        <f t="shared" si="3"/>
        <v>0.57592631749938683</v>
      </c>
      <c r="F37" s="28">
        <f t="shared" si="3"/>
        <v>3.9177565859387764</v>
      </c>
      <c r="G37" s="28">
        <f t="shared" si="3"/>
        <v>11.723110830160795</v>
      </c>
      <c r="H37" s="28">
        <f t="shared" si="3"/>
        <v>21.271951998867106</v>
      </c>
      <c r="I37" s="28">
        <f t="shared" si="3"/>
        <v>2.352271643339261</v>
      </c>
      <c r="J37" s="28">
        <f t="shared" si="3"/>
        <v>0.25569987785728776</v>
      </c>
      <c r="K37" s="28">
        <f t="shared" si="3"/>
        <v>42.723281859688001</v>
      </c>
      <c r="L37" s="28">
        <f t="shared" si="3"/>
        <v>4.5299082596206874</v>
      </c>
      <c r="M37" s="28">
        <f t="shared" si="3"/>
        <v>18.058714860906782</v>
      </c>
      <c r="N37" s="28">
        <f t="shared" si="3"/>
        <v>343.28196506113147</v>
      </c>
      <c r="O37" s="28">
        <f t="shared" si="3"/>
        <v>0</v>
      </c>
      <c r="P37" s="28">
        <f t="shared" si="3"/>
        <v>0.22782366687507616</v>
      </c>
      <c r="Q37" s="28">
        <f t="shared" si="3"/>
        <v>0.17662701223001021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a34d2e-1a7d-4fd0-8c34-96a5a5c875cb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86</v>
      </c>
      <c r="B9" s="56">
        <v>16.46</v>
      </c>
      <c r="C9" s="56">
        <v>42.10</v>
      </c>
      <c r="D9" s="56">
        <v>35.119999999999997</v>
      </c>
      <c r="E9" s="56">
        <v>1.40</v>
      </c>
      <c r="F9" s="56">
        <v>3.93</v>
      </c>
      <c r="G9" s="56">
        <v>61.36</v>
      </c>
      <c r="H9" s="57" t="s">
        <v>14</v>
      </c>
      <c r="I9" s="56">
        <v>6.22</v>
      </c>
      <c r="J9" s="56">
        <v>0.54</v>
      </c>
      <c r="K9" s="56">
        <v>312.23</v>
      </c>
      <c r="L9" s="56">
        <v>27.73</v>
      </c>
      <c r="M9" s="56">
        <v>28.58</v>
      </c>
      <c r="N9" s="56">
        <v>74.30</v>
      </c>
      <c r="O9" s="56">
        <v>0</v>
      </c>
      <c r="P9" s="56">
        <v>0.75</v>
      </c>
      <c r="Q9" s="56">
        <v>9.8800000000000008</v>
      </c>
      <c r="R9" s="43"/>
      <c r="S9" s="43"/>
      <c r="T9" s="43"/>
      <c r="U9" s="43"/>
    </row>
    <row r="10" spans="1:21" s="11" customFormat="1" ht="15">
      <c r="A10" s="55" t="s">
        <v>87</v>
      </c>
      <c r="B10" s="56">
        <v>10.82</v>
      </c>
      <c r="C10" s="56">
        <v>38.340000000000003</v>
      </c>
      <c r="D10" s="56">
        <v>28.63</v>
      </c>
      <c r="E10" s="56">
        <v>1.25</v>
      </c>
      <c r="F10" s="56">
        <v>3.67</v>
      </c>
      <c r="G10" s="56">
        <v>58.52</v>
      </c>
      <c r="H10" s="57" t="s">
        <v>14</v>
      </c>
      <c r="I10" s="56">
        <v>5.88</v>
      </c>
      <c r="J10" s="56">
        <v>0.85</v>
      </c>
      <c r="K10" s="56">
        <v>323.42</v>
      </c>
      <c r="L10" s="56">
        <v>26.51</v>
      </c>
      <c r="M10" s="56">
        <v>28.71</v>
      </c>
      <c r="N10" s="56">
        <v>67.400000000000006</v>
      </c>
      <c r="O10" s="56">
        <v>0</v>
      </c>
      <c r="P10" s="56">
        <v>0.62</v>
      </c>
      <c r="Q10" s="56">
        <v>9.77</v>
      </c>
      <c r="R10" s="43"/>
      <c r="S10" s="43"/>
      <c r="T10" s="43"/>
      <c r="U10" s="43"/>
    </row>
    <row r="11" spans="1:21" s="11" customFormat="1" ht="15">
      <c r="A11" s="55" t="s">
        <v>88</v>
      </c>
      <c r="B11" s="56">
        <v>8.17</v>
      </c>
      <c r="C11" s="56">
        <v>33.33</v>
      </c>
      <c r="D11" s="56">
        <v>23.89</v>
      </c>
      <c r="E11" s="56">
        <v>1.19</v>
      </c>
      <c r="F11" s="56">
        <v>3.79</v>
      </c>
      <c r="G11" s="56">
        <v>52.11</v>
      </c>
      <c r="H11" s="57" t="s">
        <v>14</v>
      </c>
      <c r="I11" s="56">
        <v>5.86</v>
      </c>
      <c r="J11" s="56">
        <v>0.71</v>
      </c>
      <c r="K11" s="56">
        <v>328.17</v>
      </c>
      <c r="L11" s="56">
        <v>25.71</v>
      </c>
      <c r="M11" s="56">
        <v>32.450000000000003</v>
      </c>
      <c r="N11" s="56">
        <v>67.70</v>
      </c>
      <c r="O11" s="56">
        <v>0</v>
      </c>
      <c r="P11" s="56">
        <v>0.56999999999999995</v>
      </c>
      <c r="Q11" s="56">
        <v>9.74</v>
      </c>
      <c r="R11" s="43"/>
      <c r="S11" s="43"/>
      <c r="T11" s="43"/>
      <c r="U11" s="43"/>
    </row>
    <row r="12" spans="1:21" s="11" customFormat="1" ht="15">
      <c r="A12" s="55" t="s">
        <v>89</v>
      </c>
      <c r="B12" s="56">
        <v>6.85</v>
      </c>
      <c r="C12" s="56">
        <v>30.11</v>
      </c>
      <c r="D12" s="56">
        <v>20.87</v>
      </c>
      <c r="E12" s="56">
        <v>1.77</v>
      </c>
      <c r="F12" s="56">
        <v>3.98</v>
      </c>
      <c r="G12" s="56">
        <v>47.95</v>
      </c>
      <c r="H12" s="57" t="s">
        <v>14</v>
      </c>
      <c r="I12" s="56">
        <v>6.30</v>
      </c>
      <c r="J12" s="56">
        <v>0.57999999999999996</v>
      </c>
      <c r="K12" s="56">
        <v>313.70</v>
      </c>
      <c r="L12" s="56">
        <v>24.81</v>
      </c>
      <c r="M12" s="56">
        <v>30.93</v>
      </c>
      <c r="N12" s="56">
        <v>69.599999999999994</v>
      </c>
      <c r="O12" s="56">
        <v>0</v>
      </c>
      <c r="P12" s="56">
        <v>0.51</v>
      </c>
      <c r="Q12" s="56">
        <v>9.75</v>
      </c>
      <c r="R12" s="43"/>
      <c r="S12" s="43"/>
      <c r="T12" s="43"/>
      <c r="U12" s="43"/>
    </row>
    <row r="13" spans="1:21" s="11" customFormat="1" ht="15">
      <c r="A13" s="55" t="s">
        <v>90</v>
      </c>
      <c r="B13" s="56">
        <v>6.29</v>
      </c>
      <c r="C13" s="56">
        <v>30.48</v>
      </c>
      <c r="D13" s="56">
        <v>20.89</v>
      </c>
      <c r="E13" s="56">
        <v>1.87</v>
      </c>
      <c r="F13" s="56">
        <v>3.80</v>
      </c>
      <c r="G13" s="56">
        <v>44.63</v>
      </c>
      <c r="H13" s="57" t="s">
        <v>14</v>
      </c>
      <c r="I13" s="56">
        <v>6</v>
      </c>
      <c r="J13" s="56">
        <v>0.33</v>
      </c>
      <c r="K13" s="56">
        <v>244.59</v>
      </c>
      <c r="L13" s="56">
        <v>24.27</v>
      </c>
      <c r="M13" s="56">
        <v>39.75</v>
      </c>
      <c r="N13" s="56">
        <v>64.099999999999994</v>
      </c>
      <c r="O13" s="56">
        <v>0</v>
      </c>
      <c r="P13" s="56">
        <v>0.44</v>
      </c>
      <c r="Q13" s="56">
        <v>9.65</v>
      </c>
      <c r="R13" s="43"/>
      <c r="S13" s="43"/>
      <c r="T13" s="43"/>
      <c r="U13" s="43"/>
    </row>
    <row r="14" spans="1:21" s="11" customFormat="1" ht="15">
      <c r="A14" s="55" t="s">
        <v>91</v>
      </c>
      <c r="B14" s="56">
        <v>9.2899999999999991</v>
      </c>
      <c r="C14" s="56">
        <v>30.90</v>
      </c>
      <c r="D14" s="56">
        <v>22.92</v>
      </c>
      <c r="E14" s="56">
        <v>1.84</v>
      </c>
      <c r="F14" s="56">
        <v>3.73</v>
      </c>
      <c r="G14" s="56">
        <v>55.45</v>
      </c>
      <c r="H14" s="57" t="s">
        <v>14</v>
      </c>
      <c r="I14" s="56">
        <v>6.05</v>
      </c>
      <c r="J14" s="56">
        <v>0.30</v>
      </c>
      <c r="K14" s="56">
        <v>335.62</v>
      </c>
      <c r="L14" s="56">
        <v>23.60</v>
      </c>
      <c r="M14" s="56">
        <v>42.01</v>
      </c>
      <c r="N14" s="56">
        <v>101.30</v>
      </c>
      <c r="O14" s="56">
        <v>0</v>
      </c>
      <c r="P14" s="56">
        <v>0.43</v>
      </c>
      <c r="Q14" s="56">
        <v>9.68</v>
      </c>
      <c r="R14" s="43"/>
      <c r="S14" s="43"/>
      <c r="T14" s="43"/>
      <c r="U14" s="43"/>
    </row>
    <row r="15" spans="1:21" s="11" customFormat="1" ht="15">
      <c r="A15" s="55" t="s">
        <v>92</v>
      </c>
      <c r="B15" s="56">
        <v>11.13</v>
      </c>
      <c r="C15" s="56">
        <v>30.01</v>
      </c>
      <c r="D15" s="56">
        <v>24.52</v>
      </c>
      <c r="E15" s="56">
        <v>1.83</v>
      </c>
      <c r="F15" s="56">
        <v>3.76</v>
      </c>
      <c r="G15" s="56">
        <v>54.66</v>
      </c>
      <c r="H15" s="57" t="s">
        <v>14</v>
      </c>
      <c r="I15" s="56">
        <v>6.46</v>
      </c>
      <c r="J15" s="56">
        <v>0.57999999999999996</v>
      </c>
      <c r="K15" s="56">
        <v>347.68</v>
      </c>
      <c r="L15" s="56">
        <v>29.33</v>
      </c>
      <c r="M15" s="56">
        <v>29.19</v>
      </c>
      <c r="N15" s="56">
        <v>262.89999999999998</v>
      </c>
      <c r="O15" s="56">
        <v>0</v>
      </c>
      <c r="P15" s="56">
        <v>0.48</v>
      </c>
      <c r="Q15" s="56">
        <v>9.7100000000000009</v>
      </c>
      <c r="R15" s="43"/>
      <c r="S15" s="43"/>
      <c r="T15" s="43"/>
      <c r="U15" s="43"/>
    </row>
    <row r="16" spans="1:21" s="11" customFormat="1" ht="15">
      <c r="A16" s="55" t="s">
        <v>93</v>
      </c>
      <c r="B16" s="56">
        <v>12.78</v>
      </c>
      <c r="C16" s="56">
        <v>35.630000000000003</v>
      </c>
      <c r="D16" s="56">
        <v>28.68</v>
      </c>
      <c r="E16" s="56">
        <v>2.14</v>
      </c>
      <c r="F16" s="56">
        <v>3.60</v>
      </c>
      <c r="G16" s="56">
        <v>73.959999999999994</v>
      </c>
      <c r="H16" s="57" t="s">
        <v>14</v>
      </c>
      <c r="I16" s="56">
        <v>8.16</v>
      </c>
      <c r="J16" s="56">
        <v>1.01</v>
      </c>
      <c r="K16" s="56">
        <v>357.16</v>
      </c>
      <c r="L16" s="56">
        <v>32.200000000000003</v>
      </c>
      <c r="M16" s="56">
        <v>17.190000000000001</v>
      </c>
      <c r="N16" s="56">
        <v>491.70</v>
      </c>
      <c r="O16" s="56">
        <v>0</v>
      </c>
      <c r="P16" s="56">
        <v>0.56000000000000005</v>
      </c>
      <c r="Q16" s="56">
        <v>9.7200000000000006</v>
      </c>
      <c r="R16" s="43"/>
      <c r="S16" s="43"/>
      <c r="T16" s="43"/>
      <c r="U16" s="43"/>
    </row>
    <row r="17" spans="1:21" s="11" customFormat="1" ht="15">
      <c r="A17" s="55" t="s">
        <v>94</v>
      </c>
      <c r="B17" s="56">
        <v>12.19</v>
      </c>
      <c r="C17" s="56">
        <v>41.14</v>
      </c>
      <c r="D17" s="56">
        <v>29.21</v>
      </c>
      <c r="E17" s="56">
        <v>2.93</v>
      </c>
      <c r="F17" s="56">
        <v>4.4000000000000004</v>
      </c>
      <c r="G17" s="56">
        <v>88.63</v>
      </c>
      <c r="H17" s="57" t="s">
        <v>14</v>
      </c>
      <c r="I17" s="56">
        <v>8.1999999999999993</v>
      </c>
      <c r="J17" s="56">
        <v>1.35</v>
      </c>
      <c r="K17" s="56">
        <v>355.75</v>
      </c>
      <c r="L17" s="56">
        <v>34.409999999999997</v>
      </c>
      <c r="M17" s="56">
        <v>15.22</v>
      </c>
      <c r="N17" s="56">
        <v>695.80</v>
      </c>
      <c r="O17" s="56">
        <v>0</v>
      </c>
      <c r="P17" s="56">
        <v>0.59</v>
      </c>
      <c r="Q17" s="56">
        <v>9.7200000000000006</v>
      </c>
      <c r="R17" s="43"/>
      <c r="S17" s="43"/>
      <c r="T17" s="43"/>
      <c r="U17" s="43"/>
    </row>
    <row r="18" spans="1:21" s="11" customFormat="1" ht="15">
      <c r="A18" s="55" t="s">
        <v>95</v>
      </c>
      <c r="B18" s="56">
        <v>8.1999999999999993</v>
      </c>
      <c r="C18" s="56">
        <v>44.04</v>
      </c>
      <c r="D18" s="56">
        <v>28.46</v>
      </c>
      <c r="E18" s="56">
        <v>2.2799999999999998</v>
      </c>
      <c r="F18" s="56">
        <v>5.09</v>
      </c>
      <c r="G18" s="56">
        <v>87.74</v>
      </c>
      <c r="H18" s="57" t="s">
        <v>14</v>
      </c>
      <c r="I18" s="56">
        <v>7.90</v>
      </c>
      <c r="J18" s="56">
        <v>0.82</v>
      </c>
      <c r="K18" s="56">
        <v>66.45</v>
      </c>
      <c r="L18" s="56">
        <v>35.40</v>
      </c>
      <c r="M18" s="56">
        <v>16.77</v>
      </c>
      <c r="N18" s="56">
        <v>840.70</v>
      </c>
      <c r="O18" s="56">
        <v>0</v>
      </c>
      <c r="P18" s="56">
        <v>0.59</v>
      </c>
      <c r="Q18" s="56">
        <v>9.65</v>
      </c>
      <c r="R18" s="43"/>
      <c r="S18" s="43"/>
      <c r="T18" s="43"/>
      <c r="U18" s="43"/>
    </row>
    <row r="19" spans="1:21" s="11" customFormat="1" ht="15">
      <c r="A19" s="55" t="s">
        <v>96</v>
      </c>
      <c r="B19" s="56">
        <v>3.90</v>
      </c>
      <c r="C19" s="56">
        <v>47.92</v>
      </c>
      <c r="D19" s="56">
        <v>26.64</v>
      </c>
      <c r="E19" s="56">
        <v>2.29</v>
      </c>
      <c r="F19" s="56">
        <v>23.29</v>
      </c>
      <c r="G19" s="56">
        <v>84.36</v>
      </c>
      <c r="H19" s="57" t="s">
        <v>14</v>
      </c>
      <c r="I19" s="56">
        <v>8.6199999999999992</v>
      </c>
      <c r="J19" s="56">
        <v>0.77</v>
      </c>
      <c r="K19" s="56">
        <v>90.83</v>
      </c>
      <c r="L19" s="56">
        <v>36.54</v>
      </c>
      <c r="M19" s="56">
        <v>14.29</v>
      </c>
      <c r="N19" s="56">
        <v>949.20</v>
      </c>
      <c r="O19" s="56">
        <v>0</v>
      </c>
      <c r="P19" s="56">
        <v>0.56999999999999995</v>
      </c>
      <c r="Q19" s="56">
        <v>9.60</v>
      </c>
      <c r="R19" s="43"/>
      <c r="S19" s="43"/>
      <c r="T19" s="43"/>
      <c r="U19" s="43"/>
    </row>
    <row r="20" spans="1:21" s="11" customFormat="1" ht="15">
      <c r="A20" s="55" t="s">
        <v>97</v>
      </c>
      <c r="B20" s="56">
        <v>2.62</v>
      </c>
      <c r="C20" s="56">
        <v>47.81</v>
      </c>
      <c r="D20" s="56">
        <v>27</v>
      </c>
      <c r="E20" s="18" t="s">
        <v>12</v>
      </c>
      <c r="F20" s="56">
        <v>15.77</v>
      </c>
      <c r="G20" s="58" t="s">
        <v>12</v>
      </c>
      <c r="H20" s="58" t="s">
        <v>12</v>
      </c>
      <c r="I20" s="56">
        <v>9.56</v>
      </c>
      <c r="J20" s="56">
        <v>0.92</v>
      </c>
      <c r="K20" s="56">
        <v>359.92</v>
      </c>
      <c r="L20" s="56">
        <v>38.28</v>
      </c>
      <c r="M20" s="56">
        <v>11.95</v>
      </c>
      <c r="N20" s="56">
        <v>978</v>
      </c>
      <c r="O20" s="56">
        <v>0</v>
      </c>
      <c r="P20" s="56">
        <v>0.53</v>
      </c>
      <c r="Q20" s="56">
        <v>9.57</v>
      </c>
      <c r="R20" s="43"/>
      <c r="S20" s="43"/>
      <c r="T20" s="43"/>
      <c r="U20" s="43"/>
    </row>
    <row r="21" spans="1:21" s="11" customFormat="1" ht="15">
      <c r="A21" s="55" t="s">
        <v>98</v>
      </c>
      <c r="B21" s="56">
        <v>2.56</v>
      </c>
      <c r="C21" s="56">
        <v>48.15</v>
      </c>
      <c r="D21" s="56">
        <v>27.12</v>
      </c>
      <c r="E21" s="56">
        <v>5.22</v>
      </c>
      <c r="F21" s="56">
        <v>7.72</v>
      </c>
      <c r="G21" s="58" t="s">
        <v>12</v>
      </c>
      <c r="H21" s="58" t="s">
        <v>12</v>
      </c>
      <c r="I21" s="56">
        <v>15.46</v>
      </c>
      <c r="J21" s="56">
        <v>1.02</v>
      </c>
      <c r="K21" s="56">
        <v>359.05</v>
      </c>
      <c r="L21" s="56">
        <v>37.74</v>
      </c>
      <c r="M21" s="56">
        <v>10.40</v>
      </c>
      <c r="N21" s="56">
        <v>956.10</v>
      </c>
      <c r="O21" s="56">
        <v>0</v>
      </c>
      <c r="P21" s="56">
        <v>0.53</v>
      </c>
      <c r="Q21" s="56">
        <v>9.66</v>
      </c>
      <c r="R21" s="43"/>
      <c r="S21" s="43"/>
      <c r="T21" s="43"/>
      <c r="U21" s="43"/>
    </row>
    <row r="22" spans="1:21" s="11" customFormat="1" ht="15">
      <c r="A22" s="55" t="s">
        <v>99</v>
      </c>
      <c r="B22" s="58" t="s">
        <v>12</v>
      </c>
      <c r="C22" s="58" t="s">
        <v>12</v>
      </c>
      <c r="D22" s="58" t="s">
        <v>12</v>
      </c>
      <c r="E22" s="56">
        <v>6.93</v>
      </c>
      <c r="F22" s="56">
        <v>9.99</v>
      </c>
      <c r="G22" s="58" t="s">
        <v>12</v>
      </c>
      <c r="H22" s="58" t="s">
        <v>12</v>
      </c>
      <c r="I22" s="56">
        <v>19.07</v>
      </c>
      <c r="J22" s="56">
        <v>1.0900000000000001</v>
      </c>
      <c r="K22" s="56">
        <v>359.04</v>
      </c>
      <c r="L22" s="56">
        <v>39.44</v>
      </c>
      <c r="M22" s="56">
        <v>11.18</v>
      </c>
      <c r="N22" s="56">
        <v>799.70</v>
      </c>
      <c r="O22" s="56">
        <v>0</v>
      </c>
      <c r="P22" s="56">
        <v>0.40</v>
      </c>
      <c r="Q22" s="56">
        <v>9.68</v>
      </c>
      <c r="R22" s="43"/>
      <c r="S22" s="43"/>
      <c r="T22" s="43"/>
      <c r="U22" s="43"/>
    </row>
    <row r="23" spans="1:21" s="11" customFormat="1" ht="15">
      <c r="A23" s="55" t="s">
        <v>100</v>
      </c>
      <c r="B23" s="56">
        <v>2.5099999999999998</v>
      </c>
      <c r="C23" s="56">
        <v>42.65</v>
      </c>
      <c r="D23" s="56">
        <v>24.22</v>
      </c>
      <c r="E23" s="56">
        <v>3.03</v>
      </c>
      <c r="F23" s="56">
        <v>11.33</v>
      </c>
      <c r="G23" s="58" t="s">
        <v>12</v>
      </c>
      <c r="H23" s="58" t="s">
        <v>12</v>
      </c>
      <c r="I23" s="56">
        <v>19.41</v>
      </c>
      <c r="J23" s="56">
        <v>1.21</v>
      </c>
      <c r="K23" s="56">
        <v>344.49</v>
      </c>
      <c r="L23" s="56">
        <v>38.549999999999997</v>
      </c>
      <c r="M23" s="56">
        <v>10.14</v>
      </c>
      <c r="N23" s="56">
        <v>596.10</v>
      </c>
      <c r="O23" s="56">
        <v>0</v>
      </c>
      <c r="P23" s="56">
        <v>0.45</v>
      </c>
      <c r="Q23" s="56">
        <v>9.75</v>
      </c>
      <c r="R23" s="43"/>
      <c r="S23" s="43"/>
      <c r="T23" s="43"/>
      <c r="U23" s="43"/>
    </row>
    <row r="24" spans="1:21" s="11" customFormat="1" ht="15">
      <c r="A24" s="55" t="s">
        <v>101</v>
      </c>
      <c r="B24" s="56">
        <v>2.70</v>
      </c>
      <c r="C24" s="56">
        <v>45.16</v>
      </c>
      <c r="D24" s="56">
        <v>25.49</v>
      </c>
      <c r="E24" s="56">
        <v>2.87</v>
      </c>
      <c r="F24" s="56">
        <v>8.40</v>
      </c>
      <c r="G24" s="56">
        <v>62.26</v>
      </c>
      <c r="H24" s="56">
        <v>42.41</v>
      </c>
      <c r="I24" s="56">
        <v>14.37</v>
      </c>
      <c r="J24" s="56">
        <v>1.28</v>
      </c>
      <c r="K24" s="56">
        <v>332.65</v>
      </c>
      <c r="L24" s="56">
        <v>37.79</v>
      </c>
      <c r="M24" s="56">
        <v>10.32</v>
      </c>
      <c r="N24" s="56">
        <v>354.80</v>
      </c>
      <c r="O24" s="56">
        <v>0</v>
      </c>
      <c r="P24" s="56">
        <v>0.49</v>
      </c>
      <c r="Q24" s="56">
        <v>9.84</v>
      </c>
      <c r="R24" s="43"/>
      <c r="S24" s="43"/>
      <c r="T24" s="43"/>
      <c r="U24" s="43"/>
    </row>
    <row r="25" spans="1:21" s="11" customFormat="1" ht="15">
      <c r="A25" s="55" t="s">
        <v>102</v>
      </c>
      <c r="B25" s="56">
        <v>2.4300000000000002</v>
      </c>
      <c r="C25" s="56">
        <v>42.28</v>
      </c>
      <c r="D25" s="56">
        <v>23.69</v>
      </c>
      <c r="E25" s="56">
        <v>1.77</v>
      </c>
      <c r="F25" s="56">
        <v>20.63</v>
      </c>
      <c r="G25" s="56">
        <v>67.099999999999994</v>
      </c>
      <c r="H25" s="56">
        <v>42.41</v>
      </c>
      <c r="I25" s="56">
        <v>11.74</v>
      </c>
      <c r="J25" s="56">
        <v>0.98</v>
      </c>
      <c r="K25" s="56">
        <v>316.75</v>
      </c>
      <c r="L25" s="56">
        <v>36.18</v>
      </c>
      <c r="M25" s="56">
        <v>10.47</v>
      </c>
      <c r="N25" s="56">
        <v>168</v>
      </c>
      <c r="O25" s="56">
        <v>0</v>
      </c>
      <c r="P25" s="56">
        <v>0.49</v>
      </c>
      <c r="Q25" s="56">
        <v>9.8800000000000008</v>
      </c>
      <c r="R25" s="43"/>
      <c r="S25" s="43"/>
      <c r="T25" s="43"/>
      <c r="U25" s="43"/>
    </row>
    <row r="26" spans="1:21" s="11" customFormat="1" ht="15">
      <c r="A26" s="55" t="s">
        <v>103</v>
      </c>
      <c r="B26" s="56">
        <v>1.63</v>
      </c>
      <c r="C26" s="56">
        <v>39.270000000000003</v>
      </c>
      <c r="D26" s="56">
        <v>21.75</v>
      </c>
      <c r="E26" s="56">
        <v>1.95</v>
      </c>
      <c r="F26" s="56">
        <v>22.39</v>
      </c>
      <c r="G26" s="56">
        <v>70.48</v>
      </c>
      <c r="H26" s="56">
        <v>34.85</v>
      </c>
      <c r="I26" s="56">
        <v>10.14</v>
      </c>
      <c r="J26" s="56">
        <v>0.56000000000000005</v>
      </c>
      <c r="K26" s="56">
        <v>208.93</v>
      </c>
      <c r="L26" s="56">
        <v>35.01</v>
      </c>
      <c r="M26" s="56">
        <v>17.02</v>
      </c>
      <c r="N26" s="56">
        <v>75.80</v>
      </c>
      <c r="O26" s="56">
        <v>0</v>
      </c>
      <c r="P26" s="56">
        <v>0.38</v>
      </c>
      <c r="Q26" s="56">
        <v>9.65</v>
      </c>
      <c r="R26" s="43"/>
      <c r="S26" s="43"/>
      <c r="T26" s="43"/>
      <c r="U26" s="43"/>
    </row>
    <row r="27" spans="1:21" s="11" customFormat="1" ht="15">
      <c r="A27" s="55" t="s">
        <v>104</v>
      </c>
      <c r="B27" s="56">
        <v>12.05</v>
      </c>
      <c r="C27" s="56">
        <v>57.87</v>
      </c>
      <c r="D27" s="56">
        <v>39.82</v>
      </c>
      <c r="E27" s="56">
        <v>1.54</v>
      </c>
      <c r="F27" s="56">
        <v>5.48</v>
      </c>
      <c r="G27" s="56">
        <v>79.38</v>
      </c>
      <c r="H27" s="56">
        <v>40.99</v>
      </c>
      <c r="I27" s="56">
        <v>7.35</v>
      </c>
      <c r="J27" s="56">
        <v>0.43</v>
      </c>
      <c r="K27" s="56">
        <v>347.30</v>
      </c>
      <c r="L27" s="56">
        <v>31.37</v>
      </c>
      <c r="M27" s="56">
        <v>34.01</v>
      </c>
      <c r="N27" s="56">
        <v>24.30</v>
      </c>
      <c r="O27" s="56">
        <v>0</v>
      </c>
      <c r="P27" s="56">
        <v>0.82</v>
      </c>
      <c r="Q27" s="56">
        <v>9.81</v>
      </c>
      <c r="R27" s="43"/>
      <c r="S27" s="43"/>
      <c r="T27" s="43"/>
      <c r="U27" s="43"/>
    </row>
    <row r="28" spans="1:21" s="11" customFormat="1" ht="15">
      <c r="A28" s="55" t="s">
        <v>105</v>
      </c>
      <c r="B28" s="56">
        <v>13.76</v>
      </c>
      <c r="C28" s="56">
        <v>59.32</v>
      </c>
      <c r="D28" s="56">
        <v>41.94</v>
      </c>
      <c r="E28" s="56">
        <v>1.74</v>
      </c>
      <c r="F28" s="56">
        <v>3.76</v>
      </c>
      <c r="G28" s="56">
        <v>87.80</v>
      </c>
      <c r="H28" s="56">
        <v>48.33</v>
      </c>
      <c r="I28" s="56">
        <v>7.95</v>
      </c>
      <c r="J28" s="56">
        <v>1.61</v>
      </c>
      <c r="K28" s="56">
        <v>330.07</v>
      </c>
      <c r="L28" s="56">
        <v>30.65</v>
      </c>
      <c r="M28" s="56">
        <v>16.059999999999999</v>
      </c>
      <c r="N28" s="56">
        <v>14.5</v>
      </c>
      <c r="O28" s="56">
        <v>0</v>
      </c>
      <c r="P28" s="56">
        <v>0.78</v>
      </c>
      <c r="Q28" s="56">
        <v>9.94</v>
      </c>
      <c r="R28" s="43"/>
      <c r="S28" s="43"/>
      <c r="T28" s="43"/>
      <c r="U28" s="43"/>
    </row>
    <row r="29" spans="1:21" s="11" customFormat="1" ht="15">
      <c r="A29" s="55" t="s">
        <v>106</v>
      </c>
      <c r="B29" s="56">
        <v>10.130000000000001</v>
      </c>
      <c r="C29" s="56">
        <v>50.88</v>
      </c>
      <c r="D29" s="56">
        <v>34.42</v>
      </c>
      <c r="E29" s="56">
        <v>1.45</v>
      </c>
      <c r="F29" s="56">
        <v>3.69</v>
      </c>
      <c r="G29" s="56">
        <v>74.209999999999994</v>
      </c>
      <c r="H29" s="56">
        <v>98</v>
      </c>
      <c r="I29" s="56">
        <v>6.97</v>
      </c>
      <c r="J29" s="56">
        <v>0.63</v>
      </c>
      <c r="K29" s="56">
        <v>319.62</v>
      </c>
      <c r="L29" s="56">
        <v>29.68</v>
      </c>
      <c r="M29" s="56">
        <v>16.97</v>
      </c>
      <c r="N29" s="56">
        <v>14.70</v>
      </c>
      <c r="O29" s="56">
        <v>0</v>
      </c>
      <c r="P29" s="56">
        <v>0.80</v>
      </c>
      <c r="Q29" s="56">
        <v>9.81</v>
      </c>
      <c r="R29" s="43"/>
      <c r="S29" s="43"/>
      <c r="T29" s="43"/>
      <c r="U29" s="43"/>
    </row>
    <row r="30" spans="1:21" s="11" customFormat="1" ht="15">
      <c r="A30" s="55" t="s">
        <v>107</v>
      </c>
      <c r="B30" s="56">
        <v>11.32</v>
      </c>
      <c r="C30" s="56">
        <v>44.16</v>
      </c>
      <c r="D30" s="56">
        <v>31.69</v>
      </c>
      <c r="E30" s="56">
        <v>1.1200000000000001</v>
      </c>
      <c r="F30" s="56">
        <v>4.01</v>
      </c>
      <c r="G30" s="56">
        <v>62.92</v>
      </c>
      <c r="H30" s="5" t="s">
        <v>14</v>
      </c>
      <c r="I30" s="56">
        <v>7.51</v>
      </c>
      <c r="J30" s="56">
        <v>0.79</v>
      </c>
      <c r="K30" s="56">
        <v>323.58</v>
      </c>
      <c r="L30" s="56">
        <v>28.35</v>
      </c>
      <c r="M30" s="56">
        <v>17.97</v>
      </c>
      <c r="N30" s="56">
        <v>14.80</v>
      </c>
      <c r="O30" s="56">
        <v>0</v>
      </c>
      <c r="P30" s="56">
        <v>0.82</v>
      </c>
      <c r="Q30" s="56">
        <v>9.7899999999999991</v>
      </c>
      <c r="R30" s="43"/>
      <c r="S30" s="43"/>
      <c r="T30" s="43"/>
      <c r="U30" s="43"/>
    </row>
    <row r="31" spans="1:21" s="11" customFormat="1" ht="15">
      <c r="A31" s="55" t="s">
        <v>108</v>
      </c>
      <c r="B31" s="56">
        <v>11.37</v>
      </c>
      <c r="C31" s="56">
        <v>44.38</v>
      </c>
      <c r="D31" s="56">
        <v>32.229999999999997</v>
      </c>
      <c r="E31" s="56">
        <v>1.21</v>
      </c>
      <c r="F31" s="56">
        <v>4.03</v>
      </c>
      <c r="G31" s="56">
        <v>63.35</v>
      </c>
      <c r="H31" s="56">
        <v>55.21</v>
      </c>
      <c r="I31" s="56">
        <v>7.27</v>
      </c>
      <c r="J31" s="56">
        <v>0.63</v>
      </c>
      <c r="K31" s="56">
        <v>342.12</v>
      </c>
      <c r="L31" s="56">
        <v>27.54</v>
      </c>
      <c r="M31" s="56">
        <v>18.55</v>
      </c>
      <c r="N31" s="56">
        <v>14.80</v>
      </c>
      <c r="O31" s="56">
        <v>0</v>
      </c>
      <c r="P31" s="56">
        <v>0.80</v>
      </c>
      <c r="Q31" s="56">
        <v>9.77</v>
      </c>
      <c r="R31" s="43"/>
      <c r="S31" s="43"/>
      <c r="T31" s="43"/>
      <c r="U31" s="43"/>
    </row>
    <row r="32" spans="1:21" s="11" customFormat="1" ht="15">
      <c r="A32" s="55" t="s">
        <v>109</v>
      </c>
      <c r="B32" s="56">
        <v>10.81</v>
      </c>
      <c r="C32" s="56">
        <v>44.88</v>
      </c>
      <c r="D32" s="56">
        <v>32.03</v>
      </c>
      <c r="E32" s="56">
        <v>2.25</v>
      </c>
      <c r="F32" s="56">
        <v>5.0199999999999996</v>
      </c>
      <c r="G32" s="56">
        <v>59.30</v>
      </c>
      <c r="H32" s="56">
        <v>29.96</v>
      </c>
      <c r="I32" s="56">
        <v>6.43</v>
      </c>
      <c r="J32" s="56">
        <v>1.66</v>
      </c>
      <c r="K32" s="56">
        <v>334.54</v>
      </c>
      <c r="L32" s="56">
        <v>28.20</v>
      </c>
      <c r="M32" s="56">
        <v>18.600000000000001</v>
      </c>
      <c r="N32" s="56">
        <v>15.40</v>
      </c>
      <c r="O32" s="56">
        <v>0</v>
      </c>
      <c r="P32" s="56">
        <v>0.73</v>
      </c>
      <c r="Q32" s="56">
        <v>9.73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1.6299999999999999</v>
      </c>
      <c r="C34" s="28">
        <f t="shared" si="0"/>
        <v>30.010000000000002</v>
      </c>
      <c r="D34" s="28">
        <f t="shared" si="0"/>
        <v>20.870000000000001</v>
      </c>
      <c r="E34" s="28">
        <f t="shared" si="0"/>
        <v>1.1200000000000001</v>
      </c>
      <c r="F34" s="28">
        <f t="shared" si="0"/>
        <v>3.6000000000000001</v>
      </c>
      <c r="G34" s="28">
        <f t="shared" si="0"/>
        <v>44.630000000000003</v>
      </c>
      <c r="H34" s="28">
        <f t="shared" si="0"/>
        <v>29.960000000000001</v>
      </c>
      <c r="I34" s="28">
        <f t="shared" si="0"/>
        <v>5.8600000000000003</v>
      </c>
      <c r="J34" s="28">
        <f t="shared" si="0"/>
        <v>0.29999999999999999</v>
      </c>
      <c r="K34" s="28">
        <f t="shared" si="0"/>
        <v>66.450000000000003</v>
      </c>
      <c r="L34" s="28">
        <f t="shared" si="0"/>
        <v>23.600000000000001</v>
      </c>
      <c r="M34" s="28">
        <f t="shared" si="0"/>
        <v>10.140000000000001</v>
      </c>
      <c r="N34" s="28">
        <f t="shared" si="0"/>
        <v>14.5</v>
      </c>
      <c r="O34" s="28">
        <f t="shared" si="0"/>
        <v>0</v>
      </c>
      <c r="P34" s="28">
        <f t="shared" si="0"/>
        <v>0.38</v>
      </c>
      <c r="Q34" s="28">
        <f t="shared" si="0"/>
        <v>9.5700000000000003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16.460000000000001</v>
      </c>
      <c r="C35" s="29">
        <f t="shared" si="1"/>
        <v>59.32</v>
      </c>
      <c r="D35" s="29">
        <f t="shared" si="1"/>
        <v>41.939999999999998</v>
      </c>
      <c r="E35" s="29">
        <f t="shared" si="1"/>
        <v>6.9299999999999997</v>
      </c>
      <c r="F35" s="29">
        <f t="shared" si="1"/>
        <v>23.289999999999999</v>
      </c>
      <c r="G35" s="29">
        <f t="shared" si="1"/>
        <v>88.629999999999995</v>
      </c>
      <c r="H35" s="29">
        <f t="shared" si="1"/>
        <v>98</v>
      </c>
      <c r="I35" s="29">
        <f t="shared" si="1"/>
        <v>19.41</v>
      </c>
      <c r="J35" s="29">
        <f t="shared" si="1"/>
        <v>1.6599999999999999</v>
      </c>
      <c r="K35" s="29">
        <f t="shared" si="1"/>
        <v>359.92000000000002</v>
      </c>
      <c r="L35" s="29">
        <f t="shared" si="1"/>
        <v>39.439999999999998</v>
      </c>
      <c r="M35" s="29">
        <f t="shared" si="1"/>
        <v>42.009999999999998</v>
      </c>
      <c r="N35" s="29">
        <f t="shared" si="1"/>
        <v>978</v>
      </c>
      <c r="O35" s="29">
        <f t="shared" si="1"/>
        <v>0</v>
      </c>
      <c r="P35" s="29">
        <f t="shared" si="1"/>
        <v>0.81999999999999995</v>
      </c>
      <c r="Q35" s="29">
        <f t="shared" si="1"/>
        <v>9.9399999999999995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8.2595652173913052</v>
      </c>
      <c r="C36" s="28">
        <f t="shared" si="2"/>
        <v>42.209130434782608</v>
      </c>
      <c r="D36" s="28">
        <f t="shared" si="2"/>
        <v>28.314347826086951</v>
      </c>
      <c r="E36" s="28">
        <f t="shared" si="2"/>
        <v>2.2552173913043481</v>
      </c>
      <c r="F36" s="28">
        <f t="shared" si="2"/>
        <v>7.7191666666666654</v>
      </c>
      <c r="G36" s="28">
        <f t="shared" si="2"/>
        <v>66.808500000000009</v>
      </c>
      <c r="H36" s="28">
        <f t="shared" si="2"/>
        <v>49.019999999999996</v>
      </c>
      <c r="I36" s="28">
        <f t="shared" si="2"/>
        <v>9.120000000000001</v>
      </c>
      <c r="J36" s="28">
        <f t="shared" si="2"/>
        <v>0.8604166666666665</v>
      </c>
      <c r="K36" s="28">
        <f t="shared" si="2"/>
        <v>306.40249999999997</v>
      </c>
      <c r="L36" s="28">
        <f t="shared" si="2"/>
        <v>31.637083333333326</v>
      </c>
      <c r="M36" s="28">
        <f t="shared" si="2"/>
        <v>20.780416666666671</v>
      </c>
      <c r="N36" s="28">
        <f t="shared" si="2"/>
        <v>321.32083333333338</v>
      </c>
      <c r="O36" s="28">
        <f t="shared" si="2"/>
        <v>0</v>
      </c>
      <c r="P36" s="28">
        <f t="shared" si="2"/>
        <v>0.58875000000000022</v>
      </c>
      <c r="Q36" s="28">
        <f t="shared" si="2"/>
        <v>9.7395833333333339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4.3886615046471178</v>
      </c>
      <c r="C37" s="28">
        <f t="shared" si="3" ref="C37:Q37">STDEV(C9:C32)</f>
        <v>8.112789517480449</v>
      </c>
      <c r="D37" s="28">
        <f t="shared" si="3"/>
        <v>5.6889364927877795</v>
      </c>
      <c r="E37" s="28">
        <f t="shared" si="3"/>
        <v>1.3457166713999622</v>
      </c>
      <c r="F37" s="28">
        <f t="shared" si="3"/>
        <v>6.3295132834837418</v>
      </c>
      <c r="G37" s="28">
        <f t="shared" si="3"/>
        <v>13.539896709160516</v>
      </c>
      <c r="H37" s="28">
        <f t="shared" si="3"/>
        <v>21.225894563009611</v>
      </c>
      <c r="I37" s="28">
        <f t="shared" si="3"/>
        <v>4.0127351617395366</v>
      </c>
      <c r="J37" s="28">
        <f t="shared" si="3"/>
        <v>0.36902314251296642</v>
      </c>
      <c r="K37" s="28">
        <f t="shared" si="3"/>
        <v>78.356275698276789</v>
      </c>
      <c r="L37" s="28">
        <f t="shared" si="3"/>
        <v>5.0985432524498409</v>
      </c>
      <c r="M37" s="28">
        <f t="shared" si="3"/>
        <v>9.772670623897449</v>
      </c>
      <c r="N37" s="28">
        <f t="shared" si="3"/>
        <v>360.29713942458136</v>
      </c>
      <c r="O37" s="28">
        <f t="shared" si="3"/>
        <v>0</v>
      </c>
      <c r="P37" s="28">
        <f t="shared" si="3"/>
        <v>0.14317251679431056</v>
      </c>
      <c r="Q37" s="28">
        <f t="shared" si="3"/>
        <v>0.091294038410376838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COUNT(E9:E32)+1</f>
        <v>24</v>
      </c>
      <c r="F38" s="32">
        <f t="shared" si="4" ref="F38:Q38">COUNT(F9:F32)</f>
        <v>24</v>
      </c>
      <c r="G38" s="32">
        <f>COUNT(G9:G32)+4</f>
        <v>24</v>
      </c>
      <c r="H38" s="32">
        <f>COUNT(H9:H32)+16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0bdf4d-0f8c-49ce-babb-fad4ee7444d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110</v>
      </c>
      <c r="B9" s="56">
        <v>3.49</v>
      </c>
      <c r="C9" s="56">
        <v>41.29</v>
      </c>
      <c r="D9" s="56">
        <v>24.25</v>
      </c>
      <c r="E9" s="56">
        <v>1.99</v>
      </c>
      <c r="F9" s="56">
        <v>4.21</v>
      </c>
      <c r="G9" s="56">
        <v>65.75</v>
      </c>
      <c r="H9" s="56">
        <v>22.68</v>
      </c>
      <c r="I9" s="56">
        <v>5.57</v>
      </c>
      <c r="J9" s="56">
        <v>1.21</v>
      </c>
      <c r="K9" s="56">
        <v>346.22</v>
      </c>
      <c r="L9" s="56">
        <v>26.51</v>
      </c>
      <c r="M9" s="56">
        <v>22.32</v>
      </c>
      <c r="N9" s="56">
        <v>14.90</v>
      </c>
      <c r="O9" s="56">
        <v>0</v>
      </c>
      <c r="P9" s="56">
        <v>0.60</v>
      </c>
      <c r="Q9" s="56">
        <v>9.59</v>
      </c>
      <c r="R9" s="43"/>
      <c r="S9" s="43"/>
      <c r="T9" s="43"/>
      <c r="U9" s="43"/>
    </row>
    <row r="10" spans="1:21" s="11" customFormat="1" ht="15">
      <c r="A10" s="55" t="s">
        <v>111</v>
      </c>
      <c r="B10" s="56">
        <v>3.57</v>
      </c>
      <c r="C10" s="56">
        <v>35.53</v>
      </c>
      <c r="D10" s="56">
        <v>21.35</v>
      </c>
      <c r="E10" s="56">
        <v>1.99</v>
      </c>
      <c r="F10" s="56">
        <v>4.0199999999999996</v>
      </c>
      <c r="G10" s="56">
        <v>77.62</v>
      </c>
      <c r="H10" s="56">
        <v>33.97</v>
      </c>
      <c r="I10" s="56">
        <v>5.86</v>
      </c>
      <c r="J10" s="56">
        <v>1.1599999999999999</v>
      </c>
      <c r="K10" s="56">
        <v>357.36</v>
      </c>
      <c r="L10" s="56">
        <v>25.90</v>
      </c>
      <c r="M10" s="56">
        <v>22.07</v>
      </c>
      <c r="N10" s="56">
        <v>15.10</v>
      </c>
      <c r="O10" s="56">
        <v>0</v>
      </c>
      <c r="P10" s="56">
        <v>0.56000000000000005</v>
      </c>
      <c r="Q10" s="56">
        <v>9.60</v>
      </c>
      <c r="R10" s="43"/>
      <c r="S10" s="43"/>
      <c r="T10" s="43"/>
      <c r="U10" s="43"/>
    </row>
    <row r="11" spans="1:21" s="11" customFormat="1" ht="15">
      <c r="A11" s="55" t="s">
        <v>112</v>
      </c>
      <c r="B11" s="56">
        <v>3.60</v>
      </c>
      <c r="C11" s="56">
        <v>34.89</v>
      </c>
      <c r="D11" s="56">
        <v>20.94</v>
      </c>
      <c r="E11" s="56">
        <v>2.56</v>
      </c>
      <c r="F11" s="56">
        <v>4.0999999999999996</v>
      </c>
      <c r="G11" s="56">
        <v>88.14</v>
      </c>
      <c r="H11" s="56">
        <v>37.729999999999997</v>
      </c>
      <c r="I11" s="56">
        <v>6.15</v>
      </c>
      <c r="J11" s="56">
        <v>0.96</v>
      </c>
      <c r="K11" s="56">
        <v>357.78</v>
      </c>
      <c r="L11" s="56">
        <v>26.08</v>
      </c>
      <c r="M11" s="56">
        <v>19.09</v>
      </c>
      <c r="N11" s="56">
        <v>15.40</v>
      </c>
      <c r="O11" s="56">
        <v>0</v>
      </c>
      <c r="P11" s="56">
        <v>0.55000000000000004</v>
      </c>
      <c r="Q11" s="56">
        <v>9.61</v>
      </c>
      <c r="R11" s="43"/>
      <c r="S11" s="43"/>
      <c r="T11" s="43"/>
      <c r="U11" s="43"/>
    </row>
    <row r="12" spans="1:21" s="11" customFormat="1" ht="15">
      <c r="A12" s="55" t="s">
        <v>113</v>
      </c>
      <c r="B12" s="56">
        <v>4.2300000000000004</v>
      </c>
      <c r="C12" s="56">
        <v>36.270000000000003</v>
      </c>
      <c r="D12" s="56">
        <v>22.26</v>
      </c>
      <c r="E12" s="56">
        <v>2.70</v>
      </c>
      <c r="F12" s="56">
        <v>4.34</v>
      </c>
      <c r="G12" s="56">
        <v>95.84</v>
      </c>
      <c r="H12" s="56">
        <v>41.82</v>
      </c>
      <c r="I12" s="56">
        <v>6.22</v>
      </c>
      <c r="J12" s="56">
        <v>0.34</v>
      </c>
      <c r="K12" s="56">
        <v>204.04</v>
      </c>
      <c r="L12" s="56">
        <v>25.18</v>
      </c>
      <c r="M12" s="56">
        <v>21.06</v>
      </c>
      <c r="N12" s="56">
        <v>15.5</v>
      </c>
      <c r="O12" s="56">
        <v>0</v>
      </c>
      <c r="P12" s="56">
        <v>0.66</v>
      </c>
      <c r="Q12" s="56">
        <v>9.58</v>
      </c>
      <c r="R12" s="43"/>
      <c r="S12" s="43"/>
      <c r="T12" s="43"/>
      <c r="U12" s="43"/>
    </row>
    <row r="13" spans="1:21" s="11" customFormat="1" ht="15">
      <c r="A13" s="55" t="s">
        <v>114</v>
      </c>
      <c r="B13" s="56">
        <v>5.37</v>
      </c>
      <c r="C13" s="56">
        <v>35.340000000000003</v>
      </c>
      <c r="D13" s="56">
        <v>21.76</v>
      </c>
      <c r="E13" s="56">
        <v>2.46</v>
      </c>
      <c r="F13" s="56">
        <v>3.75</v>
      </c>
      <c r="G13" s="56">
        <v>102.65</v>
      </c>
      <c r="H13" s="56">
        <v>36.42</v>
      </c>
      <c r="I13" s="56">
        <v>6.14</v>
      </c>
      <c r="J13" s="56">
        <v>0.5</v>
      </c>
      <c r="K13" s="56">
        <v>340.57</v>
      </c>
      <c r="L13" s="56">
        <v>23.89</v>
      </c>
      <c r="M13" s="56">
        <v>38.31</v>
      </c>
      <c r="N13" s="56">
        <v>16</v>
      </c>
      <c r="O13" s="56">
        <v>0</v>
      </c>
      <c r="P13" s="56">
        <v>0.74</v>
      </c>
      <c r="Q13" s="56">
        <v>9.60</v>
      </c>
      <c r="R13" s="43"/>
      <c r="S13" s="43"/>
      <c r="T13" s="43"/>
      <c r="U13" s="43"/>
    </row>
    <row r="14" spans="1:21" s="11" customFormat="1" ht="15">
      <c r="A14" s="55" t="s">
        <v>115</v>
      </c>
      <c r="B14" s="56">
        <v>7.57</v>
      </c>
      <c r="C14" s="56">
        <v>31.72</v>
      </c>
      <c r="D14" s="56">
        <v>21.42</v>
      </c>
      <c r="E14" s="56">
        <v>2.14</v>
      </c>
      <c r="F14" s="56">
        <v>3.32</v>
      </c>
      <c r="G14" s="56">
        <v>106.5</v>
      </c>
      <c r="H14" s="56">
        <v>37.19</v>
      </c>
      <c r="I14" s="56">
        <v>6.5</v>
      </c>
      <c r="J14" s="56">
        <v>0.11</v>
      </c>
      <c r="K14" s="56">
        <v>296.54000000000002</v>
      </c>
      <c r="L14" s="56">
        <v>21.63</v>
      </c>
      <c r="M14" s="56">
        <v>39.659999999999997</v>
      </c>
      <c r="N14" s="56">
        <v>54.10</v>
      </c>
      <c r="O14" s="56">
        <v>0</v>
      </c>
      <c r="P14" s="56">
        <v>0.70</v>
      </c>
      <c r="Q14" s="56">
        <v>9.69</v>
      </c>
      <c r="R14" s="43"/>
      <c r="S14" s="43"/>
      <c r="T14" s="43"/>
      <c r="U14" s="43"/>
    </row>
    <row r="15" spans="1:21" s="11" customFormat="1" ht="15">
      <c r="A15" s="55" t="s">
        <v>116</v>
      </c>
      <c r="B15" s="56">
        <v>16.850000000000001</v>
      </c>
      <c r="C15" s="56">
        <v>30.67</v>
      </c>
      <c r="D15" s="56">
        <v>29.45</v>
      </c>
      <c r="E15" s="56">
        <v>2.31</v>
      </c>
      <c r="F15" s="56">
        <v>3.60</v>
      </c>
      <c r="G15" s="56">
        <v>105.32</v>
      </c>
      <c r="H15" s="56">
        <v>31.30</v>
      </c>
      <c r="I15" s="56">
        <v>7.11</v>
      </c>
      <c r="J15" s="56">
        <v>0.23</v>
      </c>
      <c r="K15" s="56">
        <v>354.65</v>
      </c>
      <c r="L15" s="56">
        <v>25.31</v>
      </c>
      <c r="M15" s="56">
        <v>44.70</v>
      </c>
      <c r="N15" s="56">
        <v>244.20</v>
      </c>
      <c r="O15" s="56">
        <v>0</v>
      </c>
      <c r="P15" s="56">
        <v>0.72</v>
      </c>
      <c r="Q15" s="56">
        <v>9.84</v>
      </c>
      <c r="R15" s="43"/>
      <c r="S15" s="43"/>
      <c r="T15" s="43"/>
      <c r="U15" s="43"/>
    </row>
    <row r="16" spans="1:21" s="11" customFormat="1" ht="15">
      <c r="A16" s="55" t="s">
        <v>117</v>
      </c>
      <c r="B16" s="56">
        <v>16.32</v>
      </c>
      <c r="C16" s="56">
        <v>34.340000000000003</v>
      </c>
      <c r="D16" s="56">
        <v>29.57</v>
      </c>
      <c r="E16" s="56">
        <v>2.29</v>
      </c>
      <c r="F16" s="56">
        <v>3.70</v>
      </c>
      <c r="G16" s="56">
        <v>109.19</v>
      </c>
      <c r="H16" s="56">
        <v>34.79</v>
      </c>
      <c r="I16" s="56">
        <v>7.23</v>
      </c>
      <c r="J16" s="56">
        <v>1.60</v>
      </c>
      <c r="K16" s="56">
        <v>155.38999999999999</v>
      </c>
      <c r="L16" s="56">
        <v>28.02</v>
      </c>
      <c r="M16" s="56">
        <v>32.40</v>
      </c>
      <c r="N16" s="56">
        <v>480.90</v>
      </c>
      <c r="O16" s="56">
        <v>0</v>
      </c>
      <c r="P16" s="56">
        <v>0.70</v>
      </c>
      <c r="Q16" s="56">
        <v>9.8699999999999992</v>
      </c>
      <c r="R16" s="43"/>
      <c r="S16" s="43"/>
      <c r="T16" s="43"/>
      <c r="U16" s="43"/>
    </row>
    <row r="17" spans="1:21" s="11" customFormat="1" ht="15">
      <c r="A17" s="55" t="s">
        <v>118</v>
      </c>
      <c r="B17" s="56">
        <v>9.35</v>
      </c>
      <c r="C17" s="56">
        <v>36</v>
      </c>
      <c r="D17" s="56">
        <v>25.67</v>
      </c>
      <c r="E17" s="56">
        <v>1.83</v>
      </c>
      <c r="F17" s="56">
        <v>4.22</v>
      </c>
      <c r="G17" s="56">
        <v>93.91</v>
      </c>
      <c r="H17" s="56">
        <v>23.71</v>
      </c>
      <c r="I17" s="56">
        <v>6.88</v>
      </c>
      <c r="J17" s="56">
        <v>1.36</v>
      </c>
      <c r="K17" s="56">
        <v>165.01</v>
      </c>
      <c r="L17" s="56">
        <v>31.01</v>
      </c>
      <c r="M17" s="56">
        <v>25.94</v>
      </c>
      <c r="N17" s="56">
        <v>686.10</v>
      </c>
      <c r="O17" s="56">
        <v>0</v>
      </c>
      <c r="P17" s="56">
        <v>0.65</v>
      </c>
      <c r="Q17" s="56">
        <v>9.85</v>
      </c>
      <c r="R17" s="43"/>
      <c r="S17" s="43"/>
      <c r="T17" s="43"/>
      <c r="U17" s="43"/>
    </row>
    <row r="18" spans="1:21" s="11" customFormat="1" ht="15">
      <c r="A18" s="55" t="s">
        <v>119</v>
      </c>
      <c r="B18" s="56">
        <v>3.54</v>
      </c>
      <c r="C18" s="56">
        <v>35.57</v>
      </c>
      <c r="D18" s="56">
        <v>21.34</v>
      </c>
      <c r="E18" s="56">
        <v>1.67</v>
      </c>
      <c r="F18" s="56">
        <v>4.88</v>
      </c>
      <c r="G18" s="56">
        <v>80.27</v>
      </c>
      <c r="H18" s="56">
        <v>21.81</v>
      </c>
      <c r="I18" s="56">
        <v>6.61</v>
      </c>
      <c r="J18" s="56">
        <v>0.51</v>
      </c>
      <c r="K18" s="56">
        <v>157.77000000000001</v>
      </c>
      <c r="L18" s="56">
        <v>34.61</v>
      </c>
      <c r="M18" s="56">
        <v>17</v>
      </c>
      <c r="N18" s="56">
        <v>834.70</v>
      </c>
      <c r="O18" s="56">
        <v>0</v>
      </c>
      <c r="P18" s="56">
        <v>0.57999999999999996</v>
      </c>
      <c r="Q18" s="56">
        <v>9.74</v>
      </c>
      <c r="R18" s="43"/>
      <c r="S18" s="43"/>
      <c r="T18" s="43"/>
      <c r="U18" s="43"/>
    </row>
    <row r="19" spans="1:21" s="11" customFormat="1" ht="15">
      <c r="A19" s="55" t="s">
        <v>120</v>
      </c>
      <c r="B19" s="56">
        <v>2.85</v>
      </c>
      <c r="C19" s="56">
        <v>40.96</v>
      </c>
      <c r="D19" s="56">
        <v>22.89</v>
      </c>
      <c r="E19" s="56">
        <v>2.48</v>
      </c>
      <c r="F19" s="56">
        <v>10.92</v>
      </c>
      <c r="G19" s="56">
        <v>75.52</v>
      </c>
      <c r="H19" s="56">
        <v>25.01</v>
      </c>
      <c r="I19" s="56">
        <v>8.0399999999999991</v>
      </c>
      <c r="J19" s="56">
        <v>0.74</v>
      </c>
      <c r="K19" s="56">
        <v>359.85</v>
      </c>
      <c r="L19" s="56">
        <v>36.880000000000003</v>
      </c>
      <c r="M19" s="56">
        <v>11.44</v>
      </c>
      <c r="N19" s="56">
        <v>944.60</v>
      </c>
      <c r="O19" s="56">
        <v>0</v>
      </c>
      <c r="P19" s="56">
        <v>0.56999999999999995</v>
      </c>
      <c r="Q19" s="56">
        <v>9.73</v>
      </c>
      <c r="R19" s="43"/>
      <c r="S19" s="43"/>
      <c r="T19" s="43"/>
      <c r="U19" s="43"/>
    </row>
    <row r="20" spans="1:21" s="11" customFormat="1" ht="15">
      <c r="A20" s="55" t="s">
        <v>121</v>
      </c>
      <c r="B20" s="56">
        <v>1.97</v>
      </c>
      <c r="C20" s="56">
        <v>39.369999999999997</v>
      </c>
      <c r="D20" s="56">
        <v>21.94</v>
      </c>
      <c r="E20" s="56">
        <v>2.2599999999999998</v>
      </c>
      <c r="F20" s="56">
        <v>7.24</v>
      </c>
      <c r="G20" s="56">
        <v>59.39</v>
      </c>
      <c r="H20" s="56">
        <v>25.14</v>
      </c>
      <c r="I20" s="56">
        <v>8.1199999999999992</v>
      </c>
      <c r="J20" s="56">
        <v>1.44</v>
      </c>
      <c r="K20" s="56">
        <v>117.52</v>
      </c>
      <c r="L20" s="56">
        <v>37.840000000000003</v>
      </c>
      <c r="M20" s="56">
        <v>10.42</v>
      </c>
      <c r="N20" s="56">
        <v>963.70</v>
      </c>
      <c r="O20" s="56">
        <v>0</v>
      </c>
      <c r="P20" s="56">
        <v>0.52</v>
      </c>
      <c r="Q20" s="56">
        <v>9.74</v>
      </c>
      <c r="R20" s="43"/>
      <c r="S20" s="43"/>
      <c r="T20" s="43"/>
      <c r="U20" s="43"/>
    </row>
    <row r="21" spans="1:21" s="11" customFormat="1" ht="15">
      <c r="A21" s="55" t="s">
        <v>122</v>
      </c>
      <c r="B21" s="56">
        <v>1.89</v>
      </c>
      <c r="C21" s="56">
        <v>37.020000000000003</v>
      </c>
      <c r="D21" s="56">
        <v>20.78</v>
      </c>
      <c r="E21" s="56">
        <v>1.81</v>
      </c>
      <c r="F21" s="56">
        <v>8.74</v>
      </c>
      <c r="G21" s="56">
        <v>52.75</v>
      </c>
      <c r="H21" s="56">
        <v>17.84</v>
      </c>
      <c r="I21" s="56">
        <v>8.10</v>
      </c>
      <c r="J21" s="56">
        <v>1.31</v>
      </c>
      <c r="K21" s="56">
        <v>125.40</v>
      </c>
      <c r="L21" s="56">
        <v>35.79</v>
      </c>
      <c r="M21" s="56">
        <v>9.06</v>
      </c>
      <c r="N21" s="56">
        <v>952.90</v>
      </c>
      <c r="O21" s="56">
        <v>0</v>
      </c>
      <c r="P21" s="56">
        <v>0.48</v>
      </c>
      <c r="Q21" s="56">
        <v>9.7200000000000006</v>
      </c>
      <c r="R21" s="43"/>
      <c r="S21" s="43"/>
      <c r="T21" s="43"/>
      <c r="U21" s="43"/>
    </row>
    <row r="22" spans="1:21" s="11" customFormat="1" ht="15">
      <c r="A22" s="55" t="s">
        <v>123</v>
      </c>
      <c r="B22" s="56">
        <v>1.74</v>
      </c>
      <c r="C22" s="56">
        <v>36.35</v>
      </c>
      <c r="D22" s="56">
        <v>20.16</v>
      </c>
      <c r="E22" s="56">
        <v>4.33</v>
      </c>
      <c r="F22" s="56">
        <v>34.42</v>
      </c>
      <c r="G22" s="56">
        <v>64.47</v>
      </c>
      <c r="H22" s="56">
        <v>23.35</v>
      </c>
      <c r="I22" s="56">
        <v>8.10</v>
      </c>
      <c r="J22" s="56">
        <v>0.73</v>
      </c>
      <c r="K22" s="56">
        <v>166.95</v>
      </c>
      <c r="L22" s="56">
        <v>37.99</v>
      </c>
      <c r="M22" s="56">
        <v>7.96</v>
      </c>
      <c r="N22" s="56">
        <v>926.40</v>
      </c>
      <c r="O22" s="56">
        <v>0</v>
      </c>
      <c r="P22" s="56">
        <v>0.42</v>
      </c>
      <c r="Q22" s="56">
        <v>9.6999999999999993</v>
      </c>
      <c r="R22" s="43"/>
      <c r="S22" s="43"/>
      <c r="T22" s="43"/>
      <c r="U22" s="43"/>
    </row>
    <row r="23" spans="1:21" s="11" customFormat="1" ht="15">
      <c r="A23" s="55" t="s">
        <v>124</v>
      </c>
      <c r="B23" s="56">
        <v>1.29</v>
      </c>
      <c r="C23" s="56">
        <v>39.340000000000003</v>
      </c>
      <c r="D23" s="56">
        <v>21.5</v>
      </c>
      <c r="E23" s="56">
        <v>4</v>
      </c>
      <c r="F23" s="56">
        <v>35.26</v>
      </c>
      <c r="G23" s="56">
        <v>63.25</v>
      </c>
      <c r="H23" s="56">
        <v>23.35</v>
      </c>
      <c r="I23" s="56">
        <v>5.66</v>
      </c>
      <c r="J23" s="56">
        <v>0.56000000000000005</v>
      </c>
      <c r="K23" s="56">
        <v>335.56</v>
      </c>
      <c r="L23" s="56">
        <v>37.36</v>
      </c>
      <c r="M23" s="56">
        <v>9.2200000000000006</v>
      </c>
      <c r="N23" s="56">
        <v>590.20000000000005</v>
      </c>
      <c r="O23" s="56">
        <v>0</v>
      </c>
      <c r="P23" s="56">
        <v>0.35</v>
      </c>
      <c r="Q23" s="56">
        <v>9.4700000000000006</v>
      </c>
      <c r="R23" s="43"/>
      <c r="S23" s="43"/>
      <c r="T23" s="43"/>
      <c r="U23" s="43"/>
    </row>
    <row r="24" spans="1:21" s="11" customFormat="1" ht="15">
      <c r="A24" s="55" t="s">
        <v>125</v>
      </c>
      <c r="B24" s="56">
        <v>1.65</v>
      </c>
      <c r="C24" s="56">
        <v>45.62</v>
      </c>
      <c r="D24" s="56">
        <v>24.77</v>
      </c>
      <c r="E24" s="56">
        <v>3.32</v>
      </c>
      <c r="F24" s="56">
        <v>17.64</v>
      </c>
      <c r="G24" s="56">
        <v>71.17</v>
      </c>
      <c r="H24" s="56">
        <v>24.59</v>
      </c>
      <c r="I24" s="56">
        <v>3.63</v>
      </c>
      <c r="J24" s="56">
        <v>0.37</v>
      </c>
      <c r="K24" s="56">
        <v>343.36</v>
      </c>
      <c r="L24" s="56">
        <v>37.26</v>
      </c>
      <c r="M24" s="56">
        <v>9.3800000000000008</v>
      </c>
      <c r="N24" s="56">
        <v>334.40</v>
      </c>
      <c r="O24" s="56">
        <v>0</v>
      </c>
      <c r="P24" s="56">
        <v>0.38</v>
      </c>
      <c r="Q24" s="56">
        <v>9.58</v>
      </c>
      <c r="R24" s="43"/>
      <c r="S24" s="43"/>
      <c r="T24" s="43"/>
      <c r="U24" s="43"/>
    </row>
    <row r="25" spans="1:21" s="11" customFormat="1" ht="15">
      <c r="A25" s="55" t="s">
        <v>126</v>
      </c>
      <c r="B25" s="56">
        <v>2.2799999999999998</v>
      </c>
      <c r="C25" s="56">
        <v>53.78</v>
      </c>
      <c r="D25" s="56">
        <v>29.85</v>
      </c>
      <c r="E25" s="56">
        <v>2.93</v>
      </c>
      <c r="F25" s="56">
        <v>18.260000000000002</v>
      </c>
      <c r="G25" s="56">
        <v>73.81</v>
      </c>
      <c r="H25" s="56">
        <v>22.58</v>
      </c>
      <c r="I25" s="56">
        <v>4.28</v>
      </c>
      <c r="J25" s="56">
        <v>0.98</v>
      </c>
      <c r="K25" s="56">
        <v>351.04</v>
      </c>
      <c r="L25" s="56">
        <v>35.86</v>
      </c>
      <c r="M25" s="56">
        <v>11.30</v>
      </c>
      <c r="N25" s="56">
        <v>208</v>
      </c>
      <c r="O25" s="56">
        <v>0</v>
      </c>
      <c r="P25" s="56">
        <v>0.43</v>
      </c>
      <c r="Q25" s="56">
        <v>9.59</v>
      </c>
      <c r="R25" s="43"/>
      <c r="S25" s="43"/>
      <c r="T25" s="43"/>
      <c r="U25" s="43"/>
    </row>
    <row r="26" spans="1:21" s="11" customFormat="1" ht="15">
      <c r="A26" s="55" t="s">
        <v>127</v>
      </c>
      <c r="B26" s="56">
        <v>11.66</v>
      </c>
      <c r="C26" s="56">
        <v>98.56</v>
      </c>
      <c r="D26" s="56">
        <v>60.76</v>
      </c>
      <c r="E26" s="56">
        <v>3.98</v>
      </c>
      <c r="F26" s="56">
        <v>27.01</v>
      </c>
      <c r="G26" s="56">
        <v>67.849999999999994</v>
      </c>
      <c r="H26" s="56">
        <v>24.35</v>
      </c>
      <c r="I26" s="56">
        <v>4.0999999999999996</v>
      </c>
      <c r="J26" s="56">
        <v>0.56999999999999995</v>
      </c>
      <c r="K26" s="56">
        <v>348.91</v>
      </c>
      <c r="L26" s="56">
        <v>34.03</v>
      </c>
      <c r="M26" s="56">
        <v>26.5</v>
      </c>
      <c r="N26" s="56">
        <v>67.900000000000006</v>
      </c>
      <c r="O26" s="56">
        <v>0</v>
      </c>
      <c r="P26" s="56">
        <v>0.99</v>
      </c>
      <c r="Q26" s="56">
        <v>9.92</v>
      </c>
      <c r="R26" s="43"/>
      <c r="S26" s="43"/>
      <c r="T26" s="43"/>
      <c r="U26" s="43"/>
    </row>
    <row r="27" spans="1:21" s="11" customFormat="1" ht="15">
      <c r="A27" s="55" t="s">
        <v>128</v>
      </c>
      <c r="B27" s="56">
        <v>24.43</v>
      </c>
      <c r="C27" s="56">
        <v>102.20</v>
      </c>
      <c r="D27" s="56">
        <v>64.739999999999995</v>
      </c>
      <c r="E27" s="56">
        <v>2.41</v>
      </c>
      <c r="F27" s="56">
        <v>3.79</v>
      </c>
      <c r="G27" s="56">
        <v>114.62</v>
      </c>
      <c r="H27" s="56">
        <v>29.64</v>
      </c>
      <c r="I27" s="56">
        <v>5.36</v>
      </c>
      <c r="J27" s="56">
        <v>0.21</v>
      </c>
      <c r="K27" s="56">
        <v>305.45</v>
      </c>
      <c r="L27" s="56">
        <v>30.31</v>
      </c>
      <c r="M27" s="56">
        <v>28.30</v>
      </c>
      <c r="N27" s="56">
        <v>24.5</v>
      </c>
      <c r="O27" s="56">
        <v>0</v>
      </c>
      <c r="P27" s="56">
        <v>1.19</v>
      </c>
      <c r="Q27" s="56">
        <v>10.43</v>
      </c>
      <c r="R27" s="43"/>
      <c r="S27" s="43"/>
      <c r="T27" s="43"/>
      <c r="U27" s="43"/>
    </row>
    <row r="28" spans="1:21" s="11" customFormat="1" ht="15">
      <c r="A28" s="55" t="s">
        <v>129</v>
      </c>
      <c r="B28" s="56">
        <v>43.23</v>
      </c>
      <c r="C28" s="56">
        <v>81.010000000000005</v>
      </c>
      <c r="D28" s="56">
        <v>72.03</v>
      </c>
      <c r="E28" s="56">
        <v>2.42</v>
      </c>
      <c r="F28" s="56">
        <v>3.59</v>
      </c>
      <c r="G28" s="56">
        <v>158.11000000000001</v>
      </c>
      <c r="H28" s="56">
        <v>37.700000000000003</v>
      </c>
      <c r="I28" s="56">
        <v>8.25</v>
      </c>
      <c r="J28" s="56">
        <v>0.23</v>
      </c>
      <c r="K28" s="56">
        <v>357.44</v>
      </c>
      <c r="L28" s="56">
        <v>29.13</v>
      </c>
      <c r="M28" s="56">
        <v>33.33</v>
      </c>
      <c r="N28" s="56">
        <v>15.90</v>
      </c>
      <c r="O28" s="56">
        <v>0</v>
      </c>
      <c r="P28" s="56">
        <v>1.48</v>
      </c>
      <c r="Q28" s="56">
        <v>10.36</v>
      </c>
      <c r="R28" s="43"/>
      <c r="S28" s="43"/>
      <c r="T28" s="43"/>
      <c r="U28" s="43"/>
    </row>
    <row r="29" spans="1:21" s="11" customFormat="1" ht="15">
      <c r="A29" s="55" t="s">
        <v>130</v>
      </c>
      <c r="B29" s="56">
        <v>73.94</v>
      </c>
      <c r="C29" s="56">
        <v>69.52</v>
      </c>
      <c r="D29" s="56">
        <v>95.54</v>
      </c>
      <c r="E29" s="56">
        <v>1.86</v>
      </c>
      <c r="F29" s="56">
        <v>3.59</v>
      </c>
      <c r="G29" s="56">
        <v>169.11</v>
      </c>
      <c r="H29" s="56">
        <v>45.37</v>
      </c>
      <c r="I29" s="56">
        <v>10.14</v>
      </c>
      <c r="J29" s="56">
        <v>0.27</v>
      </c>
      <c r="K29" s="56">
        <v>358.74</v>
      </c>
      <c r="L29" s="56">
        <v>27.73</v>
      </c>
      <c r="M29" s="56">
        <v>36.06</v>
      </c>
      <c r="N29" s="56">
        <v>15.90</v>
      </c>
      <c r="O29" s="56">
        <v>0</v>
      </c>
      <c r="P29" s="56">
        <v>2.09</v>
      </c>
      <c r="Q29" s="56">
        <v>10.23</v>
      </c>
      <c r="R29" s="43"/>
      <c r="S29" s="43"/>
      <c r="T29" s="43"/>
      <c r="U29" s="43"/>
    </row>
    <row r="30" spans="1:21" s="11" customFormat="1" ht="15">
      <c r="A30" s="55" t="s">
        <v>131</v>
      </c>
      <c r="B30" s="56">
        <v>101.41</v>
      </c>
      <c r="C30" s="56">
        <v>69.41</v>
      </c>
      <c r="D30" s="56">
        <v>117.34</v>
      </c>
      <c r="E30" s="56">
        <v>2.25</v>
      </c>
      <c r="F30" s="56">
        <v>3.75</v>
      </c>
      <c r="G30" s="56">
        <v>186.94</v>
      </c>
      <c r="H30" s="56">
        <v>48.26</v>
      </c>
      <c r="I30" s="56">
        <v>11.74</v>
      </c>
      <c r="J30" s="56">
        <v>0.44</v>
      </c>
      <c r="K30" s="56">
        <v>337.92</v>
      </c>
      <c r="L30" s="56">
        <v>26.99</v>
      </c>
      <c r="M30" s="56">
        <v>41.29</v>
      </c>
      <c r="N30" s="56">
        <v>16</v>
      </c>
      <c r="O30" s="56">
        <v>0</v>
      </c>
      <c r="P30" s="56">
        <v>2.46</v>
      </c>
      <c r="Q30" s="56">
        <v>10.81</v>
      </c>
      <c r="R30" s="43"/>
      <c r="S30" s="43"/>
      <c r="T30" s="43"/>
      <c r="U30" s="43"/>
    </row>
    <row r="31" spans="1:21" s="11" customFormat="1" ht="15">
      <c r="A31" s="55" t="s">
        <v>132</v>
      </c>
      <c r="B31" s="56">
        <v>95.80</v>
      </c>
      <c r="C31" s="56">
        <v>65.760000000000005</v>
      </c>
      <c r="D31" s="56">
        <v>111.11</v>
      </c>
      <c r="E31" s="56">
        <v>2.27</v>
      </c>
      <c r="F31" s="56">
        <v>3.42</v>
      </c>
      <c r="G31" s="56">
        <v>191.87</v>
      </c>
      <c r="H31" s="56">
        <v>45.86</v>
      </c>
      <c r="I31" s="56">
        <v>12.06</v>
      </c>
      <c r="J31" s="56">
        <v>0.33</v>
      </c>
      <c r="K31" s="56">
        <v>345.78</v>
      </c>
      <c r="L31" s="56">
        <v>26.66</v>
      </c>
      <c r="M31" s="56">
        <v>34.31</v>
      </c>
      <c r="N31" s="56">
        <v>16</v>
      </c>
      <c r="O31" s="56">
        <v>0</v>
      </c>
      <c r="P31" s="56">
        <v>2.39</v>
      </c>
      <c r="Q31" s="56">
        <v>10.77</v>
      </c>
      <c r="R31" s="43"/>
      <c r="S31" s="43"/>
      <c r="T31" s="43"/>
      <c r="U31" s="43"/>
    </row>
    <row r="32" spans="1:21" s="11" customFormat="1" ht="15">
      <c r="A32" s="55" t="s">
        <v>133</v>
      </c>
      <c r="B32" s="56">
        <v>99.67</v>
      </c>
      <c r="C32" s="56">
        <v>60.27</v>
      </c>
      <c r="D32" s="56">
        <v>110.31</v>
      </c>
      <c r="E32" s="56">
        <v>2.67</v>
      </c>
      <c r="F32" s="56">
        <v>3.60</v>
      </c>
      <c r="G32" s="56">
        <v>126.04</v>
      </c>
      <c r="H32" s="56">
        <v>44.41</v>
      </c>
      <c r="I32" s="56">
        <v>11.56</v>
      </c>
      <c r="J32" s="56">
        <v>0.33</v>
      </c>
      <c r="K32" s="56">
        <v>320.79000000000002</v>
      </c>
      <c r="L32" s="56">
        <v>25.09</v>
      </c>
      <c r="M32" s="56">
        <v>39.979999999999997</v>
      </c>
      <c r="N32" s="56">
        <v>16.100000000000001</v>
      </c>
      <c r="O32" s="56">
        <v>0</v>
      </c>
      <c r="P32" s="56">
        <v>2.27</v>
      </c>
      <c r="Q32" s="56">
        <v>10.64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1.29</v>
      </c>
      <c r="C34" s="28">
        <f t="shared" si="0"/>
        <v>30.670000000000002</v>
      </c>
      <c r="D34" s="28">
        <f t="shared" si="0"/>
        <v>20.16</v>
      </c>
      <c r="E34" s="28">
        <f t="shared" si="0"/>
        <v>1.6699999999999999</v>
      </c>
      <c r="F34" s="28">
        <f t="shared" si="0"/>
        <v>3.3199999999999998</v>
      </c>
      <c r="G34" s="28">
        <f t="shared" si="0"/>
        <v>52.75</v>
      </c>
      <c r="H34" s="28">
        <f t="shared" si="0"/>
        <v>17.84</v>
      </c>
      <c r="I34" s="28">
        <f t="shared" si="0"/>
        <v>3.6299999999999999</v>
      </c>
      <c r="J34" s="28">
        <f t="shared" si="0"/>
        <v>0.11</v>
      </c>
      <c r="K34" s="28">
        <f t="shared" si="0"/>
        <v>117.52</v>
      </c>
      <c r="L34" s="28">
        <f t="shared" si="0"/>
        <v>21.629999999999999</v>
      </c>
      <c r="M34" s="28">
        <f t="shared" si="0"/>
        <v>7.96</v>
      </c>
      <c r="N34" s="28">
        <f t="shared" si="0"/>
        <v>14.9</v>
      </c>
      <c r="O34" s="28">
        <f t="shared" si="0"/>
        <v>0</v>
      </c>
      <c r="P34" s="28">
        <f t="shared" si="0"/>
        <v>0.34999999999999998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101.41</v>
      </c>
      <c r="C35" s="29">
        <f t="shared" si="1"/>
        <v>102.2</v>
      </c>
      <c r="D35" s="29">
        <f t="shared" si="1"/>
        <v>117.34</v>
      </c>
      <c r="E35" s="29">
        <f t="shared" si="1"/>
        <v>4.3300000000000001</v>
      </c>
      <c r="F35" s="29">
        <f t="shared" si="1"/>
        <v>35.259999999999998</v>
      </c>
      <c r="G35" s="29">
        <f t="shared" si="1"/>
        <v>191.87</v>
      </c>
      <c r="H35" s="29">
        <f t="shared" si="1"/>
        <v>48.259999999999998</v>
      </c>
      <c r="I35" s="29">
        <f t="shared" si="1"/>
        <v>12.06</v>
      </c>
      <c r="J35" s="29">
        <f t="shared" si="1"/>
        <v>1.6000000000000001</v>
      </c>
      <c r="K35" s="29">
        <f t="shared" si="1"/>
        <v>359.85000000000002</v>
      </c>
      <c r="L35" s="29">
        <f t="shared" si="1"/>
        <v>37.990000000000002</v>
      </c>
      <c r="M35" s="29">
        <f t="shared" si="1"/>
        <v>44.700000000000003</v>
      </c>
      <c r="N35" s="29">
        <f t="shared" si="1"/>
        <v>963.70000000000005</v>
      </c>
      <c r="O35" s="29">
        <f t="shared" si="1"/>
        <v>0</v>
      </c>
      <c r="P35" s="29">
        <f t="shared" si="1"/>
        <v>2.46</v>
      </c>
      <c r="Q35" s="29">
        <f t="shared" si="1"/>
        <v>10.81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22.404166666666669</v>
      </c>
      <c r="C36" s="28">
        <f t="shared" si="2"/>
        <v>49.616250000000001</v>
      </c>
      <c r="D36" s="28">
        <f t="shared" si="2"/>
        <v>42.988750000000003</v>
      </c>
      <c r="E36" s="28">
        <f t="shared" si="2"/>
        <v>2.5387499999999998</v>
      </c>
      <c r="F36" s="28">
        <f t="shared" si="2"/>
        <v>9.223749999999999</v>
      </c>
      <c r="G36" s="28">
        <f t="shared" si="2"/>
        <v>100.00375000000001</v>
      </c>
      <c r="H36" s="28">
        <f t="shared" si="2"/>
        <v>31.619583333333335</v>
      </c>
      <c r="I36" s="28">
        <f t="shared" si="2"/>
        <v>7.2254166666666668</v>
      </c>
      <c r="J36" s="28">
        <f t="shared" si="2"/>
        <v>0.68708333333333327</v>
      </c>
      <c r="K36" s="28">
        <f t="shared" si="2"/>
        <v>287.91833333333324</v>
      </c>
      <c r="L36" s="28">
        <f t="shared" si="2"/>
        <v>30.294166666666666</v>
      </c>
      <c r="M36" s="28">
        <f t="shared" si="2"/>
        <v>24.629166666666674</v>
      </c>
      <c r="N36" s="28">
        <f t="shared" si="2"/>
        <v>311.22499999999991</v>
      </c>
      <c r="O36" s="28">
        <f t="shared" si="2"/>
        <v>0</v>
      </c>
      <c r="P36" s="28">
        <f t="shared" si="2"/>
        <v>0.93666666666666665</v>
      </c>
      <c r="Q36" s="28">
        <f t="shared" si="2"/>
        <v>9.9024999999999981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33.77552521609676</v>
      </c>
      <c r="C37" s="28">
        <f t="shared" si="3" ref="C37:Q37">STDEV(C9:C32)</f>
        <v>20.979815934140959</v>
      </c>
      <c r="D37" s="28">
        <f t="shared" si="3"/>
        <v>33.430964338924404</v>
      </c>
      <c r="E37" s="28">
        <f t="shared" si="3"/>
        <v>0.71097185475999625</v>
      </c>
      <c r="F37" s="28">
        <f t="shared" si="3"/>
        <v>9.8908793351116735</v>
      </c>
      <c r="G37" s="28">
        <f t="shared" si="3"/>
        <v>40.167253785022851</v>
      </c>
      <c r="H37" s="28">
        <f t="shared" si="3"/>
        <v>9.1351954259892398</v>
      </c>
      <c r="I37" s="28">
        <f t="shared" si="3"/>
        <v>2.2971664571563086</v>
      </c>
      <c r="J37" s="28">
        <f t="shared" si="3"/>
        <v>0.45151415950320334</v>
      </c>
      <c r="K37" s="28">
        <f t="shared" si="3"/>
        <v>89.061303492090161</v>
      </c>
      <c r="L37" s="28">
        <f t="shared" si="3"/>
        <v>5.2545689573490746</v>
      </c>
      <c r="M37" s="28">
        <f t="shared" si="3"/>
        <v>12.09670271878525</v>
      </c>
      <c r="N37" s="28">
        <f t="shared" si="3"/>
        <v>375.03246729015234</v>
      </c>
      <c r="O37" s="28">
        <f t="shared" si="3"/>
        <v>0</v>
      </c>
      <c r="P37" s="28">
        <f t="shared" si="3"/>
        <v>0.67519830688708649</v>
      </c>
      <c r="Q37" s="28">
        <f t="shared" si="3"/>
        <v>0.40560475513898386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6b55e7-3423-4cc3-8a23-43a0ba231423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134</v>
      </c>
      <c r="B9" s="56">
        <v>100.08</v>
      </c>
      <c r="C9" s="56">
        <v>57.06</v>
      </c>
      <c r="D9" s="56">
        <v>109.99</v>
      </c>
      <c r="E9" s="56">
        <v>3.06</v>
      </c>
      <c r="F9" s="56">
        <v>3.45</v>
      </c>
      <c r="G9" s="56">
        <v>136.61000000000001</v>
      </c>
      <c r="H9" s="56">
        <v>40.299999999999997</v>
      </c>
      <c r="I9" s="56">
        <v>11.37</v>
      </c>
      <c r="J9" s="56">
        <v>0.28999999999999998</v>
      </c>
      <c r="K9" s="56">
        <v>321.83999999999997</v>
      </c>
      <c r="L9" s="56">
        <v>24.41</v>
      </c>
      <c r="M9" s="56">
        <v>45.59</v>
      </c>
      <c r="N9" s="56">
        <v>16</v>
      </c>
      <c r="O9" s="56">
        <v>0</v>
      </c>
      <c r="P9" s="56">
        <v>2.14</v>
      </c>
      <c r="Q9" s="56">
        <v>10.71</v>
      </c>
      <c r="R9" s="43"/>
      <c r="S9" s="43"/>
      <c r="T9" s="43"/>
      <c r="U9" s="43"/>
    </row>
    <row r="10" spans="1:21" s="11" customFormat="1" ht="15">
      <c r="A10" s="55" t="s">
        <v>135</v>
      </c>
      <c r="B10" s="56">
        <v>93.48</v>
      </c>
      <c r="C10" s="56">
        <v>52.45</v>
      </c>
      <c r="D10" s="56">
        <v>102.29</v>
      </c>
      <c r="E10" s="56">
        <v>3.18</v>
      </c>
      <c r="F10" s="56">
        <v>3.55</v>
      </c>
      <c r="G10" s="56">
        <v>141.35</v>
      </c>
      <c r="H10" s="56">
        <v>37.409999999999997</v>
      </c>
      <c r="I10" s="56">
        <v>11.93</v>
      </c>
      <c r="J10" s="56">
        <v>0.42</v>
      </c>
      <c r="K10" s="56">
        <v>317.95999999999998</v>
      </c>
      <c r="L10" s="56">
        <v>23.90</v>
      </c>
      <c r="M10" s="56">
        <v>48.27</v>
      </c>
      <c r="N10" s="56">
        <v>16.30</v>
      </c>
      <c r="O10" s="56">
        <v>0</v>
      </c>
      <c r="P10" s="56">
        <v>1.80</v>
      </c>
      <c r="Q10" s="56">
        <v>10.67</v>
      </c>
      <c r="R10" s="43"/>
      <c r="S10" s="43"/>
      <c r="T10" s="43"/>
      <c r="U10" s="43"/>
    </row>
    <row r="11" spans="1:21" s="11" customFormat="1" ht="15">
      <c r="A11" s="55" t="s">
        <v>136</v>
      </c>
      <c r="B11" s="56">
        <v>80.06</v>
      </c>
      <c r="C11" s="56">
        <v>48.34</v>
      </c>
      <c r="D11" s="56">
        <v>89.38</v>
      </c>
      <c r="E11" s="56">
        <v>2.81</v>
      </c>
      <c r="F11" s="56">
        <v>3.35</v>
      </c>
      <c r="G11" s="56">
        <v>122.44</v>
      </c>
      <c r="H11" s="56">
        <v>37.799999999999997</v>
      </c>
      <c r="I11" s="56">
        <v>11.36</v>
      </c>
      <c r="J11" s="56">
        <v>0.33</v>
      </c>
      <c r="K11" s="56">
        <v>308.19</v>
      </c>
      <c r="L11" s="56">
        <v>23.23</v>
      </c>
      <c r="M11" s="56">
        <v>43.06</v>
      </c>
      <c r="N11" s="56">
        <v>16.5</v>
      </c>
      <c r="O11" s="56">
        <v>0</v>
      </c>
      <c r="P11" s="56">
        <v>1.60</v>
      </c>
      <c r="Q11" s="56">
        <v>10.53</v>
      </c>
      <c r="R11" s="43"/>
      <c r="S11" s="43"/>
      <c r="T11" s="43"/>
      <c r="U11" s="43"/>
    </row>
    <row r="12" spans="1:21" s="11" customFormat="1" ht="15">
      <c r="A12" s="55" t="s">
        <v>137</v>
      </c>
      <c r="B12" s="56">
        <v>63.34</v>
      </c>
      <c r="C12" s="56">
        <v>45.52</v>
      </c>
      <c r="D12" s="56">
        <v>74.5</v>
      </c>
      <c r="E12" s="56">
        <v>2.65</v>
      </c>
      <c r="F12" s="56">
        <v>3.48</v>
      </c>
      <c r="G12" s="56">
        <v>90.62</v>
      </c>
      <c r="H12" s="56">
        <v>34.90</v>
      </c>
      <c r="I12" s="56">
        <v>10.35</v>
      </c>
      <c r="J12" s="56">
        <v>1.06</v>
      </c>
      <c r="K12" s="56">
        <v>354.58</v>
      </c>
      <c r="L12" s="56">
        <v>23.13</v>
      </c>
      <c r="M12" s="56">
        <v>39.10</v>
      </c>
      <c r="N12" s="56">
        <v>16.30</v>
      </c>
      <c r="O12" s="56">
        <v>0</v>
      </c>
      <c r="P12" s="56">
        <v>1.35</v>
      </c>
      <c r="Q12" s="56">
        <v>10.41</v>
      </c>
      <c r="R12" s="43"/>
      <c r="S12" s="43"/>
      <c r="T12" s="43"/>
      <c r="U12" s="43"/>
    </row>
    <row r="13" spans="1:21" s="11" customFormat="1" ht="15">
      <c r="A13" s="55" t="s">
        <v>138</v>
      </c>
      <c r="B13" s="56">
        <v>51.19</v>
      </c>
      <c r="C13" s="56">
        <v>41.25</v>
      </c>
      <c r="D13" s="56">
        <v>62.52</v>
      </c>
      <c r="E13" s="56">
        <v>2.2799999999999998</v>
      </c>
      <c r="F13" s="56">
        <v>3.37</v>
      </c>
      <c r="G13" s="56">
        <v>103.25</v>
      </c>
      <c r="H13" s="56">
        <v>33.54</v>
      </c>
      <c r="I13" s="56">
        <v>10.71</v>
      </c>
      <c r="J13" s="56">
        <v>0.99</v>
      </c>
      <c r="K13" s="56">
        <v>353.93</v>
      </c>
      <c r="L13" s="56">
        <v>22.84</v>
      </c>
      <c r="M13" s="56">
        <v>35.78</v>
      </c>
      <c r="N13" s="56">
        <v>16.70</v>
      </c>
      <c r="O13" s="56">
        <v>0</v>
      </c>
      <c r="P13" s="56">
        <v>1.1499999999999999</v>
      </c>
      <c r="Q13" s="56">
        <v>10.210000000000001</v>
      </c>
      <c r="R13" s="43"/>
      <c r="S13" s="43"/>
      <c r="T13" s="43"/>
      <c r="U13" s="43"/>
    </row>
    <row r="14" spans="1:21" s="11" customFormat="1" ht="15">
      <c r="A14" s="55" t="s">
        <v>139</v>
      </c>
      <c r="B14" s="56">
        <v>44.96</v>
      </c>
      <c r="C14" s="56">
        <v>39.76</v>
      </c>
      <c r="D14" s="56">
        <v>56.51</v>
      </c>
      <c r="E14" s="56">
        <v>2.64</v>
      </c>
      <c r="F14" s="56">
        <v>3.08</v>
      </c>
      <c r="G14" s="56">
        <v>159.11000000000001</v>
      </c>
      <c r="H14" s="56">
        <v>40.659999999999997</v>
      </c>
      <c r="I14" s="56">
        <v>10.80</v>
      </c>
      <c r="J14" s="56">
        <v>0.62</v>
      </c>
      <c r="K14" s="56">
        <v>215.33</v>
      </c>
      <c r="L14" s="56">
        <v>23</v>
      </c>
      <c r="M14" s="56">
        <v>40.04</v>
      </c>
      <c r="N14" s="56">
        <v>51.70</v>
      </c>
      <c r="O14" s="56">
        <v>0</v>
      </c>
      <c r="P14" s="56">
        <v>1.1000000000000001</v>
      </c>
      <c r="Q14" s="56">
        <v>10.17</v>
      </c>
      <c r="R14" s="43"/>
      <c r="S14" s="43"/>
      <c r="T14" s="43"/>
      <c r="U14" s="43"/>
    </row>
    <row r="15" spans="1:21" s="11" customFormat="1" ht="15">
      <c r="A15" s="55" t="s">
        <v>140</v>
      </c>
      <c r="B15" s="56">
        <v>39.76</v>
      </c>
      <c r="C15" s="56">
        <v>39.35</v>
      </c>
      <c r="D15" s="56">
        <v>52.37</v>
      </c>
      <c r="E15" s="56">
        <v>2.2799999999999998</v>
      </c>
      <c r="F15" s="56">
        <v>3.29</v>
      </c>
      <c r="G15" s="56">
        <v>180.94</v>
      </c>
      <c r="H15" s="56">
        <v>45.04</v>
      </c>
      <c r="I15" s="56">
        <v>10.73</v>
      </c>
      <c r="J15" s="56">
        <v>0.81</v>
      </c>
      <c r="K15" s="56">
        <v>280.52999999999997</v>
      </c>
      <c r="L15" s="56">
        <v>25.02</v>
      </c>
      <c r="M15" s="56">
        <v>43.63</v>
      </c>
      <c r="N15" s="56">
        <v>215.40</v>
      </c>
      <c r="O15" s="56">
        <v>0</v>
      </c>
      <c r="P15" s="56">
        <v>1.08</v>
      </c>
      <c r="Q15" s="56">
        <v>10.130000000000001</v>
      </c>
      <c r="R15" s="43"/>
      <c r="S15" s="43"/>
      <c r="T15" s="43"/>
      <c r="U15" s="43"/>
    </row>
    <row r="16" spans="1:21" s="11" customFormat="1" ht="15">
      <c r="A16" s="55" t="s">
        <v>141</v>
      </c>
      <c r="B16" s="56">
        <v>35.54</v>
      </c>
      <c r="C16" s="56">
        <v>42.15</v>
      </c>
      <c r="D16" s="56">
        <v>48.52</v>
      </c>
      <c r="E16" s="56">
        <v>2.21</v>
      </c>
      <c r="F16" s="56">
        <v>3.34</v>
      </c>
      <c r="G16" s="56">
        <v>138.10</v>
      </c>
      <c r="H16" s="56">
        <v>45.83</v>
      </c>
      <c r="I16" s="56">
        <v>10.23</v>
      </c>
      <c r="J16" s="56">
        <v>0.47</v>
      </c>
      <c r="K16" s="56">
        <v>189.08</v>
      </c>
      <c r="L16" s="56">
        <v>27.74</v>
      </c>
      <c r="M16" s="56">
        <v>37.619999999999997</v>
      </c>
      <c r="N16" s="56">
        <v>441.70</v>
      </c>
      <c r="O16" s="56">
        <v>0</v>
      </c>
      <c r="P16" s="56">
        <v>1.1000000000000001</v>
      </c>
      <c r="Q16" s="56">
        <v>10.07</v>
      </c>
      <c r="R16" s="43"/>
      <c r="S16" s="43"/>
      <c r="T16" s="43"/>
      <c r="U16" s="43"/>
    </row>
    <row r="17" spans="1:21" s="11" customFormat="1" ht="15">
      <c r="A17" s="55" t="s">
        <v>142</v>
      </c>
      <c r="B17" s="56">
        <v>24.51</v>
      </c>
      <c r="C17" s="56">
        <v>44.42</v>
      </c>
      <c r="D17" s="56">
        <v>41.57</v>
      </c>
      <c r="E17" s="56">
        <v>1.26</v>
      </c>
      <c r="F17" s="56">
        <v>3.67</v>
      </c>
      <c r="G17" s="56">
        <v>137.75</v>
      </c>
      <c r="H17" s="56">
        <v>43.98</v>
      </c>
      <c r="I17" s="56">
        <v>9.41</v>
      </c>
      <c r="J17" s="56">
        <v>0.78</v>
      </c>
      <c r="K17" s="56">
        <v>330.95</v>
      </c>
      <c r="L17" s="56">
        <v>34.96</v>
      </c>
      <c r="M17" s="56">
        <v>31.20</v>
      </c>
      <c r="N17" s="56">
        <v>642.70000000000005</v>
      </c>
      <c r="O17" s="56">
        <v>0</v>
      </c>
      <c r="P17" s="56">
        <v>1.05</v>
      </c>
      <c r="Q17" s="56">
        <v>9.99</v>
      </c>
      <c r="R17" s="43"/>
      <c r="S17" s="43"/>
      <c r="T17" s="43"/>
      <c r="U17" s="43"/>
    </row>
    <row r="18" spans="1:21" s="11" customFormat="1" ht="15">
      <c r="A18" s="55" t="s">
        <v>143</v>
      </c>
      <c r="B18" s="56">
        <v>16.02</v>
      </c>
      <c r="C18" s="56">
        <v>48.20</v>
      </c>
      <c r="D18" s="56">
        <v>36.67</v>
      </c>
      <c r="E18" s="56">
        <v>1.37</v>
      </c>
      <c r="F18" s="56">
        <v>4.7300000000000004</v>
      </c>
      <c r="G18" s="56">
        <v>122.59</v>
      </c>
      <c r="H18" s="56">
        <v>43.30</v>
      </c>
      <c r="I18" s="56">
        <v>10.40</v>
      </c>
      <c r="J18" s="56">
        <v>0.79</v>
      </c>
      <c r="K18" s="56">
        <v>169.55</v>
      </c>
      <c r="L18" s="56">
        <v>34.450000000000003</v>
      </c>
      <c r="M18" s="56">
        <v>25.34</v>
      </c>
      <c r="N18" s="56">
        <v>790.30</v>
      </c>
      <c r="O18" s="56">
        <v>0</v>
      </c>
      <c r="P18" s="56">
        <v>0.99</v>
      </c>
      <c r="Q18" s="56">
        <v>9.8800000000000008</v>
      </c>
      <c r="R18" s="43"/>
      <c r="S18" s="43"/>
      <c r="T18" s="43"/>
      <c r="U18" s="43"/>
    </row>
    <row r="19" spans="1:21" s="11" customFormat="1" ht="15">
      <c r="A19" s="55" t="s">
        <v>144</v>
      </c>
      <c r="B19" s="56">
        <v>4.92</v>
      </c>
      <c r="C19" s="56">
        <v>48.47</v>
      </c>
      <c r="D19" s="56">
        <v>29.19</v>
      </c>
      <c r="E19" s="56">
        <v>1.31</v>
      </c>
      <c r="F19" s="56">
        <v>6.89</v>
      </c>
      <c r="G19" s="56">
        <v>108.96</v>
      </c>
      <c r="H19" s="56">
        <v>42.10</v>
      </c>
      <c r="I19" s="56">
        <v>10.75</v>
      </c>
      <c r="J19" s="56">
        <v>0.77</v>
      </c>
      <c r="K19" s="56">
        <v>320.48</v>
      </c>
      <c r="L19" s="56">
        <v>37.799999999999997</v>
      </c>
      <c r="M19" s="56">
        <v>22.33</v>
      </c>
      <c r="N19" s="56">
        <v>869.30</v>
      </c>
      <c r="O19" s="56">
        <v>0</v>
      </c>
      <c r="P19" s="56">
        <v>0.90</v>
      </c>
      <c r="Q19" s="56">
        <v>9.92</v>
      </c>
      <c r="R19" s="43"/>
      <c r="S19" s="43"/>
      <c r="T19" s="43"/>
      <c r="U19" s="43"/>
    </row>
    <row r="20" spans="1:21" s="11" customFormat="1" ht="15">
      <c r="A20" s="55" t="s">
        <v>145</v>
      </c>
      <c r="B20" s="56">
        <v>3.11</v>
      </c>
      <c r="C20" s="56">
        <v>42.33</v>
      </c>
      <c r="D20" s="56">
        <v>24.33</v>
      </c>
      <c r="E20" s="56">
        <v>1.55</v>
      </c>
      <c r="F20" s="56">
        <v>8.8699999999999992</v>
      </c>
      <c r="G20" s="56">
        <v>89.84</v>
      </c>
      <c r="H20" s="56">
        <v>41.23</v>
      </c>
      <c r="I20" s="56">
        <v>9.90</v>
      </c>
      <c r="J20" s="56">
        <v>0.84</v>
      </c>
      <c r="K20" s="56">
        <v>172.41</v>
      </c>
      <c r="L20" s="56">
        <v>36.89</v>
      </c>
      <c r="M20" s="56">
        <v>14.29</v>
      </c>
      <c r="N20" s="56">
        <v>891.5</v>
      </c>
      <c r="O20" s="56">
        <v>0</v>
      </c>
      <c r="P20" s="56">
        <v>0.82</v>
      </c>
      <c r="Q20" s="56">
        <v>9.82</v>
      </c>
      <c r="R20" s="43"/>
      <c r="S20" s="43"/>
      <c r="T20" s="43"/>
      <c r="U20" s="43"/>
    </row>
    <row r="21" spans="1:21" s="11" customFormat="1" ht="15">
      <c r="A21" s="55" t="s">
        <v>146</v>
      </c>
      <c r="B21" s="56">
        <v>3.41</v>
      </c>
      <c r="C21" s="56">
        <v>35.97</v>
      </c>
      <c r="D21" s="56">
        <v>21.28</v>
      </c>
      <c r="E21" s="56">
        <v>1.80</v>
      </c>
      <c r="F21" s="56">
        <v>9.19</v>
      </c>
      <c r="G21" s="56">
        <v>80.040000000000006</v>
      </c>
      <c r="H21" s="56">
        <v>37.200000000000003</v>
      </c>
      <c r="I21" s="56">
        <v>9.1199999999999992</v>
      </c>
      <c r="J21" s="56">
        <v>0.65</v>
      </c>
      <c r="K21" s="56">
        <v>342.43</v>
      </c>
      <c r="L21" s="56">
        <v>39.40</v>
      </c>
      <c r="M21" s="56">
        <v>11.70</v>
      </c>
      <c r="N21" s="56">
        <v>862.20</v>
      </c>
      <c r="O21" s="56">
        <v>0</v>
      </c>
      <c r="P21" s="56">
        <v>0.72</v>
      </c>
      <c r="Q21" s="56">
        <v>9.75</v>
      </c>
      <c r="R21" s="43"/>
      <c r="S21" s="43"/>
      <c r="T21" s="43"/>
      <c r="U21" s="43"/>
    </row>
    <row r="22" spans="1:21" s="11" customFormat="1" ht="15">
      <c r="A22" s="55" t="s">
        <v>147</v>
      </c>
      <c r="B22" s="56">
        <v>3.60</v>
      </c>
      <c r="C22" s="56">
        <v>34.75</v>
      </c>
      <c r="D22" s="56">
        <v>20.96</v>
      </c>
      <c r="E22" s="56">
        <v>2.27</v>
      </c>
      <c r="F22" s="56">
        <v>7.87</v>
      </c>
      <c r="G22" s="56">
        <v>82.39</v>
      </c>
      <c r="H22" s="56">
        <v>37.200000000000003</v>
      </c>
      <c r="I22" s="56">
        <v>9.58</v>
      </c>
      <c r="J22" s="56">
        <v>0.81</v>
      </c>
      <c r="K22" s="56">
        <v>325.55</v>
      </c>
      <c r="L22" s="56">
        <v>40.17</v>
      </c>
      <c r="M22" s="56">
        <v>10.74</v>
      </c>
      <c r="N22" s="56">
        <v>764.90</v>
      </c>
      <c r="O22" s="56">
        <v>0</v>
      </c>
      <c r="P22" s="56">
        <v>0.74</v>
      </c>
      <c r="Q22" s="56">
        <v>9.82</v>
      </c>
      <c r="R22" s="43"/>
      <c r="S22" s="43"/>
      <c r="T22" s="43"/>
      <c r="U22" s="43"/>
    </row>
    <row r="23" spans="1:21" s="11" customFormat="1" ht="15">
      <c r="A23" s="55" t="s">
        <v>148</v>
      </c>
      <c r="B23" s="56">
        <v>3.61</v>
      </c>
      <c r="C23" s="56">
        <v>33.020000000000003</v>
      </c>
      <c r="D23" s="56">
        <v>20.07</v>
      </c>
      <c r="E23" s="56">
        <v>1.86</v>
      </c>
      <c r="F23" s="56">
        <v>10.07</v>
      </c>
      <c r="G23" s="56">
        <v>80.56</v>
      </c>
      <c r="H23" s="56">
        <v>37.01</v>
      </c>
      <c r="I23" s="56">
        <v>10.28</v>
      </c>
      <c r="J23" s="56">
        <v>0.96</v>
      </c>
      <c r="K23" s="56">
        <v>305.45</v>
      </c>
      <c r="L23" s="56">
        <v>39</v>
      </c>
      <c r="M23" s="56">
        <v>10.31</v>
      </c>
      <c r="N23" s="56">
        <v>486.80</v>
      </c>
      <c r="O23" s="56">
        <v>0</v>
      </c>
      <c r="P23" s="56">
        <v>0.69</v>
      </c>
      <c r="Q23" s="56">
        <v>9.83</v>
      </c>
      <c r="R23" s="43"/>
      <c r="S23" s="43"/>
      <c r="T23" s="43"/>
      <c r="U23" s="43"/>
    </row>
    <row r="24" spans="1:21" s="11" customFormat="1" ht="15">
      <c r="A24" s="55" t="s">
        <v>149</v>
      </c>
      <c r="B24" s="56">
        <v>3.58</v>
      </c>
      <c r="C24" s="56">
        <v>32.15</v>
      </c>
      <c r="D24" s="56">
        <v>19.59</v>
      </c>
      <c r="E24" s="56">
        <v>2.0699999999999998</v>
      </c>
      <c r="F24" s="56">
        <v>11.28</v>
      </c>
      <c r="G24" s="56">
        <v>81.72</v>
      </c>
      <c r="H24" s="56">
        <v>35.14</v>
      </c>
      <c r="I24" s="56">
        <v>9.66</v>
      </c>
      <c r="J24" s="56">
        <v>1.42</v>
      </c>
      <c r="K24" s="56">
        <v>336.06</v>
      </c>
      <c r="L24" s="56">
        <v>38.04</v>
      </c>
      <c r="M24" s="56">
        <v>8.6999999999999993</v>
      </c>
      <c r="N24" s="56">
        <v>378.10</v>
      </c>
      <c r="O24" s="56">
        <v>0</v>
      </c>
      <c r="P24" s="56">
        <v>0.61</v>
      </c>
      <c r="Q24" s="56">
        <v>9.75</v>
      </c>
      <c r="R24" s="43"/>
      <c r="S24" s="43"/>
      <c r="T24" s="43"/>
      <c r="U24" s="43"/>
    </row>
    <row r="25" spans="1:21" s="11" customFormat="1" ht="15">
      <c r="A25" s="55" t="s">
        <v>150</v>
      </c>
      <c r="B25" s="56">
        <v>4.24</v>
      </c>
      <c r="C25" s="56">
        <v>37.32</v>
      </c>
      <c r="D25" s="56">
        <v>22.82</v>
      </c>
      <c r="E25" s="56">
        <v>2.06</v>
      </c>
      <c r="F25" s="56">
        <v>7.91</v>
      </c>
      <c r="G25" s="56">
        <v>63.41</v>
      </c>
      <c r="H25" s="56">
        <v>28.83</v>
      </c>
      <c r="I25" s="56">
        <v>7.88</v>
      </c>
      <c r="J25" s="56">
        <v>1.39</v>
      </c>
      <c r="K25" s="56">
        <v>354.96</v>
      </c>
      <c r="L25" s="56">
        <v>37.58</v>
      </c>
      <c r="M25" s="56">
        <v>9.67</v>
      </c>
      <c r="N25" s="56">
        <v>181.10</v>
      </c>
      <c r="O25" s="56">
        <v>0</v>
      </c>
      <c r="P25" s="56">
        <v>0.55000000000000004</v>
      </c>
      <c r="Q25" s="56">
        <v>9.7899999999999991</v>
      </c>
      <c r="R25" s="43"/>
      <c r="S25" s="43"/>
      <c r="T25" s="43"/>
      <c r="U25" s="43"/>
    </row>
    <row r="26" spans="1:21" s="11" customFormat="1" ht="15">
      <c r="A26" s="55" t="s">
        <v>151</v>
      </c>
      <c r="B26" s="56">
        <v>4.57</v>
      </c>
      <c r="C26" s="56">
        <v>37.700000000000003</v>
      </c>
      <c r="D26" s="56">
        <v>23.28</v>
      </c>
      <c r="E26" s="56">
        <v>1.83</v>
      </c>
      <c r="F26" s="56">
        <v>6.59</v>
      </c>
      <c r="G26" s="56">
        <v>57.81</v>
      </c>
      <c r="H26" s="56">
        <v>26.56</v>
      </c>
      <c r="I26" s="56">
        <v>6.92</v>
      </c>
      <c r="J26" s="56">
        <v>0.27</v>
      </c>
      <c r="K26" s="56">
        <v>293.89</v>
      </c>
      <c r="L26" s="56">
        <v>35.33</v>
      </c>
      <c r="M26" s="56">
        <v>22.66</v>
      </c>
      <c r="N26" s="56">
        <v>69.400000000000006</v>
      </c>
      <c r="O26" s="56">
        <v>0</v>
      </c>
      <c r="P26" s="56">
        <v>0.64</v>
      </c>
      <c r="Q26" s="56">
        <v>9.76</v>
      </c>
      <c r="R26" s="43"/>
      <c r="S26" s="43"/>
      <c r="T26" s="43"/>
      <c r="U26" s="43"/>
    </row>
    <row r="27" spans="1:21" s="11" customFormat="1" ht="15">
      <c r="A27" s="55" t="s">
        <v>152</v>
      </c>
      <c r="B27" s="56">
        <v>12.54</v>
      </c>
      <c r="C27" s="56">
        <v>45.01</v>
      </c>
      <c r="D27" s="56">
        <v>33.49</v>
      </c>
      <c r="E27" s="56">
        <v>1.78</v>
      </c>
      <c r="F27" s="56">
        <v>4.2300000000000004</v>
      </c>
      <c r="G27" s="56">
        <v>79.73</v>
      </c>
      <c r="H27" s="56">
        <v>29.23</v>
      </c>
      <c r="I27" s="56">
        <v>7.91</v>
      </c>
      <c r="J27" s="56">
        <v>0.28999999999999998</v>
      </c>
      <c r="K27" s="56">
        <v>297.08999999999997</v>
      </c>
      <c r="L27" s="56">
        <v>31.5</v>
      </c>
      <c r="M27" s="56">
        <v>29.78</v>
      </c>
      <c r="N27" s="56">
        <v>28.5</v>
      </c>
      <c r="O27" s="56">
        <v>0</v>
      </c>
      <c r="P27" s="56">
        <v>0.88</v>
      </c>
      <c r="Q27" s="56">
        <v>10.28</v>
      </c>
      <c r="R27" s="43"/>
      <c r="S27" s="43"/>
      <c r="T27" s="43"/>
      <c r="U27" s="43"/>
    </row>
    <row r="28" spans="1:21" s="11" customFormat="1" ht="15">
      <c r="A28" s="55" t="s">
        <v>153</v>
      </c>
      <c r="B28" s="56">
        <v>46.77</v>
      </c>
      <c r="C28" s="56">
        <v>48.43</v>
      </c>
      <c r="D28" s="56">
        <v>62.73</v>
      </c>
      <c r="E28" s="56">
        <v>2.23</v>
      </c>
      <c r="F28" s="56">
        <v>3.47</v>
      </c>
      <c r="G28" s="56">
        <v>113.56</v>
      </c>
      <c r="H28" s="56">
        <v>36.049999999999997</v>
      </c>
      <c r="I28" s="56">
        <v>11.45</v>
      </c>
      <c r="J28" s="56">
        <v>0.30</v>
      </c>
      <c r="K28" s="56">
        <v>315.45</v>
      </c>
      <c r="L28" s="56">
        <v>29.79</v>
      </c>
      <c r="M28" s="56">
        <v>31.30</v>
      </c>
      <c r="N28" s="56">
        <v>17.30</v>
      </c>
      <c r="O28" s="56">
        <v>0</v>
      </c>
      <c r="P28" s="56">
        <v>1.32</v>
      </c>
      <c r="Q28" s="56">
        <v>10.79</v>
      </c>
      <c r="R28" s="43"/>
      <c r="S28" s="43"/>
      <c r="T28" s="43"/>
      <c r="U28" s="43"/>
    </row>
    <row r="29" spans="1:21" s="11" customFormat="1" ht="15">
      <c r="A29" s="55" t="s">
        <v>154</v>
      </c>
      <c r="B29" s="56">
        <v>50.5</v>
      </c>
      <c r="C29" s="56">
        <v>56.70</v>
      </c>
      <c r="D29" s="56">
        <v>67.680000000000007</v>
      </c>
      <c r="E29" s="56">
        <v>2.2000000000000002</v>
      </c>
      <c r="F29" s="56">
        <v>3.68</v>
      </c>
      <c r="G29" s="56">
        <v>126.84</v>
      </c>
      <c r="H29" s="56">
        <v>39.369999999999997</v>
      </c>
      <c r="I29" s="56">
        <v>12.07</v>
      </c>
      <c r="J29" s="56">
        <v>0.35</v>
      </c>
      <c r="K29" s="56">
        <v>336.47</v>
      </c>
      <c r="L29" s="56">
        <v>30.26</v>
      </c>
      <c r="M29" s="56">
        <v>28.58</v>
      </c>
      <c r="N29" s="56">
        <v>17</v>
      </c>
      <c r="O29" s="56">
        <v>0</v>
      </c>
      <c r="P29" s="56">
        <v>1.56</v>
      </c>
      <c r="Q29" s="56">
        <v>11.14</v>
      </c>
      <c r="R29" s="43"/>
      <c r="S29" s="43"/>
      <c r="T29" s="43"/>
      <c r="U29" s="43"/>
    </row>
    <row r="30" spans="1:21" s="11" customFormat="1" ht="15">
      <c r="A30" s="55" t="s">
        <v>155</v>
      </c>
      <c r="B30" s="56">
        <v>65.22</v>
      </c>
      <c r="C30" s="56">
        <v>57.33</v>
      </c>
      <c r="D30" s="56">
        <v>82.18</v>
      </c>
      <c r="E30" s="56">
        <v>2.39</v>
      </c>
      <c r="F30" s="56">
        <v>3.58</v>
      </c>
      <c r="G30" s="56">
        <v>138.62</v>
      </c>
      <c r="H30" s="56">
        <v>41.93</v>
      </c>
      <c r="I30" s="56">
        <v>10.85</v>
      </c>
      <c r="J30" s="56">
        <v>0.20</v>
      </c>
      <c r="K30" s="56">
        <v>262.06</v>
      </c>
      <c r="L30" s="56">
        <v>28.38</v>
      </c>
      <c r="M30" s="56">
        <v>30.15</v>
      </c>
      <c r="N30" s="56">
        <v>17.30</v>
      </c>
      <c r="O30" s="56">
        <v>0</v>
      </c>
      <c r="P30" s="56">
        <v>1.70</v>
      </c>
      <c r="Q30" s="56">
        <v>11.27</v>
      </c>
      <c r="R30" s="43"/>
      <c r="S30" s="43"/>
      <c r="T30" s="43"/>
      <c r="U30" s="43"/>
    </row>
    <row r="31" spans="1:21" s="11" customFormat="1" ht="15">
      <c r="A31" s="55" t="s">
        <v>156</v>
      </c>
      <c r="B31" s="56">
        <v>64.94</v>
      </c>
      <c r="C31" s="56">
        <v>51.89</v>
      </c>
      <c r="D31" s="56">
        <v>78.66</v>
      </c>
      <c r="E31" s="56">
        <v>2.15</v>
      </c>
      <c r="F31" s="56">
        <v>3.67</v>
      </c>
      <c r="G31" s="56">
        <v>149.66</v>
      </c>
      <c r="H31" s="56">
        <v>43.49</v>
      </c>
      <c r="I31" s="56">
        <v>10.26</v>
      </c>
      <c r="J31" s="56">
        <v>0.47</v>
      </c>
      <c r="K31" s="56">
        <v>342.41</v>
      </c>
      <c r="L31" s="56">
        <v>27.47</v>
      </c>
      <c r="M31" s="56">
        <v>29.78</v>
      </c>
      <c r="N31" s="56">
        <v>17.30</v>
      </c>
      <c r="O31" s="56">
        <v>0</v>
      </c>
      <c r="P31" s="56">
        <v>1.66</v>
      </c>
      <c r="Q31" s="56">
        <v>11.27</v>
      </c>
      <c r="R31" s="43"/>
      <c r="S31" s="43"/>
      <c r="T31" s="43"/>
      <c r="U31" s="43"/>
    </row>
    <row r="32" spans="1:21" s="11" customFormat="1" ht="15">
      <c r="A32" s="55" t="s">
        <v>157</v>
      </c>
      <c r="B32" s="56">
        <v>64.97</v>
      </c>
      <c r="C32" s="56">
        <v>44.06</v>
      </c>
      <c r="D32" s="56">
        <v>75.010000000000005</v>
      </c>
      <c r="E32" s="56">
        <v>2.11</v>
      </c>
      <c r="F32" s="56">
        <v>3.57</v>
      </c>
      <c r="G32" s="56">
        <v>128.15</v>
      </c>
      <c r="H32" s="56">
        <v>39.93</v>
      </c>
      <c r="I32" s="56">
        <v>8.91</v>
      </c>
      <c r="J32" s="56">
        <v>0.35</v>
      </c>
      <c r="K32" s="56">
        <v>319.06</v>
      </c>
      <c r="L32" s="56">
        <v>26.25</v>
      </c>
      <c r="M32" s="56">
        <v>30.39</v>
      </c>
      <c r="N32" s="56">
        <v>17.20</v>
      </c>
      <c r="O32" s="56">
        <v>0</v>
      </c>
      <c r="P32" s="56">
        <v>1.59</v>
      </c>
      <c r="Q32" s="56">
        <v>11.29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3.1099999999999999</v>
      </c>
      <c r="C34" s="28">
        <f t="shared" si="0"/>
        <v>32.149999999999999</v>
      </c>
      <c r="D34" s="28">
        <f t="shared" si="0"/>
        <v>19.59</v>
      </c>
      <c r="E34" s="28">
        <f t="shared" si="0"/>
        <v>1.26</v>
      </c>
      <c r="F34" s="28">
        <f t="shared" si="0"/>
        <v>3.0800000000000001</v>
      </c>
      <c r="G34" s="28">
        <f t="shared" si="0"/>
        <v>57.810000000000002</v>
      </c>
      <c r="H34" s="28">
        <f t="shared" si="0"/>
        <v>26.559999999999999</v>
      </c>
      <c r="I34" s="28">
        <f t="shared" si="0"/>
        <v>6.9199999999999999</v>
      </c>
      <c r="J34" s="28">
        <f t="shared" si="0"/>
        <v>0.20000000000000001</v>
      </c>
      <c r="K34" s="28">
        <f t="shared" si="0"/>
        <v>169.55000000000001</v>
      </c>
      <c r="L34" s="28">
        <f t="shared" si="0"/>
        <v>22.84</v>
      </c>
      <c r="M34" s="28">
        <f t="shared" si="0"/>
        <v>8.6999999999999993</v>
      </c>
      <c r="N34" s="28">
        <f t="shared" si="0"/>
        <v>16</v>
      </c>
      <c r="O34" s="28">
        <f t="shared" si="0"/>
        <v>0</v>
      </c>
      <c r="P34" s="28">
        <f t="shared" si="0"/>
        <v>0.55000000000000004</v>
      </c>
      <c r="Q34" s="28">
        <f t="shared" si="0"/>
        <v>9.75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100.08</v>
      </c>
      <c r="C35" s="29">
        <f t="shared" si="1"/>
        <v>57.329999999999998</v>
      </c>
      <c r="D35" s="29">
        <f t="shared" si="1"/>
        <v>109.98999999999999</v>
      </c>
      <c r="E35" s="29">
        <f t="shared" si="1"/>
        <v>3.1800000000000002</v>
      </c>
      <c r="F35" s="29">
        <f t="shared" si="1"/>
        <v>11.279999999999999</v>
      </c>
      <c r="G35" s="29">
        <f t="shared" si="1"/>
        <v>180.94</v>
      </c>
      <c r="H35" s="29">
        <f t="shared" si="1"/>
        <v>45.829999999999998</v>
      </c>
      <c r="I35" s="29">
        <f t="shared" si="1"/>
        <v>12.07</v>
      </c>
      <c r="J35" s="29">
        <f t="shared" si="1"/>
        <v>1.4199999999999999</v>
      </c>
      <c r="K35" s="29">
        <f t="shared" si="1"/>
        <v>354.95999999999998</v>
      </c>
      <c r="L35" s="29">
        <f t="shared" si="1"/>
        <v>40.170000000000002</v>
      </c>
      <c r="M35" s="29">
        <f t="shared" si="1"/>
        <v>48.270000000000003</v>
      </c>
      <c r="N35" s="29">
        <f t="shared" si="1"/>
        <v>891.5</v>
      </c>
      <c r="O35" s="29">
        <f t="shared" si="1"/>
        <v>0</v>
      </c>
      <c r="P35" s="29">
        <f t="shared" si="1"/>
        <v>2.1400000000000001</v>
      </c>
      <c r="Q35" s="29">
        <f t="shared" si="1"/>
        <v>11.289999999999999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36.87166666666667</v>
      </c>
      <c r="C36" s="28">
        <f t="shared" si="2"/>
        <v>44.317916666666669</v>
      </c>
      <c r="D36" s="28">
        <f t="shared" si="2"/>
        <v>52.316250000000018</v>
      </c>
      <c r="E36" s="28">
        <f t="shared" si="2"/>
        <v>2.1395833333333338</v>
      </c>
      <c r="F36" s="28">
        <f t="shared" si="2"/>
        <v>5.2574999999999994</v>
      </c>
      <c r="G36" s="28">
        <f t="shared" si="2"/>
        <v>113.08541666666666</v>
      </c>
      <c r="H36" s="28">
        <f t="shared" si="2"/>
        <v>38.251249999999999</v>
      </c>
      <c r="I36" s="28">
        <f t="shared" si="2"/>
        <v>10.117916666666664</v>
      </c>
      <c r="J36" s="28">
        <f t="shared" si="2"/>
        <v>0.65125</v>
      </c>
      <c r="K36" s="28">
        <f t="shared" si="2"/>
        <v>298.57125000000002</v>
      </c>
      <c r="L36" s="28">
        <f t="shared" si="2"/>
        <v>30.855833333333337</v>
      </c>
      <c r="M36" s="28">
        <f t="shared" si="2"/>
        <v>28.333749999999998</v>
      </c>
      <c r="N36" s="28">
        <f t="shared" si="2"/>
        <v>285.0625</v>
      </c>
      <c r="O36" s="28">
        <f t="shared" si="2"/>
        <v>0</v>
      </c>
      <c r="P36" s="28">
        <f t="shared" si="2"/>
        <v>1.1558333333333335</v>
      </c>
      <c r="Q36" s="28">
        <f t="shared" si="2"/>
        <v>10.302083333333332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31.347153766735545</v>
      </c>
      <c r="C37" s="28">
        <f t="shared" si="3" ref="C37:Q37">STDEV(C9:C32)</f>
        <v>7.4281368599497917</v>
      </c>
      <c r="D37" s="28">
        <f t="shared" si="3"/>
        <v>28.03268446598657</v>
      </c>
      <c r="E37" s="28">
        <f t="shared" si="3"/>
        <v>0.50469516556524141</v>
      </c>
      <c r="F37" s="28">
        <f t="shared" si="3"/>
        <v>2.5774882448177943</v>
      </c>
      <c r="G37" s="28">
        <f t="shared" si="3"/>
        <v>32.143082287628772</v>
      </c>
      <c r="H37" s="28">
        <f t="shared" si="3"/>
        <v>5.1075752032174231</v>
      </c>
      <c r="I37" s="28">
        <f t="shared" si="3"/>
        <v>1.28384605323451</v>
      </c>
      <c r="J37" s="28">
        <f t="shared" si="3"/>
        <v>0.34816678287230718</v>
      </c>
      <c r="K37" s="28">
        <f t="shared" si="3"/>
        <v>56.433788237998449</v>
      </c>
      <c r="L37" s="28">
        <f t="shared" si="3"/>
        <v>6.1698572435508741</v>
      </c>
      <c r="M37" s="28">
        <f t="shared" si="3"/>
        <v>12.31613851557308</v>
      </c>
      <c r="N37" s="28">
        <f t="shared" si="3"/>
        <v>338.25946538702073</v>
      </c>
      <c r="O37" s="28">
        <f t="shared" si="3"/>
        <v>0</v>
      </c>
      <c r="P37" s="28">
        <f t="shared" si="3"/>
        <v>0.43556975846901208</v>
      </c>
      <c r="Q37" s="28">
        <f t="shared" si="3"/>
        <v>0.53324257606418879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ff48c4-d75b-45fc-b906-3fcce61b0bd2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158</v>
      </c>
      <c r="B9" s="56">
        <v>51.31</v>
      </c>
      <c r="C9" s="56">
        <v>43.51</v>
      </c>
      <c r="D9" s="56">
        <v>63.80</v>
      </c>
      <c r="E9" s="56">
        <v>1.85</v>
      </c>
      <c r="F9" s="56">
        <v>3.96</v>
      </c>
      <c r="G9" s="56">
        <v>102.19</v>
      </c>
      <c r="H9" s="56">
        <v>34.43</v>
      </c>
      <c r="I9" s="56">
        <v>10.25</v>
      </c>
      <c r="J9" s="56">
        <v>0.23</v>
      </c>
      <c r="K9" s="56">
        <v>309.02</v>
      </c>
      <c r="L9" s="56">
        <v>26.21</v>
      </c>
      <c r="M9" s="56">
        <v>28.37</v>
      </c>
      <c r="N9" s="56">
        <v>17.100000000000001</v>
      </c>
      <c r="O9" s="56">
        <v>0</v>
      </c>
      <c r="P9" s="56">
        <v>1.46</v>
      </c>
      <c r="Q9" s="56">
        <v>11.18</v>
      </c>
      <c r="R9" s="43"/>
      <c r="S9" s="43"/>
      <c r="T9" s="43"/>
      <c r="U9" s="43"/>
    </row>
    <row r="10" spans="1:21" s="11" customFormat="1" ht="15">
      <c r="A10" s="55" t="s">
        <v>159</v>
      </c>
      <c r="B10" s="56">
        <v>36.18</v>
      </c>
      <c r="C10" s="56">
        <v>41.37</v>
      </c>
      <c r="D10" s="56">
        <v>50.55</v>
      </c>
      <c r="E10" s="56">
        <v>1.72</v>
      </c>
      <c r="F10" s="56">
        <v>3.56</v>
      </c>
      <c r="G10" s="56">
        <v>100.15</v>
      </c>
      <c r="H10" s="56">
        <v>32.5</v>
      </c>
      <c r="I10" s="56">
        <v>10.01</v>
      </c>
      <c r="J10" s="56">
        <v>0.24</v>
      </c>
      <c r="K10" s="56">
        <v>312.70</v>
      </c>
      <c r="L10" s="56">
        <v>25.99</v>
      </c>
      <c r="M10" s="56">
        <v>32.51</v>
      </c>
      <c r="N10" s="56">
        <v>17.5</v>
      </c>
      <c r="O10" s="56">
        <v>0</v>
      </c>
      <c r="P10" s="56">
        <v>1.24</v>
      </c>
      <c r="Q10" s="56">
        <v>10.84</v>
      </c>
      <c r="R10" s="43"/>
      <c r="S10" s="43"/>
      <c r="T10" s="43"/>
      <c r="U10" s="43"/>
    </row>
    <row r="11" spans="1:21" s="11" customFormat="1" ht="15">
      <c r="A11" s="55" t="s">
        <v>160</v>
      </c>
      <c r="B11" s="56">
        <v>25.61</v>
      </c>
      <c r="C11" s="56">
        <v>37.94</v>
      </c>
      <c r="D11" s="56">
        <v>40.28</v>
      </c>
      <c r="E11" s="56">
        <v>1.41</v>
      </c>
      <c r="F11" s="56">
        <v>3.28</v>
      </c>
      <c r="G11" s="56">
        <v>90.43</v>
      </c>
      <c r="H11" s="56">
        <v>31.02</v>
      </c>
      <c r="I11" s="56">
        <v>9.23</v>
      </c>
      <c r="J11" s="56">
        <v>0.30</v>
      </c>
      <c r="K11" s="56">
        <v>334.24</v>
      </c>
      <c r="L11" s="56">
        <v>24.20</v>
      </c>
      <c r="M11" s="56">
        <v>40.36</v>
      </c>
      <c r="N11" s="56">
        <v>17.399999999999999</v>
      </c>
      <c r="O11" s="56">
        <v>0</v>
      </c>
      <c r="P11" s="56">
        <v>1.1299999999999999</v>
      </c>
      <c r="Q11" s="56">
        <v>10.55</v>
      </c>
      <c r="R11" s="43"/>
      <c r="S11" s="43"/>
      <c r="T11" s="43"/>
      <c r="U11" s="43"/>
    </row>
    <row r="12" spans="1:21" s="11" customFormat="1" ht="15">
      <c r="A12" s="55" t="s">
        <v>161</v>
      </c>
      <c r="B12" s="56">
        <v>25.74</v>
      </c>
      <c r="C12" s="56">
        <v>31.29</v>
      </c>
      <c r="D12" s="56">
        <v>36.74</v>
      </c>
      <c r="E12" s="56">
        <v>2.0499999999999998</v>
      </c>
      <c r="F12" s="56">
        <v>3.12</v>
      </c>
      <c r="G12" s="56">
        <v>91.13</v>
      </c>
      <c r="H12" s="56">
        <v>28.78</v>
      </c>
      <c r="I12" s="56">
        <v>9.0399999999999991</v>
      </c>
      <c r="J12" s="56">
        <v>0.26</v>
      </c>
      <c r="K12" s="56">
        <v>328.62</v>
      </c>
      <c r="L12" s="56">
        <v>23.23</v>
      </c>
      <c r="M12" s="56">
        <v>49.09</v>
      </c>
      <c r="N12" s="56">
        <v>17.399999999999999</v>
      </c>
      <c r="O12" s="56">
        <v>0</v>
      </c>
      <c r="P12" s="56">
        <v>1.05</v>
      </c>
      <c r="Q12" s="56">
        <v>10.48</v>
      </c>
      <c r="R12" s="43"/>
      <c r="S12" s="43"/>
      <c r="T12" s="43"/>
      <c r="U12" s="43"/>
    </row>
    <row r="13" spans="1:21" s="11" customFormat="1" ht="15">
      <c r="A13" s="55" t="s">
        <v>162</v>
      </c>
      <c r="B13" s="56">
        <v>35.53</v>
      </c>
      <c r="C13" s="56">
        <v>27.84</v>
      </c>
      <c r="D13" s="56">
        <v>42.96</v>
      </c>
      <c r="E13" s="56">
        <v>2.63</v>
      </c>
      <c r="F13" s="56">
        <v>3.32</v>
      </c>
      <c r="G13" s="56">
        <v>102.98</v>
      </c>
      <c r="H13" s="56">
        <v>27.98</v>
      </c>
      <c r="I13" s="56">
        <v>10.46</v>
      </c>
      <c r="J13" s="56">
        <v>0.28000000000000003</v>
      </c>
      <c r="K13" s="56">
        <v>313.38</v>
      </c>
      <c r="L13" s="56">
        <v>22.64</v>
      </c>
      <c r="M13" s="56">
        <v>49.36</v>
      </c>
      <c r="N13" s="56">
        <v>17.100000000000001</v>
      </c>
      <c r="O13" s="56">
        <v>0</v>
      </c>
      <c r="P13" s="56">
        <v>1.01</v>
      </c>
      <c r="Q13" s="56">
        <v>10.46</v>
      </c>
      <c r="R13" s="43"/>
      <c r="S13" s="43"/>
      <c r="T13" s="43"/>
      <c r="U13" s="43"/>
    </row>
    <row r="14" spans="1:21" s="11" customFormat="1" ht="15">
      <c r="A14" s="55" t="s">
        <v>163</v>
      </c>
      <c r="B14" s="56">
        <v>44.44</v>
      </c>
      <c r="C14" s="56">
        <v>29.35</v>
      </c>
      <c r="D14" s="56">
        <v>50.89</v>
      </c>
      <c r="E14" s="56">
        <v>2.67</v>
      </c>
      <c r="F14" s="56">
        <v>3.37</v>
      </c>
      <c r="G14" s="56">
        <v>108.25</v>
      </c>
      <c r="H14" s="56">
        <v>29.15</v>
      </c>
      <c r="I14" s="56">
        <v>10.36</v>
      </c>
      <c r="J14" s="56">
        <v>0.41</v>
      </c>
      <c r="K14" s="56">
        <v>342.67</v>
      </c>
      <c r="L14" s="56">
        <v>23.41</v>
      </c>
      <c r="M14" s="56">
        <v>49.76</v>
      </c>
      <c r="N14" s="56">
        <v>54.20</v>
      </c>
      <c r="O14" s="56">
        <v>0</v>
      </c>
      <c r="P14" s="56">
        <v>0.98</v>
      </c>
      <c r="Q14" s="56">
        <v>10.81</v>
      </c>
      <c r="R14" s="43"/>
      <c r="S14" s="43"/>
      <c r="T14" s="43"/>
      <c r="U14" s="43"/>
    </row>
    <row r="15" spans="1:21" s="11" customFormat="1" ht="15">
      <c r="A15" s="55" t="s">
        <v>164</v>
      </c>
      <c r="B15" s="56">
        <v>42.90</v>
      </c>
      <c r="C15" s="56">
        <v>33.299999999999997</v>
      </c>
      <c r="D15" s="56">
        <v>50.52</v>
      </c>
      <c r="E15" s="56">
        <v>2.65</v>
      </c>
      <c r="F15" s="56">
        <v>3.47</v>
      </c>
      <c r="G15" s="56">
        <v>104.14</v>
      </c>
      <c r="H15" s="56">
        <v>29.43</v>
      </c>
      <c r="I15" s="56">
        <v>9.8699999999999992</v>
      </c>
      <c r="J15" s="56">
        <v>0.87</v>
      </c>
      <c r="K15" s="56">
        <v>197.99</v>
      </c>
      <c r="L15" s="56">
        <v>25</v>
      </c>
      <c r="M15" s="56">
        <v>36.479999999999997</v>
      </c>
      <c r="N15" s="56">
        <v>237.20</v>
      </c>
      <c r="O15" s="56">
        <v>0</v>
      </c>
      <c r="P15" s="56">
        <v>0.94</v>
      </c>
      <c r="Q15" s="56">
        <v>10.89</v>
      </c>
      <c r="R15" s="43"/>
      <c r="S15" s="43"/>
      <c r="T15" s="43"/>
      <c r="U15" s="43"/>
    </row>
    <row r="16" spans="1:21" s="11" customFormat="1" ht="15">
      <c r="A16" s="55" t="s">
        <v>165</v>
      </c>
      <c r="B16" s="56">
        <v>32.10</v>
      </c>
      <c r="C16" s="56">
        <v>34.909999999999997</v>
      </c>
      <c r="D16" s="56">
        <v>42.52</v>
      </c>
      <c r="E16" s="56">
        <v>2.75</v>
      </c>
      <c r="F16" s="56">
        <v>3.37</v>
      </c>
      <c r="G16" s="56">
        <v>94.28</v>
      </c>
      <c r="H16" s="56">
        <v>29.70</v>
      </c>
      <c r="I16" s="56">
        <v>9.2100000000000009</v>
      </c>
      <c r="J16" s="56">
        <v>0.5</v>
      </c>
      <c r="K16" s="56">
        <v>358.91</v>
      </c>
      <c r="L16" s="56">
        <v>28.54</v>
      </c>
      <c r="M16" s="56">
        <v>34.35</v>
      </c>
      <c r="N16" s="56">
        <v>439</v>
      </c>
      <c r="O16" s="56">
        <v>0</v>
      </c>
      <c r="P16" s="56">
        <v>0.86</v>
      </c>
      <c r="Q16" s="56">
        <v>10.79</v>
      </c>
      <c r="R16" s="43"/>
      <c r="S16" s="43"/>
      <c r="T16" s="43"/>
      <c r="U16" s="43"/>
    </row>
    <row r="17" spans="1:21" s="11" customFormat="1" ht="15">
      <c r="A17" s="55" t="s">
        <v>166</v>
      </c>
      <c r="B17" s="56">
        <v>21.16</v>
      </c>
      <c r="C17" s="56">
        <v>40.79</v>
      </c>
      <c r="D17" s="56">
        <v>35.90</v>
      </c>
      <c r="E17" s="56">
        <v>1.85</v>
      </c>
      <c r="F17" s="56">
        <v>4.05</v>
      </c>
      <c r="G17" s="56">
        <v>82.02</v>
      </c>
      <c r="H17" s="56">
        <v>27</v>
      </c>
      <c r="I17" s="56">
        <v>8.91</v>
      </c>
      <c r="J17" s="56">
        <v>0.24</v>
      </c>
      <c r="K17" s="56">
        <v>347.77</v>
      </c>
      <c r="L17" s="56">
        <v>33.479999999999997</v>
      </c>
      <c r="M17" s="56">
        <v>30.89</v>
      </c>
      <c r="N17" s="56">
        <v>609.70000000000005</v>
      </c>
      <c r="O17" s="56">
        <v>0</v>
      </c>
      <c r="P17" s="56">
        <v>0.82</v>
      </c>
      <c r="Q17" s="56">
        <v>10.64</v>
      </c>
      <c r="R17" s="43"/>
      <c r="S17" s="43"/>
      <c r="T17" s="43"/>
      <c r="U17" s="43"/>
    </row>
    <row r="18" spans="1:21" s="11" customFormat="1" ht="15">
      <c r="A18" s="55" t="s">
        <v>167</v>
      </c>
      <c r="B18" s="56">
        <v>9.02</v>
      </c>
      <c r="C18" s="56">
        <v>43.36</v>
      </c>
      <c r="D18" s="56">
        <v>29.48</v>
      </c>
      <c r="E18" s="56">
        <v>2.12</v>
      </c>
      <c r="F18" s="56">
        <v>7.71</v>
      </c>
      <c r="G18" s="56">
        <v>77.540000000000006</v>
      </c>
      <c r="H18" s="56">
        <v>27.45</v>
      </c>
      <c r="I18" s="56">
        <v>8.6999999999999993</v>
      </c>
      <c r="J18" s="56">
        <v>0.22</v>
      </c>
      <c r="K18" s="56">
        <v>356.58</v>
      </c>
      <c r="L18" s="56">
        <v>35.97</v>
      </c>
      <c r="M18" s="56">
        <v>21.47</v>
      </c>
      <c r="N18" s="56">
        <v>765.40</v>
      </c>
      <c r="O18" s="56">
        <v>0</v>
      </c>
      <c r="P18" s="56">
        <v>0.78</v>
      </c>
      <c r="Q18" s="56">
        <v>10.41</v>
      </c>
      <c r="R18" s="43"/>
      <c r="S18" s="43"/>
      <c r="T18" s="43"/>
      <c r="U18" s="43"/>
    </row>
    <row r="19" spans="1:21" s="11" customFormat="1" ht="15">
      <c r="A19" s="55" t="s">
        <v>168</v>
      </c>
      <c r="B19" s="56">
        <v>4.2699999999999996</v>
      </c>
      <c r="C19" s="56">
        <v>38.700000000000003</v>
      </c>
      <c r="D19" s="56">
        <v>23.57</v>
      </c>
      <c r="E19" s="56">
        <v>2.06</v>
      </c>
      <c r="F19" s="56">
        <v>9.2799999999999994</v>
      </c>
      <c r="G19" s="56">
        <v>75.489999999999995</v>
      </c>
      <c r="H19" s="56">
        <v>26.87</v>
      </c>
      <c r="I19" s="56">
        <v>7.48</v>
      </c>
      <c r="J19" s="56">
        <v>0.55000000000000004</v>
      </c>
      <c r="K19" s="56">
        <v>354.14</v>
      </c>
      <c r="L19" s="56">
        <v>37.96</v>
      </c>
      <c r="M19" s="56">
        <v>14.73</v>
      </c>
      <c r="N19" s="56">
        <v>890.30</v>
      </c>
      <c r="O19" s="56">
        <v>0</v>
      </c>
      <c r="P19" s="56">
        <v>0.70</v>
      </c>
      <c r="Q19" s="56">
        <v>10.050000000000001</v>
      </c>
      <c r="R19" s="43"/>
      <c r="S19" s="43"/>
      <c r="T19" s="43"/>
      <c r="U19" s="43"/>
    </row>
    <row r="20" spans="1:21" s="11" customFormat="1" ht="15">
      <c r="A20" s="55" t="s">
        <v>169</v>
      </c>
      <c r="B20" s="56">
        <v>3.96</v>
      </c>
      <c r="C20" s="56">
        <v>33.58</v>
      </c>
      <c r="D20" s="56">
        <v>20.64</v>
      </c>
      <c r="E20" s="56">
        <v>2.38</v>
      </c>
      <c r="F20" s="56">
        <v>9.56</v>
      </c>
      <c r="G20" s="56">
        <v>68.41</v>
      </c>
      <c r="H20" s="56">
        <v>27.05</v>
      </c>
      <c r="I20" s="56">
        <v>6.26</v>
      </c>
      <c r="J20" s="56">
        <v>0.56000000000000005</v>
      </c>
      <c r="K20" s="56">
        <v>313.32</v>
      </c>
      <c r="L20" s="56">
        <v>39.450000000000003</v>
      </c>
      <c r="M20" s="56">
        <v>15.24</v>
      </c>
      <c r="N20" s="56">
        <v>889.5</v>
      </c>
      <c r="O20" s="56">
        <v>0</v>
      </c>
      <c r="P20" s="56">
        <v>0.60</v>
      </c>
      <c r="Q20" s="56">
        <v>9.9600000000000009</v>
      </c>
      <c r="R20" s="43"/>
      <c r="S20" s="43"/>
      <c r="T20" s="43"/>
      <c r="U20" s="43"/>
    </row>
    <row r="21" spans="1:21" s="11" customFormat="1" ht="15">
      <c r="A21" s="55" t="s">
        <v>170</v>
      </c>
      <c r="B21" s="56">
        <v>3.99</v>
      </c>
      <c r="C21" s="56">
        <v>33.130000000000003</v>
      </c>
      <c r="D21" s="56">
        <v>20.399999999999999</v>
      </c>
      <c r="E21" s="56">
        <v>1.88</v>
      </c>
      <c r="F21" s="56">
        <v>9.5399999999999991</v>
      </c>
      <c r="G21" s="56">
        <v>66.150000000000006</v>
      </c>
      <c r="H21" s="56">
        <v>28.31</v>
      </c>
      <c r="I21" s="56">
        <v>5.75</v>
      </c>
      <c r="J21" s="56">
        <v>0.52</v>
      </c>
      <c r="K21" s="56">
        <v>342.91</v>
      </c>
      <c r="L21" s="56">
        <v>40.450000000000003</v>
      </c>
      <c r="M21" s="56">
        <v>14.19</v>
      </c>
      <c r="N21" s="56">
        <v>873.80</v>
      </c>
      <c r="O21" s="56">
        <v>0</v>
      </c>
      <c r="P21" s="56">
        <v>0.59</v>
      </c>
      <c r="Q21" s="56">
        <v>10.050000000000001</v>
      </c>
      <c r="R21" s="43"/>
      <c r="S21" s="43"/>
      <c r="T21" s="43"/>
      <c r="U21" s="43"/>
    </row>
    <row r="22" spans="1:21" s="11" customFormat="1" ht="15">
      <c r="A22" s="55" t="s">
        <v>171</v>
      </c>
      <c r="B22" s="56">
        <v>3.84</v>
      </c>
      <c r="C22" s="56">
        <v>33.82</v>
      </c>
      <c r="D22" s="56">
        <v>20.67</v>
      </c>
      <c r="E22" s="56">
        <v>2.41</v>
      </c>
      <c r="F22" s="56">
        <v>12.68</v>
      </c>
      <c r="G22" s="56">
        <v>66.16</v>
      </c>
      <c r="H22" s="56">
        <v>28.89</v>
      </c>
      <c r="I22" s="56">
        <v>6.09</v>
      </c>
      <c r="J22" s="56">
        <v>0.56999999999999995</v>
      </c>
      <c r="K22" s="56">
        <v>305.66000000000003</v>
      </c>
      <c r="L22" s="56">
        <v>40.06</v>
      </c>
      <c r="M22" s="56">
        <v>12.34</v>
      </c>
      <c r="N22" s="56">
        <v>820.20</v>
      </c>
      <c r="O22" s="56">
        <v>0</v>
      </c>
      <c r="P22" s="56">
        <v>0.60</v>
      </c>
      <c r="Q22" s="56">
        <v>10.07</v>
      </c>
      <c r="R22" s="43"/>
      <c r="S22" s="43"/>
      <c r="T22" s="43"/>
      <c r="U22" s="43"/>
    </row>
    <row r="23" spans="1:21" s="11" customFormat="1" ht="15">
      <c r="A23" s="55" t="s">
        <v>172</v>
      </c>
      <c r="B23" s="56">
        <v>3.43</v>
      </c>
      <c r="C23" s="56">
        <v>31.55</v>
      </c>
      <c r="D23" s="56">
        <v>19.149999999999999</v>
      </c>
      <c r="E23" s="56">
        <v>2.23</v>
      </c>
      <c r="F23" s="56">
        <v>12.03</v>
      </c>
      <c r="G23" s="56">
        <v>64.23</v>
      </c>
      <c r="H23" s="56">
        <v>25.90</v>
      </c>
      <c r="I23" s="56">
        <v>5.93</v>
      </c>
      <c r="J23" s="56">
        <v>0.30</v>
      </c>
      <c r="K23" s="56">
        <v>330.18</v>
      </c>
      <c r="L23" s="56">
        <v>38.96</v>
      </c>
      <c r="M23" s="56">
        <v>14.66</v>
      </c>
      <c r="N23" s="56">
        <v>575.40</v>
      </c>
      <c r="O23" s="56">
        <v>0</v>
      </c>
      <c r="P23" s="56">
        <v>0.59</v>
      </c>
      <c r="Q23" s="56">
        <v>9.92</v>
      </c>
      <c r="R23" s="43"/>
      <c r="S23" s="43"/>
      <c r="T23" s="43"/>
      <c r="U23" s="43"/>
    </row>
    <row r="24" spans="1:21" s="11" customFormat="1" ht="15">
      <c r="A24" s="55" t="s">
        <v>173</v>
      </c>
      <c r="B24" s="56">
        <v>3.34</v>
      </c>
      <c r="C24" s="56">
        <v>32.21</v>
      </c>
      <c r="D24" s="56">
        <v>19.37</v>
      </c>
      <c r="E24" s="56">
        <v>2.38</v>
      </c>
      <c r="F24" s="56">
        <v>12.82</v>
      </c>
      <c r="G24" s="56">
        <v>60.32</v>
      </c>
      <c r="H24" s="56">
        <v>25.29</v>
      </c>
      <c r="I24" s="56">
        <v>5.60</v>
      </c>
      <c r="J24" s="56">
        <v>0.31</v>
      </c>
      <c r="K24" s="56">
        <v>351.47</v>
      </c>
      <c r="L24" s="56">
        <v>38.549999999999997</v>
      </c>
      <c r="M24" s="56">
        <v>14.87</v>
      </c>
      <c r="N24" s="56">
        <v>388.20</v>
      </c>
      <c r="O24" s="56">
        <v>0</v>
      </c>
      <c r="P24" s="56">
        <v>0.55000000000000004</v>
      </c>
      <c r="Q24" s="56">
        <v>9.9600000000000009</v>
      </c>
      <c r="R24" s="43"/>
      <c r="S24" s="43"/>
      <c r="T24" s="43"/>
      <c r="U24" s="43"/>
    </row>
    <row r="25" spans="1:21" s="11" customFormat="1" ht="15">
      <c r="A25" s="55" t="s">
        <v>174</v>
      </c>
      <c r="B25" s="56">
        <v>3.39</v>
      </c>
      <c r="C25" s="56">
        <v>32.090000000000003</v>
      </c>
      <c r="D25" s="56">
        <v>19.32</v>
      </c>
      <c r="E25" s="56">
        <v>1.59</v>
      </c>
      <c r="F25" s="56">
        <v>10.94</v>
      </c>
      <c r="G25" s="56">
        <v>58.87</v>
      </c>
      <c r="H25" s="56">
        <v>22.34</v>
      </c>
      <c r="I25" s="56">
        <v>4.67</v>
      </c>
      <c r="J25" s="56">
        <v>0.44</v>
      </c>
      <c r="K25" s="56">
        <v>341.52</v>
      </c>
      <c r="L25" s="56">
        <v>38.22</v>
      </c>
      <c r="M25" s="56">
        <v>11.40</v>
      </c>
      <c r="N25" s="56">
        <v>157.30000000000001</v>
      </c>
      <c r="O25" s="56">
        <v>0</v>
      </c>
      <c r="P25" s="56">
        <v>0.51</v>
      </c>
      <c r="Q25" s="56">
        <v>9.9700000000000006</v>
      </c>
      <c r="R25" s="43"/>
      <c r="S25" s="43"/>
      <c r="T25" s="43"/>
      <c r="U25" s="43"/>
    </row>
    <row r="26" spans="1:21" s="11" customFormat="1" ht="15">
      <c r="A26" s="55" t="s">
        <v>175</v>
      </c>
      <c r="B26" s="56">
        <v>4.84</v>
      </c>
      <c r="C26" s="56">
        <v>33.92</v>
      </c>
      <c r="D26" s="56">
        <v>21.53</v>
      </c>
      <c r="E26" s="56">
        <v>1.41</v>
      </c>
      <c r="F26" s="56">
        <v>9.06</v>
      </c>
      <c r="G26" s="56">
        <v>57.42</v>
      </c>
      <c r="H26" s="56">
        <v>22.76</v>
      </c>
      <c r="I26" s="56">
        <v>4.26</v>
      </c>
      <c r="J26" s="56">
        <v>0.49</v>
      </c>
      <c r="K26" s="56">
        <v>328.17</v>
      </c>
      <c r="L26" s="56">
        <v>37.06</v>
      </c>
      <c r="M26" s="56">
        <v>21.75</v>
      </c>
      <c r="N26" s="56">
        <v>69.400000000000006</v>
      </c>
      <c r="O26" s="56">
        <v>0</v>
      </c>
      <c r="P26" s="56">
        <v>0.52</v>
      </c>
      <c r="Q26" s="56">
        <v>9.81</v>
      </c>
      <c r="R26" s="43"/>
      <c r="S26" s="43"/>
      <c r="T26" s="43"/>
      <c r="U26" s="43"/>
    </row>
    <row r="27" spans="1:21" s="11" customFormat="1" ht="15">
      <c r="A27" s="55" t="s">
        <v>176</v>
      </c>
      <c r="B27" s="56">
        <v>6.78</v>
      </c>
      <c r="C27" s="56">
        <v>41.87</v>
      </c>
      <c r="D27" s="56">
        <v>27.23</v>
      </c>
      <c r="E27" s="56">
        <v>1.28</v>
      </c>
      <c r="F27" s="56">
        <v>5.44</v>
      </c>
      <c r="G27" s="56">
        <v>56.37</v>
      </c>
      <c r="H27" s="56">
        <v>23</v>
      </c>
      <c r="I27" s="56">
        <v>5.46</v>
      </c>
      <c r="J27" s="56">
        <v>0.46</v>
      </c>
      <c r="K27" s="56">
        <v>346.34</v>
      </c>
      <c r="L27" s="56">
        <v>32.81</v>
      </c>
      <c r="M27" s="56">
        <v>24.73</v>
      </c>
      <c r="N27" s="56">
        <v>21.80</v>
      </c>
      <c r="O27" s="56">
        <v>0</v>
      </c>
      <c r="P27" s="56">
        <v>0.74</v>
      </c>
      <c r="Q27" s="56">
        <v>9.74</v>
      </c>
      <c r="R27" s="43"/>
      <c r="S27" s="43"/>
      <c r="T27" s="43"/>
      <c r="U27" s="43"/>
    </row>
    <row r="28" spans="1:21" s="11" customFormat="1" ht="15">
      <c r="A28" s="55" t="s">
        <v>177</v>
      </c>
      <c r="B28" s="56">
        <v>16.940000000000001</v>
      </c>
      <c r="C28" s="56">
        <v>48.65</v>
      </c>
      <c r="D28" s="56">
        <v>38.93</v>
      </c>
      <c r="E28" s="56">
        <v>1.60</v>
      </c>
      <c r="F28" s="56">
        <v>3.88</v>
      </c>
      <c r="G28" s="56">
        <v>62.35</v>
      </c>
      <c r="H28" s="56">
        <v>23.72</v>
      </c>
      <c r="I28" s="56">
        <v>7.02</v>
      </c>
      <c r="J28" s="56">
        <v>0.20</v>
      </c>
      <c r="K28" s="56">
        <v>345.49</v>
      </c>
      <c r="L28" s="56">
        <v>32.56</v>
      </c>
      <c r="M28" s="56">
        <v>20.18</v>
      </c>
      <c r="N28" s="56">
        <v>16.100000000000001</v>
      </c>
      <c r="O28" s="56">
        <v>0</v>
      </c>
      <c r="P28" s="56">
        <v>1.17</v>
      </c>
      <c r="Q28" s="56">
        <v>10.039999999999999</v>
      </c>
      <c r="R28" s="43"/>
      <c r="S28" s="43"/>
      <c r="T28" s="43"/>
      <c r="U28" s="43"/>
    </row>
    <row r="29" spans="1:21" s="11" customFormat="1" ht="15">
      <c r="A29" s="55" t="s">
        <v>178</v>
      </c>
      <c r="B29" s="56">
        <v>25.53</v>
      </c>
      <c r="C29" s="56">
        <v>48.74</v>
      </c>
      <c r="D29" s="56">
        <v>45.77</v>
      </c>
      <c r="E29" s="56">
        <v>0.63</v>
      </c>
      <c r="F29" s="56">
        <v>3.45</v>
      </c>
      <c r="G29" s="56">
        <v>77.64</v>
      </c>
      <c r="H29" s="56">
        <v>28.37</v>
      </c>
      <c r="I29" s="56">
        <v>8.34</v>
      </c>
      <c r="J29" s="56">
        <v>0.15</v>
      </c>
      <c r="K29" s="56">
        <v>303.14999999999998</v>
      </c>
      <c r="L29" s="56">
        <v>31.14</v>
      </c>
      <c r="M29" s="56">
        <v>21.63</v>
      </c>
      <c r="N29" s="56">
        <v>15.80</v>
      </c>
      <c r="O29" s="56">
        <v>0</v>
      </c>
      <c r="P29" s="56">
        <v>1.38</v>
      </c>
      <c r="Q29" s="56">
        <v>10.34</v>
      </c>
      <c r="R29" s="43"/>
      <c r="S29" s="43"/>
      <c r="T29" s="43"/>
      <c r="U29" s="43"/>
    </row>
    <row r="30" spans="1:21" s="11" customFormat="1" ht="15">
      <c r="A30" s="55" t="s">
        <v>179</v>
      </c>
      <c r="B30" s="56">
        <v>24.35</v>
      </c>
      <c r="C30" s="56">
        <v>48.84</v>
      </c>
      <c r="D30" s="56">
        <v>44.97</v>
      </c>
      <c r="E30" s="56">
        <v>0.44</v>
      </c>
      <c r="F30" s="56">
        <v>3.76</v>
      </c>
      <c r="G30" s="56">
        <v>85.59</v>
      </c>
      <c r="H30" s="56">
        <v>31.35</v>
      </c>
      <c r="I30" s="56">
        <v>8.19</v>
      </c>
      <c r="J30" s="56">
        <v>0.16</v>
      </c>
      <c r="K30" s="56">
        <v>314.37</v>
      </c>
      <c r="L30" s="56">
        <v>31.05</v>
      </c>
      <c r="M30" s="56">
        <v>22.01</v>
      </c>
      <c r="N30" s="56">
        <v>15.80</v>
      </c>
      <c r="O30" s="56">
        <v>0</v>
      </c>
      <c r="P30" s="56">
        <v>1.38</v>
      </c>
      <c r="Q30" s="56">
        <v>10.51</v>
      </c>
      <c r="R30" s="43"/>
      <c r="S30" s="43"/>
      <c r="T30" s="43"/>
      <c r="U30" s="43"/>
    </row>
    <row r="31" spans="1:21" s="11" customFormat="1" ht="15">
      <c r="A31" s="55" t="s">
        <v>180</v>
      </c>
      <c r="B31" s="56">
        <v>23.09</v>
      </c>
      <c r="C31" s="56">
        <v>45.32</v>
      </c>
      <c r="D31" s="56">
        <v>42.11</v>
      </c>
      <c r="E31" s="56">
        <v>0.55000000000000004</v>
      </c>
      <c r="F31" s="56">
        <v>3.62</v>
      </c>
      <c r="G31" s="56">
        <v>84.79</v>
      </c>
      <c r="H31" s="56">
        <v>31.75</v>
      </c>
      <c r="I31" s="56">
        <v>7.97</v>
      </c>
      <c r="J31" s="56">
        <v>0.16</v>
      </c>
      <c r="K31" s="56">
        <v>210.91</v>
      </c>
      <c r="L31" s="56">
        <v>30.29</v>
      </c>
      <c r="M31" s="56">
        <v>23.18</v>
      </c>
      <c r="N31" s="56">
        <v>15.80</v>
      </c>
      <c r="O31" s="56">
        <v>0</v>
      </c>
      <c r="P31" s="56">
        <v>1.25</v>
      </c>
      <c r="Q31" s="56">
        <v>10.52</v>
      </c>
      <c r="R31" s="43"/>
      <c r="S31" s="43"/>
      <c r="T31" s="43"/>
      <c r="U31" s="43"/>
    </row>
    <row r="32" spans="1:21" s="11" customFormat="1" ht="15">
      <c r="A32" s="55" t="s">
        <v>181</v>
      </c>
      <c r="B32" s="56">
        <v>17.53</v>
      </c>
      <c r="C32" s="56">
        <v>43.22</v>
      </c>
      <c r="D32" s="56">
        <v>36.56</v>
      </c>
      <c r="E32" s="56">
        <v>1.80</v>
      </c>
      <c r="F32" s="56">
        <v>3.69</v>
      </c>
      <c r="G32" s="56">
        <v>84.67</v>
      </c>
      <c r="H32" s="56">
        <v>30.02</v>
      </c>
      <c r="I32" s="56">
        <v>8.65</v>
      </c>
      <c r="J32" s="56">
        <v>0.12</v>
      </c>
      <c r="K32" s="56">
        <v>321.75</v>
      </c>
      <c r="L32" s="56">
        <v>29.31</v>
      </c>
      <c r="M32" s="56">
        <v>25.06</v>
      </c>
      <c r="N32" s="56">
        <v>15.80</v>
      </c>
      <c r="O32" s="56">
        <v>0</v>
      </c>
      <c r="P32" s="56">
        <v>1.1599999999999999</v>
      </c>
      <c r="Q32" s="56">
        <v>10.45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3.3399999999999999</v>
      </c>
      <c r="C34" s="28">
        <f t="shared" si="0"/>
        <v>27.84</v>
      </c>
      <c r="D34" s="28">
        <f t="shared" si="0"/>
        <v>19.149999999999999</v>
      </c>
      <c r="E34" s="28">
        <f t="shared" si="0"/>
        <v>0.44</v>
      </c>
      <c r="F34" s="28">
        <f t="shared" si="0"/>
        <v>3.1200000000000001</v>
      </c>
      <c r="G34" s="28">
        <f t="shared" si="0"/>
        <v>56.369999999999997</v>
      </c>
      <c r="H34" s="28">
        <f t="shared" si="0"/>
        <v>22.34</v>
      </c>
      <c r="I34" s="28">
        <f t="shared" si="0"/>
        <v>4.2599999999999998</v>
      </c>
      <c r="J34" s="28">
        <f t="shared" si="0"/>
        <v>0.12</v>
      </c>
      <c r="K34" s="28">
        <f t="shared" si="0"/>
        <v>197.99000000000001</v>
      </c>
      <c r="L34" s="28">
        <f t="shared" si="0"/>
        <v>22.640000000000001</v>
      </c>
      <c r="M34" s="28">
        <f t="shared" si="0"/>
        <v>11.4</v>
      </c>
      <c r="N34" s="28">
        <f t="shared" si="0"/>
        <v>15.800000000000001</v>
      </c>
      <c r="O34" s="28">
        <f t="shared" si="0"/>
        <v>0</v>
      </c>
      <c r="P34" s="28">
        <f t="shared" si="0"/>
        <v>0.51000000000000001</v>
      </c>
      <c r="Q34" s="28">
        <f t="shared" si="0"/>
        <v>9.7400000000000002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51.310000000000002</v>
      </c>
      <c r="C35" s="29">
        <f t="shared" si="1"/>
        <v>48.840000000000003</v>
      </c>
      <c r="D35" s="29">
        <f t="shared" si="1"/>
        <v>63.799999999999997</v>
      </c>
      <c r="E35" s="29">
        <f t="shared" si="1"/>
        <v>2.75</v>
      </c>
      <c r="F35" s="29">
        <f t="shared" si="1"/>
        <v>12.82</v>
      </c>
      <c r="G35" s="29">
        <f t="shared" si="1"/>
        <v>108.25</v>
      </c>
      <c r="H35" s="29">
        <f t="shared" si="1"/>
        <v>34.43</v>
      </c>
      <c r="I35" s="29">
        <f t="shared" si="1"/>
        <v>10.460000000000001</v>
      </c>
      <c r="J35" s="29">
        <f t="shared" si="1"/>
        <v>0.87</v>
      </c>
      <c r="K35" s="29">
        <f t="shared" si="1"/>
        <v>358.91000000000003</v>
      </c>
      <c r="L35" s="29">
        <f t="shared" si="1"/>
        <v>40.450000000000003</v>
      </c>
      <c r="M35" s="29">
        <f t="shared" si="1"/>
        <v>49.759999999999998</v>
      </c>
      <c r="N35" s="29">
        <f t="shared" si="1"/>
        <v>890.29999999999995</v>
      </c>
      <c r="O35" s="29">
        <f t="shared" si="1"/>
        <v>0</v>
      </c>
      <c r="P35" s="29">
        <f t="shared" si="1"/>
        <v>1.46</v>
      </c>
      <c r="Q35" s="29">
        <f t="shared" si="1"/>
        <v>11.18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19.552916666666661</v>
      </c>
      <c r="C36" s="28">
        <f t="shared" si="2"/>
        <v>37.887500000000003</v>
      </c>
      <c r="D36" s="28">
        <f t="shared" si="2"/>
        <v>35.160833333333329</v>
      </c>
      <c r="E36" s="28">
        <f t="shared" si="2"/>
        <v>1.8474999999999999</v>
      </c>
      <c r="F36" s="28">
        <f t="shared" si="2"/>
        <v>6.2066666666666661</v>
      </c>
      <c r="G36" s="28">
        <f t="shared" si="2"/>
        <v>80.065416666666664</v>
      </c>
      <c r="H36" s="28">
        <f t="shared" si="2"/>
        <v>28.044166666666666</v>
      </c>
      <c r="I36" s="28">
        <f t="shared" si="2"/>
        <v>7.82125</v>
      </c>
      <c r="J36" s="28">
        <f t="shared" si="2"/>
        <v>0.35583333333333328</v>
      </c>
      <c r="K36" s="28">
        <f t="shared" si="2"/>
        <v>321.30249999999995</v>
      </c>
      <c r="L36" s="28">
        <f t="shared" si="2"/>
        <v>31.939166666666651</v>
      </c>
      <c r="M36" s="28">
        <f t="shared" si="2"/>
        <v>26.192083333333326</v>
      </c>
      <c r="N36" s="28">
        <f t="shared" si="2"/>
        <v>289.88333333333338</v>
      </c>
      <c r="O36" s="28">
        <f t="shared" si="2"/>
        <v>0</v>
      </c>
      <c r="P36" s="28">
        <f t="shared" si="2"/>
        <v>0.91708333333333314</v>
      </c>
      <c r="Q36" s="28">
        <f t="shared" si="2"/>
        <v>10.351666666666667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15.125926914944158</v>
      </c>
      <c r="C37" s="28">
        <f t="shared" si="3" ref="C37:Q37">STDEV(C9:C32)</f>
        <v>6.4694635554775157</v>
      </c>
      <c r="D37" s="28">
        <f t="shared" si="3"/>
        <v>12.80024793124921</v>
      </c>
      <c r="E37" s="28">
        <f t="shared" si="3"/>
        <v>0.65728195260283218</v>
      </c>
      <c r="F37" s="28">
        <f t="shared" si="3"/>
        <v>3.5107396305654999</v>
      </c>
      <c r="G37" s="28">
        <f t="shared" si="3"/>
        <v>16.597204578447535</v>
      </c>
      <c r="H37" s="28">
        <f t="shared" si="3"/>
        <v>3.1344702300689438</v>
      </c>
      <c r="I37" s="28">
        <f t="shared" si="3"/>
        <v>1.91047071936871</v>
      </c>
      <c r="J37" s="28">
        <f t="shared" si="3"/>
        <v>0.181728815323384</v>
      </c>
      <c r="K37" s="28">
        <f t="shared" si="3"/>
        <v>39.893897893417602</v>
      </c>
      <c r="L37" s="28">
        <f t="shared" si="3"/>
        <v>6.055637629634929</v>
      </c>
      <c r="M37" s="28">
        <f t="shared" si="3"/>
        <v>11.891863853315746</v>
      </c>
      <c r="N37" s="28">
        <f t="shared" si="3"/>
        <v>344.35761702886299</v>
      </c>
      <c r="O37" s="28">
        <f t="shared" si="3"/>
        <v>0</v>
      </c>
      <c r="P37" s="28">
        <f t="shared" si="3"/>
        <v>0.30365139002920288</v>
      </c>
      <c r="Q37" s="28">
        <f t="shared" si="3"/>
        <v>0.39002415384141376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ff3f65-5d76-46b4-b511-249978ad15c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182</v>
      </c>
      <c r="B9" s="56">
        <v>13.05</v>
      </c>
      <c r="C9" s="56">
        <v>41.07</v>
      </c>
      <c r="D9" s="56">
        <v>31.81</v>
      </c>
      <c r="E9" s="56">
        <v>2</v>
      </c>
      <c r="F9" s="56">
        <v>4.25</v>
      </c>
      <c r="G9" s="56">
        <v>77.23</v>
      </c>
      <c r="H9" s="56">
        <v>27.52</v>
      </c>
      <c r="I9" s="56">
        <v>7.86</v>
      </c>
      <c r="J9" s="56">
        <v>0.28999999999999998</v>
      </c>
      <c r="K9" s="56">
        <v>318.33</v>
      </c>
      <c r="L9" s="56">
        <v>29.69</v>
      </c>
      <c r="M9" s="56">
        <v>23.70</v>
      </c>
      <c r="N9" s="56">
        <v>15.90</v>
      </c>
      <c r="O9" s="56">
        <v>0</v>
      </c>
      <c r="P9" s="56">
        <v>1</v>
      </c>
      <c r="Q9" s="56">
        <v>10.25</v>
      </c>
      <c r="R9" s="43"/>
      <c r="S9" s="43"/>
      <c r="T9" s="43"/>
      <c r="U9" s="43"/>
    </row>
    <row r="10" spans="1:21" s="11" customFormat="1" ht="15">
      <c r="A10" s="55" t="s">
        <v>183</v>
      </c>
      <c r="B10" s="56">
        <v>8.2100000000000009</v>
      </c>
      <c r="C10" s="56">
        <v>38.24</v>
      </c>
      <c r="D10" s="56">
        <v>26.48</v>
      </c>
      <c r="E10" s="56">
        <v>2</v>
      </c>
      <c r="F10" s="56">
        <v>4.51</v>
      </c>
      <c r="G10" s="56">
        <v>73.94</v>
      </c>
      <c r="H10" s="56">
        <v>25.07</v>
      </c>
      <c r="I10" s="56">
        <v>7.38</v>
      </c>
      <c r="J10" s="56">
        <v>0.33</v>
      </c>
      <c r="K10" s="56">
        <v>345.25</v>
      </c>
      <c r="L10" s="56">
        <v>29.73</v>
      </c>
      <c r="M10" s="56">
        <v>24.34</v>
      </c>
      <c r="N10" s="56">
        <v>15.90</v>
      </c>
      <c r="O10" s="56">
        <v>0</v>
      </c>
      <c r="P10" s="56">
        <v>0.82</v>
      </c>
      <c r="Q10" s="56">
        <v>10.17</v>
      </c>
      <c r="R10" s="43"/>
      <c r="S10" s="43"/>
      <c r="T10" s="43"/>
      <c r="U10" s="43"/>
    </row>
    <row r="11" spans="1:21" s="11" customFormat="1" ht="15">
      <c r="A11" s="55" t="s">
        <v>184</v>
      </c>
      <c r="B11" s="56">
        <v>6.56</v>
      </c>
      <c r="C11" s="56">
        <v>33.229999999999997</v>
      </c>
      <c r="D11" s="56">
        <v>22.54</v>
      </c>
      <c r="E11" s="56">
        <v>2.23</v>
      </c>
      <c r="F11" s="56">
        <v>5.77</v>
      </c>
      <c r="G11" s="56">
        <v>74.64</v>
      </c>
      <c r="H11" s="56">
        <v>25.74</v>
      </c>
      <c r="I11" s="56">
        <v>7.80</v>
      </c>
      <c r="J11" s="56">
        <v>0.32</v>
      </c>
      <c r="K11" s="56">
        <v>326.39</v>
      </c>
      <c r="L11" s="56">
        <v>29.99</v>
      </c>
      <c r="M11" s="56">
        <v>29.77</v>
      </c>
      <c r="N11" s="56">
        <v>16.100000000000001</v>
      </c>
      <c r="O11" s="56">
        <v>0</v>
      </c>
      <c r="P11" s="56">
        <v>0.78</v>
      </c>
      <c r="Q11" s="56">
        <v>10.15</v>
      </c>
      <c r="R11" s="43"/>
      <c r="S11" s="43"/>
      <c r="T11" s="43"/>
      <c r="U11" s="43"/>
    </row>
    <row r="12" spans="1:21" s="11" customFormat="1" ht="15">
      <c r="A12" s="55" t="s">
        <v>185</v>
      </c>
      <c r="B12" s="56">
        <v>5.1100000000000003</v>
      </c>
      <c r="C12" s="56">
        <v>28.48</v>
      </c>
      <c r="D12" s="56">
        <v>18.829999999999998</v>
      </c>
      <c r="E12" s="56">
        <v>2.21</v>
      </c>
      <c r="F12" s="56">
        <v>5.54</v>
      </c>
      <c r="G12" s="56">
        <v>74.010000000000005</v>
      </c>
      <c r="H12" s="56">
        <v>26.34</v>
      </c>
      <c r="I12" s="56">
        <v>6.78</v>
      </c>
      <c r="J12" s="56">
        <v>0.33</v>
      </c>
      <c r="K12" s="56">
        <v>340.17</v>
      </c>
      <c r="L12" s="56">
        <v>28.91</v>
      </c>
      <c r="M12" s="56">
        <v>33.79</v>
      </c>
      <c r="N12" s="56">
        <v>16.399999999999999</v>
      </c>
      <c r="O12" s="56">
        <v>0</v>
      </c>
      <c r="P12" s="56">
        <v>0.65</v>
      </c>
      <c r="Q12" s="56">
        <v>10.16</v>
      </c>
      <c r="R12" s="43"/>
      <c r="S12" s="43"/>
      <c r="T12" s="43"/>
      <c r="U12" s="43"/>
    </row>
    <row r="13" spans="1:21" s="11" customFormat="1" ht="15">
      <c r="A13" s="55" t="s">
        <v>186</v>
      </c>
      <c r="B13" s="56">
        <v>5.14</v>
      </c>
      <c r="C13" s="56">
        <v>26.30</v>
      </c>
      <c r="D13" s="56">
        <v>17.78</v>
      </c>
      <c r="E13" s="56">
        <v>2.2400000000000002</v>
      </c>
      <c r="F13" s="56">
        <v>6.70</v>
      </c>
      <c r="G13" s="56">
        <v>69.260000000000005</v>
      </c>
      <c r="H13" s="56">
        <v>25.52</v>
      </c>
      <c r="I13" s="56">
        <v>6.58</v>
      </c>
      <c r="J13" s="56">
        <v>0.25</v>
      </c>
      <c r="K13" s="56">
        <v>351.99</v>
      </c>
      <c r="L13" s="56">
        <v>29.19</v>
      </c>
      <c r="M13" s="56">
        <v>36.82</v>
      </c>
      <c r="N13" s="56">
        <v>16</v>
      </c>
      <c r="O13" s="56">
        <v>0</v>
      </c>
      <c r="P13" s="56">
        <v>0.56000000000000005</v>
      </c>
      <c r="Q13" s="56">
        <v>10.24</v>
      </c>
      <c r="R13" s="43"/>
      <c r="S13" s="43"/>
      <c r="T13" s="43"/>
      <c r="U13" s="43"/>
    </row>
    <row r="14" spans="1:21" s="11" customFormat="1" ht="15">
      <c r="A14" s="55" t="s">
        <v>187</v>
      </c>
      <c r="B14" s="56">
        <v>5.91</v>
      </c>
      <c r="C14" s="56">
        <v>26.12</v>
      </c>
      <c r="D14" s="56">
        <v>18.13</v>
      </c>
      <c r="E14" s="56">
        <v>2.21</v>
      </c>
      <c r="F14" s="56">
        <v>5.62</v>
      </c>
      <c r="G14" s="56">
        <v>64.89</v>
      </c>
      <c r="H14" s="56">
        <v>22.30</v>
      </c>
      <c r="I14" s="56">
        <v>5.37</v>
      </c>
      <c r="J14" s="56">
        <v>0.19</v>
      </c>
      <c r="K14" s="56">
        <v>353.10</v>
      </c>
      <c r="L14" s="56">
        <v>28.65</v>
      </c>
      <c r="M14" s="56">
        <v>40.56</v>
      </c>
      <c r="N14" s="56">
        <v>28.10</v>
      </c>
      <c r="O14" s="56">
        <v>0</v>
      </c>
      <c r="P14" s="56">
        <v>0.47</v>
      </c>
      <c r="Q14" s="56">
        <v>10.43</v>
      </c>
      <c r="R14" s="43"/>
      <c r="S14" s="43"/>
      <c r="T14" s="43"/>
      <c r="U14" s="43"/>
    </row>
    <row r="15" spans="1:21" s="11" customFormat="1" ht="15">
      <c r="A15" s="55" t="s">
        <v>188</v>
      </c>
      <c r="B15" s="56">
        <v>7.53</v>
      </c>
      <c r="C15" s="56">
        <v>26.32</v>
      </c>
      <c r="D15" s="56">
        <v>19.72</v>
      </c>
      <c r="E15" s="56">
        <v>2.17</v>
      </c>
      <c r="F15" s="56">
        <v>4.9400000000000004</v>
      </c>
      <c r="G15" s="56">
        <v>61.36</v>
      </c>
      <c r="H15" s="56">
        <v>22.44</v>
      </c>
      <c r="I15" s="56">
        <v>4.9000000000000004</v>
      </c>
      <c r="J15" s="56">
        <v>0.21</v>
      </c>
      <c r="K15" s="56">
        <v>349.01</v>
      </c>
      <c r="L15" s="56">
        <v>28.40</v>
      </c>
      <c r="M15" s="56">
        <v>42.82</v>
      </c>
      <c r="N15" s="56">
        <v>78</v>
      </c>
      <c r="O15" s="56">
        <v>0</v>
      </c>
      <c r="P15" s="56">
        <v>0.45</v>
      </c>
      <c r="Q15" s="56">
        <v>10.45</v>
      </c>
      <c r="R15" s="43"/>
      <c r="S15" s="43"/>
      <c r="T15" s="43"/>
      <c r="U15" s="43"/>
    </row>
    <row r="16" spans="1:21" s="11" customFormat="1" ht="15">
      <c r="A16" s="55" t="s">
        <v>189</v>
      </c>
      <c r="B16" s="56">
        <v>8.6999999999999993</v>
      </c>
      <c r="C16" s="56">
        <v>26.56</v>
      </c>
      <c r="D16" s="56">
        <v>20.60</v>
      </c>
      <c r="E16" s="56">
        <v>2.48</v>
      </c>
      <c r="F16" s="56">
        <v>4.22</v>
      </c>
      <c r="G16" s="56">
        <v>61.33</v>
      </c>
      <c r="H16" s="56">
        <v>22.19</v>
      </c>
      <c r="I16" s="56">
        <v>5.34</v>
      </c>
      <c r="J16" s="56">
        <v>0.28000000000000003</v>
      </c>
      <c r="K16" s="56">
        <v>333.79</v>
      </c>
      <c r="L16" s="56">
        <v>29.37</v>
      </c>
      <c r="M16" s="56">
        <v>43.37</v>
      </c>
      <c r="N16" s="56">
        <v>148.90</v>
      </c>
      <c r="O16" s="56">
        <v>0</v>
      </c>
      <c r="P16" s="56">
        <v>0.47</v>
      </c>
      <c r="Q16" s="56">
        <v>10.29</v>
      </c>
      <c r="R16" s="43"/>
      <c r="S16" s="43"/>
      <c r="T16" s="43"/>
      <c r="U16" s="43"/>
    </row>
    <row r="17" spans="1:21" s="11" customFormat="1" ht="15">
      <c r="A17" s="55" t="s">
        <v>190</v>
      </c>
      <c r="B17" s="56">
        <v>8.5500000000000007</v>
      </c>
      <c r="C17" s="56">
        <v>28.75</v>
      </c>
      <c r="D17" s="56">
        <v>21.48</v>
      </c>
      <c r="E17" s="56">
        <v>1.76</v>
      </c>
      <c r="F17" s="56">
        <v>5.36</v>
      </c>
      <c r="G17" s="56">
        <v>60.39</v>
      </c>
      <c r="H17" s="56">
        <v>21.98</v>
      </c>
      <c r="I17" s="56">
        <v>5.51</v>
      </c>
      <c r="J17" s="56">
        <v>0.26</v>
      </c>
      <c r="K17" s="56">
        <v>336.74</v>
      </c>
      <c r="L17" s="56">
        <v>31.35</v>
      </c>
      <c r="M17" s="56">
        <v>43.64</v>
      </c>
      <c r="N17" s="56">
        <v>286.39999999999998</v>
      </c>
      <c r="O17" s="56">
        <v>0</v>
      </c>
      <c r="P17" s="56">
        <v>0.5</v>
      </c>
      <c r="Q17" s="56">
        <v>10.210000000000001</v>
      </c>
      <c r="R17" s="43"/>
      <c r="S17" s="43"/>
      <c r="T17" s="43"/>
      <c r="U17" s="43"/>
    </row>
    <row r="18" spans="1:21" s="11" customFormat="1" ht="15">
      <c r="A18" s="55" t="s">
        <v>191</v>
      </c>
      <c r="B18" s="56">
        <v>7.97</v>
      </c>
      <c r="C18" s="56">
        <v>33.75</v>
      </c>
      <c r="D18" s="56">
        <v>23.29</v>
      </c>
      <c r="E18" s="56">
        <v>2.04</v>
      </c>
      <c r="F18" s="56">
        <v>5.86</v>
      </c>
      <c r="G18" s="56">
        <v>60.72</v>
      </c>
      <c r="H18" s="56">
        <v>22.25</v>
      </c>
      <c r="I18" s="56">
        <v>5.31</v>
      </c>
      <c r="J18" s="56">
        <v>0.32</v>
      </c>
      <c r="K18" s="56">
        <v>359.25</v>
      </c>
      <c r="L18" s="56">
        <v>31.67</v>
      </c>
      <c r="M18" s="56">
        <v>40.90</v>
      </c>
      <c r="N18" s="56">
        <v>445.30</v>
      </c>
      <c r="O18" s="56">
        <v>0</v>
      </c>
      <c r="P18" s="56">
        <v>0.53</v>
      </c>
      <c r="Q18" s="56">
        <v>10.31</v>
      </c>
      <c r="R18" s="43"/>
      <c r="S18" s="43"/>
      <c r="T18" s="43"/>
      <c r="U18" s="43"/>
    </row>
    <row r="19" spans="1:21" s="11" customFormat="1" ht="15">
      <c r="A19" s="55" t="s">
        <v>192</v>
      </c>
      <c r="B19" s="56">
        <v>6.87</v>
      </c>
      <c r="C19" s="56">
        <v>39.64</v>
      </c>
      <c r="D19" s="56">
        <v>24.38</v>
      </c>
      <c r="E19" s="56">
        <v>5.0599999999999996</v>
      </c>
      <c r="F19" s="56">
        <v>33.22</v>
      </c>
      <c r="G19" s="56">
        <v>56.02</v>
      </c>
      <c r="H19" s="56">
        <v>21.39</v>
      </c>
      <c r="I19" s="56">
        <v>4.82</v>
      </c>
      <c r="J19" s="56">
        <v>0.56000000000000005</v>
      </c>
      <c r="K19" s="56">
        <v>351.07</v>
      </c>
      <c r="L19" s="56">
        <v>38.82</v>
      </c>
      <c r="M19" s="56">
        <v>32.67</v>
      </c>
      <c r="N19" s="56">
        <v>929.30</v>
      </c>
      <c r="O19" s="56">
        <v>0</v>
      </c>
      <c r="P19" s="56">
        <v>0.94</v>
      </c>
      <c r="Q19" s="56">
        <v>10.26</v>
      </c>
      <c r="R19" s="43"/>
      <c r="S19" s="43"/>
      <c r="T19" s="43"/>
      <c r="U19" s="43"/>
    </row>
    <row r="20" spans="1:21" s="11" customFormat="1" ht="15">
      <c r="A20" s="55" t="s">
        <v>193</v>
      </c>
      <c r="B20" s="56">
        <v>3.56</v>
      </c>
      <c r="C20" s="56">
        <v>48.11</v>
      </c>
      <c r="D20" s="56">
        <v>27.74</v>
      </c>
      <c r="E20" s="56">
        <v>3.98</v>
      </c>
      <c r="F20" s="56">
        <v>35.42</v>
      </c>
      <c r="G20" s="56">
        <v>45.16</v>
      </c>
      <c r="H20" s="56">
        <v>19.22</v>
      </c>
      <c r="I20" s="56">
        <v>4.8899999999999997</v>
      </c>
      <c r="J20" s="56">
        <v>0.76</v>
      </c>
      <c r="K20" s="56">
        <v>329.34</v>
      </c>
      <c r="L20" s="56">
        <v>39.81</v>
      </c>
      <c r="M20" s="56">
        <v>19.91</v>
      </c>
      <c r="N20" s="56">
        <v>910.40</v>
      </c>
      <c r="O20" s="56">
        <v>0</v>
      </c>
      <c r="P20" s="56">
        <v>0.94</v>
      </c>
      <c r="Q20" s="56">
        <v>10.199999999999999</v>
      </c>
      <c r="R20" s="43"/>
      <c r="S20" s="43"/>
      <c r="T20" s="43"/>
      <c r="U20" s="43"/>
    </row>
    <row r="21" spans="1:21" s="11" customFormat="1" ht="15">
      <c r="A21" s="55" t="s">
        <v>194</v>
      </c>
      <c r="B21" s="56">
        <v>4.29</v>
      </c>
      <c r="C21" s="56">
        <v>41.16</v>
      </c>
      <c r="D21" s="56">
        <v>24.25</v>
      </c>
      <c r="E21" s="56">
        <v>2.06</v>
      </c>
      <c r="F21" s="56">
        <v>13.12</v>
      </c>
      <c r="G21" s="56">
        <v>52</v>
      </c>
      <c r="H21" s="56">
        <v>18.510000000000002</v>
      </c>
      <c r="I21" s="56">
        <v>2.94</v>
      </c>
      <c r="J21" s="56">
        <v>0.92</v>
      </c>
      <c r="K21" s="56">
        <v>317.37</v>
      </c>
      <c r="L21" s="56">
        <v>40.69</v>
      </c>
      <c r="M21" s="56">
        <v>16.57</v>
      </c>
      <c r="N21" s="56">
        <v>903.5</v>
      </c>
      <c r="O21" s="56">
        <v>0</v>
      </c>
      <c r="P21" s="56">
        <v>0.49</v>
      </c>
      <c r="Q21" s="56">
        <v>10.07</v>
      </c>
      <c r="R21" s="43"/>
      <c r="S21" s="43"/>
      <c r="T21" s="43"/>
      <c r="U21" s="43"/>
    </row>
    <row r="22" spans="1:21" s="11" customFormat="1" ht="15">
      <c r="A22" s="55" t="s">
        <v>195</v>
      </c>
      <c r="B22" s="56">
        <v>4.32</v>
      </c>
      <c r="C22" s="56">
        <v>42.74</v>
      </c>
      <c r="D22" s="56">
        <v>25.72</v>
      </c>
      <c r="E22" s="56">
        <v>2.2999999999999998</v>
      </c>
      <c r="F22" s="56">
        <v>17.72</v>
      </c>
      <c r="G22" s="56">
        <v>56.09</v>
      </c>
      <c r="H22" s="56">
        <v>19.61</v>
      </c>
      <c r="I22" s="56">
        <v>2.77</v>
      </c>
      <c r="J22" s="56">
        <v>0.78</v>
      </c>
      <c r="K22" s="56">
        <v>326.51</v>
      </c>
      <c r="L22" s="56">
        <v>40.58</v>
      </c>
      <c r="M22" s="56">
        <v>16.09</v>
      </c>
      <c r="N22" s="56">
        <v>869.90</v>
      </c>
      <c r="O22" s="56">
        <v>0</v>
      </c>
      <c r="P22" s="56">
        <v>0.45</v>
      </c>
      <c r="Q22" s="56">
        <v>10.119999999999999</v>
      </c>
      <c r="R22" s="43"/>
      <c r="S22" s="43"/>
      <c r="T22" s="43"/>
      <c r="U22" s="43"/>
    </row>
    <row r="23" spans="1:21" s="11" customFormat="1" ht="15">
      <c r="A23" s="55" t="s">
        <v>196</v>
      </c>
      <c r="B23" s="56">
        <v>4.57</v>
      </c>
      <c r="C23" s="56">
        <v>41.44</v>
      </c>
      <c r="D23" s="56">
        <v>25.12</v>
      </c>
      <c r="E23" s="56">
        <v>1.87</v>
      </c>
      <c r="F23" s="56">
        <v>10.40</v>
      </c>
      <c r="G23" s="56">
        <v>49.35</v>
      </c>
      <c r="H23" s="56">
        <v>21.04</v>
      </c>
      <c r="I23" s="56">
        <v>2.71</v>
      </c>
      <c r="J23" s="56">
        <v>0.62</v>
      </c>
      <c r="K23" s="56">
        <v>347.14</v>
      </c>
      <c r="L23" s="56">
        <v>39.60</v>
      </c>
      <c r="M23" s="56">
        <v>16.80</v>
      </c>
      <c r="N23" s="56">
        <v>474.20</v>
      </c>
      <c r="O23" s="56">
        <v>0</v>
      </c>
      <c r="P23" s="56">
        <v>0.45</v>
      </c>
      <c r="Q23" s="56">
        <v>10.17</v>
      </c>
      <c r="R23" s="43"/>
      <c r="S23" s="43"/>
      <c r="T23" s="43"/>
      <c r="U23" s="43"/>
    </row>
    <row r="24" spans="1:21" s="11" customFormat="1" ht="15">
      <c r="A24" s="55" t="s">
        <v>197</v>
      </c>
      <c r="B24" s="56">
        <v>5.01</v>
      </c>
      <c r="C24" s="56">
        <v>33.75</v>
      </c>
      <c r="D24" s="56">
        <v>21.43</v>
      </c>
      <c r="E24" s="56">
        <v>1.5</v>
      </c>
      <c r="F24" s="56">
        <v>7.60</v>
      </c>
      <c r="G24" s="56">
        <v>55.08</v>
      </c>
      <c r="H24" s="56">
        <v>22.24</v>
      </c>
      <c r="I24" s="56">
        <v>2.73</v>
      </c>
      <c r="J24" s="56">
        <v>0.5</v>
      </c>
      <c r="K24" s="56">
        <v>344.09</v>
      </c>
      <c r="L24" s="56">
        <v>37.979999999999997</v>
      </c>
      <c r="M24" s="56">
        <v>16.72</v>
      </c>
      <c r="N24" s="56">
        <v>293.89999999999998</v>
      </c>
      <c r="O24" s="56">
        <v>0</v>
      </c>
      <c r="P24" s="56">
        <v>0.43</v>
      </c>
      <c r="Q24" s="56">
        <v>10.27</v>
      </c>
      <c r="R24" s="43"/>
      <c r="S24" s="43"/>
      <c r="T24" s="43"/>
      <c r="U24" s="43"/>
    </row>
    <row r="25" spans="1:21" s="11" customFormat="1" ht="15">
      <c r="A25" s="55" t="s">
        <v>198</v>
      </c>
      <c r="B25" s="56">
        <v>5.29</v>
      </c>
      <c r="C25" s="56">
        <v>32.71</v>
      </c>
      <c r="D25" s="56">
        <v>21.09</v>
      </c>
      <c r="E25" s="56">
        <v>1.79</v>
      </c>
      <c r="F25" s="56">
        <v>6.96</v>
      </c>
      <c r="G25" s="56">
        <v>46.89</v>
      </c>
      <c r="H25" s="56">
        <v>18.89</v>
      </c>
      <c r="I25" s="56">
        <v>2.67</v>
      </c>
      <c r="J25" s="56">
        <v>1.01</v>
      </c>
      <c r="K25" s="56">
        <v>352.61</v>
      </c>
      <c r="L25" s="56">
        <v>37.520000000000003</v>
      </c>
      <c r="M25" s="56">
        <v>15.80</v>
      </c>
      <c r="N25" s="56">
        <v>131.69999999999999</v>
      </c>
      <c r="O25" s="56">
        <v>0</v>
      </c>
      <c r="P25" s="56">
        <v>0.36</v>
      </c>
      <c r="Q25" s="56">
        <v>10.25</v>
      </c>
      <c r="R25" s="43"/>
      <c r="S25" s="43"/>
      <c r="T25" s="43"/>
      <c r="U25" s="43"/>
    </row>
    <row r="26" spans="1:21" s="11" customFormat="1" ht="15">
      <c r="A26" s="55" t="s">
        <v>199</v>
      </c>
      <c r="B26" s="56">
        <v>5.56</v>
      </c>
      <c r="C26" s="56">
        <v>36.33</v>
      </c>
      <c r="D26" s="56">
        <v>23.36</v>
      </c>
      <c r="E26" s="56">
        <v>2.09</v>
      </c>
      <c r="F26" s="56">
        <v>8.15</v>
      </c>
      <c r="G26" s="56">
        <v>39.54</v>
      </c>
      <c r="H26" s="56">
        <v>17.059999999999999</v>
      </c>
      <c r="I26" s="56">
        <v>2.16</v>
      </c>
      <c r="J26" s="56">
        <v>0.74</v>
      </c>
      <c r="K26" s="56">
        <v>330.09</v>
      </c>
      <c r="L26" s="56">
        <v>36.94</v>
      </c>
      <c r="M26" s="56">
        <v>25.09</v>
      </c>
      <c r="N26" s="56">
        <v>64</v>
      </c>
      <c r="O26" s="56">
        <v>0</v>
      </c>
      <c r="P26" s="56">
        <v>0.38</v>
      </c>
      <c r="Q26" s="56">
        <v>10.19</v>
      </c>
      <c r="R26" s="43"/>
      <c r="S26" s="43"/>
      <c r="T26" s="43"/>
      <c r="U26" s="43"/>
    </row>
    <row r="27" spans="1:21" s="11" customFormat="1" ht="15">
      <c r="A27" s="55" t="s">
        <v>200</v>
      </c>
      <c r="B27" s="56">
        <v>6.18</v>
      </c>
      <c r="C27" s="56">
        <v>40.11</v>
      </c>
      <c r="D27" s="56">
        <v>25.73</v>
      </c>
      <c r="E27" s="56">
        <v>2.02</v>
      </c>
      <c r="F27" s="56">
        <v>5.88</v>
      </c>
      <c r="G27" s="56">
        <v>36.770000000000003</v>
      </c>
      <c r="H27" s="56">
        <v>14.61</v>
      </c>
      <c r="I27" s="56">
        <v>2.44</v>
      </c>
      <c r="J27" s="56">
        <v>0.84</v>
      </c>
      <c r="K27" s="56">
        <v>322.19</v>
      </c>
      <c r="L27" s="56">
        <v>32.29</v>
      </c>
      <c r="M27" s="56">
        <v>31.35</v>
      </c>
      <c r="N27" s="56">
        <v>23.60</v>
      </c>
      <c r="O27" s="56">
        <v>0</v>
      </c>
      <c r="P27" s="56">
        <v>0.47</v>
      </c>
      <c r="Q27" s="56">
        <v>10.19</v>
      </c>
      <c r="R27" s="43"/>
      <c r="S27" s="43"/>
      <c r="T27" s="43"/>
      <c r="U27" s="43"/>
    </row>
    <row r="28" spans="1:21" s="11" customFormat="1" ht="15">
      <c r="A28" s="55" t="s">
        <v>201</v>
      </c>
      <c r="B28" s="56">
        <v>9.86</v>
      </c>
      <c r="C28" s="56">
        <v>41.46</v>
      </c>
      <c r="D28" s="56">
        <v>28.59</v>
      </c>
      <c r="E28" s="56">
        <v>2.69</v>
      </c>
      <c r="F28" s="56">
        <v>3.93</v>
      </c>
      <c r="G28" s="56">
        <v>42.67</v>
      </c>
      <c r="H28" s="56">
        <v>15.75</v>
      </c>
      <c r="I28" s="56">
        <v>3.30</v>
      </c>
      <c r="J28" s="56">
        <v>0.38</v>
      </c>
      <c r="K28" s="56">
        <v>346.35</v>
      </c>
      <c r="L28" s="56">
        <v>32.61</v>
      </c>
      <c r="M28" s="56">
        <v>26.14</v>
      </c>
      <c r="N28" s="56">
        <v>15.60</v>
      </c>
      <c r="O28" s="56">
        <v>0</v>
      </c>
      <c r="P28" s="56">
        <v>0.65</v>
      </c>
      <c r="Q28" s="56">
        <v>10.29</v>
      </c>
      <c r="R28" s="43"/>
      <c r="S28" s="43"/>
      <c r="T28" s="43"/>
      <c r="U28" s="43"/>
    </row>
    <row r="29" spans="1:21" s="11" customFormat="1" ht="15">
      <c r="A29" s="55" t="s">
        <v>202</v>
      </c>
      <c r="B29" s="56">
        <v>14.31</v>
      </c>
      <c r="C29" s="56">
        <v>39.65</v>
      </c>
      <c r="D29" s="56">
        <v>31.18</v>
      </c>
      <c r="E29" s="56">
        <v>1.85</v>
      </c>
      <c r="F29" s="56">
        <v>3.89</v>
      </c>
      <c r="G29" s="56">
        <v>49.41</v>
      </c>
      <c r="H29" s="56">
        <v>14.67</v>
      </c>
      <c r="I29" s="56">
        <v>5.23</v>
      </c>
      <c r="J29" s="56">
        <v>0.24</v>
      </c>
      <c r="K29" s="56">
        <v>349.77</v>
      </c>
      <c r="L29" s="56">
        <v>32.270000000000003</v>
      </c>
      <c r="M29" s="56">
        <v>26.53</v>
      </c>
      <c r="N29" s="56">
        <v>15.5</v>
      </c>
      <c r="O29" s="56">
        <v>0</v>
      </c>
      <c r="P29" s="56">
        <v>0.77</v>
      </c>
      <c r="Q29" s="56">
        <v>10.45</v>
      </c>
      <c r="R29" s="43"/>
      <c r="S29" s="43"/>
      <c r="T29" s="43"/>
      <c r="U29" s="43"/>
    </row>
    <row r="30" spans="1:21" s="11" customFormat="1" ht="15">
      <c r="A30" s="55" t="s">
        <v>203</v>
      </c>
      <c r="B30" s="56">
        <v>18.579999999999998</v>
      </c>
      <c r="C30" s="56">
        <v>37.65</v>
      </c>
      <c r="D30" s="56">
        <v>33.130000000000003</v>
      </c>
      <c r="E30" s="56">
        <v>1.89</v>
      </c>
      <c r="F30" s="56">
        <v>3.66</v>
      </c>
      <c r="G30" s="56">
        <v>62.45</v>
      </c>
      <c r="H30" s="56">
        <v>17.760000000000002</v>
      </c>
      <c r="I30" s="56">
        <v>7.67</v>
      </c>
      <c r="J30" s="56">
        <v>0.17</v>
      </c>
      <c r="K30" s="56">
        <v>341.65</v>
      </c>
      <c r="L30" s="56">
        <v>31.02</v>
      </c>
      <c r="M30" s="56">
        <v>35.01</v>
      </c>
      <c r="N30" s="56">
        <v>15.60</v>
      </c>
      <c r="O30" s="56">
        <v>0</v>
      </c>
      <c r="P30" s="56">
        <v>0.93</v>
      </c>
      <c r="Q30" s="56">
        <v>10.5</v>
      </c>
      <c r="R30" s="43"/>
      <c r="S30" s="43"/>
      <c r="T30" s="43"/>
      <c r="U30" s="43"/>
    </row>
    <row r="31" spans="1:21" s="11" customFormat="1" ht="15">
      <c r="A31" s="55" t="s">
        <v>204</v>
      </c>
      <c r="B31" s="56">
        <v>24.72</v>
      </c>
      <c r="C31" s="56">
        <v>37.119999999999997</v>
      </c>
      <c r="D31" s="56">
        <v>38.44</v>
      </c>
      <c r="E31" s="56">
        <v>2.16</v>
      </c>
      <c r="F31" s="56">
        <v>3.63</v>
      </c>
      <c r="G31" s="56">
        <v>71.42</v>
      </c>
      <c r="H31" s="56">
        <v>20.96</v>
      </c>
      <c r="I31" s="56">
        <v>8.32</v>
      </c>
      <c r="J31" s="56">
        <v>0.13</v>
      </c>
      <c r="K31" s="56">
        <v>318.11</v>
      </c>
      <c r="L31" s="56">
        <v>30.09</v>
      </c>
      <c r="M31" s="56">
        <v>31.21</v>
      </c>
      <c r="N31" s="56">
        <v>15.40</v>
      </c>
      <c r="O31" s="56">
        <v>0</v>
      </c>
      <c r="P31" s="56">
        <v>1</v>
      </c>
      <c r="Q31" s="56">
        <v>10.68</v>
      </c>
      <c r="R31" s="43"/>
      <c r="S31" s="43"/>
      <c r="T31" s="43"/>
      <c r="U31" s="43"/>
    </row>
    <row r="32" spans="1:21" s="11" customFormat="1" ht="15">
      <c r="A32" s="55" t="s">
        <v>205</v>
      </c>
      <c r="B32" s="56">
        <v>23.11</v>
      </c>
      <c r="C32" s="56">
        <v>37.47</v>
      </c>
      <c r="D32" s="56">
        <v>37.69</v>
      </c>
      <c r="E32" s="56">
        <v>1.97</v>
      </c>
      <c r="F32" s="56">
        <v>3.56</v>
      </c>
      <c r="G32" s="56">
        <v>78.94</v>
      </c>
      <c r="H32" s="56">
        <v>22.30</v>
      </c>
      <c r="I32" s="56">
        <v>8.17</v>
      </c>
      <c r="J32" s="56">
        <v>0.18</v>
      </c>
      <c r="K32" s="56">
        <v>359.90</v>
      </c>
      <c r="L32" s="56">
        <v>29.79</v>
      </c>
      <c r="M32" s="56">
        <v>34.24</v>
      </c>
      <c r="N32" s="56">
        <v>15.5</v>
      </c>
      <c r="O32" s="56">
        <v>0</v>
      </c>
      <c r="P32" s="56">
        <v>0.96</v>
      </c>
      <c r="Q32" s="56">
        <v>10.77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3.5600000000000001</v>
      </c>
      <c r="C34" s="28">
        <f t="shared" si="0"/>
        <v>26.120000000000001</v>
      </c>
      <c r="D34" s="28">
        <f t="shared" si="0"/>
        <v>17.780000000000001</v>
      </c>
      <c r="E34" s="28">
        <f t="shared" si="0"/>
        <v>1.5</v>
      </c>
      <c r="F34" s="28">
        <f t="shared" si="0"/>
        <v>3.5600000000000001</v>
      </c>
      <c r="G34" s="28">
        <f t="shared" si="0"/>
        <v>36.770000000000003</v>
      </c>
      <c r="H34" s="28">
        <f t="shared" si="0"/>
        <v>14.609999999999999</v>
      </c>
      <c r="I34" s="28">
        <f t="shared" si="0"/>
        <v>2.1600000000000001</v>
      </c>
      <c r="J34" s="28">
        <f t="shared" si="0"/>
        <v>0.13</v>
      </c>
      <c r="K34" s="28">
        <f t="shared" si="0"/>
        <v>317.37</v>
      </c>
      <c r="L34" s="28">
        <f t="shared" si="0"/>
        <v>28.399999999999999</v>
      </c>
      <c r="M34" s="28">
        <f t="shared" si="0"/>
        <v>15.800000000000001</v>
      </c>
      <c r="N34" s="28">
        <f t="shared" si="0"/>
        <v>15.4</v>
      </c>
      <c r="O34" s="28">
        <f t="shared" si="0"/>
        <v>0</v>
      </c>
      <c r="P34" s="28">
        <f t="shared" si="0"/>
        <v>0.35999999999999999</v>
      </c>
      <c r="Q34" s="28">
        <f t="shared" si="0"/>
        <v>10.07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24.719999999999999</v>
      </c>
      <c r="C35" s="29">
        <f t="shared" si="1"/>
        <v>48.109999999999999</v>
      </c>
      <c r="D35" s="29">
        <f t="shared" si="1"/>
        <v>38.439999999999998</v>
      </c>
      <c r="E35" s="29">
        <f t="shared" si="1"/>
        <v>5.0599999999999996</v>
      </c>
      <c r="F35" s="29">
        <f t="shared" si="1"/>
        <v>35.420000000000002</v>
      </c>
      <c r="G35" s="29">
        <f t="shared" si="1"/>
        <v>78.939999999999998</v>
      </c>
      <c r="H35" s="29">
        <f t="shared" si="1"/>
        <v>27.52</v>
      </c>
      <c r="I35" s="29">
        <f t="shared" si="1"/>
        <v>8.3200000000000003</v>
      </c>
      <c r="J35" s="29">
        <f t="shared" si="1"/>
        <v>1.01</v>
      </c>
      <c r="K35" s="29">
        <f t="shared" si="1"/>
        <v>359.89999999999998</v>
      </c>
      <c r="L35" s="29">
        <f t="shared" si="1"/>
        <v>40.689999999999998</v>
      </c>
      <c r="M35" s="29">
        <f t="shared" si="1"/>
        <v>43.640000000000001</v>
      </c>
      <c r="N35" s="29">
        <f t="shared" si="1"/>
        <v>929.29999999999995</v>
      </c>
      <c r="O35" s="29">
        <f t="shared" si="1"/>
        <v>0</v>
      </c>
      <c r="P35" s="29">
        <f t="shared" si="1"/>
        <v>1</v>
      </c>
      <c r="Q35" s="29">
        <f t="shared" si="1"/>
        <v>10.77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8.8733333333333331</v>
      </c>
      <c r="C36" s="28">
        <f t="shared" si="2"/>
        <v>35.756666666666675</v>
      </c>
      <c r="D36" s="28">
        <f t="shared" si="2"/>
        <v>25.354583333333334</v>
      </c>
      <c r="E36" s="28">
        <f t="shared" si="2"/>
        <v>2.2737499999999997</v>
      </c>
      <c r="F36" s="28">
        <f t="shared" si="2"/>
        <v>8.7462499999999999</v>
      </c>
      <c r="G36" s="28">
        <f t="shared" si="2"/>
        <v>59.148333333333348</v>
      </c>
      <c r="H36" s="28">
        <f t="shared" si="2"/>
        <v>21.056666666666668</v>
      </c>
      <c r="I36" s="28">
        <f t="shared" si="2"/>
        <v>5.1520833333333327</v>
      </c>
      <c r="J36" s="28">
        <f t="shared" si="2"/>
        <v>0.44208333333333338</v>
      </c>
      <c r="K36" s="28">
        <f t="shared" si="2"/>
        <v>339.59208333333333</v>
      </c>
      <c r="L36" s="28">
        <f t="shared" si="2"/>
        <v>33.206666666666671</v>
      </c>
      <c r="M36" s="28">
        <f t="shared" si="2"/>
        <v>29.326666666666664</v>
      </c>
      <c r="N36" s="28">
        <f t="shared" si="2"/>
        <v>239.37916666666663</v>
      </c>
      <c r="O36" s="28">
        <f t="shared" si="2"/>
        <v>0</v>
      </c>
      <c r="P36" s="28">
        <f t="shared" si="2"/>
        <v>0.64374999999999993</v>
      </c>
      <c r="Q36" s="28">
        <f t="shared" si="2"/>
        <v>10.294583333333334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5.8232066966478246</v>
      </c>
      <c r="C37" s="28">
        <f t="shared" si="3" ref="C37:Q37">STDEV(C9:C32)</f>
        <v>6.1480931414026072</v>
      </c>
      <c r="D37" s="28">
        <f t="shared" si="3"/>
        <v>5.7128291773993096</v>
      </c>
      <c r="E37" s="28">
        <f t="shared" si="3"/>
        <v>0.75044805457053243</v>
      </c>
      <c r="F37" s="28">
        <f t="shared" si="3"/>
        <v>8.5406357631695329</v>
      </c>
      <c r="G37" s="28">
        <f t="shared" si="3"/>
        <v>12.316595261701952</v>
      </c>
      <c r="H37" s="28">
        <f t="shared" si="3"/>
        <v>3.5614770588310245</v>
      </c>
      <c r="I37" s="28">
        <f t="shared" si="3"/>
        <v>2.0669405644820666</v>
      </c>
      <c r="J37" s="28">
        <f t="shared" si="3"/>
        <v>0.26693068904422201</v>
      </c>
      <c r="K37" s="28">
        <f t="shared" si="3"/>
        <v>13.320146225585241</v>
      </c>
      <c r="L37" s="28">
        <f t="shared" si="3"/>
        <v>4.392266589939851</v>
      </c>
      <c r="M37" s="28">
        <f t="shared" si="3"/>
        <v>9.3569265981046748</v>
      </c>
      <c r="N37" s="28">
        <f t="shared" si="3"/>
        <v>332.00997886937159</v>
      </c>
      <c r="O37" s="28">
        <f t="shared" si="3"/>
        <v>0</v>
      </c>
      <c r="P37" s="28">
        <f t="shared" si="3"/>
        <v>0.22264833843686235</v>
      </c>
      <c r="Q37" s="28">
        <f t="shared" si="3"/>
        <v>0.17212177606873938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0ee892-7fc9-45c5-ab08-76d1c35d967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206</v>
      </c>
      <c r="B9" s="56">
        <v>19.61</v>
      </c>
      <c r="C9" s="56">
        <v>37.11</v>
      </c>
      <c r="D9" s="56">
        <v>35.03</v>
      </c>
      <c r="E9" s="56">
        <v>1.64</v>
      </c>
      <c r="F9" s="56">
        <v>3.79</v>
      </c>
      <c r="G9" s="56">
        <v>82.96</v>
      </c>
      <c r="H9" s="56">
        <v>21.59</v>
      </c>
      <c r="I9" s="56">
        <v>7.76</v>
      </c>
      <c r="J9" s="56">
        <v>0.16</v>
      </c>
      <c r="K9" s="56">
        <v>9.44</v>
      </c>
      <c r="L9" s="56">
        <v>29.46</v>
      </c>
      <c r="M9" s="56">
        <v>32.11</v>
      </c>
      <c r="N9" s="56">
        <v>15.40</v>
      </c>
      <c r="O9" s="56">
        <v>0</v>
      </c>
      <c r="P9" s="56">
        <v>0.86</v>
      </c>
      <c r="Q9" s="56">
        <v>10.75</v>
      </c>
      <c r="R9" s="43"/>
      <c r="S9" s="43"/>
      <c r="T9" s="43"/>
      <c r="U9" s="43"/>
    </row>
    <row r="10" spans="1:21" s="11" customFormat="1" ht="15">
      <c r="A10" s="55" t="s">
        <v>207</v>
      </c>
      <c r="B10" s="56">
        <v>14.76</v>
      </c>
      <c r="C10" s="56">
        <v>34.380000000000003</v>
      </c>
      <c r="D10" s="56">
        <v>29.72</v>
      </c>
      <c r="E10" s="56">
        <v>1.84</v>
      </c>
      <c r="F10" s="56">
        <v>3.93</v>
      </c>
      <c r="G10" s="56">
        <v>63.53</v>
      </c>
      <c r="H10" s="56">
        <v>19.66</v>
      </c>
      <c r="I10" s="56">
        <v>7.11</v>
      </c>
      <c r="J10" s="56">
        <v>0.11</v>
      </c>
      <c r="K10" s="56">
        <v>350.46</v>
      </c>
      <c r="L10" s="56">
        <v>29.41</v>
      </c>
      <c r="M10" s="56">
        <v>33.10</v>
      </c>
      <c r="N10" s="56">
        <v>15.5</v>
      </c>
      <c r="O10" s="56">
        <v>0</v>
      </c>
      <c r="P10" s="56">
        <v>0.69</v>
      </c>
      <c r="Q10" s="56">
        <v>10.70</v>
      </c>
      <c r="R10" s="43"/>
      <c r="S10" s="43"/>
      <c r="T10" s="43"/>
      <c r="U10" s="43"/>
    </row>
    <row r="11" spans="1:21" s="11" customFormat="1" ht="15">
      <c r="A11" s="55" t="s">
        <v>208</v>
      </c>
      <c r="B11" s="56">
        <v>9.8000000000000007</v>
      </c>
      <c r="C11" s="56">
        <v>32.590000000000003</v>
      </c>
      <c r="D11" s="56">
        <v>24.81</v>
      </c>
      <c r="E11" s="56">
        <v>1.53</v>
      </c>
      <c r="F11" s="56">
        <v>3.92</v>
      </c>
      <c r="G11" s="56">
        <v>50.47</v>
      </c>
      <c r="H11" s="56">
        <v>17.489999999999998</v>
      </c>
      <c r="I11" s="56">
        <v>7.06</v>
      </c>
      <c r="J11" s="56">
        <v>0.20</v>
      </c>
      <c r="K11" s="56">
        <v>225.51</v>
      </c>
      <c r="L11" s="56">
        <v>28.54</v>
      </c>
      <c r="M11" s="56">
        <v>37.74</v>
      </c>
      <c r="N11" s="56">
        <v>15.60</v>
      </c>
      <c r="O11" s="56">
        <v>0</v>
      </c>
      <c r="P11" s="56">
        <v>0.61</v>
      </c>
      <c r="Q11" s="56">
        <v>10.61</v>
      </c>
      <c r="R11" s="43"/>
      <c r="S11" s="43"/>
      <c r="T11" s="43"/>
      <c r="U11" s="43"/>
    </row>
    <row r="12" spans="1:21" s="11" customFormat="1" ht="15">
      <c r="A12" s="55" t="s">
        <v>209</v>
      </c>
      <c r="B12" s="56">
        <v>7.44</v>
      </c>
      <c r="C12" s="56">
        <v>30.81</v>
      </c>
      <c r="D12" s="56">
        <v>21.87</v>
      </c>
      <c r="E12" s="56">
        <v>1.43</v>
      </c>
      <c r="F12" s="56">
        <v>4.1900000000000004</v>
      </c>
      <c r="G12" s="56">
        <v>47.99</v>
      </c>
      <c r="H12" s="56">
        <v>17.18</v>
      </c>
      <c r="I12" s="56">
        <v>6.99</v>
      </c>
      <c r="J12" s="56">
        <v>0.41</v>
      </c>
      <c r="K12" s="56">
        <v>338.36</v>
      </c>
      <c r="L12" s="56">
        <v>27.82</v>
      </c>
      <c r="M12" s="56">
        <v>42.13</v>
      </c>
      <c r="N12" s="56">
        <v>16</v>
      </c>
      <c r="O12" s="56">
        <v>0</v>
      </c>
      <c r="P12" s="56">
        <v>0.53</v>
      </c>
      <c r="Q12" s="56">
        <v>10.38</v>
      </c>
      <c r="R12" s="43"/>
      <c r="S12" s="43"/>
      <c r="T12" s="43"/>
      <c r="U12" s="43"/>
    </row>
    <row r="13" spans="1:21" s="11" customFormat="1" ht="15">
      <c r="A13" s="55" t="s">
        <v>210</v>
      </c>
      <c r="B13" s="56">
        <v>6.27</v>
      </c>
      <c r="C13" s="56">
        <v>30.99</v>
      </c>
      <c r="D13" s="56">
        <v>20.78</v>
      </c>
      <c r="E13" s="56">
        <v>1.08</v>
      </c>
      <c r="F13" s="56">
        <v>4.20</v>
      </c>
      <c r="G13" s="56">
        <v>42.78</v>
      </c>
      <c r="H13" s="56">
        <v>14.36</v>
      </c>
      <c r="I13" s="56">
        <v>6.52</v>
      </c>
      <c r="J13" s="56">
        <v>1.67</v>
      </c>
      <c r="K13" s="56">
        <v>334.02</v>
      </c>
      <c r="L13" s="56">
        <v>28.67</v>
      </c>
      <c r="M13" s="56">
        <v>41.97</v>
      </c>
      <c r="N13" s="56">
        <v>16.30</v>
      </c>
      <c r="O13" s="56">
        <v>0</v>
      </c>
      <c r="P13" s="56">
        <v>0.47</v>
      </c>
      <c r="Q13" s="56">
        <v>10.33</v>
      </c>
      <c r="R13" s="43"/>
      <c r="S13" s="43"/>
      <c r="T13" s="43"/>
      <c r="U13" s="43"/>
    </row>
    <row r="14" spans="1:21" s="11" customFormat="1" ht="15">
      <c r="A14" s="55" t="s">
        <v>211</v>
      </c>
      <c r="B14" s="56">
        <v>6.07</v>
      </c>
      <c r="C14" s="56">
        <v>27.69</v>
      </c>
      <c r="D14" s="56">
        <v>18.98</v>
      </c>
      <c r="E14" s="56">
        <v>1.19</v>
      </c>
      <c r="F14" s="56">
        <v>4.0599999999999996</v>
      </c>
      <c r="G14" s="56">
        <v>40.229999999999997</v>
      </c>
      <c r="H14" s="56">
        <v>14.14</v>
      </c>
      <c r="I14" s="56">
        <v>5.88</v>
      </c>
      <c r="J14" s="56">
        <v>0.42</v>
      </c>
      <c r="K14" s="56">
        <v>175.85</v>
      </c>
      <c r="L14" s="56">
        <v>27.07</v>
      </c>
      <c r="M14" s="56">
        <v>46.38</v>
      </c>
      <c r="N14" s="56">
        <v>27.20</v>
      </c>
      <c r="O14" s="56">
        <v>0</v>
      </c>
      <c r="P14" s="56">
        <v>0.43</v>
      </c>
      <c r="Q14" s="56">
        <v>10.33</v>
      </c>
      <c r="R14" s="43"/>
      <c r="S14" s="43"/>
      <c r="T14" s="43"/>
      <c r="U14" s="43"/>
    </row>
    <row r="15" spans="1:21" s="11" customFormat="1" ht="15">
      <c r="A15" s="55" t="s">
        <v>212</v>
      </c>
      <c r="B15" s="56">
        <v>5.68</v>
      </c>
      <c r="C15" s="56">
        <v>27.67</v>
      </c>
      <c r="D15" s="56">
        <v>18.739999999999998</v>
      </c>
      <c r="E15" s="56">
        <v>1.34</v>
      </c>
      <c r="F15" s="56">
        <v>4.8099999999999996</v>
      </c>
      <c r="G15" s="56">
        <v>42.96</v>
      </c>
      <c r="H15" s="56">
        <v>14.35</v>
      </c>
      <c r="I15" s="56">
        <v>6.07</v>
      </c>
      <c r="J15" s="56">
        <v>0.49</v>
      </c>
      <c r="K15" s="56">
        <v>331.94</v>
      </c>
      <c r="L15" s="56">
        <v>27.61</v>
      </c>
      <c r="M15" s="56">
        <v>53.41</v>
      </c>
      <c r="N15" s="56">
        <v>93.70</v>
      </c>
      <c r="O15" s="56">
        <v>0</v>
      </c>
      <c r="P15" s="56">
        <v>0.40</v>
      </c>
      <c r="Q15" s="56">
        <v>10.42</v>
      </c>
      <c r="R15" s="43"/>
      <c r="S15" s="43"/>
      <c r="T15" s="43"/>
      <c r="U15" s="43"/>
    </row>
    <row r="16" spans="1:21" s="11" customFormat="1" ht="15">
      <c r="A16" s="55" t="s">
        <v>213</v>
      </c>
      <c r="B16" s="56">
        <v>4.63</v>
      </c>
      <c r="C16" s="56">
        <v>27.74</v>
      </c>
      <c r="D16" s="56">
        <v>17.670000000000002</v>
      </c>
      <c r="E16" s="56">
        <v>1.58</v>
      </c>
      <c r="F16" s="56">
        <v>5.71</v>
      </c>
      <c r="G16" s="56">
        <v>45.62</v>
      </c>
      <c r="H16" s="56">
        <v>14.39</v>
      </c>
      <c r="I16" s="56">
        <v>5.59</v>
      </c>
      <c r="J16" s="56">
        <v>1.28</v>
      </c>
      <c r="K16" s="56">
        <v>204.63</v>
      </c>
      <c r="L16" s="56">
        <v>26.12</v>
      </c>
      <c r="M16" s="56">
        <v>52.67</v>
      </c>
      <c r="N16" s="56">
        <v>68.400000000000006</v>
      </c>
      <c r="O16" s="56">
        <v>0</v>
      </c>
      <c r="P16" s="56">
        <v>0.35</v>
      </c>
      <c r="Q16" s="56">
        <v>10.44</v>
      </c>
      <c r="R16" s="43"/>
      <c r="S16" s="43"/>
      <c r="T16" s="43"/>
      <c r="U16" s="43"/>
    </row>
    <row r="17" spans="1:21" s="11" customFormat="1" ht="15">
      <c r="A17" s="55" t="s">
        <v>214</v>
      </c>
      <c r="B17" s="56">
        <v>3.98</v>
      </c>
      <c r="C17" s="56">
        <v>26.46</v>
      </c>
      <c r="D17" s="56">
        <v>16.93</v>
      </c>
      <c r="E17" s="56">
        <v>1.24</v>
      </c>
      <c r="F17" s="56">
        <v>5.73</v>
      </c>
      <c r="G17" s="56">
        <v>40.82</v>
      </c>
      <c r="H17" s="56">
        <v>13.55</v>
      </c>
      <c r="I17" s="56">
        <v>4.6900000000000004</v>
      </c>
      <c r="J17" s="56">
        <v>0.72</v>
      </c>
      <c r="K17" s="56">
        <v>193.52</v>
      </c>
      <c r="L17" s="56">
        <v>24.99</v>
      </c>
      <c r="M17" s="56">
        <v>61.01</v>
      </c>
      <c r="N17" s="56">
        <v>169.5</v>
      </c>
      <c r="O17" s="56">
        <v>0</v>
      </c>
      <c r="P17" s="56">
        <v>0.30</v>
      </c>
      <c r="Q17" s="56">
        <v>10.35</v>
      </c>
      <c r="R17" s="43"/>
      <c r="S17" s="43"/>
      <c r="T17" s="43"/>
      <c r="U17" s="43"/>
    </row>
    <row r="18" spans="1:21" s="11" customFormat="1" ht="15">
      <c r="A18" s="55" t="s">
        <v>215</v>
      </c>
      <c r="B18" s="56">
        <v>3.77</v>
      </c>
      <c r="C18" s="56">
        <v>25.28</v>
      </c>
      <c r="D18" s="56">
        <v>16.149999999999999</v>
      </c>
      <c r="E18" s="56">
        <v>1.36</v>
      </c>
      <c r="F18" s="56">
        <v>7.30</v>
      </c>
      <c r="G18" s="56">
        <v>42.17</v>
      </c>
      <c r="H18" s="56">
        <v>11.65</v>
      </c>
      <c r="I18" s="56">
        <v>3.71</v>
      </c>
      <c r="J18" s="56">
        <v>0.62</v>
      </c>
      <c r="K18" s="56">
        <v>226.19</v>
      </c>
      <c r="L18" s="56">
        <v>28.47</v>
      </c>
      <c r="M18" s="56">
        <v>49.24</v>
      </c>
      <c r="N18" s="56">
        <v>817.20</v>
      </c>
      <c r="O18" s="56">
        <v>0</v>
      </c>
      <c r="P18" s="56">
        <v>0.27</v>
      </c>
      <c r="Q18" s="56">
        <v>10.27</v>
      </c>
      <c r="R18" s="43"/>
      <c r="S18" s="43"/>
      <c r="T18" s="43"/>
      <c r="U18" s="43"/>
    </row>
    <row r="19" spans="1:21" s="11" customFormat="1" ht="15">
      <c r="A19" s="55" t="s">
        <v>216</v>
      </c>
      <c r="B19" s="56">
        <v>3.04</v>
      </c>
      <c r="C19" s="56">
        <v>24.40</v>
      </c>
      <c r="D19" s="56">
        <v>15.11</v>
      </c>
      <c r="E19" s="56">
        <v>1.43</v>
      </c>
      <c r="F19" s="56">
        <v>8.75</v>
      </c>
      <c r="G19" s="56">
        <v>34.94</v>
      </c>
      <c r="H19" s="56">
        <v>10.57</v>
      </c>
      <c r="I19" s="56">
        <v>3.08</v>
      </c>
      <c r="J19" s="56">
        <v>1.06</v>
      </c>
      <c r="K19" s="56">
        <v>189.58</v>
      </c>
      <c r="L19" s="56">
        <v>28.90</v>
      </c>
      <c r="M19" s="56">
        <v>40.90</v>
      </c>
      <c r="N19" s="56">
        <v>924.10</v>
      </c>
      <c r="O19" s="56">
        <v>0</v>
      </c>
      <c r="P19" s="56">
        <v>0.22</v>
      </c>
      <c r="Q19" s="56">
        <v>10.26</v>
      </c>
      <c r="R19" s="43"/>
      <c r="S19" s="43"/>
      <c r="T19" s="43"/>
      <c r="U19" s="43"/>
    </row>
    <row r="20" spans="1:21" s="11" customFormat="1" ht="15">
      <c r="A20" s="55" t="s">
        <v>217</v>
      </c>
      <c r="B20" s="56">
        <v>2.91</v>
      </c>
      <c r="C20" s="56">
        <v>25.09</v>
      </c>
      <c r="D20" s="56">
        <v>15.30</v>
      </c>
      <c r="E20" s="56">
        <v>2.12</v>
      </c>
      <c r="F20" s="56">
        <v>8.66</v>
      </c>
      <c r="G20" s="56">
        <v>33.380000000000003</v>
      </c>
      <c r="H20" s="56">
        <v>10.45</v>
      </c>
      <c r="I20" s="56">
        <v>2.35</v>
      </c>
      <c r="J20" s="56">
        <v>1.41</v>
      </c>
      <c r="K20" s="56">
        <v>193.44</v>
      </c>
      <c r="L20" s="56">
        <v>30.78</v>
      </c>
      <c r="M20" s="56">
        <v>38.42</v>
      </c>
      <c r="N20" s="56">
        <v>911.5</v>
      </c>
      <c r="O20" s="56">
        <v>0</v>
      </c>
      <c r="P20" s="56">
        <v>0.18</v>
      </c>
      <c r="Q20" s="56">
        <v>10.210000000000001</v>
      </c>
      <c r="R20" s="43"/>
      <c r="S20" s="43"/>
      <c r="T20" s="43"/>
      <c r="U20" s="43"/>
    </row>
    <row r="21" spans="1:21" s="11" customFormat="1" ht="15">
      <c r="A21" s="55" t="s">
        <v>218</v>
      </c>
      <c r="B21" s="56">
        <v>2.78</v>
      </c>
      <c r="C21" s="56">
        <v>25.85</v>
      </c>
      <c r="D21" s="56">
        <v>15.57</v>
      </c>
      <c r="E21" s="56">
        <v>1.98</v>
      </c>
      <c r="F21" s="56">
        <v>9.8800000000000008</v>
      </c>
      <c r="G21" s="56">
        <v>30.18</v>
      </c>
      <c r="H21" s="56">
        <v>10.96</v>
      </c>
      <c r="I21" s="56">
        <v>1.95</v>
      </c>
      <c r="J21" s="56">
        <v>1.54</v>
      </c>
      <c r="K21" s="56">
        <v>181.05</v>
      </c>
      <c r="L21" s="56">
        <v>31.82</v>
      </c>
      <c r="M21" s="56">
        <v>35.229999999999997</v>
      </c>
      <c r="N21" s="56">
        <v>909.20</v>
      </c>
      <c r="O21" s="56">
        <v>0</v>
      </c>
      <c r="P21" s="56">
        <v>0.16</v>
      </c>
      <c r="Q21" s="56">
        <v>10.06</v>
      </c>
      <c r="R21" s="43"/>
      <c r="S21" s="43"/>
      <c r="T21" s="43"/>
      <c r="U21" s="43"/>
    </row>
    <row r="22" spans="1:21" s="11" customFormat="1" ht="15">
      <c r="A22" s="55" t="s">
        <v>219</v>
      </c>
      <c r="B22" s="56">
        <v>2.75</v>
      </c>
      <c r="C22" s="56">
        <v>26.51</v>
      </c>
      <c r="D22" s="56">
        <v>15.92</v>
      </c>
      <c r="E22" s="56">
        <v>2.12</v>
      </c>
      <c r="F22" s="56">
        <v>8.82</v>
      </c>
      <c r="G22" s="56">
        <v>27.94</v>
      </c>
      <c r="H22" s="56">
        <v>10.17</v>
      </c>
      <c r="I22" s="56">
        <v>1.69</v>
      </c>
      <c r="J22" s="56">
        <v>1.31</v>
      </c>
      <c r="K22" s="56">
        <v>182.86</v>
      </c>
      <c r="L22" s="56">
        <v>32.94</v>
      </c>
      <c r="M22" s="56">
        <v>34.53</v>
      </c>
      <c r="N22" s="56">
        <v>838.80</v>
      </c>
      <c r="O22" s="56">
        <v>0</v>
      </c>
      <c r="P22" s="56">
        <v>0.19</v>
      </c>
      <c r="Q22" s="56">
        <v>10.02</v>
      </c>
      <c r="R22" s="43"/>
      <c r="S22" s="43"/>
      <c r="T22" s="43"/>
      <c r="U22" s="43"/>
    </row>
    <row r="23" spans="1:21" s="11" customFormat="1" ht="15">
      <c r="A23" s="55" t="s">
        <v>220</v>
      </c>
      <c r="B23" s="56">
        <v>2.75</v>
      </c>
      <c r="C23" s="56">
        <v>21.75</v>
      </c>
      <c r="D23" s="56">
        <v>13.45</v>
      </c>
      <c r="E23" s="56">
        <v>2.2000000000000002</v>
      </c>
      <c r="F23" s="56">
        <v>10.220000000000001</v>
      </c>
      <c r="G23" s="56">
        <v>25.08</v>
      </c>
      <c r="H23" s="56">
        <v>10.199999999999999</v>
      </c>
      <c r="I23" s="56">
        <v>1.61</v>
      </c>
      <c r="J23" s="56">
        <v>1.42</v>
      </c>
      <c r="K23" s="56">
        <v>188.32</v>
      </c>
      <c r="L23" s="56">
        <v>33.299999999999997</v>
      </c>
      <c r="M23" s="56">
        <v>33.68</v>
      </c>
      <c r="N23" s="56">
        <v>665.60</v>
      </c>
      <c r="O23" s="56">
        <v>0</v>
      </c>
      <c r="P23" s="56">
        <v>0.18</v>
      </c>
      <c r="Q23" s="56">
        <v>9.94</v>
      </c>
      <c r="R23" s="43"/>
      <c r="S23" s="43"/>
      <c r="T23" s="43"/>
      <c r="U23" s="43"/>
    </row>
    <row r="24" spans="1:21" s="11" customFormat="1" ht="15">
      <c r="A24" s="55" t="s">
        <v>221</v>
      </c>
      <c r="B24" s="56">
        <v>2.77</v>
      </c>
      <c r="C24" s="56">
        <v>23.96</v>
      </c>
      <c r="D24" s="56">
        <v>14.66</v>
      </c>
      <c r="E24" s="56">
        <v>2.41</v>
      </c>
      <c r="F24" s="56">
        <v>10.36</v>
      </c>
      <c r="G24" s="56">
        <v>22.02</v>
      </c>
      <c r="H24" s="56">
        <v>10.199999999999999</v>
      </c>
      <c r="I24" s="56">
        <v>1.66</v>
      </c>
      <c r="J24" s="56">
        <v>1.34</v>
      </c>
      <c r="K24" s="56">
        <v>192.80</v>
      </c>
      <c r="L24" s="56">
        <v>33.28</v>
      </c>
      <c r="M24" s="56">
        <v>33.78</v>
      </c>
      <c r="N24" s="56">
        <v>346.60</v>
      </c>
      <c r="O24" s="56">
        <v>0</v>
      </c>
      <c r="P24" s="56">
        <v>0.18</v>
      </c>
      <c r="Q24" s="56">
        <v>10.039999999999999</v>
      </c>
      <c r="R24" s="43"/>
      <c r="S24" s="43"/>
      <c r="T24" s="43"/>
      <c r="U24" s="43"/>
    </row>
    <row r="25" spans="1:21" s="11" customFormat="1" ht="15">
      <c r="A25" s="55" t="s">
        <v>222</v>
      </c>
      <c r="B25" s="56">
        <v>2.95</v>
      </c>
      <c r="C25" s="56">
        <v>22.31</v>
      </c>
      <c r="D25" s="56">
        <v>13.86</v>
      </c>
      <c r="E25" s="56">
        <v>0.96</v>
      </c>
      <c r="F25" s="56">
        <v>9.57</v>
      </c>
      <c r="G25" s="56">
        <v>20.47</v>
      </c>
      <c r="H25" s="56">
        <v>8.48</v>
      </c>
      <c r="I25" s="56">
        <v>1.56</v>
      </c>
      <c r="J25" s="56">
        <v>1.68</v>
      </c>
      <c r="K25" s="56">
        <v>185.40</v>
      </c>
      <c r="L25" s="56">
        <v>32.299999999999997</v>
      </c>
      <c r="M25" s="56">
        <v>37.17</v>
      </c>
      <c r="N25" s="56">
        <v>184.30</v>
      </c>
      <c r="O25" s="56">
        <v>0</v>
      </c>
      <c r="P25" s="56">
        <v>0.18</v>
      </c>
      <c r="Q25" s="56">
        <v>9.89</v>
      </c>
      <c r="R25" s="43"/>
      <c r="S25" s="43"/>
      <c r="T25" s="43"/>
      <c r="U25" s="43"/>
    </row>
    <row r="26" spans="1:21" s="11" customFormat="1" ht="15">
      <c r="A26" s="55" t="s">
        <v>223</v>
      </c>
      <c r="B26" s="56">
        <v>3.80</v>
      </c>
      <c r="C26" s="56">
        <v>29.10</v>
      </c>
      <c r="D26" s="56">
        <v>17.93</v>
      </c>
      <c r="E26" s="56">
        <v>1.41</v>
      </c>
      <c r="F26" s="56">
        <v>8.5500000000000007</v>
      </c>
      <c r="G26" s="56">
        <v>32.11</v>
      </c>
      <c r="H26" s="56">
        <v>8.24</v>
      </c>
      <c r="I26" s="56">
        <v>1.52</v>
      </c>
      <c r="J26" s="56">
        <v>4.47</v>
      </c>
      <c r="K26" s="56">
        <v>350.48</v>
      </c>
      <c r="L26" s="56">
        <v>30.66</v>
      </c>
      <c r="M26" s="56">
        <v>65.13</v>
      </c>
      <c r="N26" s="56">
        <v>77.30</v>
      </c>
      <c r="O26" s="56">
        <v>1.40</v>
      </c>
      <c r="P26" s="56">
        <v>0.25</v>
      </c>
      <c r="Q26" s="56">
        <v>9.8800000000000008</v>
      </c>
      <c r="R26" s="43"/>
      <c r="S26" s="43"/>
      <c r="T26" s="43"/>
      <c r="U26" s="43"/>
    </row>
    <row r="27" spans="1:21" s="11" customFormat="1" ht="15">
      <c r="A27" s="55" t="s">
        <v>224</v>
      </c>
      <c r="B27" s="56">
        <v>3.5</v>
      </c>
      <c r="C27" s="56">
        <v>35.159999999999997</v>
      </c>
      <c r="D27" s="56">
        <v>20.82</v>
      </c>
      <c r="E27" s="56">
        <v>1.30</v>
      </c>
      <c r="F27" s="56">
        <v>8.4499999999999993</v>
      </c>
      <c r="G27" s="56">
        <v>41.98</v>
      </c>
      <c r="H27" s="56">
        <v>9.89</v>
      </c>
      <c r="I27" s="56">
        <v>1.85</v>
      </c>
      <c r="J27" s="56">
        <v>3.29</v>
      </c>
      <c r="K27" s="56">
        <v>351.19</v>
      </c>
      <c r="L27" s="56">
        <v>20.83</v>
      </c>
      <c r="M27" s="56">
        <v>93.32</v>
      </c>
      <c r="N27" s="56">
        <v>18</v>
      </c>
      <c r="O27" s="56">
        <v>1</v>
      </c>
      <c r="P27" s="56">
        <v>0.30</v>
      </c>
      <c r="Q27" s="56">
        <v>9.9700000000000006</v>
      </c>
      <c r="R27" s="43"/>
      <c r="S27" s="43"/>
      <c r="T27" s="43"/>
      <c r="U27" s="43"/>
    </row>
    <row r="28" spans="1:21" s="11" customFormat="1" ht="15">
      <c r="A28" s="55" t="s">
        <v>225</v>
      </c>
      <c r="B28" s="56">
        <v>3.39</v>
      </c>
      <c r="C28" s="56">
        <v>26.42</v>
      </c>
      <c r="D28" s="56">
        <v>16.440000000000001</v>
      </c>
      <c r="E28" s="56">
        <v>1.48</v>
      </c>
      <c r="F28" s="56">
        <v>6.26</v>
      </c>
      <c r="G28" s="56">
        <v>43.47</v>
      </c>
      <c r="H28" s="56">
        <v>11.05</v>
      </c>
      <c r="I28" s="56">
        <v>2.04</v>
      </c>
      <c r="J28" s="56">
        <v>1.08</v>
      </c>
      <c r="K28" s="56">
        <v>358.10</v>
      </c>
      <c r="L28" s="56">
        <v>19.190000000000001</v>
      </c>
      <c r="M28" s="56">
        <v>98.18</v>
      </c>
      <c r="N28" s="56">
        <v>16.600000000000001</v>
      </c>
      <c r="O28" s="56">
        <v>4.20</v>
      </c>
      <c r="P28" s="56">
        <v>0.30</v>
      </c>
      <c r="Q28" s="56">
        <v>9.92</v>
      </c>
      <c r="R28" s="43"/>
      <c r="S28" s="43"/>
      <c r="T28" s="43"/>
      <c r="U28" s="43"/>
    </row>
    <row r="29" spans="1:21" s="11" customFormat="1" ht="15">
      <c r="A29" s="55" t="s">
        <v>226</v>
      </c>
      <c r="B29" s="56">
        <v>3.66</v>
      </c>
      <c r="C29" s="56">
        <v>24.93</v>
      </c>
      <c r="D29" s="56">
        <v>15.88</v>
      </c>
      <c r="E29" s="56">
        <v>1.06</v>
      </c>
      <c r="F29" s="56">
        <v>6.97</v>
      </c>
      <c r="G29" s="56">
        <v>32.340000000000003</v>
      </c>
      <c r="H29" s="56">
        <v>7.77</v>
      </c>
      <c r="I29" s="56">
        <v>1.99</v>
      </c>
      <c r="J29" s="56">
        <v>2.0699999999999998</v>
      </c>
      <c r="K29" s="56">
        <v>163.60</v>
      </c>
      <c r="L29" s="56">
        <v>19.16</v>
      </c>
      <c r="M29" s="56">
        <v>98.18</v>
      </c>
      <c r="N29" s="56">
        <v>17.399999999999999</v>
      </c>
      <c r="O29" s="56">
        <v>0.80</v>
      </c>
      <c r="P29" s="56">
        <v>0.28000000000000003</v>
      </c>
      <c r="Q29" s="56">
        <v>9.90</v>
      </c>
      <c r="R29" s="43"/>
      <c r="S29" s="43"/>
      <c r="T29" s="43"/>
      <c r="U29" s="43"/>
    </row>
    <row r="30" spans="1:21" s="11" customFormat="1" ht="15">
      <c r="A30" s="55" t="s">
        <v>227</v>
      </c>
      <c r="B30" s="56">
        <v>3.21</v>
      </c>
      <c r="C30" s="56">
        <v>23.18</v>
      </c>
      <c r="D30" s="56">
        <v>14.46</v>
      </c>
      <c r="E30" s="56">
        <v>0.95</v>
      </c>
      <c r="F30" s="56">
        <v>6.01</v>
      </c>
      <c r="G30" s="56">
        <v>19.86</v>
      </c>
      <c r="H30" s="56">
        <v>6.81</v>
      </c>
      <c r="I30" s="56">
        <v>2.5499999999999998</v>
      </c>
      <c r="J30" s="56">
        <v>1.66</v>
      </c>
      <c r="K30" s="56">
        <v>152.34</v>
      </c>
      <c r="L30" s="56">
        <v>22.40</v>
      </c>
      <c r="M30" s="56">
        <v>86.37</v>
      </c>
      <c r="N30" s="56">
        <v>17.70</v>
      </c>
      <c r="O30" s="56">
        <v>0</v>
      </c>
      <c r="P30" s="56">
        <v>0.26</v>
      </c>
      <c r="Q30" s="56">
        <v>9.7899999999999991</v>
      </c>
      <c r="R30" s="43"/>
      <c r="S30" s="43"/>
      <c r="T30" s="43"/>
      <c r="U30" s="43"/>
    </row>
    <row r="31" spans="1:21" s="11" customFormat="1" ht="15">
      <c r="A31" s="55" t="s">
        <v>228</v>
      </c>
      <c r="B31" s="56">
        <v>3.93</v>
      </c>
      <c r="C31" s="56">
        <v>22.78</v>
      </c>
      <c r="D31" s="56">
        <v>14.97</v>
      </c>
      <c r="E31" s="56">
        <v>0.95</v>
      </c>
      <c r="F31" s="56">
        <v>4.62</v>
      </c>
      <c r="G31" s="56">
        <v>17.30</v>
      </c>
      <c r="H31" s="56">
        <v>5.27</v>
      </c>
      <c r="I31" s="56">
        <v>2.85</v>
      </c>
      <c r="J31" s="56">
        <v>1.36</v>
      </c>
      <c r="K31" s="56">
        <v>353.13</v>
      </c>
      <c r="L31" s="56">
        <v>23.01</v>
      </c>
      <c r="M31" s="56">
        <v>82</v>
      </c>
      <c r="N31" s="56">
        <v>17.30</v>
      </c>
      <c r="O31" s="56">
        <v>0</v>
      </c>
      <c r="P31" s="56">
        <v>0.25</v>
      </c>
      <c r="Q31" s="56">
        <v>9.77</v>
      </c>
      <c r="R31" s="43"/>
      <c r="S31" s="43"/>
      <c r="T31" s="43"/>
      <c r="U31" s="43"/>
    </row>
    <row r="32" spans="1:21" s="11" customFormat="1" ht="15">
      <c r="A32" s="55" t="s">
        <v>229</v>
      </c>
      <c r="B32" s="56">
        <v>4.95</v>
      </c>
      <c r="C32" s="56">
        <v>28.18</v>
      </c>
      <c r="D32" s="56">
        <v>18.5</v>
      </c>
      <c r="E32" s="56">
        <v>1.61</v>
      </c>
      <c r="F32" s="56">
        <v>4.37</v>
      </c>
      <c r="G32" s="56">
        <v>18.23</v>
      </c>
      <c r="H32" s="56">
        <v>6.20</v>
      </c>
      <c r="I32" s="56">
        <v>3.08</v>
      </c>
      <c r="J32" s="56">
        <v>1.68</v>
      </c>
      <c r="K32" s="56">
        <v>353.86</v>
      </c>
      <c r="L32" s="56">
        <v>20.86</v>
      </c>
      <c r="M32" s="56">
        <v>84.68</v>
      </c>
      <c r="N32" s="56">
        <v>16</v>
      </c>
      <c r="O32" s="56">
        <v>0</v>
      </c>
      <c r="P32" s="56">
        <v>0.28000000000000003</v>
      </c>
      <c r="Q32" s="56">
        <v>9.90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2.75</v>
      </c>
      <c r="C34" s="28">
        <f t="shared" si="0"/>
        <v>21.75</v>
      </c>
      <c r="D34" s="28">
        <f t="shared" si="0"/>
        <v>13.449999999999999</v>
      </c>
      <c r="E34" s="28">
        <f t="shared" si="0"/>
        <v>0.94999999999999996</v>
      </c>
      <c r="F34" s="28">
        <f t="shared" si="0"/>
        <v>3.79</v>
      </c>
      <c r="G34" s="28">
        <f t="shared" si="0"/>
        <v>17.300000000000001</v>
      </c>
      <c r="H34" s="28">
        <f t="shared" si="0"/>
        <v>5.2699999999999996</v>
      </c>
      <c r="I34" s="28">
        <f t="shared" si="0"/>
        <v>1.52</v>
      </c>
      <c r="J34" s="28">
        <f t="shared" si="0"/>
        <v>0.11</v>
      </c>
      <c r="K34" s="28">
        <f t="shared" si="0"/>
        <v>9.4399999999999995</v>
      </c>
      <c r="L34" s="28">
        <f t="shared" si="0"/>
        <v>19.16</v>
      </c>
      <c r="M34" s="28">
        <f t="shared" si="0"/>
        <v>32.109999999999999</v>
      </c>
      <c r="N34" s="28">
        <f t="shared" si="0"/>
        <v>15.4</v>
      </c>
      <c r="O34" s="28">
        <f t="shared" si="0"/>
        <v>0</v>
      </c>
      <c r="P34" s="28">
        <f t="shared" si="0"/>
        <v>0.16</v>
      </c>
      <c r="Q34" s="28">
        <f t="shared" si="0"/>
        <v>9.7699999999999996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19.609999999999999</v>
      </c>
      <c r="C35" s="29">
        <f t="shared" si="1"/>
        <v>37.109999999999999</v>
      </c>
      <c r="D35" s="29">
        <f t="shared" si="1"/>
        <v>35.030000000000001</v>
      </c>
      <c r="E35" s="29">
        <f t="shared" si="1"/>
        <v>2.4100000000000001</v>
      </c>
      <c r="F35" s="29">
        <f t="shared" si="1"/>
        <v>10.359999999999999</v>
      </c>
      <c r="G35" s="29">
        <f t="shared" si="1"/>
        <v>82.959999999999994</v>
      </c>
      <c r="H35" s="29">
        <f t="shared" si="1"/>
        <v>21.59</v>
      </c>
      <c r="I35" s="29">
        <f t="shared" si="1"/>
        <v>7.7599999999999998</v>
      </c>
      <c r="J35" s="29">
        <f t="shared" si="1"/>
        <v>4.4699999999999998</v>
      </c>
      <c r="K35" s="29">
        <f t="shared" si="1"/>
        <v>358.10000000000002</v>
      </c>
      <c r="L35" s="29">
        <f t="shared" si="1"/>
        <v>33.299999999999997</v>
      </c>
      <c r="M35" s="29">
        <f t="shared" si="1"/>
        <v>98.180000000000007</v>
      </c>
      <c r="N35" s="29">
        <f t="shared" si="1"/>
        <v>924.10000000000002</v>
      </c>
      <c r="O35" s="29">
        <f t="shared" si="1"/>
        <v>4.2000000000000002</v>
      </c>
      <c r="P35" s="29">
        <f t="shared" si="1"/>
        <v>0.85999999999999999</v>
      </c>
      <c r="Q35" s="29">
        <f t="shared" si="1"/>
        <v>10.75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5.3499999999999988</v>
      </c>
      <c r="C36" s="28">
        <f t="shared" si="2"/>
        <v>27.514166666666657</v>
      </c>
      <c r="D36" s="28">
        <f t="shared" si="2"/>
        <v>18.481250000000003</v>
      </c>
      <c r="E36" s="28">
        <f t="shared" si="2"/>
        <v>1.5087500000000003</v>
      </c>
      <c r="F36" s="28">
        <f t="shared" si="2"/>
        <v>6.6304166666666662</v>
      </c>
      <c r="G36" s="28">
        <f t="shared" si="2"/>
        <v>37.451250000000009</v>
      </c>
      <c r="H36" s="28">
        <f t="shared" si="2"/>
        <v>11.859166666666662</v>
      </c>
      <c r="I36" s="28">
        <f t="shared" si="2"/>
        <v>3.7983333333333325</v>
      </c>
      <c r="J36" s="28">
        <f t="shared" si="2"/>
        <v>1.3104166666666666</v>
      </c>
      <c r="K36" s="28">
        <f t="shared" si="2"/>
        <v>241.08625000000006</v>
      </c>
      <c r="L36" s="28">
        <f t="shared" si="2"/>
        <v>27.399583333333336</v>
      </c>
      <c r="M36" s="28">
        <f t="shared" si="2"/>
        <v>54.638750000000009</v>
      </c>
      <c r="N36" s="28">
        <f t="shared" si="2"/>
        <v>258.96666666666675</v>
      </c>
      <c r="O36" s="28">
        <f t="shared" si="2"/>
        <v>0.30833333333333329</v>
      </c>
      <c r="P36" s="28">
        <f t="shared" si="2"/>
        <v>0.33833333333333321</v>
      </c>
      <c r="Q36" s="28">
        <f t="shared" si="2"/>
        <v>10.172083333333333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4.0942239270974676</v>
      </c>
      <c r="C37" s="28">
        <f t="shared" si="3" ref="C37:Q37">STDEV(C9:C32)</f>
        <v>4.1541994642056359</v>
      </c>
      <c r="D37" s="28">
        <f t="shared" si="3"/>
        <v>5.1448812150905061</v>
      </c>
      <c r="E37" s="28">
        <f t="shared" si="3"/>
        <v>0.41723012626231715</v>
      </c>
      <c r="F37" s="28">
        <f t="shared" si="3"/>
        <v>2.3104930382301854</v>
      </c>
      <c r="G37" s="28">
        <f t="shared" si="3"/>
        <v>15.094813768887327</v>
      </c>
      <c r="H37" s="28">
        <f t="shared" si="3"/>
        <v>4.180968180641452</v>
      </c>
      <c r="I37" s="28">
        <f t="shared" si="3"/>
        <v>2.2024702863645746</v>
      </c>
      <c r="J37" s="28">
        <f t="shared" si="3"/>
        <v>0.9846097402421482</v>
      </c>
      <c r="K37" s="28">
        <f t="shared" si="3"/>
        <v>92.632055997745908</v>
      </c>
      <c r="L37" s="28">
        <f t="shared" si="3"/>
        <v>4.440680009781703</v>
      </c>
      <c r="M37" s="28">
        <f t="shared" si="3"/>
        <v>23.017647164257696</v>
      </c>
      <c r="N37" s="28">
        <f t="shared" si="3"/>
        <v>356.45279907866404</v>
      </c>
      <c r="O37" s="28">
        <f t="shared" si="3"/>
        <v>0.90789611868255093</v>
      </c>
      <c r="P37" s="28">
        <f t="shared" si="3"/>
        <v>0.17958083239120723</v>
      </c>
      <c r="Q37" s="28">
        <f t="shared" si="3"/>
        <v>0.28841363965011807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64f99a-8b4d-476f-8639-2b5c7798ae1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230</v>
      </c>
      <c r="B9" s="56">
        <v>6.23</v>
      </c>
      <c r="C9" s="56">
        <v>27.41</v>
      </c>
      <c r="D9" s="56">
        <v>18.78</v>
      </c>
      <c r="E9" s="56">
        <v>1.41</v>
      </c>
      <c r="F9" s="56">
        <v>3.88</v>
      </c>
      <c r="G9" s="56">
        <v>22.22</v>
      </c>
      <c r="H9" s="56">
        <v>6.86</v>
      </c>
      <c r="I9" s="56">
        <v>3.56</v>
      </c>
      <c r="J9" s="56">
        <v>0.96</v>
      </c>
      <c r="K9" s="56">
        <v>341.69</v>
      </c>
      <c r="L9" s="56">
        <v>20.80</v>
      </c>
      <c r="M9" s="56">
        <v>89.08</v>
      </c>
      <c r="N9" s="56">
        <v>15.80</v>
      </c>
      <c r="O9" s="56">
        <v>0</v>
      </c>
      <c r="P9" s="56">
        <v>0.28999999999999998</v>
      </c>
      <c r="Q9" s="56">
        <v>9.89</v>
      </c>
      <c r="R9" s="43"/>
      <c r="S9" s="43"/>
      <c r="T9" s="43"/>
      <c r="U9" s="43"/>
    </row>
    <row r="10" spans="1:21" s="11" customFormat="1" ht="15">
      <c r="A10" s="55" t="s">
        <v>231</v>
      </c>
      <c r="B10" s="56">
        <v>6.04</v>
      </c>
      <c r="C10" s="56">
        <v>26.29</v>
      </c>
      <c r="D10" s="56">
        <v>18.5</v>
      </c>
      <c r="E10" s="56">
        <v>1.20</v>
      </c>
      <c r="F10" s="56">
        <v>4.47</v>
      </c>
      <c r="G10" s="56">
        <v>28.33</v>
      </c>
      <c r="H10" s="56">
        <v>7.78</v>
      </c>
      <c r="I10" s="56">
        <v>3.42</v>
      </c>
      <c r="J10" s="56">
        <v>0.35</v>
      </c>
      <c r="K10" s="56">
        <v>343.28</v>
      </c>
      <c r="L10" s="56">
        <v>20.27</v>
      </c>
      <c r="M10" s="56">
        <v>94.26</v>
      </c>
      <c r="N10" s="56">
        <v>15.70</v>
      </c>
      <c r="O10" s="56">
        <v>0</v>
      </c>
      <c r="P10" s="56">
        <v>0.28999999999999998</v>
      </c>
      <c r="Q10" s="56">
        <v>9.90</v>
      </c>
      <c r="R10" s="43"/>
      <c r="S10" s="43"/>
      <c r="T10" s="43"/>
      <c r="U10" s="43"/>
    </row>
    <row r="11" spans="1:21" s="11" customFormat="1" ht="15">
      <c r="A11" s="55" t="s">
        <v>232</v>
      </c>
      <c r="B11" s="56">
        <v>3.51</v>
      </c>
      <c r="C11" s="56">
        <v>23.75</v>
      </c>
      <c r="D11" s="56">
        <v>14.81</v>
      </c>
      <c r="E11" s="56">
        <v>1.08</v>
      </c>
      <c r="F11" s="56">
        <v>4.5199999999999996</v>
      </c>
      <c r="G11" s="56">
        <v>32.01</v>
      </c>
      <c r="H11" s="56">
        <v>8.34</v>
      </c>
      <c r="I11" s="56">
        <v>3.05</v>
      </c>
      <c r="J11" s="56">
        <v>0.69</v>
      </c>
      <c r="K11" s="56">
        <v>205.77</v>
      </c>
      <c r="L11" s="56">
        <v>19.91</v>
      </c>
      <c r="M11" s="56">
        <v>96.77</v>
      </c>
      <c r="N11" s="56">
        <v>15.70</v>
      </c>
      <c r="O11" s="56">
        <v>0</v>
      </c>
      <c r="P11" s="56">
        <v>0.31</v>
      </c>
      <c r="Q11" s="56">
        <v>9.76</v>
      </c>
      <c r="R11" s="43"/>
      <c r="S11" s="43"/>
      <c r="T11" s="43"/>
      <c r="U11" s="43"/>
    </row>
    <row r="12" spans="1:21" s="11" customFormat="1" ht="15">
      <c r="A12" s="55" t="s">
        <v>233</v>
      </c>
      <c r="B12" s="56">
        <v>3.83</v>
      </c>
      <c r="C12" s="56">
        <v>21.33</v>
      </c>
      <c r="D12" s="56">
        <v>14</v>
      </c>
      <c r="E12" s="56">
        <v>1.28</v>
      </c>
      <c r="F12" s="56">
        <v>4.2699999999999996</v>
      </c>
      <c r="G12" s="56">
        <v>29.46</v>
      </c>
      <c r="H12" s="56">
        <v>7.44</v>
      </c>
      <c r="I12" s="56">
        <v>2.89</v>
      </c>
      <c r="J12" s="56">
        <v>0.48</v>
      </c>
      <c r="K12" s="56">
        <v>222.30</v>
      </c>
      <c r="L12" s="56">
        <v>19.53</v>
      </c>
      <c r="M12" s="56">
        <v>96.75</v>
      </c>
      <c r="N12" s="56">
        <v>15.70</v>
      </c>
      <c r="O12" s="56">
        <v>0</v>
      </c>
      <c r="P12" s="56">
        <v>0.30</v>
      </c>
      <c r="Q12" s="56">
        <v>9.7200000000000006</v>
      </c>
      <c r="R12" s="43"/>
      <c r="S12" s="43"/>
      <c r="T12" s="43"/>
      <c r="U12" s="43"/>
    </row>
    <row r="13" spans="1:21" s="11" customFormat="1" ht="15">
      <c r="A13" s="55" t="s">
        <v>234</v>
      </c>
      <c r="B13" s="56">
        <v>4.25</v>
      </c>
      <c r="C13" s="56">
        <v>22.89</v>
      </c>
      <c r="D13" s="56">
        <v>15.29</v>
      </c>
      <c r="E13" s="56">
        <v>1.33</v>
      </c>
      <c r="F13" s="56">
        <v>4.4400000000000004</v>
      </c>
      <c r="G13" s="56">
        <v>19.32</v>
      </c>
      <c r="H13" s="56">
        <v>5.93</v>
      </c>
      <c r="I13" s="56">
        <v>2.82</v>
      </c>
      <c r="J13" s="56">
        <v>0.28999999999999998</v>
      </c>
      <c r="K13" s="56">
        <v>356.22</v>
      </c>
      <c r="L13" s="56">
        <v>19.899999999999999</v>
      </c>
      <c r="M13" s="56">
        <v>95.18</v>
      </c>
      <c r="N13" s="56">
        <v>15.80</v>
      </c>
      <c r="O13" s="56">
        <v>0</v>
      </c>
      <c r="P13" s="56">
        <v>0.28999999999999998</v>
      </c>
      <c r="Q13" s="56">
        <v>9.7799999999999994</v>
      </c>
      <c r="R13" s="43"/>
      <c r="S13" s="43"/>
      <c r="T13" s="43"/>
      <c r="U13" s="43"/>
    </row>
    <row r="14" spans="1:21" s="11" customFormat="1" ht="15">
      <c r="A14" s="55" t="s">
        <v>235</v>
      </c>
      <c r="B14" s="56">
        <v>4.88</v>
      </c>
      <c r="C14" s="56">
        <v>23.92</v>
      </c>
      <c r="D14" s="56">
        <v>16.11</v>
      </c>
      <c r="E14" s="56">
        <v>1.45</v>
      </c>
      <c r="F14" s="56">
        <v>3.87</v>
      </c>
      <c r="G14" s="56">
        <v>19.25</v>
      </c>
      <c r="H14" s="56">
        <v>5.67</v>
      </c>
      <c r="I14" s="56">
        <v>2.74</v>
      </c>
      <c r="J14" s="56">
        <v>0.26</v>
      </c>
      <c r="K14" s="56">
        <v>335.75</v>
      </c>
      <c r="L14" s="56">
        <v>20.04</v>
      </c>
      <c r="M14" s="56">
        <v>93.98</v>
      </c>
      <c r="N14" s="56">
        <v>39</v>
      </c>
      <c r="O14" s="56">
        <v>0</v>
      </c>
      <c r="P14" s="56">
        <v>0.32</v>
      </c>
      <c r="Q14" s="56">
        <v>9.7799999999999994</v>
      </c>
      <c r="R14" s="43"/>
      <c r="S14" s="43"/>
      <c r="T14" s="43"/>
      <c r="U14" s="43"/>
    </row>
    <row r="15" spans="1:21" s="11" customFormat="1" ht="15">
      <c r="A15" s="55" t="s">
        <v>236</v>
      </c>
      <c r="B15" s="56">
        <v>5.54</v>
      </c>
      <c r="C15" s="56">
        <v>23.88</v>
      </c>
      <c r="D15" s="56">
        <v>16.579999999999998</v>
      </c>
      <c r="E15" s="56">
        <v>1.32</v>
      </c>
      <c r="F15" s="56">
        <v>3.73</v>
      </c>
      <c r="G15" s="56">
        <v>20.22</v>
      </c>
      <c r="H15" s="56">
        <v>6.11</v>
      </c>
      <c r="I15" s="56">
        <v>3.16</v>
      </c>
      <c r="J15" s="56">
        <v>1.1399999999999999</v>
      </c>
      <c r="K15" s="56">
        <v>159.26</v>
      </c>
      <c r="L15" s="56">
        <v>20.71</v>
      </c>
      <c r="M15" s="56">
        <v>92.47</v>
      </c>
      <c r="N15" s="56">
        <v>133.10</v>
      </c>
      <c r="O15" s="56">
        <v>0</v>
      </c>
      <c r="P15" s="56">
        <v>0.35</v>
      </c>
      <c r="Q15" s="56">
        <v>9.7899999999999991</v>
      </c>
      <c r="R15" s="43"/>
      <c r="S15" s="43"/>
      <c r="T15" s="43"/>
      <c r="U15" s="43"/>
    </row>
    <row r="16" spans="1:21" s="11" customFormat="1" ht="15">
      <c r="A16" s="55" t="s">
        <v>237</v>
      </c>
      <c r="B16" s="56">
        <v>5.94</v>
      </c>
      <c r="C16" s="56">
        <v>23.89</v>
      </c>
      <c r="D16" s="56">
        <v>16.86</v>
      </c>
      <c r="E16" s="56">
        <v>1.17</v>
      </c>
      <c r="F16" s="56">
        <v>3.80</v>
      </c>
      <c r="G16" s="56">
        <v>21.22</v>
      </c>
      <c r="H16" s="56">
        <v>5.17</v>
      </c>
      <c r="I16" s="56">
        <v>3.49</v>
      </c>
      <c r="J16" s="56">
        <v>1.23</v>
      </c>
      <c r="K16" s="56">
        <v>162.37</v>
      </c>
      <c r="L16" s="56">
        <v>23.30</v>
      </c>
      <c r="M16" s="56">
        <v>89.59</v>
      </c>
      <c r="N16" s="56">
        <v>449.60</v>
      </c>
      <c r="O16" s="56">
        <v>0</v>
      </c>
      <c r="P16" s="56">
        <v>0.36</v>
      </c>
      <c r="Q16" s="56">
        <v>9.7799999999999994</v>
      </c>
      <c r="R16" s="43"/>
      <c r="S16" s="43"/>
      <c r="T16" s="43"/>
      <c r="U16" s="43"/>
    </row>
    <row r="17" spans="1:21" s="11" customFormat="1" ht="15">
      <c r="A17" s="55" t="s">
        <v>238</v>
      </c>
      <c r="B17" s="56">
        <v>5.35</v>
      </c>
      <c r="C17" s="56">
        <v>24.57</v>
      </c>
      <c r="D17" s="56">
        <v>16.829999999999998</v>
      </c>
      <c r="E17" s="56">
        <v>0.69</v>
      </c>
      <c r="F17" s="56">
        <v>4.47</v>
      </c>
      <c r="G17" s="56">
        <v>20.78</v>
      </c>
      <c r="H17" s="56">
        <v>4.6900000000000004</v>
      </c>
      <c r="I17" s="56">
        <v>3.79</v>
      </c>
      <c r="J17" s="56">
        <v>1.57</v>
      </c>
      <c r="K17" s="56">
        <v>160.18</v>
      </c>
      <c r="L17" s="56">
        <v>24.27</v>
      </c>
      <c r="M17" s="56">
        <v>76.64</v>
      </c>
      <c r="N17" s="56">
        <v>613.10</v>
      </c>
      <c r="O17" s="56">
        <v>0</v>
      </c>
      <c r="P17" s="56">
        <v>0.34</v>
      </c>
      <c r="Q17" s="56">
        <v>9.77</v>
      </c>
      <c r="R17" s="43"/>
      <c r="S17" s="43"/>
      <c r="T17" s="43"/>
      <c r="U17" s="43"/>
    </row>
    <row r="18" spans="1:21" s="11" customFormat="1" ht="15">
      <c r="A18" s="55" t="s">
        <v>239</v>
      </c>
      <c r="B18" s="56">
        <v>4.05</v>
      </c>
      <c r="C18" s="56">
        <v>25.18</v>
      </c>
      <c r="D18" s="56">
        <v>16.32</v>
      </c>
      <c r="E18" s="56">
        <v>0.84</v>
      </c>
      <c r="F18" s="56">
        <v>4.72</v>
      </c>
      <c r="G18" s="56">
        <v>20.73</v>
      </c>
      <c r="H18" s="56">
        <v>5.24</v>
      </c>
      <c r="I18" s="56">
        <v>4.13</v>
      </c>
      <c r="J18" s="56">
        <v>1.38</v>
      </c>
      <c r="K18" s="56">
        <v>180.64</v>
      </c>
      <c r="L18" s="56">
        <v>26.71</v>
      </c>
      <c r="M18" s="56">
        <v>72.510000000000005</v>
      </c>
      <c r="N18" s="56">
        <v>803.70</v>
      </c>
      <c r="O18" s="56">
        <v>0</v>
      </c>
      <c r="P18" s="56">
        <v>0.33</v>
      </c>
      <c r="Q18" s="56">
        <v>9.7899999999999991</v>
      </c>
      <c r="R18" s="43"/>
      <c r="S18" s="43"/>
      <c r="T18" s="43"/>
      <c r="U18" s="43"/>
    </row>
    <row r="19" spans="1:21" s="11" customFormat="1" ht="15">
      <c r="A19" s="55" t="s">
        <v>240</v>
      </c>
      <c r="B19" s="56">
        <v>3.28</v>
      </c>
      <c r="C19" s="56">
        <v>24.97</v>
      </c>
      <c r="D19" s="56">
        <v>15.59</v>
      </c>
      <c r="E19" s="56">
        <v>1.01</v>
      </c>
      <c r="F19" s="56">
        <v>19.559999999999999</v>
      </c>
      <c r="G19" s="56">
        <v>17.54</v>
      </c>
      <c r="H19" s="56">
        <v>5.05</v>
      </c>
      <c r="I19" s="56">
        <v>4.1399999999999997</v>
      </c>
      <c r="J19" s="56">
        <v>1.26</v>
      </c>
      <c r="K19" s="56">
        <v>167.78</v>
      </c>
      <c r="L19" s="56">
        <v>27.44</v>
      </c>
      <c r="M19" s="56">
        <v>64.23</v>
      </c>
      <c r="N19" s="56">
        <v>928</v>
      </c>
      <c r="O19" s="56">
        <v>0</v>
      </c>
      <c r="P19" s="56">
        <v>0.32</v>
      </c>
      <c r="Q19" s="56">
        <v>9.7799999999999994</v>
      </c>
      <c r="R19" s="43"/>
      <c r="S19" s="43"/>
      <c r="T19" s="43"/>
      <c r="U19" s="43"/>
    </row>
    <row r="20" spans="1:21" s="11" customFormat="1" ht="15">
      <c r="A20" s="55" t="s">
        <v>241</v>
      </c>
      <c r="B20" s="56">
        <v>2.08</v>
      </c>
      <c r="C20" s="56">
        <v>23.48</v>
      </c>
      <c r="D20" s="56">
        <v>13.85</v>
      </c>
      <c r="E20" s="56">
        <v>2.39</v>
      </c>
      <c r="F20" s="56">
        <v>15.27</v>
      </c>
      <c r="G20" s="56">
        <v>18.03</v>
      </c>
      <c r="H20" s="56">
        <v>5.21</v>
      </c>
      <c r="I20" s="56">
        <v>2.61</v>
      </c>
      <c r="J20" s="56">
        <v>0.78</v>
      </c>
      <c r="K20" s="56">
        <v>189.33</v>
      </c>
      <c r="L20" s="56">
        <v>29.65</v>
      </c>
      <c r="M20" s="56">
        <v>57.75</v>
      </c>
      <c r="N20" s="56">
        <v>961.70</v>
      </c>
      <c r="O20" s="56">
        <v>0</v>
      </c>
      <c r="P20" s="56">
        <v>0.28000000000000003</v>
      </c>
      <c r="Q20" s="56">
        <v>9.6300000000000008</v>
      </c>
      <c r="R20" s="43"/>
      <c r="S20" s="43"/>
      <c r="T20" s="43"/>
      <c r="U20" s="43"/>
    </row>
    <row r="21" spans="1:21" s="11" customFormat="1" ht="15">
      <c r="A21" s="55" t="s">
        <v>242</v>
      </c>
      <c r="B21" s="56">
        <v>2.36</v>
      </c>
      <c r="C21" s="56">
        <v>21.78</v>
      </c>
      <c r="D21" s="56">
        <v>13.04</v>
      </c>
      <c r="E21" s="56">
        <v>1.59</v>
      </c>
      <c r="F21" s="56">
        <v>8.9499999999999993</v>
      </c>
      <c r="G21" s="56">
        <v>21.76</v>
      </c>
      <c r="H21" s="56">
        <v>6.84</v>
      </c>
      <c r="I21" s="56">
        <v>2.29</v>
      </c>
      <c r="J21" s="56">
        <v>0.56999999999999995</v>
      </c>
      <c r="K21" s="56">
        <v>188.77</v>
      </c>
      <c r="L21" s="56">
        <v>30.74</v>
      </c>
      <c r="M21" s="56">
        <v>50.67</v>
      </c>
      <c r="N21" s="56">
        <v>955.20</v>
      </c>
      <c r="O21" s="56">
        <v>0</v>
      </c>
      <c r="P21" s="56">
        <v>0.26</v>
      </c>
      <c r="Q21" s="56">
        <v>9.49</v>
      </c>
      <c r="R21" s="43"/>
      <c r="S21" s="43"/>
      <c r="T21" s="43"/>
      <c r="U21" s="43"/>
    </row>
    <row r="22" spans="1:21" s="11" customFormat="1" ht="15">
      <c r="A22" s="55" t="s">
        <v>243</v>
      </c>
      <c r="B22" s="56">
        <v>2.61</v>
      </c>
      <c r="C22" s="56">
        <v>20.23</v>
      </c>
      <c r="D22" s="56">
        <v>12.39</v>
      </c>
      <c r="E22" s="56">
        <v>1.71</v>
      </c>
      <c r="F22" s="56">
        <v>8.26</v>
      </c>
      <c r="G22" s="56">
        <v>21.55</v>
      </c>
      <c r="H22" s="56">
        <v>8.42</v>
      </c>
      <c r="I22" s="56">
        <v>2</v>
      </c>
      <c r="J22" s="56">
        <v>1.32</v>
      </c>
      <c r="K22" s="56">
        <v>341.29</v>
      </c>
      <c r="L22" s="56">
        <v>31.72</v>
      </c>
      <c r="M22" s="56">
        <v>45.45</v>
      </c>
      <c r="N22" s="56">
        <v>890.60</v>
      </c>
      <c r="O22" s="56">
        <v>0</v>
      </c>
      <c r="P22" s="56">
        <v>0.28000000000000003</v>
      </c>
      <c r="Q22" s="56">
        <v>9.60</v>
      </c>
      <c r="R22" s="43"/>
      <c r="S22" s="43"/>
      <c r="T22" s="43"/>
      <c r="U22" s="43"/>
    </row>
    <row r="23" spans="1:21" s="11" customFormat="1" ht="15">
      <c r="A23" s="55" t="s">
        <v>244</v>
      </c>
      <c r="B23" s="56">
        <v>2.89</v>
      </c>
      <c r="C23" s="56">
        <v>19.61</v>
      </c>
      <c r="D23" s="56">
        <v>11.93</v>
      </c>
      <c r="E23" s="56">
        <v>3.59</v>
      </c>
      <c r="F23" s="56">
        <v>63.89</v>
      </c>
      <c r="G23" s="56">
        <v>22.53</v>
      </c>
      <c r="H23" s="56">
        <v>6.45</v>
      </c>
      <c r="I23" s="56">
        <v>2.72</v>
      </c>
      <c r="J23" s="56">
        <v>0.99</v>
      </c>
      <c r="K23" s="56">
        <v>356.53</v>
      </c>
      <c r="L23" s="56">
        <v>31.24</v>
      </c>
      <c r="M23" s="56">
        <v>45.07</v>
      </c>
      <c r="N23" s="56">
        <v>506.5</v>
      </c>
      <c r="O23" s="56">
        <v>0</v>
      </c>
      <c r="P23" s="56">
        <v>0.30</v>
      </c>
      <c r="Q23" s="56">
        <v>9.68</v>
      </c>
      <c r="R23" s="43"/>
      <c r="S23" s="43"/>
      <c r="T23" s="43"/>
      <c r="U23" s="43"/>
    </row>
    <row r="24" spans="1:21" s="11" customFormat="1" ht="15">
      <c r="A24" s="55" t="s">
        <v>245</v>
      </c>
      <c r="B24" s="56">
        <v>0.59</v>
      </c>
      <c r="C24" s="56">
        <v>20.23</v>
      </c>
      <c r="D24" s="56">
        <v>10.57</v>
      </c>
      <c r="E24" s="56">
        <v>3.81</v>
      </c>
      <c r="F24" s="56">
        <v>59.14</v>
      </c>
      <c r="G24" s="56">
        <v>18.12</v>
      </c>
      <c r="H24" s="56">
        <v>6.72</v>
      </c>
      <c r="I24" s="56">
        <v>2.0499999999999998</v>
      </c>
      <c r="J24" s="56">
        <v>0.66</v>
      </c>
      <c r="K24" s="56">
        <v>192.92</v>
      </c>
      <c r="L24" s="56">
        <v>31.03</v>
      </c>
      <c r="M24" s="56">
        <v>43.70</v>
      </c>
      <c r="N24" s="56">
        <v>301.70</v>
      </c>
      <c r="O24" s="56">
        <v>0</v>
      </c>
      <c r="P24" s="56">
        <v>0.35</v>
      </c>
      <c r="Q24" s="56">
        <v>9.5399999999999991</v>
      </c>
      <c r="R24" s="43"/>
      <c r="S24" s="43"/>
      <c r="T24" s="43"/>
      <c r="U24" s="43"/>
    </row>
    <row r="25" spans="1:21" s="11" customFormat="1" ht="15">
      <c r="A25" s="55" t="s">
        <v>246</v>
      </c>
      <c r="B25" s="56">
        <v>0.13</v>
      </c>
      <c r="C25" s="56">
        <v>22.99</v>
      </c>
      <c r="D25" s="56">
        <v>12.01</v>
      </c>
      <c r="E25" s="56">
        <v>3.21</v>
      </c>
      <c r="F25" s="56">
        <v>50.02</v>
      </c>
      <c r="G25" s="56">
        <v>18.38</v>
      </c>
      <c r="H25" s="56">
        <v>6.86</v>
      </c>
      <c r="I25" s="56">
        <v>1.83</v>
      </c>
      <c r="J25" s="56">
        <v>0.66</v>
      </c>
      <c r="K25" s="56">
        <v>169.22</v>
      </c>
      <c r="L25" s="56">
        <v>31.12</v>
      </c>
      <c r="M25" s="56">
        <v>42.18</v>
      </c>
      <c r="N25" s="56">
        <v>137.5</v>
      </c>
      <c r="O25" s="56">
        <v>0</v>
      </c>
      <c r="P25" s="56">
        <v>0.31</v>
      </c>
      <c r="Q25" s="56">
        <v>9.17</v>
      </c>
      <c r="R25" s="43"/>
      <c r="S25" s="43"/>
      <c r="T25" s="43"/>
      <c r="U25" s="43"/>
    </row>
    <row r="26" spans="1:21" s="11" customFormat="1" ht="15">
      <c r="A26" s="55" t="s">
        <v>247</v>
      </c>
      <c r="B26" s="56">
        <v>0.10</v>
      </c>
      <c r="C26" s="56">
        <v>21.16</v>
      </c>
      <c r="D26" s="56">
        <v>11.06</v>
      </c>
      <c r="E26" s="56">
        <v>2.73</v>
      </c>
      <c r="F26" s="56">
        <v>48.21</v>
      </c>
      <c r="G26" s="56">
        <v>13.12</v>
      </c>
      <c r="H26" s="56">
        <v>6.65</v>
      </c>
      <c r="I26" s="56">
        <v>1.58</v>
      </c>
      <c r="J26" s="56">
        <v>1.18</v>
      </c>
      <c r="K26" s="56">
        <v>157.59</v>
      </c>
      <c r="L26" s="56">
        <v>30.62</v>
      </c>
      <c r="M26" s="56">
        <v>44.27</v>
      </c>
      <c r="N26" s="56">
        <v>81.70</v>
      </c>
      <c r="O26" s="56">
        <v>0</v>
      </c>
      <c r="P26" s="56">
        <v>0.26</v>
      </c>
      <c r="Q26" s="56">
        <v>9.26</v>
      </c>
      <c r="R26" s="43"/>
      <c r="S26" s="43"/>
      <c r="T26" s="43"/>
      <c r="U26" s="43"/>
    </row>
    <row r="27" spans="1:21" s="11" customFormat="1" ht="15">
      <c r="A27" s="55" t="s">
        <v>248</v>
      </c>
      <c r="B27" s="56">
        <v>1.08</v>
      </c>
      <c r="C27" s="56">
        <v>23.43</v>
      </c>
      <c r="D27" s="56">
        <v>13.03</v>
      </c>
      <c r="E27" s="56">
        <v>1.68</v>
      </c>
      <c r="F27" s="56">
        <v>10.95</v>
      </c>
      <c r="G27" s="56">
        <v>22.61</v>
      </c>
      <c r="H27" s="56">
        <v>7.09</v>
      </c>
      <c r="I27" s="56">
        <v>2.78</v>
      </c>
      <c r="J27" s="56">
        <v>0.24</v>
      </c>
      <c r="K27" s="56">
        <v>154.09</v>
      </c>
      <c r="L27" s="56">
        <v>29.22</v>
      </c>
      <c r="M27" s="56">
        <v>50.80</v>
      </c>
      <c r="N27" s="56">
        <v>30.10</v>
      </c>
      <c r="O27" s="56">
        <v>0</v>
      </c>
      <c r="P27" s="56">
        <v>0.30</v>
      </c>
      <c r="Q27" s="56">
        <v>9.43</v>
      </c>
      <c r="R27" s="43"/>
      <c r="S27" s="43"/>
      <c r="T27" s="43"/>
      <c r="U27" s="43"/>
    </row>
    <row r="28" spans="1:21" s="11" customFormat="1" ht="15">
      <c r="A28" s="55" t="s">
        <v>249</v>
      </c>
      <c r="B28" s="56">
        <v>6.24</v>
      </c>
      <c r="C28" s="56">
        <v>25.22</v>
      </c>
      <c r="D28" s="56">
        <v>18.100000000000001</v>
      </c>
      <c r="E28" s="56">
        <v>1.52</v>
      </c>
      <c r="F28" s="56">
        <v>4.25</v>
      </c>
      <c r="G28" s="56">
        <v>39.89</v>
      </c>
      <c r="H28" s="56">
        <v>9.02</v>
      </c>
      <c r="I28" s="56">
        <v>5.27</v>
      </c>
      <c r="J28" s="56">
        <v>0.36</v>
      </c>
      <c r="K28" s="56">
        <v>313.56</v>
      </c>
      <c r="L28" s="56">
        <v>28.19</v>
      </c>
      <c r="M28" s="56">
        <v>68.92</v>
      </c>
      <c r="N28" s="56">
        <v>19.70</v>
      </c>
      <c r="O28" s="56">
        <v>0</v>
      </c>
      <c r="P28" s="56">
        <v>0.64</v>
      </c>
      <c r="Q28" s="56">
        <v>9.60</v>
      </c>
      <c r="R28" s="43"/>
      <c r="S28" s="43"/>
      <c r="T28" s="43"/>
      <c r="U28" s="43"/>
    </row>
    <row r="29" spans="1:21" s="11" customFormat="1" ht="15">
      <c r="A29" s="55" t="s">
        <v>250</v>
      </c>
      <c r="B29" s="56">
        <v>16.07</v>
      </c>
      <c r="C29" s="56">
        <v>25.89</v>
      </c>
      <c r="D29" s="56">
        <v>25.98</v>
      </c>
      <c r="E29" s="56">
        <v>1.69</v>
      </c>
      <c r="F29" s="56">
        <v>3.77</v>
      </c>
      <c r="G29" s="56">
        <v>50.46</v>
      </c>
      <c r="H29" s="56">
        <v>11.15</v>
      </c>
      <c r="I29" s="56">
        <v>6.43</v>
      </c>
      <c r="J29" s="56">
        <v>0.25</v>
      </c>
      <c r="K29" s="56">
        <v>46.97</v>
      </c>
      <c r="L29" s="56">
        <v>27.43</v>
      </c>
      <c r="M29" s="56">
        <v>62.32</v>
      </c>
      <c r="N29" s="56">
        <v>19.600000000000001</v>
      </c>
      <c r="O29" s="56">
        <v>0</v>
      </c>
      <c r="P29" s="56">
        <v>1.05</v>
      </c>
      <c r="Q29" s="56">
        <v>9.61</v>
      </c>
      <c r="R29" s="43"/>
      <c r="S29" s="43"/>
      <c r="T29" s="43"/>
      <c r="U29" s="43"/>
    </row>
    <row r="30" spans="1:21" s="11" customFormat="1" ht="15">
      <c r="A30" s="55" t="s">
        <v>251</v>
      </c>
      <c r="B30" s="56">
        <v>28.14</v>
      </c>
      <c r="C30" s="56">
        <v>27.21</v>
      </c>
      <c r="D30" s="56">
        <v>36.700000000000003</v>
      </c>
      <c r="E30" s="56">
        <v>1.54</v>
      </c>
      <c r="F30" s="56">
        <v>3.49</v>
      </c>
      <c r="G30" s="56">
        <v>58.46</v>
      </c>
      <c r="H30" s="56">
        <v>14.24</v>
      </c>
      <c r="I30" s="56">
        <v>6.99</v>
      </c>
      <c r="J30" s="56">
        <v>0.39</v>
      </c>
      <c r="K30" s="56">
        <v>81.010000000000005</v>
      </c>
      <c r="L30" s="56">
        <v>27.58</v>
      </c>
      <c r="M30" s="56">
        <v>67.88</v>
      </c>
      <c r="N30" s="56">
        <v>20.30</v>
      </c>
      <c r="O30" s="56">
        <v>0</v>
      </c>
      <c r="P30" s="56">
        <v>1.37</v>
      </c>
      <c r="Q30" s="56">
        <v>9.68</v>
      </c>
      <c r="R30" s="43"/>
      <c r="S30" s="43"/>
      <c r="T30" s="43"/>
      <c r="U30" s="43"/>
    </row>
    <row r="31" spans="1:21" s="11" customFormat="1" ht="15">
      <c r="A31" s="55" t="s">
        <v>252</v>
      </c>
      <c r="B31" s="56">
        <v>39.31</v>
      </c>
      <c r="C31" s="56">
        <v>31.24</v>
      </c>
      <c r="D31" s="56">
        <v>47.15</v>
      </c>
      <c r="E31" s="56">
        <v>1.86</v>
      </c>
      <c r="F31" s="56">
        <v>3.58</v>
      </c>
      <c r="G31" s="56">
        <v>70.77</v>
      </c>
      <c r="H31" s="56">
        <v>18.190000000000001</v>
      </c>
      <c r="I31" s="56">
        <v>8.3800000000000008</v>
      </c>
      <c r="J31" s="56">
        <v>0.40</v>
      </c>
      <c r="K31" s="56">
        <v>355.91</v>
      </c>
      <c r="L31" s="56">
        <v>25.85</v>
      </c>
      <c r="M31" s="56">
        <v>78.16</v>
      </c>
      <c r="N31" s="56">
        <v>20.20</v>
      </c>
      <c r="O31" s="56">
        <v>0</v>
      </c>
      <c r="P31" s="56">
        <v>1.55</v>
      </c>
      <c r="Q31" s="56">
        <v>10.25</v>
      </c>
      <c r="R31" s="43"/>
      <c r="S31" s="43"/>
      <c r="T31" s="43"/>
      <c r="U31" s="43"/>
    </row>
    <row r="32" spans="1:21" s="11" customFormat="1" ht="15">
      <c r="A32" s="55" t="s">
        <v>253</v>
      </c>
      <c r="B32" s="56">
        <v>39</v>
      </c>
      <c r="C32" s="56">
        <v>30.31</v>
      </c>
      <c r="D32" s="56">
        <v>46.81</v>
      </c>
      <c r="E32" s="56">
        <v>1.63</v>
      </c>
      <c r="F32" s="56">
        <v>3.63</v>
      </c>
      <c r="G32" s="56">
        <v>76.63</v>
      </c>
      <c r="H32" s="56">
        <v>19.75</v>
      </c>
      <c r="I32" s="56">
        <v>9.31</v>
      </c>
      <c r="J32" s="56">
        <v>1.66</v>
      </c>
      <c r="K32" s="56">
        <v>353.87</v>
      </c>
      <c r="L32" s="56">
        <v>26.49</v>
      </c>
      <c r="M32" s="56">
        <v>68.680000000000007</v>
      </c>
      <c r="N32" s="56">
        <v>20.5</v>
      </c>
      <c r="O32" s="56">
        <v>0</v>
      </c>
      <c r="P32" s="56">
        <v>1.56</v>
      </c>
      <c r="Q32" s="56">
        <v>10.41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19.609999999999999</v>
      </c>
      <c r="D34" s="28">
        <f t="shared" si="0"/>
        <v>10.57</v>
      </c>
      <c r="E34" s="28">
        <f t="shared" si="0"/>
        <v>0.68999999999999995</v>
      </c>
      <c r="F34" s="28">
        <f t="shared" si="0"/>
        <v>3.4900000000000002</v>
      </c>
      <c r="G34" s="28">
        <f t="shared" si="0"/>
        <v>13.119999999999999</v>
      </c>
      <c r="H34" s="28">
        <f t="shared" si="0"/>
        <v>4.6900000000000004</v>
      </c>
      <c r="I34" s="28">
        <f t="shared" si="0"/>
        <v>1.5800000000000001</v>
      </c>
      <c r="J34" s="28">
        <f t="shared" si="0"/>
        <v>0.23999999999999999</v>
      </c>
      <c r="K34" s="28">
        <f t="shared" si="0"/>
        <v>46.969999999999999</v>
      </c>
      <c r="L34" s="28">
        <f t="shared" si="0"/>
        <v>19.530000000000001</v>
      </c>
      <c r="M34" s="28">
        <f t="shared" si="0"/>
        <v>42.18</v>
      </c>
      <c r="N34" s="28">
        <f t="shared" si="0"/>
        <v>15.699999999999999</v>
      </c>
      <c r="O34" s="28">
        <f t="shared" si="0"/>
        <v>0</v>
      </c>
      <c r="P34" s="28">
        <f t="shared" si="0"/>
        <v>0.26000000000000001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39.310000000000002</v>
      </c>
      <c r="C35" s="29">
        <f t="shared" si="1"/>
        <v>31.239999999999998</v>
      </c>
      <c r="D35" s="29">
        <f t="shared" si="1"/>
        <v>47.149999999999999</v>
      </c>
      <c r="E35" s="29">
        <f t="shared" si="1"/>
        <v>3.8100000000000001</v>
      </c>
      <c r="F35" s="29">
        <f t="shared" si="1"/>
        <v>63.890000000000001</v>
      </c>
      <c r="G35" s="29">
        <f t="shared" si="1"/>
        <v>76.629999999999995</v>
      </c>
      <c r="H35" s="29">
        <f t="shared" si="1"/>
        <v>19.75</v>
      </c>
      <c r="I35" s="29">
        <f t="shared" si="1"/>
        <v>9.3100000000000005</v>
      </c>
      <c r="J35" s="29">
        <f t="shared" si="1"/>
        <v>1.6599999999999999</v>
      </c>
      <c r="K35" s="29">
        <f t="shared" si="1"/>
        <v>356.52999999999997</v>
      </c>
      <c r="L35" s="29">
        <f t="shared" si="1"/>
        <v>31.719999999999999</v>
      </c>
      <c r="M35" s="29">
        <f t="shared" si="1"/>
        <v>96.769999999999996</v>
      </c>
      <c r="N35" s="29">
        <f t="shared" si="1"/>
        <v>961.70000000000005</v>
      </c>
      <c r="O35" s="29">
        <f t="shared" si="1"/>
        <v>0</v>
      </c>
      <c r="P35" s="29">
        <f t="shared" si="1"/>
        <v>1.5600000000000001</v>
      </c>
      <c r="Q35" s="29">
        <f t="shared" si="1"/>
        <v>10.41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8.0625</v>
      </c>
      <c r="C36" s="28">
        <f t="shared" si="2"/>
        <v>24.202500000000004</v>
      </c>
      <c r="D36" s="28">
        <f t="shared" si="2"/>
        <v>18.845416666666665</v>
      </c>
      <c r="E36" s="28">
        <f t="shared" si="2"/>
        <v>1.7387500000000002</v>
      </c>
      <c r="F36" s="28">
        <f t="shared" si="2"/>
        <v>14.38083333333333</v>
      </c>
      <c r="G36" s="28">
        <f t="shared" si="2"/>
        <v>29.307916666666667</v>
      </c>
      <c r="H36" s="28">
        <f t="shared" si="2"/>
        <v>8.1195833333333347</v>
      </c>
      <c r="I36" s="28">
        <f t="shared" si="2"/>
        <v>3.8095833333333329</v>
      </c>
      <c r="J36" s="28">
        <f t="shared" si="2"/>
        <v>0.79458333333333331</v>
      </c>
      <c r="K36" s="28">
        <f t="shared" si="2"/>
        <v>230.67916666666667</v>
      </c>
      <c r="L36" s="28">
        <f t="shared" si="2"/>
        <v>25.990000000000006</v>
      </c>
      <c r="M36" s="28">
        <f t="shared" si="2"/>
        <v>70.304583333333355</v>
      </c>
      <c r="N36" s="28">
        <f t="shared" si="2"/>
        <v>292.10416666666669</v>
      </c>
      <c r="O36" s="28">
        <f t="shared" si="2"/>
        <v>0</v>
      </c>
      <c r="P36" s="28">
        <f t="shared" si="2"/>
        <v>0.50041666666666662</v>
      </c>
      <c r="Q36" s="28">
        <f t="shared" si="2"/>
        <v>9.7120833333333341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11.205094047293654</v>
      </c>
      <c r="C37" s="28">
        <f t="shared" si="3" ref="C37:Q37">STDEV(C9:C32)</f>
        <v>2.9259576655976116</v>
      </c>
      <c r="D37" s="28">
        <f t="shared" si="3"/>
        <v>10.217891801263065</v>
      </c>
      <c r="E37" s="28">
        <f t="shared" si="3"/>
        <v>0.8251972754912974</v>
      </c>
      <c r="F37" s="28">
        <f t="shared" si="3"/>
        <v>19.309520723718396</v>
      </c>
      <c r="G37" s="28">
        <f t="shared" si="3"/>
        <v>17.322692324926226</v>
      </c>
      <c r="H37" s="28">
        <f t="shared" si="3"/>
        <v>3.951341521412767</v>
      </c>
      <c r="I37" s="28">
        <f t="shared" si="3"/>
        <v>2.0431209697669521</v>
      </c>
      <c r="J37" s="28">
        <f t="shared" si="3"/>
        <v>0.45472379735841639</v>
      </c>
      <c r="K37" s="28">
        <f t="shared" si="3"/>
        <v>96.800720933206009</v>
      </c>
      <c r="L37" s="28">
        <f t="shared" si="3"/>
        <v>4.3797458731121637</v>
      </c>
      <c r="M37" s="28">
        <f t="shared" si="3"/>
        <v>19.716680860800682</v>
      </c>
      <c r="N37" s="28">
        <f t="shared" si="3"/>
        <v>365.0095751920544</v>
      </c>
      <c r="O37" s="28">
        <f t="shared" si="3"/>
        <v>0</v>
      </c>
      <c r="P37" s="28">
        <f t="shared" si="3"/>
        <v>0.41835577917726269</v>
      </c>
      <c r="Q37" s="28">
        <f t="shared" si="3"/>
        <v>0.26216455447526471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b1e5cf-3fed-45a2-8441-549459ea6c3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254</v>
      </c>
      <c r="B9" s="56">
        <v>29.70</v>
      </c>
      <c r="C9" s="56">
        <v>28.17</v>
      </c>
      <c r="D9" s="56">
        <v>38.450000000000003</v>
      </c>
      <c r="E9" s="56">
        <v>2.06</v>
      </c>
      <c r="F9" s="56">
        <v>4.38</v>
      </c>
      <c r="G9" s="56">
        <v>72.89</v>
      </c>
      <c r="H9" s="56">
        <v>18.70</v>
      </c>
      <c r="I9" s="56">
        <v>10.08</v>
      </c>
      <c r="J9" s="56">
        <v>0.81</v>
      </c>
      <c r="K9" s="56">
        <v>350.96</v>
      </c>
      <c r="L9" s="56">
        <v>25.52</v>
      </c>
      <c r="M9" s="56">
        <v>57.29</v>
      </c>
      <c r="N9" s="56">
        <v>20.60</v>
      </c>
      <c r="O9" s="56">
        <v>0</v>
      </c>
      <c r="P9" s="56">
        <v>1.40</v>
      </c>
      <c r="Q9" s="56">
        <v>10.33</v>
      </c>
      <c r="R9" s="43"/>
      <c r="S9" s="43"/>
      <c r="T9" s="43"/>
      <c r="U9" s="43"/>
    </row>
    <row r="10" spans="1:21" s="11" customFormat="1" ht="15">
      <c r="A10" s="55" t="s">
        <v>255</v>
      </c>
      <c r="B10" s="56">
        <v>20.77</v>
      </c>
      <c r="C10" s="56">
        <v>23.72</v>
      </c>
      <c r="D10" s="56">
        <v>28.97</v>
      </c>
      <c r="E10" s="56">
        <v>1.93</v>
      </c>
      <c r="F10" s="56">
        <v>3.59</v>
      </c>
      <c r="G10" s="56">
        <v>60.19</v>
      </c>
      <c r="H10" s="56">
        <v>17.80</v>
      </c>
      <c r="I10" s="56">
        <v>9.1199999999999992</v>
      </c>
      <c r="J10" s="56">
        <v>1</v>
      </c>
      <c r="K10" s="56">
        <v>168.42</v>
      </c>
      <c r="L10" s="56">
        <v>25.27</v>
      </c>
      <c r="M10" s="56">
        <v>59.49</v>
      </c>
      <c r="N10" s="56">
        <v>20.399999999999999</v>
      </c>
      <c r="O10" s="56">
        <v>0</v>
      </c>
      <c r="P10" s="56">
        <v>1.05</v>
      </c>
      <c r="Q10" s="56">
        <v>9.85</v>
      </c>
      <c r="R10" s="43"/>
      <c r="S10" s="43"/>
      <c r="T10" s="43"/>
      <c r="U10" s="43"/>
    </row>
    <row r="11" spans="1:21" s="11" customFormat="1" ht="15">
      <c r="A11" s="55" t="s">
        <v>256</v>
      </c>
      <c r="B11" s="56">
        <v>14.61</v>
      </c>
      <c r="C11" s="56">
        <v>22.73</v>
      </c>
      <c r="D11" s="56">
        <v>23.20</v>
      </c>
      <c r="E11" s="56">
        <v>1.52</v>
      </c>
      <c r="F11" s="56">
        <v>3.67</v>
      </c>
      <c r="G11" s="56">
        <v>50.01</v>
      </c>
      <c r="H11" s="56">
        <v>14.15</v>
      </c>
      <c r="I11" s="56">
        <v>8.7100000000000009</v>
      </c>
      <c r="J11" s="56">
        <v>0.97</v>
      </c>
      <c r="K11" s="56">
        <v>200.06</v>
      </c>
      <c r="L11" s="56">
        <v>24.80</v>
      </c>
      <c r="M11" s="56">
        <v>67.98</v>
      </c>
      <c r="N11" s="56">
        <v>20.30</v>
      </c>
      <c r="O11" s="56">
        <v>0</v>
      </c>
      <c r="P11" s="56">
        <v>0.93</v>
      </c>
      <c r="Q11" s="56">
        <v>9.6999999999999993</v>
      </c>
      <c r="R11" s="43"/>
      <c r="S11" s="43"/>
      <c r="T11" s="43"/>
      <c r="U11" s="43"/>
    </row>
    <row r="12" spans="1:21" s="11" customFormat="1" ht="15">
      <c r="A12" s="55" t="s">
        <v>257</v>
      </c>
      <c r="B12" s="56">
        <v>11.65</v>
      </c>
      <c r="C12" s="56">
        <v>20.47</v>
      </c>
      <c r="D12" s="56">
        <v>19.87</v>
      </c>
      <c r="E12" s="56">
        <v>1.55</v>
      </c>
      <c r="F12" s="56">
        <v>3.66</v>
      </c>
      <c r="G12" s="56">
        <v>52.41</v>
      </c>
      <c r="H12" s="56">
        <v>14.79</v>
      </c>
      <c r="I12" s="56">
        <v>8.11</v>
      </c>
      <c r="J12" s="56">
        <v>0.66</v>
      </c>
      <c r="K12" s="56">
        <v>223.72</v>
      </c>
      <c r="L12" s="56">
        <v>24.46</v>
      </c>
      <c r="M12" s="56">
        <v>74.62</v>
      </c>
      <c r="N12" s="56">
        <v>20.20</v>
      </c>
      <c r="O12" s="56">
        <v>0</v>
      </c>
      <c r="P12" s="56">
        <v>0.80</v>
      </c>
      <c r="Q12" s="56">
        <v>9.65</v>
      </c>
      <c r="R12" s="43"/>
      <c r="S12" s="43"/>
      <c r="T12" s="43"/>
      <c r="U12" s="43"/>
    </row>
    <row r="13" spans="1:21" s="11" customFormat="1" ht="15">
      <c r="A13" s="55" t="s">
        <v>258</v>
      </c>
      <c r="B13" s="56">
        <v>11.26</v>
      </c>
      <c r="C13" s="56">
        <v>19.43</v>
      </c>
      <c r="D13" s="56">
        <v>18.559999999999999</v>
      </c>
      <c r="E13" s="56">
        <v>2.02</v>
      </c>
      <c r="F13" s="56">
        <v>3.52</v>
      </c>
      <c r="G13" s="56">
        <v>46.5</v>
      </c>
      <c r="H13" s="56">
        <v>12.47</v>
      </c>
      <c r="I13" s="56">
        <v>7.82</v>
      </c>
      <c r="J13" s="56">
        <v>0.27</v>
      </c>
      <c r="K13" s="56">
        <v>341.14</v>
      </c>
      <c r="L13" s="56">
        <v>23.95</v>
      </c>
      <c r="M13" s="56">
        <v>80.70</v>
      </c>
      <c r="N13" s="56">
        <v>20.100000000000001</v>
      </c>
      <c r="O13" s="56">
        <v>0</v>
      </c>
      <c r="P13" s="56">
        <v>0.70</v>
      </c>
      <c r="Q13" s="56">
        <v>9.67</v>
      </c>
      <c r="R13" s="43"/>
      <c r="S13" s="43"/>
      <c r="T13" s="43"/>
      <c r="U13" s="43"/>
    </row>
    <row r="14" spans="1:21" s="11" customFormat="1" ht="15">
      <c r="A14" s="55" t="s">
        <v>259</v>
      </c>
      <c r="B14" s="56">
        <v>11.75</v>
      </c>
      <c r="C14" s="56">
        <v>17.88</v>
      </c>
      <c r="D14" s="56">
        <v>18.420000000000002</v>
      </c>
      <c r="E14" s="56">
        <v>2.2999999999999998</v>
      </c>
      <c r="F14" s="56">
        <v>3.66</v>
      </c>
      <c r="G14" s="56">
        <v>47.02</v>
      </c>
      <c r="H14" s="56">
        <v>12.01</v>
      </c>
      <c r="I14" s="56">
        <v>8</v>
      </c>
      <c r="J14" s="56">
        <v>1.49</v>
      </c>
      <c r="K14" s="56">
        <v>344.09</v>
      </c>
      <c r="L14" s="56">
        <v>23.66</v>
      </c>
      <c r="M14" s="56">
        <v>81.80</v>
      </c>
      <c r="N14" s="56">
        <v>38.299999999999997</v>
      </c>
      <c r="O14" s="56">
        <v>0</v>
      </c>
      <c r="P14" s="56">
        <v>0.64</v>
      </c>
      <c r="Q14" s="56">
        <v>9.66</v>
      </c>
      <c r="R14" s="43"/>
      <c r="S14" s="43"/>
      <c r="T14" s="43"/>
      <c r="U14" s="43"/>
    </row>
    <row r="15" spans="1:21" s="11" customFormat="1" ht="15">
      <c r="A15" s="55" t="s">
        <v>260</v>
      </c>
      <c r="B15" s="56">
        <v>11.64</v>
      </c>
      <c r="C15" s="56">
        <v>18.190000000000001</v>
      </c>
      <c r="D15" s="56">
        <v>18.70</v>
      </c>
      <c r="E15" s="56">
        <v>1.98</v>
      </c>
      <c r="F15" s="56">
        <v>3.78</v>
      </c>
      <c r="G15" s="56">
        <v>53.07</v>
      </c>
      <c r="H15" s="56">
        <v>14.41</v>
      </c>
      <c r="I15" s="56">
        <v>7.25</v>
      </c>
      <c r="J15" s="56">
        <v>0.93</v>
      </c>
      <c r="K15" s="56">
        <v>354.40</v>
      </c>
      <c r="L15" s="56">
        <v>24.08</v>
      </c>
      <c r="M15" s="56">
        <v>73.739999999999995</v>
      </c>
      <c r="N15" s="56">
        <v>54.60</v>
      </c>
      <c r="O15" s="56">
        <v>0</v>
      </c>
      <c r="P15" s="56">
        <v>0.57999999999999996</v>
      </c>
      <c r="Q15" s="56">
        <v>9.61</v>
      </c>
      <c r="R15" s="43"/>
      <c r="S15" s="43"/>
      <c r="T15" s="43"/>
      <c r="U15" s="43"/>
    </row>
    <row r="16" spans="1:21" s="11" customFormat="1" ht="15">
      <c r="A16" s="55" t="s">
        <v>261</v>
      </c>
      <c r="B16" s="56">
        <v>15.75</v>
      </c>
      <c r="C16" s="56">
        <v>22.70</v>
      </c>
      <c r="D16" s="56">
        <v>24.39</v>
      </c>
      <c r="E16" s="56">
        <v>1.96</v>
      </c>
      <c r="F16" s="56">
        <v>3.64</v>
      </c>
      <c r="G16" s="56">
        <v>73.900000000000006</v>
      </c>
      <c r="H16" s="56">
        <v>21.84</v>
      </c>
      <c r="I16" s="56">
        <v>7.04</v>
      </c>
      <c r="J16" s="56">
        <v>1.1299999999999999</v>
      </c>
      <c r="K16" s="56">
        <v>354.81</v>
      </c>
      <c r="L16" s="56">
        <v>24.07</v>
      </c>
      <c r="M16" s="56">
        <v>72.17</v>
      </c>
      <c r="N16" s="56">
        <v>50.70</v>
      </c>
      <c r="O16" s="56">
        <v>0</v>
      </c>
      <c r="P16" s="56">
        <v>0.68</v>
      </c>
      <c r="Q16" s="56">
        <v>9.73</v>
      </c>
      <c r="R16" s="43"/>
      <c r="S16" s="43"/>
      <c r="T16" s="43"/>
      <c r="U16" s="43"/>
    </row>
    <row r="17" spans="1:21" s="11" customFormat="1" ht="15">
      <c r="A17" s="55" t="s">
        <v>262</v>
      </c>
      <c r="B17" s="56">
        <v>15.61</v>
      </c>
      <c r="C17" s="56">
        <v>25.28</v>
      </c>
      <c r="D17" s="56">
        <v>24.16</v>
      </c>
      <c r="E17" s="56">
        <v>1.57</v>
      </c>
      <c r="F17" s="56">
        <v>3.66</v>
      </c>
      <c r="G17" s="56">
        <v>85.79</v>
      </c>
      <c r="H17" s="56">
        <v>26.10</v>
      </c>
      <c r="I17" s="56">
        <v>7.33</v>
      </c>
      <c r="J17" s="56">
        <v>2.12</v>
      </c>
      <c r="K17" s="56">
        <v>316.37</v>
      </c>
      <c r="L17" s="56">
        <v>24.72</v>
      </c>
      <c r="M17" s="56">
        <v>71.959999999999994</v>
      </c>
      <c r="N17" s="56">
        <v>210.90</v>
      </c>
      <c r="O17" s="56">
        <v>0</v>
      </c>
      <c r="P17" s="56">
        <v>0.69</v>
      </c>
      <c r="Q17" s="56">
        <v>9.84</v>
      </c>
      <c r="R17" s="43"/>
      <c r="S17" s="43"/>
      <c r="T17" s="43"/>
      <c r="U17" s="43"/>
    </row>
    <row r="18" spans="1:21" s="11" customFormat="1" ht="15">
      <c r="A18" s="55" t="s">
        <v>263</v>
      </c>
      <c r="B18" s="56">
        <v>9.32</v>
      </c>
      <c r="C18" s="56">
        <v>28.64</v>
      </c>
      <c r="D18" s="56">
        <v>22</v>
      </c>
      <c r="E18" s="56">
        <v>1.38</v>
      </c>
      <c r="F18" s="56">
        <v>6.52</v>
      </c>
      <c r="G18" s="56">
        <v>69.38</v>
      </c>
      <c r="H18" s="56">
        <v>19.62</v>
      </c>
      <c r="I18" s="56">
        <v>6.54</v>
      </c>
      <c r="J18" s="56">
        <v>1.73</v>
      </c>
      <c r="K18" s="56">
        <v>311.98</v>
      </c>
      <c r="L18" s="56">
        <v>25.28</v>
      </c>
      <c r="M18" s="56">
        <v>61.33</v>
      </c>
      <c r="N18" s="56">
        <v>246.60</v>
      </c>
      <c r="O18" s="56">
        <v>0</v>
      </c>
      <c r="P18" s="56">
        <v>0.56999999999999995</v>
      </c>
      <c r="Q18" s="56">
        <v>9.81</v>
      </c>
      <c r="R18" s="43"/>
      <c r="S18" s="43"/>
      <c r="T18" s="43"/>
      <c r="U18" s="43"/>
    </row>
    <row r="19" spans="1:21" s="11" customFormat="1" ht="15">
      <c r="A19" s="55" t="s">
        <v>264</v>
      </c>
      <c r="B19" s="56">
        <v>1.87</v>
      </c>
      <c r="C19" s="56">
        <v>26.55</v>
      </c>
      <c r="D19" s="56">
        <v>15.29</v>
      </c>
      <c r="E19" s="56">
        <v>1.0900000000000001</v>
      </c>
      <c r="F19" s="56">
        <v>7.55</v>
      </c>
      <c r="G19" s="56">
        <v>53.02</v>
      </c>
      <c r="H19" s="56">
        <v>16.600000000000001</v>
      </c>
      <c r="I19" s="56">
        <v>4.59</v>
      </c>
      <c r="J19" s="56">
        <v>1.39</v>
      </c>
      <c r="K19" s="56">
        <v>309.36</v>
      </c>
      <c r="L19" s="56">
        <v>27.31</v>
      </c>
      <c r="M19" s="56">
        <v>46.26</v>
      </c>
      <c r="N19" s="56">
        <v>364.30</v>
      </c>
      <c r="O19" s="56">
        <v>0</v>
      </c>
      <c r="P19" s="56">
        <v>0.46</v>
      </c>
      <c r="Q19" s="56">
        <v>9.52</v>
      </c>
      <c r="R19" s="43"/>
      <c r="S19" s="43"/>
      <c r="T19" s="43"/>
      <c r="U19" s="43"/>
    </row>
    <row r="20" spans="1:21" s="11" customFormat="1" ht="15">
      <c r="A20" s="55" t="s">
        <v>265</v>
      </c>
      <c r="B20" s="56">
        <v>1.60</v>
      </c>
      <c r="C20" s="56">
        <v>24.12</v>
      </c>
      <c r="D20" s="56">
        <v>13.70</v>
      </c>
      <c r="E20" s="56">
        <v>2.85</v>
      </c>
      <c r="F20" s="56">
        <v>6.44</v>
      </c>
      <c r="G20" s="56">
        <v>37.22</v>
      </c>
      <c r="H20" s="56">
        <v>12.89</v>
      </c>
      <c r="I20" s="56">
        <v>3.41</v>
      </c>
      <c r="J20" s="56">
        <v>1</v>
      </c>
      <c r="K20" s="56">
        <v>235.98</v>
      </c>
      <c r="L20" s="56">
        <v>28.58</v>
      </c>
      <c r="M20" s="56">
        <v>41.97</v>
      </c>
      <c r="N20" s="56">
        <v>594.5</v>
      </c>
      <c r="O20" s="56">
        <v>0</v>
      </c>
      <c r="P20" s="56">
        <v>0.42</v>
      </c>
      <c r="Q20" s="56">
        <v>9.4700000000000006</v>
      </c>
      <c r="R20" s="43"/>
      <c r="S20" s="43"/>
      <c r="T20" s="43"/>
      <c r="U20" s="43"/>
    </row>
    <row r="21" spans="1:21" s="11" customFormat="1" ht="15">
      <c r="A21" s="55" t="s">
        <v>266</v>
      </c>
      <c r="B21" s="56">
        <v>1.48</v>
      </c>
      <c r="C21" s="56">
        <v>23.97</v>
      </c>
      <c r="D21" s="56">
        <v>13.57</v>
      </c>
      <c r="E21" s="56">
        <v>2.17</v>
      </c>
      <c r="F21" s="56">
        <v>6.69</v>
      </c>
      <c r="G21" s="56">
        <v>29.60</v>
      </c>
      <c r="H21" s="56">
        <v>11.94</v>
      </c>
      <c r="I21" s="56">
        <v>3.43</v>
      </c>
      <c r="J21" s="56">
        <v>0.98</v>
      </c>
      <c r="K21" s="56">
        <v>169.26</v>
      </c>
      <c r="L21" s="56">
        <v>29.73</v>
      </c>
      <c r="M21" s="56">
        <v>41.46</v>
      </c>
      <c r="N21" s="56">
        <v>653.79999999999995</v>
      </c>
      <c r="O21" s="56">
        <v>0</v>
      </c>
      <c r="P21" s="56">
        <v>0.44</v>
      </c>
      <c r="Q21" s="56">
        <v>9.4600000000000009</v>
      </c>
      <c r="R21" s="43"/>
      <c r="S21" s="43"/>
      <c r="T21" s="43"/>
      <c r="U21" s="43"/>
    </row>
    <row r="22" spans="1:21" s="11" customFormat="1" ht="15">
      <c r="A22" s="55" t="s">
        <v>267</v>
      </c>
      <c r="B22" s="56">
        <v>1.45</v>
      </c>
      <c r="C22" s="56">
        <v>25.12</v>
      </c>
      <c r="D22" s="56">
        <v>14.13</v>
      </c>
      <c r="E22" s="56">
        <v>2.17</v>
      </c>
      <c r="F22" s="56">
        <v>9.48</v>
      </c>
      <c r="G22" s="56">
        <v>27.22</v>
      </c>
      <c r="H22" s="56">
        <v>12.20</v>
      </c>
      <c r="I22" s="56">
        <v>3.53</v>
      </c>
      <c r="J22" s="56">
        <v>0.30</v>
      </c>
      <c r="K22" s="56">
        <v>116.23</v>
      </c>
      <c r="L22" s="56">
        <v>32.04</v>
      </c>
      <c r="M22" s="56">
        <v>41.57</v>
      </c>
      <c r="N22" s="56">
        <v>823.40</v>
      </c>
      <c r="O22" s="56">
        <v>0</v>
      </c>
      <c r="P22" s="56">
        <v>0.36</v>
      </c>
      <c r="Q22" s="56">
        <v>9.49</v>
      </c>
      <c r="R22" s="43"/>
      <c r="S22" s="43"/>
      <c r="T22" s="43"/>
      <c r="U22" s="43"/>
    </row>
    <row r="23" spans="1:21" s="11" customFormat="1" ht="15">
      <c r="A23" s="55" t="s">
        <v>268</v>
      </c>
      <c r="B23" s="56">
        <v>1.41</v>
      </c>
      <c r="C23" s="56">
        <v>29.08</v>
      </c>
      <c r="D23" s="56">
        <v>16.25</v>
      </c>
      <c r="E23" s="56">
        <v>2.23</v>
      </c>
      <c r="F23" s="56">
        <v>8.15</v>
      </c>
      <c r="G23" s="56">
        <v>24.05</v>
      </c>
      <c r="H23" s="56">
        <v>9.98</v>
      </c>
      <c r="I23" s="56">
        <v>3.34</v>
      </c>
      <c r="J23" s="56">
        <v>0.25</v>
      </c>
      <c r="K23" s="56">
        <v>340.64</v>
      </c>
      <c r="L23" s="56">
        <v>32.44</v>
      </c>
      <c r="M23" s="56">
        <v>35.21</v>
      </c>
      <c r="N23" s="56">
        <v>475.60</v>
      </c>
      <c r="O23" s="56">
        <v>0</v>
      </c>
      <c r="P23" s="56">
        <v>0.35</v>
      </c>
      <c r="Q23" s="56">
        <v>9.4499999999999993</v>
      </c>
      <c r="R23" s="43"/>
      <c r="S23" s="43"/>
      <c r="T23" s="43"/>
      <c r="U23" s="43"/>
    </row>
    <row r="24" spans="1:21" s="11" customFormat="1" ht="15">
      <c r="A24" s="55" t="s">
        <v>269</v>
      </c>
      <c r="B24" s="56">
        <v>0.96</v>
      </c>
      <c r="C24" s="56">
        <v>27.56</v>
      </c>
      <c r="D24" s="56">
        <v>14.97</v>
      </c>
      <c r="E24" s="56">
        <v>2.37</v>
      </c>
      <c r="F24" s="56">
        <v>9.60</v>
      </c>
      <c r="G24" s="56">
        <v>26.24</v>
      </c>
      <c r="H24" s="56">
        <v>10.42</v>
      </c>
      <c r="I24" s="56">
        <v>2.68</v>
      </c>
      <c r="J24" s="56">
        <v>0.59</v>
      </c>
      <c r="K24" s="56">
        <v>342.73</v>
      </c>
      <c r="L24" s="56">
        <v>31.86</v>
      </c>
      <c r="M24" s="56">
        <v>33.90</v>
      </c>
      <c r="N24" s="56">
        <v>305.39999999999998</v>
      </c>
      <c r="O24" s="56">
        <v>0</v>
      </c>
      <c r="P24" s="56">
        <v>0.47</v>
      </c>
      <c r="Q24" s="56">
        <v>9.4600000000000009</v>
      </c>
      <c r="R24" s="43"/>
      <c r="S24" s="43"/>
      <c r="T24" s="43"/>
      <c r="U24" s="43"/>
    </row>
    <row r="25" spans="1:21" s="11" customFormat="1" ht="15">
      <c r="A25" s="55" t="s">
        <v>270</v>
      </c>
      <c r="B25" s="56">
        <v>0.71</v>
      </c>
      <c r="C25" s="56">
        <v>26.68</v>
      </c>
      <c r="D25" s="56">
        <v>14.43</v>
      </c>
      <c r="E25" s="56">
        <v>2.57</v>
      </c>
      <c r="F25" s="56">
        <v>10.08</v>
      </c>
      <c r="G25" s="56">
        <v>30.52</v>
      </c>
      <c r="H25" s="56">
        <v>11.57</v>
      </c>
      <c r="I25" s="56">
        <v>2.40</v>
      </c>
      <c r="J25" s="56">
        <v>0.79</v>
      </c>
      <c r="K25" s="56">
        <v>323.97000000000003</v>
      </c>
      <c r="L25" s="56">
        <v>30.80</v>
      </c>
      <c r="M25" s="56">
        <v>41.54</v>
      </c>
      <c r="N25" s="56">
        <v>124.40</v>
      </c>
      <c r="O25" s="56">
        <v>0</v>
      </c>
      <c r="P25" s="56">
        <v>0.59</v>
      </c>
      <c r="Q25" s="56">
        <v>9.44</v>
      </c>
      <c r="R25" s="43"/>
      <c r="S25" s="43"/>
      <c r="T25" s="43"/>
      <c r="U25" s="43"/>
    </row>
    <row r="26" spans="1:21" s="11" customFormat="1" ht="15">
      <c r="A26" s="55" t="s">
        <v>271</v>
      </c>
      <c r="B26" s="56">
        <v>0.76</v>
      </c>
      <c r="C26" s="56">
        <v>27.5</v>
      </c>
      <c r="D26" s="56">
        <v>14.76</v>
      </c>
      <c r="E26" s="56">
        <v>2.3199999999999998</v>
      </c>
      <c r="F26" s="56">
        <v>8.5399999999999991</v>
      </c>
      <c r="G26" s="56">
        <v>32.590000000000003</v>
      </c>
      <c r="H26" s="56">
        <v>12.23</v>
      </c>
      <c r="I26" s="56">
        <v>2.5099999999999998</v>
      </c>
      <c r="J26" s="56">
        <v>0.40</v>
      </c>
      <c r="K26" s="56">
        <v>24.47</v>
      </c>
      <c r="L26" s="56">
        <v>29.64</v>
      </c>
      <c r="M26" s="56">
        <v>49.64</v>
      </c>
      <c r="N26" s="56">
        <v>75.20</v>
      </c>
      <c r="O26" s="56">
        <v>0</v>
      </c>
      <c r="P26" s="56">
        <v>0.59</v>
      </c>
      <c r="Q26" s="56">
        <v>9.61</v>
      </c>
      <c r="R26" s="43"/>
      <c r="S26" s="43"/>
      <c r="T26" s="43"/>
      <c r="U26" s="43"/>
    </row>
    <row r="27" spans="1:21" s="11" customFormat="1" ht="15">
      <c r="A27" s="55" t="s">
        <v>272</v>
      </c>
      <c r="B27" s="56">
        <v>1.1299999999999999</v>
      </c>
      <c r="C27" s="56">
        <v>24.27</v>
      </c>
      <c r="D27" s="56">
        <v>13.45</v>
      </c>
      <c r="E27" s="56">
        <v>2.13</v>
      </c>
      <c r="F27" s="56">
        <v>6.95</v>
      </c>
      <c r="G27" s="56">
        <v>33.94</v>
      </c>
      <c r="H27" s="56">
        <v>11.33</v>
      </c>
      <c r="I27" s="56">
        <v>2.40</v>
      </c>
      <c r="J27" s="56">
        <v>0.17</v>
      </c>
      <c r="K27" s="56">
        <v>230.91</v>
      </c>
      <c r="L27" s="56">
        <v>28.44</v>
      </c>
      <c r="M27" s="56">
        <v>52.02</v>
      </c>
      <c r="N27" s="56">
        <v>26.20</v>
      </c>
      <c r="O27" s="56">
        <v>0</v>
      </c>
      <c r="P27" s="56">
        <v>0.51</v>
      </c>
      <c r="Q27" s="56">
        <v>9.6300000000000008</v>
      </c>
      <c r="R27" s="43"/>
      <c r="S27" s="43"/>
      <c r="T27" s="43"/>
      <c r="U27" s="43"/>
    </row>
    <row r="28" spans="1:21" s="11" customFormat="1" ht="15">
      <c r="A28" s="55" t="s">
        <v>273</v>
      </c>
      <c r="B28" s="56">
        <v>1.79</v>
      </c>
      <c r="C28" s="56">
        <v>25.49</v>
      </c>
      <c r="D28" s="56">
        <v>14.61</v>
      </c>
      <c r="E28" s="56">
        <v>2.5099999999999998</v>
      </c>
      <c r="F28" s="56">
        <v>5.47</v>
      </c>
      <c r="G28" s="56">
        <v>34.590000000000003</v>
      </c>
      <c r="H28" s="56">
        <v>11.07</v>
      </c>
      <c r="I28" s="56">
        <v>2.59</v>
      </c>
      <c r="J28" s="56">
        <v>0.20</v>
      </c>
      <c r="K28" s="56">
        <v>340.33</v>
      </c>
      <c r="L28" s="56">
        <v>27.59</v>
      </c>
      <c r="M28" s="56">
        <v>60.19</v>
      </c>
      <c r="N28" s="56">
        <v>17.100000000000001</v>
      </c>
      <c r="O28" s="56">
        <v>0</v>
      </c>
      <c r="P28" s="56">
        <v>0.53</v>
      </c>
      <c r="Q28" s="56">
        <v>9.60</v>
      </c>
      <c r="R28" s="43"/>
      <c r="S28" s="43"/>
      <c r="T28" s="43"/>
      <c r="U28" s="43"/>
    </row>
    <row r="29" spans="1:21" s="11" customFormat="1" ht="15">
      <c r="A29" s="55" t="s">
        <v>274</v>
      </c>
      <c r="B29" s="56">
        <v>2.61</v>
      </c>
      <c r="C29" s="56">
        <v>24.05</v>
      </c>
      <c r="D29" s="56">
        <v>14.54</v>
      </c>
      <c r="E29" s="56">
        <v>1.66</v>
      </c>
      <c r="F29" s="56">
        <v>3.60</v>
      </c>
      <c r="G29" s="56">
        <v>32.69</v>
      </c>
      <c r="H29" s="56">
        <v>10.38</v>
      </c>
      <c r="I29" s="56">
        <v>2.95</v>
      </c>
      <c r="J29" s="56">
        <v>0.14000000000000001</v>
      </c>
      <c r="K29" s="56">
        <v>236.5</v>
      </c>
      <c r="L29" s="56">
        <v>26.13</v>
      </c>
      <c r="M29" s="56">
        <v>64.349999999999994</v>
      </c>
      <c r="N29" s="56">
        <v>16.899999999999999</v>
      </c>
      <c r="O29" s="56">
        <v>0</v>
      </c>
      <c r="P29" s="56">
        <v>0.56999999999999995</v>
      </c>
      <c r="Q29" s="56">
        <v>9.5500000000000007</v>
      </c>
      <c r="R29" s="43"/>
      <c r="S29" s="43"/>
      <c r="T29" s="43"/>
      <c r="U29" s="43"/>
    </row>
    <row r="30" spans="1:21" s="11" customFormat="1" ht="15">
      <c r="A30" s="55" t="s">
        <v>275</v>
      </c>
      <c r="B30" s="56">
        <v>4.1900000000000004</v>
      </c>
      <c r="C30" s="56">
        <v>20.74</v>
      </c>
      <c r="D30" s="56">
        <v>13.97</v>
      </c>
      <c r="E30" s="56">
        <v>1.36</v>
      </c>
      <c r="F30" s="56">
        <v>3.93</v>
      </c>
      <c r="G30" s="56">
        <v>35.83</v>
      </c>
      <c r="H30" s="56">
        <v>10.83</v>
      </c>
      <c r="I30" s="56">
        <v>3.78</v>
      </c>
      <c r="J30" s="56">
        <v>0.68</v>
      </c>
      <c r="K30" s="56">
        <v>325.25</v>
      </c>
      <c r="L30" s="56">
        <v>25.39</v>
      </c>
      <c r="M30" s="56">
        <v>65.72</v>
      </c>
      <c r="N30" s="56">
        <v>16.899999999999999</v>
      </c>
      <c r="O30" s="56">
        <v>0</v>
      </c>
      <c r="P30" s="56">
        <v>0.59</v>
      </c>
      <c r="Q30" s="56">
        <v>9.59</v>
      </c>
      <c r="R30" s="43"/>
      <c r="S30" s="43"/>
      <c r="T30" s="43"/>
      <c r="U30" s="43"/>
    </row>
    <row r="31" spans="1:21" s="11" customFormat="1" ht="15">
      <c r="A31" s="55" t="s">
        <v>276</v>
      </c>
      <c r="B31" s="56">
        <v>4.80</v>
      </c>
      <c r="C31" s="56">
        <v>20.78</v>
      </c>
      <c r="D31" s="56">
        <v>14.39</v>
      </c>
      <c r="E31" s="56">
        <v>1.54</v>
      </c>
      <c r="F31" s="56">
        <v>3.89</v>
      </c>
      <c r="G31" s="56">
        <v>36.47</v>
      </c>
      <c r="H31" s="56">
        <v>10.16</v>
      </c>
      <c r="I31" s="56">
        <v>4.6100000000000003</v>
      </c>
      <c r="J31" s="56">
        <v>0.5</v>
      </c>
      <c r="K31" s="56">
        <v>169.58</v>
      </c>
      <c r="L31" s="56">
        <v>25.35</v>
      </c>
      <c r="M31" s="56">
        <v>65.849999999999994</v>
      </c>
      <c r="N31" s="56">
        <v>16.899999999999999</v>
      </c>
      <c r="O31" s="56">
        <v>0</v>
      </c>
      <c r="P31" s="56">
        <v>0.56000000000000005</v>
      </c>
      <c r="Q31" s="56">
        <v>9.67</v>
      </c>
      <c r="R31" s="43"/>
      <c r="S31" s="43"/>
      <c r="T31" s="43"/>
      <c r="U31" s="43"/>
    </row>
    <row r="32" spans="1:21" s="11" customFormat="1" ht="15">
      <c r="A32" s="55" t="s">
        <v>277</v>
      </c>
      <c r="B32" s="56">
        <v>5.58</v>
      </c>
      <c r="C32" s="56">
        <v>21.22</v>
      </c>
      <c r="D32" s="56">
        <v>15.44</v>
      </c>
      <c r="E32" s="56">
        <v>1.68</v>
      </c>
      <c r="F32" s="56">
        <v>3.78</v>
      </c>
      <c r="G32" s="56">
        <v>33.74</v>
      </c>
      <c r="H32" s="56">
        <v>10.5</v>
      </c>
      <c r="I32" s="56">
        <v>5.44</v>
      </c>
      <c r="J32" s="56">
        <v>0.65</v>
      </c>
      <c r="K32" s="56">
        <v>164.76</v>
      </c>
      <c r="L32" s="56">
        <v>24.68</v>
      </c>
      <c r="M32" s="56">
        <v>66.62</v>
      </c>
      <c r="N32" s="56">
        <v>16.5</v>
      </c>
      <c r="O32" s="56">
        <v>0</v>
      </c>
      <c r="P32" s="56">
        <v>0.55000000000000004</v>
      </c>
      <c r="Q32" s="56">
        <v>9.67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0.70999999999999996</v>
      </c>
      <c r="C34" s="28">
        <f t="shared" si="0"/>
        <v>17.879999999999999</v>
      </c>
      <c r="D34" s="28">
        <f t="shared" si="0"/>
        <v>13.449999999999999</v>
      </c>
      <c r="E34" s="28">
        <f t="shared" si="0"/>
        <v>1.0900000000000001</v>
      </c>
      <c r="F34" s="28">
        <f t="shared" si="0"/>
        <v>3.52</v>
      </c>
      <c r="G34" s="28">
        <f t="shared" si="0"/>
        <v>24.050000000000001</v>
      </c>
      <c r="H34" s="28">
        <f t="shared" si="0"/>
        <v>9.9800000000000004</v>
      </c>
      <c r="I34" s="28">
        <f t="shared" si="0"/>
        <v>2.3999999999999999</v>
      </c>
      <c r="J34" s="28">
        <f t="shared" si="0"/>
        <v>0.14000000000000001</v>
      </c>
      <c r="K34" s="28">
        <f t="shared" si="0"/>
        <v>24.469999999999999</v>
      </c>
      <c r="L34" s="28">
        <f t="shared" si="0"/>
        <v>23.66</v>
      </c>
      <c r="M34" s="28">
        <f t="shared" si="0"/>
        <v>33.899999999999999</v>
      </c>
      <c r="N34" s="28">
        <f t="shared" si="0"/>
        <v>16.5</v>
      </c>
      <c r="O34" s="28">
        <f t="shared" si="0"/>
        <v>0</v>
      </c>
      <c r="P34" s="28">
        <f t="shared" si="0"/>
        <v>0.34999999999999998</v>
      </c>
      <c r="Q34" s="28">
        <f t="shared" si="0"/>
        <v>9.4399999999999995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29.699999999999999</v>
      </c>
      <c r="C35" s="29">
        <f t="shared" si="1"/>
        <v>29.079999999999998</v>
      </c>
      <c r="D35" s="29">
        <f t="shared" si="1"/>
        <v>38.450000000000003</v>
      </c>
      <c r="E35" s="29">
        <f t="shared" si="1"/>
        <v>2.8500000000000001</v>
      </c>
      <c r="F35" s="29">
        <f t="shared" si="1"/>
        <v>10.08</v>
      </c>
      <c r="G35" s="29">
        <f t="shared" si="1"/>
        <v>85.790000000000006</v>
      </c>
      <c r="H35" s="29">
        <f t="shared" si="1"/>
        <v>26.100000000000001</v>
      </c>
      <c r="I35" s="29">
        <f t="shared" si="1"/>
        <v>10.08</v>
      </c>
      <c r="J35" s="29">
        <f t="shared" si="1"/>
        <v>2.1200000000000001</v>
      </c>
      <c r="K35" s="29">
        <f t="shared" si="1"/>
        <v>354.81</v>
      </c>
      <c r="L35" s="29">
        <f t="shared" si="1"/>
        <v>32.439999999999998</v>
      </c>
      <c r="M35" s="29">
        <f t="shared" si="1"/>
        <v>81.799999999999997</v>
      </c>
      <c r="N35" s="29">
        <f t="shared" si="1"/>
        <v>823.39999999999998</v>
      </c>
      <c r="O35" s="29">
        <f t="shared" si="1"/>
        <v>0</v>
      </c>
      <c r="P35" s="29">
        <f t="shared" si="1"/>
        <v>1.3999999999999999</v>
      </c>
      <c r="Q35" s="29">
        <f t="shared" si="1"/>
        <v>10.33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7.6000000000000005</v>
      </c>
      <c r="C36" s="28">
        <f t="shared" si="2"/>
        <v>23.930833333333336</v>
      </c>
      <c r="D36" s="28">
        <f t="shared" si="2"/>
        <v>18.342500000000001</v>
      </c>
      <c r="E36" s="28">
        <f t="shared" si="2"/>
        <v>1.9550000000000001</v>
      </c>
      <c r="F36" s="28">
        <f t="shared" si="2"/>
        <v>5.5929166666666665</v>
      </c>
      <c r="G36" s="28">
        <f t="shared" si="2"/>
        <v>44.953333333333326</v>
      </c>
      <c r="H36" s="28">
        <f t="shared" si="2"/>
        <v>13.916249999999998</v>
      </c>
      <c r="I36" s="28">
        <f t="shared" si="2"/>
        <v>5.3191666666666686</v>
      </c>
      <c r="J36" s="28">
        <f t="shared" si="2"/>
        <v>0.79791666666666661</v>
      </c>
      <c r="K36" s="28">
        <f t="shared" si="2"/>
        <v>262.32999999999998</v>
      </c>
      <c r="L36" s="28">
        <f t="shared" si="2"/>
        <v>26.907916666666669</v>
      </c>
      <c r="M36" s="28">
        <f t="shared" si="2"/>
        <v>58.64083333333334</v>
      </c>
      <c r="N36" s="28">
        <f t="shared" si="2"/>
        <v>176.24166666666665</v>
      </c>
      <c r="O36" s="28">
        <f t="shared" si="2"/>
        <v>0</v>
      </c>
      <c r="P36" s="28">
        <f t="shared" si="2"/>
        <v>0.62625000000000008</v>
      </c>
      <c r="Q36" s="28">
        <f t="shared" si="2"/>
        <v>9.6441666666666652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7.6690257870044416</v>
      </c>
      <c r="C37" s="28">
        <f t="shared" si="3" ref="C37:Q37">STDEV(C9:C32)</f>
        <v>3.2643275047045903</v>
      </c>
      <c r="D37" s="28">
        <f t="shared" si="3"/>
        <v>6.0358971452325134</v>
      </c>
      <c r="E37" s="28">
        <f t="shared" si="3"/>
        <v>0.43719461391328041</v>
      </c>
      <c r="F37" s="28">
        <f t="shared" si="3"/>
        <v>2.2813201349155316</v>
      </c>
      <c r="G37" s="28">
        <f t="shared" si="3"/>
        <v>17.133667509288287</v>
      </c>
      <c r="H37" s="28">
        <f t="shared" si="3"/>
        <v>4.1822105788789443</v>
      </c>
      <c r="I37" s="28">
        <f t="shared" si="3"/>
        <v>2.5088884021599576</v>
      </c>
      <c r="J37" s="28">
        <f t="shared" si="3"/>
        <v>0.5139445001898183</v>
      </c>
      <c r="K37" s="28">
        <f t="shared" si="3"/>
        <v>91.618278459192183</v>
      </c>
      <c r="L37" s="28">
        <f t="shared" si="3"/>
        <v>2.8433216630747031</v>
      </c>
      <c r="M37" s="28">
        <f t="shared" si="3"/>
        <v>14.386972644863782</v>
      </c>
      <c r="N37" s="28">
        <f t="shared" si="3"/>
        <v>238.0350867755254</v>
      </c>
      <c r="O37" s="28">
        <f t="shared" si="3"/>
        <v>0</v>
      </c>
      <c r="P37" s="28">
        <f t="shared" si="3"/>
        <v>0.23173846765546788</v>
      </c>
      <c r="Q37" s="28">
        <f t="shared" si="3"/>
        <v>0.18932182553313487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420aff-7311-4fd3-b878-65f11b29fee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278</v>
      </c>
      <c r="B9" s="56">
        <v>4.32</v>
      </c>
      <c r="C9" s="56">
        <v>18.809999999999999</v>
      </c>
      <c r="D9" s="56">
        <v>13.09</v>
      </c>
      <c r="E9" s="56">
        <v>1.54</v>
      </c>
      <c r="F9" s="56">
        <v>4.04</v>
      </c>
      <c r="G9" s="56">
        <v>34.200000000000003</v>
      </c>
      <c r="H9" s="56">
        <v>9.3000000000000007</v>
      </c>
      <c r="I9" s="56">
        <v>5.33</v>
      </c>
      <c r="J9" s="56">
        <v>0.48</v>
      </c>
      <c r="K9" s="56">
        <v>358.29</v>
      </c>
      <c r="L9" s="56">
        <v>24.18</v>
      </c>
      <c r="M9" s="56">
        <v>74.569999999999993</v>
      </c>
      <c r="N9" s="56">
        <v>17</v>
      </c>
      <c r="O9" s="56">
        <v>0</v>
      </c>
      <c r="P9" s="56">
        <v>0.5</v>
      </c>
      <c r="Q9" s="56">
        <v>9.59</v>
      </c>
      <c r="R9" s="43"/>
      <c r="S9" s="43"/>
      <c r="T9" s="43"/>
      <c r="U9" s="43"/>
    </row>
    <row r="10" spans="1:21" s="11" customFormat="1" ht="15">
      <c r="A10" s="55" t="s">
        <v>279</v>
      </c>
      <c r="B10" s="56">
        <v>4.0199999999999996</v>
      </c>
      <c r="C10" s="56">
        <v>18.170000000000002</v>
      </c>
      <c r="D10" s="56">
        <v>12.64</v>
      </c>
      <c r="E10" s="56">
        <v>1.33</v>
      </c>
      <c r="F10" s="56">
        <v>3.93</v>
      </c>
      <c r="G10" s="56">
        <v>34.40</v>
      </c>
      <c r="H10" s="56">
        <v>8.36</v>
      </c>
      <c r="I10" s="56">
        <v>5.01</v>
      </c>
      <c r="J10" s="56">
        <v>0.43</v>
      </c>
      <c r="K10" s="56">
        <v>333.87</v>
      </c>
      <c r="L10" s="56">
        <v>23.45</v>
      </c>
      <c r="M10" s="56">
        <v>76.23</v>
      </c>
      <c r="N10" s="56">
        <v>17</v>
      </c>
      <c r="O10" s="56">
        <v>0</v>
      </c>
      <c r="P10" s="56">
        <v>0.47</v>
      </c>
      <c r="Q10" s="56">
        <v>9.56</v>
      </c>
      <c r="R10" s="43"/>
      <c r="S10" s="43"/>
      <c r="T10" s="43"/>
      <c r="U10" s="43"/>
    </row>
    <row r="11" spans="1:21" s="11" customFormat="1" ht="15">
      <c r="A11" s="55" t="s">
        <v>280</v>
      </c>
      <c r="B11" s="56">
        <v>4.17</v>
      </c>
      <c r="C11" s="56">
        <v>17.61</v>
      </c>
      <c r="D11" s="56">
        <v>12.46</v>
      </c>
      <c r="E11" s="56">
        <v>1.34</v>
      </c>
      <c r="F11" s="56">
        <v>3.74</v>
      </c>
      <c r="G11" s="56">
        <v>30.30</v>
      </c>
      <c r="H11" s="56">
        <v>9.14</v>
      </c>
      <c r="I11" s="56">
        <v>4.97</v>
      </c>
      <c r="J11" s="56">
        <v>0.26</v>
      </c>
      <c r="K11" s="56">
        <v>295.30</v>
      </c>
      <c r="L11" s="56">
        <v>23.22</v>
      </c>
      <c r="M11" s="56">
        <v>77.36</v>
      </c>
      <c r="N11" s="56">
        <v>17.100000000000001</v>
      </c>
      <c r="O11" s="56">
        <v>0</v>
      </c>
      <c r="P11" s="56">
        <v>0.44</v>
      </c>
      <c r="Q11" s="56">
        <v>9.60</v>
      </c>
      <c r="R11" s="43"/>
      <c r="S11" s="43"/>
      <c r="T11" s="43"/>
      <c r="U11" s="43"/>
    </row>
    <row r="12" spans="1:21" s="11" customFormat="1" ht="15">
      <c r="A12" s="55" t="s">
        <v>281</v>
      </c>
      <c r="B12" s="56">
        <v>4.49</v>
      </c>
      <c r="C12" s="56">
        <v>16.75</v>
      </c>
      <c r="D12" s="56">
        <v>12.27</v>
      </c>
      <c r="E12" s="56">
        <v>1.48</v>
      </c>
      <c r="F12" s="56">
        <v>3.55</v>
      </c>
      <c r="G12" s="56">
        <v>27.05</v>
      </c>
      <c r="H12" s="56">
        <v>9.51</v>
      </c>
      <c r="I12" s="56">
        <v>5.93</v>
      </c>
      <c r="J12" s="56">
        <v>0.16</v>
      </c>
      <c r="K12" s="56">
        <v>309.94</v>
      </c>
      <c r="L12" s="56">
        <v>23.01</v>
      </c>
      <c r="M12" s="56">
        <v>73.84</v>
      </c>
      <c r="N12" s="56">
        <v>16.399999999999999</v>
      </c>
      <c r="O12" s="56">
        <v>0</v>
      </c>
      <c r="P12" s="56">
        <v>0.42</v>
      </c>
      <c r="Q12" s="56">
        <v>9.60</v>
      </c>
      <c r="R12" s="43"/>
      <c r="S12" s="43"/>
      <c r="T12" s="43"/>
      <c r="U12" s="43"/>
    </row>
    <row r="13" spans="1:21" s="11" customFormat="1" ht="15">
      <c r="A13" s="55" t="s">
        <v>282</v>
      </c>
      <c r="B13" s="56">
        <v>4.42</v>
      </c>
      <c r="C13" s="56">
        <v>16.09</v>
      </c>
      <c r="D13" s="56">
        <v>11.74</v>
      </c>
      <c r="E13" s="56">
        <v>1.52</v>
      </c>
      <c r="F13" s="56">
        <v>3.92</v>
      </c>
      <c r="G13" s="56">
        <v>25.45</v>
      </c>
      <c r="H13" s="56">
        <v>7.21</v>
      </c>
      <c r="I13" s="56">
        <v>6.02</v>
      </c>
      <c r="J13" s="56">
        <v>0.25</v>
      </c>
      <c r="K13" s="56">
        <v>299.83</v>
      </c>
      <c r="L13" s="56">
        <v>22.57</v>
      </c>
      <c r="M13" s="56">
        <v>78.010000000000005</v>
      </c>
      <c r="N13" s="56">
        <v>16.80</v>
      </c>
      <c r="O13" s="56">
        <v>0</v>
      </c>
      <c r="P13" s="56">
        <v>0.40</v>
      </c>
      <c r="Q13" s="56">
        <v>9.5299999999999994</v>
      </c>
      <c r="R13" s="43"/>
      <c r="S13" s="43"/>
      <c r="T13" s="43"/>
      <c r="U13" s="43"/>
    </row>
    <row r="14" spans="1:21" s="11" customFormat="1" ht="15">
      <c r="A14" s="55" t="s">
        <v>283</v>
      </c>
      <c r="B14" s="56">
        <v>5.38</v>
      </c>
      <c r="C14" s="56">
        <v>16.100000000000001</v>
      </c>
      <c r="D14" s="56">
        <v>12.64</v>
      </c>
      <c r="E14" s="56">
        <v>1.52</v>
      </c>
      <c r="F14" s="56">
        <v>3.71</v>
      </c>
      <c r="G14" s="56">
        <v>26.32</v>
      </c>
      <c r="H14" s="56">
        <v>7.96</v>
      </c>
      <c r="I14" s="56">
        <v>5.57</v>
      </c>
      <c r="J14" s="56">
        <v>0.22</v>
      </c>
      <c r="K14" s="56">
        <v>316.29000000000002</v>
      </c>
      <c r="L14" s="56">
        <v>22.91</v>
      </c>
      <c r="M14" s="56">
        <v>77.31</v>
      </c>
      <c r="N14" s="56">
        <v>60</v>
      </c>
      <c r="O14" s="56">
        <v>0</v>
      </c>
      <c r="P14" s="56">
        <v>0.39</v>
      </c>
      <c r="Q14" s="56">
        <v>9.51</v>
      </c>
      <c r="R14" s="43"/>
      <c r="S14" s="43"/>
      <c r="T14" s="43"/>
      <c r="U14" s="43"/>
    </row>
    <row r="15" spans="1:21" s="11" customFormat="1" ht="15">
      <c r="A15" s="55" t="s">
        <v>284</v>
      </c>
      <c r="B15" s="56">
        <v>6.57</v>
      </c>
      <c r="C15" s="56">
        <v>16.809999999999999</v>
      </c>
      <c r="D15" s="56">
        <v>13.58</v>
      </c>
      <c r="E15" s="56">
        <v>1.60</v>
      </c>
      <c r="F15" s="56">
        <v>3.48</v>
      </c>
      <c r="G15" s="56">
        <v>35.840000000000003</v>
      </c>
      <c r="H15" s="56">
        <v>9.5299999999999994</v>
      </c>
      <c r="I15" s="56">
        <v>5.68</v>
      </c>
      <c r="J15" s="56">
        <v>0.32</v>
      </c>
      <c r="K15" s="56">
        <v>339.96</v>
      </c>
      <c r="L15" s="56">
        <v>27.14</v>
      </c>
      <c r="M15" s="56">
        <v>70.569999999999993</v>
      </c>
      <c r="N15" s="56">
        <v>228.60</v>
      </c>
      <c r="O15" s="56">
        <v>0</v>
      </c>
      <c r="P15" s="56">
        <v>0.42</v>
      </c>
      <c r="Q15" s="56">
        <v>9.6199999999999992</v>
      </c>
      <c r="R15" s="43"/>
      <c r="S15" s="43"/>
      <c r="T15" s="43"/>
      <c r="U15" s="43"/>
    </row>
    <row r="16" spans="1:21" s="11" customFormat="1" ht="15">
      <c r="A16" s="55" t="s">
        <v>285</v>
      </c>
      <c r="B16" s="56">
        <v>7.70</v>
      </c>
      <c r="C16" s="56">
        <v>17.29</v>
      </c>
      <c r="D16" s="56">
        <v>14.89</v>
      </c>
      <c r="E16" s="56">
        <v>1.86</v>
      </c>
      <c r="F16" s="56">
        <v>3.92</v>
      </c>
      <c r="G16" s="56">
        <v>41.61</v>
      </c>
      <c r="H16" s="56">
        <v>10.78</v>
      </c>
      <c r="I16" s="56">
        <v>6.64</v>
      </c>
      <c r="J16" s="56">
        <v>0.23</v>
      </c>
      <c r="K16" s="56">
        <v>350.44</v>
      </c>
      <c r="L16" s="56">
        <v>30.11</v>
      </c>
      <c r="M16" s="56">
        <v>56.11</v>
      </c>
      <c r="N16" s="56">
        <v>537.70000000000005</v>
      </c>
      <c r="O16" s="56">
        <v>0</v>
      </c>
      <c r="P16" s="56">
        <v>0.43</v>
      </c>
      <c r="Q16" s="56">
        <v>9.67</v>
      </c>
      <c r="R16" s="43"/>
      <c r="S16" s="43"/>
      <c r="T16" s="43"/>
      <c r="U16" s="43"/>
    </row>
    <row r="17" spans="1:21" s="11" customFormat="1" ht="15">
      <c r="A17" s="55" t="s">
        <v>286</v>
      </c>
      <c r="B17" s="56">
        <v>6.10</v>
      </c>
      <c r="C17" s="56">
        <v>18.809999999999999</v>
      </c>
      <c r="D17" s="56">
        <v>14.51</v>
      </c>
      <c r="E17" s="56">
        <v>2.4700000000000002</v>
      </c>
      <c r="F17" s="56">
        <v>4.09</v>
      </c>
      <c r="G17" s="56">
        <v>41.97</v>
      </c>
      <c r="H17" s="56">
        <v>12.10</v>
      </c>
      <c r="I17" s="56">
        <v>6.60</v>
      </c>
      <c r="J17" s="56">
        <v>0.55000000000000004</v>
      </c>
      <c r="K17" s="56">
        <v>332.81</v>
      </c>
      <c r="L17" s="56">
        <v>29.85</v>
      </c>
      <c r="M17" s="56">
        <v>55.17</v>
      </c>
      <c r="N17" s="56">
        <v>688.60</v>
      </c>
      <c r="O17" s="56">
        <v>0</v>
      </c>
      <c r="P17" s="56">
        <v>0.44</v>
      </c>
      <c r="Q17" s="56">
        <v>9.64</v>
      </c>
      <c r="R17" s="43"/>
      <c r="S17" s="43"/>
      <c r="T17" s="43"/>
      <c r="U17" s="43"/>
    </row>
    <row r="18" spans="1:21" s="11" customFormat="1" ht="15">
      <c r="A18" s="55" t="s">
        <v>287</v>
      </c>
      <c r="B18" s="56">
        <v>1.83</v>
      </c>
      <c r="C18" s="56">
        <v>19.100000000000001</v>
      </c>
      <c r="D18" s="56">
        <v>10.96</v>
      </c>
      <c r="E18" s="56">
        <v>2.52</v>
      </c>
      <c r="F18" s="56">
        <v>7.21</v>
      </c>
      <c r="G18" s="56">
        <v>43.31</v>
      </c>
      <c r="H18" s="56">
        <v>12.60</v>
      </c>
      <c r="I18" s="56">
        <v>6.36</v>
      </c>
      <c r="J18" s="56">
        <v>0.36</v>
      </c>
      <c r="K18" s="56">
        <v>359.04</v>
      </c>
      <c r="L18" s="56">
        <v>31.27</v>
      </c>
      <c r="M18" s="56">
        <v>50.05</v>
      </c>
      <c r="N18" s="56">
        <v>817.10</v>
      </c>
      <c r="O18" s="56">
        <v>0</v>
      </c>
      <c r="P18" s="56">
        <v>0.43</v>
      </c>
      <c r="Q18" s="56">
        <v>9.58</v>
      </c>
      <c r="R18" s="43"/>
      <c r="S18" s="43"/>
      <c r="T18" s="43"/>
      <c r="U18" s="43"/>
    </row>
    <row r="19" spans="1:21" s="11" customFormat="1" ht="15">
      <c r="A19" s="55" t="s">
        <v>288</v>
      </c>
      <c r="B19" s="56">
        <v>0.10</v>
      </c>
      <c r="C19" s="56">
        <v>16.36</v>
      </c>
      <c r="D19" s="56">
        <v>8.5500000000000007</v>
      </c>
      <c r="E19" s="56">
        <v>3.03</v>
      </c>
      <c r="F19" s="56">
        <v>26.72</v>
      </c>
      <c r="G19" s="56">
        <v>37.56</v>
      </c>
      <c r="H19" s="56">
        <v>11.5</v>
      </c>
      <c r="I19" s="56">
        <v>4.96</v>
      </c>
      <c r="J19" s="56">
        <v>0.39</v>
      </c>
      <c r="K19" s="56">
        <v>329.89</v>
      </c>
      <c r="L19" s="56">
        <v>32.869999999999997</v>
      </c>
      <c r="M19" s="56">
        <v>48.35</v>
      </c>
      <c r="N19" s="56">
        <v>934.30</v>
      </c>
      <c r="O19" s="56">
        <v>0</v>
      </c>
      <c r="P19" s="56">
        <v>0.38</v>
      </c>
      <c r="Q19" s="56">
        <v>9.44</v>
      </c>
      <c r="R19" s="43"/>
      <c r="S19" s="43"/>
      <c r="T19" s="43"/>
      <c r="U19" s="43"/>
    </row>
    <row r="20" spans="1:21" s="11" customFormat="1" ht="15">
      <c r="A20" s="55" t="s">
        <v>289</v>
      </c>
      <c r="B20" s="56">
        <v>0.10</v>
      </c>
      <c r="C20" s="56">
        <v>6.43</v>
      </c>
      <c r="D20" s="56">
        <v>3.36</v>
      </c>
      <c r="E20" s="56">
        <v>2.5499999999999998</v>
      </c>
      <c r="F20" s="56">
        <v>13.86</v>
      </c>
      <c r="G20" s="56">
        <v>24.74</v>
      </c>
      <c r="H20" s="56">
        <v>10.25</v>
      </c>
      <c r="I20" s="56">
        <v>1.86</v>
      </c>
      <c r="J20" s="56">
        <v>0.56000000000000005</v>
      </c>
      <c r="K20" s="56">
        <v>337.90</v>
      </c>
      <c r="L20" s="56">
        <v>34</v>
      </c>
      <c r="M20" s="56">
        <v>44.12</v>
      </c>
      <c r="N20" s="56">
        <v>959.80</v>
      </c>
      <c r="O20" s="56">
        <v>0</v>
      </c>
      <c r="P20" s="56">
        <v>0.28999999999999998</v>
      </c>
      <c r="Q20" s="56">
        <v>9.36</v>
      </c>
      <c r="R20" s="43"/>
      <c r="S20" s="43"/>
      <c r="T20" s="43"/>
      <c r="U20" s="43"/>
    </row>
    <row r="21" spans="1:21" s="11" customFormat="1" ht="15">
      <c r="A21" s="55" t="s">
        <v>290</v>
      </c>
      <c r="B21" s="56">
        <v>0.10</v>
      </c>
      <c r="C21" s="56">
        <v>8.8699999999999992</v>
      </c>
      <c r="D21" s="56">
        <v>4.6399999999999997</v>
      </c>
      <c r="E21" s="56">
        <v>5.20</v>
      </c>
      <c r="F21" s="56">
        <v>41.78</v>
      </c>
      <c r="G21" s="56">
        <v>22.47</v>
      </c>
      <c r="H21" s="56">
        <v>10.10</v>
      </c>
      <c r="I21" s="56">
        <v>2.2799999999999998</v>
      </c>
      <c r="J21" s="56">
        <v>0.57999999999999996</v>
      </c>
      <c r="K21" s="56">
        <v>344.91</v>
      </c>
      <c r="L21" s="56">
        <v>35.020000000000003</v>
      </c>
      <c r="M21" s="56">
        <v>38.950000000000003</v>
      </c>
      <c r="N21" s="56">
        <v>949.5</v>
      </c>
      <c r="O21" s="56">
        <v>0</v>
      </c>
      <c r="P21" s="56">
        <v>0.57999999999999996</v>
      </c>
      <c r="Q21" s="56">
        <v>9.3699999999999992</v>
      </c>
      <c r="R21" s="43"/>
      <c r="S21" s="43"/>
      <c r="T21" s="43"/>
      <c r="U21" s="43"/>
    </row>
    <row r="22" spans="1:21" s="11" customFormat="1" ht="15">
      <c r="A22" s="55" t="s">
        <v>291</v>
      </c>
      <c r="B22" s="56">
        <v>0.10</v>
      </c>
      <c r="C22" s="56">
        <v>9.85</v>
      </c>
      <c r="D22" s="56">
        <v>5.15</v>
      </c>
      <c r="E22" s="56">
        <v>3.02</v>
      </c>
      <c r="F22" s="56">
        <v>17.59</v>
      </c>
      <c r="G22" s="56">
        <v>27.97</v>
      </c>
      <c r="H22" s="56">
        <v>11.35</v>
      </c>
      <c r="I22" s="56">
        <v>4.12</v>
      </c>
      <c r="J22" s="56">
        <v>0.46</v>
      </c>
      <c r="K22" s="56">
        <v>338.41</v>
      </c>
      <c r="L22" s="56">
        <v>35.24</v>
      </c>
      <c r="M22" s="56">
        <v>36.64</v>
      </c>
      <c r="N22" s="56">
        <v>861.30</v>
      </c>
      <c r="O22" s="56">
        <v>0</v>
      </c>
      <c r="P22" s="56">
        <v>0.54</v>
      </c>
      <c r="Q22" s="56">
        <v>9.34</v>
      </c>
      <c r="R22" s="43"/>
      <c r="S22" s="43"/>
      <c r="T22" s="43"/>
      <c r="U22" s="43"/>
    </row>
    <row r="23" spans="1:21" s="11" customFormat="1" ht="15">
      <c r="A23" s="55" t="s">
        <v>292</v>
      </c>
      <c r="B23" s="56">
        <v>0.10</v>
      </c>
      <c r="C23" s="56">
        <v>6.55</v>
      </c>
      <c r="D23" s="56">
        <v>3.42</v>
      </c>
      <c r="E23" s="56">
        <v>2.02</v>
      </c>
      <c r="F23" s="56">
        <v>10.68</v>
      </c>
      <c r="G23" s="56">
        <v>31.77</v>
      </c>
      <c r="H23" s="56">
        <v>11.30</v>
      </c>
      <c r="I23" s="56">
        <v>4.03</v>
      </c>
      <c r="J23" s="56">
        <v>0.56000000000000005</v>
      </c>
      <c r="K23" s="56">
        <v>351.43</v>
      </c>
      <c r="L23" s="56">
        <v>35.090000000000003</v>
      </c>
      <c r="M23" s="56">
        <v>35.03</v>
      </c>
      <c r="N23" s="56">
        <v>440.10</v>
      </c>
      <c r="O23" s="56">
        <v>0</v>
      </c>
      <c r="P23" s="56">
        <v>0.52</v>
      </c>
      <c r="Q23" s="56">
        <v>9.24</v>
      </c>
      <c r="R23" s="43"/>
      <c r="S23" s="43"/>
      <c r="T23" s="43"/>
      <c r="U23" s="43"/>
    </row>
    <row r="24" spans="1:21" s="11" customFormat="1" ht="15">
      <c r="A24" s="55" t="s">
        <v>293</v>
      </c>
      <c r="B24" s="56">
        <v>0.10</v>
      </c>
      <c r="C24" s="56">
        <v>7.17</v>
      </c>
      <c r="D24" s="56">
        <v>3.75</v>
      </c>
      <c r="E24" s="56">
        <v>1.89</v>
      </c>
      <c r="F24" s="56">
        <v>10.25</v>
      </c>
      <c r="G24" s="56">
        <v>30.09</v>
      </c>
      <c r="H24" s="56">
        <v>10.79</v>
      </c>
      <c r="I24" s="56">
        <v>4.05</v>
      </c>
      <c r="J24" s="56">
        <v>0.20</v>
      </c>
      <c r="K24" s="56">
        <v>357.61</v>
      </c>
      <c r="L24" s="56">
        <v>34.57</v>
      </c>
      <c r="M24" s="56">
        <v>37.64</v>
      </c>
      <c r="N24" s="56">
        <v>319.39999999999998</v>
      </c>
      <c r="O24" s="56">
        <v>0</v>
      </c>
      <c r="P24" s="56">
        <v>0.49</v>
      </c>
      <c r="Q24" s="56">
        <v>9.31</v>
      </c>
      <c r="R24" s="43"/>
      <c r="S24" s="43"/>
      <c r="T24" s="43"/>
      <c r="U24" s="43"/>
    </row>
    <row r="25" spans="1:21" s="11" customFormat="1" ht="15">
      <c r="A25" s="55" t="s">
        <v>294</v>
      </c>
      <c r="B25" s="56">
        <v>0.10</v>
      </c>
      <c r="C25" s="56">
        <v>4.53</v>
      </c>
      <c r="D25" s="56">
        <v>2.36</v>
      </c>
      <c r="E25" s="56">
        <v>1.55</v>
      </c>
      <c r="F25" s="56">
        <v>14.89</v>
      </c>
      <c r="G25" s="56">
        <v>37.880000000000003</v>
      </c>
      <c r="H25" s="56">
        <v>11</v>
      </c>
      <c r="I25" s="56">
        <v>3.51</v>
      </c>
      <c r="J25" s="56">
        <v>0.20</v>
      </c>
      <c r="K25" s="56">
        <v>16.43</v>
      </c>
      <c r="L25" s="56">
        <v>33.64</v>
      </c>
      <c r="M25" s="56">
        <v>38.29</v>
      </c>
      <c r="N25" s="56">
        <v>135.10</v>
      </c>
      <c r="O25" s="56">
        <v>0</v>
      </c>
      <c r="P25" s="56">
        <v>0.44</v>
      </c>
      <c r="Q25" s="56">
        <v>9.35</v>
      </c>
      <c r="R25" s="43"/>
      <c r="S25" s="43"/>
      <c r="T25" s="43"/>
      <c r="U25" s="43"/>
    </row>
    <row r="26" spans="1:21" s="11" customFormat="1" ht="15">
      <c r="A26" s="55" t="s">
        <v>295</v>
      </c>
      <c r="B26" s="56">
        <v>0.10</v>
      </c>
      <c r="C26" s="56">
        <v>5.92</v>
      </c>
      <c r="D26" s="56">
        <v>3.09</v>
      </c>
      <c r="E26" s="56">
        <v>1.28</v>
      </c>
      <c r="F26" s="56">
        <v>8.4499999999999993</v>
      </c>
      <c r="G26" s="56">
        <v>37.11</v>
      </c>
      <c r="H26" s="56">
        <v>11.17</v>
      </c>
      <c r="I26" s="56">
        <v>3.09</v>
      </c>
      <c r="J26" s="56">
        <v>0.34</v>
      </c>
      <c r="K26" s="56">
        <v>349.90</v>
      </c>
      <c r="L26" s="56">
        <v>33.11</v>
      </c>
      <c r="M26" s="56">
        <v>42.43</v>
      </c>
      <c r="N26" s="56">
        <v>80.099999999999994</v>
      </c>
      <c r="O26" s="56">
        <v>0</v>
      </c>
      <c r="P26" s="56">
        <v>0.42</v>
      </c>
      <c r="Q26" s="56">
        <v>9.2899999999999991</v>
      </c>
      <c r="R26" s="43"/>
      <c r="S26" s="43"/>
      <c r="T26" s="43"/>
      <c r="U26" s="43"/>
    </row>
    <row r="27" spans="1:21" s="11" customFormat="1" ht="15">
      <c r="A27" s="55" t="s">
        <v>296</v>
      </c>
      <c r="B27" s="56">
        <v>0.10</v>
      </c>
      <c r="C27" s="56">
        <v>5.56</v>
      </c>
      <c r="D27" s="56">
        <v>2.91</v>
      </c>
      <c r="E27" s="56">
        <v>1.1599999999999999</v>
      </c>
      <c r="F27" s="56">
        <v>6.06</v>
      </c>
      <c r="G27" s="56">
        <v>31.92</v>
      </c>
      <c r="H27" s="56">
        <v>10.64</v>
      </c>
      <c r="I27" s="56">
        <v>3.01</v>
      </c>
      <c r="J27" s="56">
        <v>0.26</v>
      </c>
      <c r="K27" s="56">
        <v>265.18</v>
      </c>
      <c r="L27" s="56">
        <v>31.91</v>
      </c>
      <c r="M27" s="56">
        <v>52.34</v>
      </c>
      <c r="N27" s="56">
        <v>32.10</v>
      </c>
      <c r="O27" s="56">
        <v>0</v>
      </c>
      <c r="P27" s="56">
        <v>0.46</v>
      </c>
      <c r="Q27" s="56">
        <v>9.23</v>
      </c>
      <c r="R27" s="43"/>
      <c r="S27" s="43"/>
      <c r="T27" s="43"/>
      <c r="U27" s="43"/>
    </row>
    <row r="28" spans="1:21" s="11" customFormat="1" ht="15">
      <c r="A28" s="55" t="s">
        <v>297</v>
      </c>
      <c r="B28" s="56">
        <v>1.35</v>
      </c>
      <c r="C28" s="56">
        <v>10.5</v>
      </c>
      <c r="D28" s="56">
        <v>6.49</v>
      </c>
      <c r="E28" s="56">
        <v>2.48</v>
      </c>
      <c r="F28" s="56">
        <v>4.1399999999999997</v>
      </c>
      <c r="G28" s="56">
        <v>52.95</v>
      </c>
      <c r="H28" s="56">
        <v>12.43</v>
      </c>
      <c r="I28" s="56">
        <v>4.17</v>
      </c>
      <c r="J28" s="56">
        <v>0.30</v>
      </c>
      <c r="K28" s="56">
        <v>354.19</v>
      </c>
      <c r="L28" s="56">
        <v>30.49</v>
      </c>
      <c r="M28" s="56">
        <v>54.80</v>
      </c>
      <c r="N28" s="56">
        <v>22.20</v>
      </c>
      <c r="O28" s="56">
        <v>0</v>
      </c>
      <c r="P28" s="56">
        <v>0.82</v>
      </c>
      <c r="Q28" s="56">
        <v>9.3800000000000008</v>
      </c>
      <c r="R28" s="43"/>
      <c r="S28" s="43"/>
      <c r="T28" s="43"/>
      <c r="U28" s="43"/>
    </row>
    <row r="29" spans="1:21" s="11" customFormat="1" ht="15">
      <c r="A29" s="55" t="s">
        <v>298</v>
      </c>
      <c r="B29" s="56">
        <v>3.34</v>
      </c>
      <c r="C29" s="56">
        <v>12.83</v>
      </c>
      <c r="D29" s="56">
        <v>9.3000000000000007</v>
      </c>
      <c r="E29" s="56">
        <v>2.3199999999999998</v>
      </c>
      <c r="F29" s="56">
        <v>3.65</v>
      </c>
      <c r="G29" s="56">
        <v>67.989999999999995</v>
      </c>
      <c r="H29" s="56">
        <v>14.03</v>
      </c>
      <c r="I29" s="56">
        <v>6.10</v>
      </c>
      <c r="J29" s="56">
        <v>1.03</v>
      </c>
      <c r="K29" s="56">
        <v>358.58</v>
      </c>
      <c r="L29" s="56">
        <v>29.74</v>
      </c>
      <c r="M29" s="56">
        <v>51.80</v>
      </c>
      <c r="N29" s="56">
        <v>22.70</v>
      </c>
      <c r="O29" s="56">
        <v>0</v>
      </c>
      <c r="P29" s="56">
        <v>0.81</v>
      </c>
      <c r="Q29" s="56">
        <v>9.4700000000000006</v>
      </c>
      <c r="R29" s="43"/>
      <c r="S29" s="43"/>
      <c r="T29" s="43"/>
      <c r="U29" s="43"/>
    </row>
    <row r="30" spans="1:21" s="11" customFormat="1" ht="15">
      <c r="A30" s="55" t="s">
        <v>299</v>
      </c>
      <c r="B30" s="56">
        <v>3.20</v>
      </c>
      <c r="C30" s="56">
        <v>13.87</v>
      </c>
      <c r="D30" s="56">
        <v>9.66</v>
      </c>
      <c r="E30" s="56">
        <v>2.12</v>
      </c>
      <c r="F30" s="56">
        <v>3.82</v>
      </c>
      <c r="G30" s="56">
        <v>71.72</v>
      </c>
      <c r="H30" s="56">
        <v>15.09</v>
      </c>
      <c r="I30" s="56">
        <v>6.91</v>
      </c>
      <c r="J30" s="56">
        <v>1.17</v>
      </c>
      <c r="K30" s="56">
        <v>105.66</v>
      </c>
      <c r="L30" s="56">
        <v>28.20</v>
      </c>
      <c r="M30" s="56">
        <v>50.76</v>
      </c>
      <c r="N30" s="56">
        <v>22.60</v>
      </c>
      <c r="O30" s="56">
        <v>0</v>
      </c>
      <c r="P30" s="56">
        <v>0.80</v>
      </c>
      <c r="Q30" s="56">
        <v>9.5399999999999991</v>
      </c>
      <c r="R30" s="43"/>
      <c r="S30" s="43"/>
      <c r="T30" s="43"/>
      <c r="U30" s="43"/>
    </row>
    <row r="31" spans="1:21" s="11" customFormat="1" ht="15">
      <c r="A31" s="55" t="s">
        <v>300</v>
      </c>
      <c r="B31" s="56">
        <v>1.95</v>
      </c>
      <c r="C31" s="56">
        <v>15.52</v>
      </c>
      <c r="D31" s="56">
        <v>9.35</v>
      </c>
      <c r="E31" s="56">
        <v>2.0099999999999998</v>
      </c>
      <c r="F31" s="56">
        <v>4.9400000000000004</v>
      </c>
      <c r="G31" s="56">
        <v>60.03</v>
      </c>
      <c r="H31" s="56">
        <v>15.10</v>
      </c>
      <c r="I31" s="56">
        <v>7.63</v>
      </c>
      <c r="J31" s="56">
        <v>1.04</v>
      </c>
      <c r="K31" s="56">
        <v>336.49</v>
      </c>
      <c r="L31" s="56">
        <v>27.91</v>
      </c>
      <c r="M31" s="56">
        <v>55.25</v>
      </c>
      <c r="N31" s="56">
        <v>23.20</v>
      </c>
      <c r="O31" s="56">
        <v>0</v>
      </c>
      <c r="P31" s="56">
        <v>0.75</v>
      </c>
      <c r="Q31" s="56">
        <v>9.5500000000000007</v>
      </c>
      <c r="R31" s="43"/>
      <c r="S31" s="43"/>
      <c r="T31" s="43"/>
      <c r="U31" s="43"/>
    </row>
    <row r="32" spans="1:21" s="11" customFormat="1" ht="15">
      <c r="A32" s="55" t="s">
        <v>301</v>
      </c>
      <c r="B32" s="56">
        <v>1.94</v>
      </c>
      <c r="C32" s="56">
        <v>13.92</v>
      </c>
      <c r="D32" s="56">
        <v>8.66</v>
      </c>
      <c r="E32" s="56">
        <v>2.14</v>
      </c>
      <c r="F32" s="56">
        <v>4.9800000000000004</v>
      </c>
      <c r="G32" s="56">
        <v>58.29</v>
      </c>
      <c r="H32" s="56">
        <v>14.88</v>
      </c>
      <c r="I32" s="56">
        <v>7.07</v>
      </c>
      <c r="J32" s="56">
        <v>0.17</v>
      </c>
      <c r="K32" s="56">
        <v>343.30</v>
      </c>
      <c r="L32" s="56">
        <v>27.10</v>
      </c>
      <c r="M32" s="56">
        <v>57.96</v>
      </c>
      <c r="N32" s="56">
        <v>22.90</v>
      </c>
      <c r="O32" s="56">
        <v>0</v>
      </c>
      <c r="P32" s="56">
        <v>0.69</v>
      </c>
      <c r="Q32" s="56">
        <v>9.4499999999999993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4.5300000000000002</v>
      </c>
      <c r="D34" s="28">
        <f t="shared" si="0"/>
        <v>2.3599999999999999</v>
      </c>
      <c r="E34" s="28">
        <f t="shared" si="0"/>
        <v>1.1599999999999999</v>
      </c>
      <c r="F34" s="28">
        <f t="shared" si="0"/>
        <v>3.48</v>
      </c>
      <c r="G34" s="28">
        <f t="shared" si="0"/>
        <v>22.469999999999999</v>
      </c>
      <c r="H34" s="28">
        <f t="shared" si="0"/>
        <v>7.21</v>
      </c>
      <c r="I34" s="28">
        <f t="shared" si="0"/>
        <v>1.8600000000000001</v>
      </c>
      <c r="J34" s="28">
        <f t="shared" si="0"/>
        <v>0.16</v>
      </c>
      <c r="K34" s="28">
        <f t="shared" si="0"/>
        <v>16.43</v>
      </c>
      <c r="L34" s="28">
        <f t="shared" si="0"/>
        <v>22.57</v>
      </c>
      <c r="M34" s="28">
        <f t="shared" si="0"/>
        <v>35.030000000000001</v>
      </c>
      <c r="N34" s="28">
        <f t="shared" si="0"/>
        <v>16.399999999999999</v>
      </c>
      <c r="O34" s="28">
        <f t="shared" si="0"/>
        <v>0</v>
      </c>
      <c r="P34" s="28">
        <f t="shared" si="0"/>
        <v>0.28999999999999998</v>
      </c>
      <c r="Q34" s="28">
        <f t="shared" si="0"/>
        <v>9.2300000000000004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7.7000000000000002</v>
      </c>
      <c r="C35" s="29">
        <f t="shared" si="1"/>
        <v>19.100000000000001</v>
      </c>
      <c r="D35" s="29">
        <f t="shared" si="1"/>
        <v>14.890000000000001</v>
      </c>
      <c r="E35" s="29">
        <f t="shared" si="1"/>
        <v>5.2000000000000002</v>
      </c>
      <c r="F35" s="29">
        <f t="shared" si="1"/>
        <v>41.780000000000001</v>
      </c>
      <c r="G35" s="29">
        <f t="shared" si="1"/>
        <v>71.719999999999999</v>
      </c>
      <c r="H35" s="29">
        <f t="shared" si="1"/>
        <v>15.1</v>
      </c>
      <c r="I35" s="29">
        <f t="shared" si="1"/>
        <v>7.6299999999999999</v>
      </c>
      <c r="J35" s="29">
        <f t="shared" si="1"/>
        <v>1.1699999999999999</v>
      </c>
      <c r="K35" s="29">
        <f t="shared" si="1"/>
        <v>359.04000000000002</v>
      </c>
      <c r="L35" s="29">
        <f t="shared" si="1"/>
        <v>35.240000000000002</v>
      </c>
      <c r="M35" s="29">
        <f t="shared" si="1"/>
        <v>78.010000000000005</v>
      </c>
      <c r="N35" s="29">
        <f t="shared" si="1"/>
        <v>959.79999999999995</v>
      </c>
      <c r="O35" s="29">
        <f t="shared" si="1"/>
        <v>0</v>
      </c>
      <c r="P35" s="29">
        <f t="shared" si="1"/>
        <v>0.81999999999999995</v>
      </c>
      <c r="Q35" s="29">
        <f t="shared" si="1"/>
        <v>9.6699999999999999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2.5700000000000007</v>
      </c>
      <c r="C36" s="28">
        <f t="shared" si="2"/>
        <v>13.059166666666664</v>
      </c>
      <c r="D36" s="28">
        <f t="shared" si="2"/>
        <v>8.7279166666666672</v>
      </c>
      <c r="E36" s="28">
        <f t="shared" si="2"/>
        <v>2.0812499999999994</v>
      </c>
      <c r="F36" s="28">
        <f t="shared" si="2"/>
        <v>8.8916666666666657</v>
      </c>
      <c r="G36" s="28">
        <f t="shared" si="2"/>
        <v>38.872500000000002</v>
      </c>
      <c r="H36" s="28">
        <f t="shared" si="2"/>
        <v>11.088333333333333</v>
      </c>
      <c r="I36" s="28">
        <f t="shared" si="2"/>
        <v>5.0375000000000005</v>
      </c>
      <c r="J36" s="28">
        <f t="shared" si="2"/>
        <v>0.43833333333333324</v>
      </c>
      <c r="K36" s="28">
        <f t="shared" si="2"/>
        <v>311.90208333333334</v>
      </c>
      <c r="L36" s="28">
        <f t="shared" si="2"/>
        <v>29.441666666666666</v>
      </c>
      <c r="M36" s="28">
        <f t="shared" si="2"/>
        <v>55.565833333333323</v>
      </c>
      <c r="N36" s="28">
        <f t="shared" si="2"/>
        <v>301.73333333333341</v>
      </c>
      <c r="O36" s="28">
        <f t="shared" si="2"/>
        <v>0</v>
      </c>
      <c r="P36" s="28">
        <f t="shared" si="2"/>
        <v>0.51375000000000015</v>
      </c>
      <c r="Q36" s="28">
        <f t="shared" si="2"/>
        <v>9.4674999999999994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2.4336678348605374</v>
      </c>
      <c r="C37" s="28">
        <f t="shared" si="3" ref="C37:Q37">STDEV(C9:C32)</f>
        <v>4.966140936089257</v>
      </c>
      <c r="D37" s="28">
        <f t="shared" si="3"/>
        <v>4.2180028028591368</v>
      </c>
      <c r="E37" s="28">
        <f t="shared" si="3"/>
        <v>0.85438669841868808</v>
      </c>
      <c r="F37" s="28">
        <f t="shared" si="3"/>
        <v>9.066063172583533</v>
      </c>
      <c r="G37" s="28">
        <f t="shared" si="3"/>
        <v>13.764802072204169</v>
      </c>
      <c r="H37" s="28">
        <f t="shared" si="3"/>
        <v>2.154801850401272</v>
      </c>
      <c r="I37" s="28">
        <f t="shared" si="3"/>
        <v>1.5648649059625064</v>
      </c>
      <c r="J37" s="28">
        <f t="shared" si="3"/>
        <v>0.2810178188171592</v>
      </c>
      <c r="K37" s="28">
        <f t="shared" si="3"/>
        <v>81.688057558280647</v>
      </c>
      <c r="L37" s="28">
        <f t="shared" si="3"/>
        <v>4.4035822045107897</v>
      </c>
      <c r="M37" s="28">
        <f t="shared" si="3"/>
        <v>14.618569761917881</v>
      </c>
      <c r="N37" s="28">
        <f t="shared" si="3"/>
        <v>365.03102508603604</v>
      </c>
      <c r="O37" s="28">
        <f t="shared" si="3"/>
        <v>0</v>
      </c>
      <c r="P37" s="28">
        <f t="shared" si="3"/>
        <v>0.1494864396932836</v>
      </c>
      <c r="Q37" s="28">
        <f t="shared" si="3"/>
        <v>0.13309852512823359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3109a9-3d91-4103-8871-a95f607db2e4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302</v>
      </c>
      <c r="B9" s="51">
        <v>2.46</v>
      </c>
      <c r="C9" s="51">
        <v>10.80</v>
      </c>
      <c r="D9" s="51">
        <v>7.15</v>
      </c>
      <c r="E9" s="51">
        <v>1.63</v>
      </c>
      <c r="F9" s="51">
        <v>3.66</v>
      </c>
      <c r="G9" s="51">
        <v>62.01</v>
      </c>
      <c r="H9" s="51">
        <v>16.100000000000001</v>
      </c>
      <c r="I9" s="51">
        <v>6.77</v>
      </c>
      <c r="J9" s="51">
        <v>0.17</v>
      </c>
      <c r="K9" s="51">
        <v>321.74</v>
      </c>
      <c r="L9" s="51">
        <v>26.67</v>
      </c>
      <c r="M9" s="51">
        <v>64.58</v>
      </c>
      <c r="N9" s="51">
        <v>23.10</v>
      </c>
      <c r="O9" s="51">
        <v>0</v>
      </c>
      <c r="P9" s="51">
        <v>0.66</v>
      </c>
      <c r="Q9" s="51">
        <v>9.44</v>
      </c>
      <c r="R9" s="43"/>
      <c r="S9" s="43"/>
      <c r="T9" s="43"/>
      <c r="U9" s="43"/>
    </row>
    <row r="10" spans="1:21" s="11" customFormat="1" ht="15">
      <c r="A10" s="50" t="s">
        <v>303</v>
      </c>
      <c r="B10" s="51">
        <v>4.49</v>
      </c>
      <c r="C10" s="51">
        <v>10.14</v>
      </c>
      <c r="D10" s="51">
        <v>8.82</v>
      </c>
      <c r="E10" s="51">
        <v>1.18</v>
      </c>
      <c r="F10" s="51">
        <v>3.88</v>
      </c>
      <c r="G10" s="51">
        <v>66.80</v>
      </c>
      <c r="H10" s="51">
        <v>17.64</v>
      </c>
      <c r="I10" s="51">
        <v>6.21</v>
      </c>
      <c r="J10" s="51">
        <v>0.18</v>
      </c>
      <c r="K10" s="51">
        <v>345.19</v>
      </c>
      <c r="L10" s="51">
        <v>25.86</v>
      </c>
      <c r="M10" s="51">
        <v>68.989999999999995</v>
      </c>
      <c r="N10" s="51">
        <v>23</v>
      </c>
      <c r="O10" s="51">
        <v>0</v>
      </c>
      <c r="P10" s="51">
        <v>0.60</v>
      </c>
      <c r="Q10" s="51">
        <v>9.57</v>
      </c>
      <c r="R10" s="43"/>
      <c r="S10" s="43"/>
      <c r="T10" s="43"/>
      <c r="U10" s="43"/>
    </row>
    <row r="11" spans="1:21" s="11" customFormat="1" ht="15">
      <c r="A11" s="50" t="s">
        <v>304</v>
      </c>
      <c r="B11" s="51">
        <v>5.1100000000000003</v>
      </c>
      <c r="C11" s="51">
        <v>13.03</v>
      </c>
      <c r="D11" s="51">
        <v>10.68</v>
      </c>
      <c r="E11" s="51">
        <v>1.51</v>
      </c>
      <c r="F11" s="51">
        <v>3.68</v>
      </c>
      <c r="G11" s="51">
        <v>69.180000000000007</v>
      </c>
      <c r="H11" s="51">
        <v>19.28</v>
      </c>
      <c r="I11" s="51">
        <v>6.74</v>
      </c>
      <c r="J11" s="51">
        <v>0.70</v>
      </c>
      <c r="K11" s="51">
        <v>351.60</v>
      </c>
      <c r="L11" s="51">
        <v>25.82</v>
      </c>
      <c r="M11" s="51">
        <v>69.239999999999995</v>
      </c>
      <c r="N11" s="51">
        <v>23.10</v>
      </c>
      <c r="O11" s="51">
        <v>0</v>
      </c>
      <c r="P11" s="51">
        <v>0.56999999999999995</v>
      </c>
      <c r="Q11" s="51">
        <v>9.61</v>
      </c>
      <c r="R11" s="43"/>
      <c r="S11" s="43"/>
      <c r="T11" s="43"/>
      <c r="U11" s="43"/>
    </row>
    <row r="12" spans="1:21" s="11" customFormat="1" ht="15">
      <c r="A12" s="50" t="s">
        <v>305</v>
      </c>
      <c r="B12" s="51">
        <v>6.59</v>
      </c>
      <c r="C12" s="51">
        <v>12.11</v>
      </c>
      <c r="D12" s="51">
        <v>11.53</v>
      </c>
      <c r="E12" s="51">
        <v>1.5</v>
      </c>
      <c r="F12" s="51">
        <v>3.74</v>
      </c>
      <c r="G12" s="51">
        <v>81.30</v>
      </c>
      <c r="H12" s="51">
        <v>22.32</v>
      </c>
      <c r="I12" s="51">
        <v>7.19</v>
      </c>
      <c r="J12" s="51">
        <v>0.41</v>
      </c>
      <c r="K12" s="51">
        <v>357.48</v>
      </c>
      <c r="L12" s="51">
        <v>25.22</v>
      </c>
      <c r="M12" s="51">
        <v>70.89</v>
      </c>
      <c r="N12" s="51">
        <v>23.30</v>
      </c>
      <c r="O12" s="51">
        <v>0</v>
      </c>
      <c r="P12" s="51">
        <v>0.59</v>
      </c>
      <c r="Q12" s="51">
        <v>9.58</v>
      </c>
      <c r="R12" s="43"/>
      <c r="S12" s="43"/>
      <c r="T12" s="43"/>
      <c r="U12" s="43"/>
    </row>
    <row r="13" spans="1:21" s="11" customFormat="1" ht="15">
      <c r="A13" s="50" t="s">
        <v>306</v>
      </c>
      <c r="B13" s="51">
        <v>11.83</v>
      </c>
      <c r="C13" s="51">
        <v>12.62</v>
      </c>
      <c r="D13" s="51">
        <v>16</v>
      </c>
      <c r="E13" s="51">
        <v>2.76</v>
      </c>
      <c r="F13" s="51">
        <v>3.56</v>
      </c>
      <c r="G13" s="51">
        <v>102.97</v>
      </c>
      <c r="H13" s="51">
        <v>31.17</v>
      </c>
      <c r="I13" s="51">
        <v>7.13</v>
      </c>
      <c r="J13" s="51">
        <v>0.19</v>
      </c>
      <c r="K13" s="51">
        <v>347.87</v>
      </c>
      <c r="L13" s="51">
        <v>24.27</v>
      </c>
      <c r="M13" s="51">
        <v>77.81</v>
      </c>
      <c r="N13" s="51">
        <v>23.70</v>
      </c>
      <c r="O13" s="51">
        <v>0</v>
      </c>
      <c r="P13" s="51">
        <v>0.63</v>
      </c>
      <c r="Q13" s="51">
        <v>9.64</v>
      </c>
      <c r="R13" s="43"/>
      <c r="S13" s="43"/>
      <c r="T13" s="43"/>
      <c r="U13" s="43"/>
    </row>
    <row r="14" spans="1:21" s="11" customFormat="1" ht="15">
      <c r="A14" s="50" t="s">
        <v>307</v>
      </c>
      <c r="B14" s="51">
        <v>18.34</v>
      </c>
      <c r="C14" s="51">
        <v>12.57</v>
      </c>
      <c r="D14" s="51">
        <v>20.25</v>
      </c>
      <c r="E14" s="51">
        <v>2.64</v>
      </c>
      <c r="F14" s="51">
        <v>3.61</v>
      </c>
      <c r="G14" s="51">
        <v>123.22</v>
      </c>
      <c r="H14" s="51">
        <v>39.32</v>
      </c>
      <c r="I14" s="51">
        <v>6.87</v>
      </c>
      <c r="J14" s="51">
        <v>0.28999999999999998</v>
      </c>
      <c r="K14" s="51">
        <v>332.60</v>
      </c>
      <c r="L14" s="51">
        <v>24.88</v>
      </c>
      <c r="M14" s="51">
        <v>75.69</v>
      </c>
      <c r="N14" s="51">
        <v>67.70</v>
      </c>
      <c r="O14" s="51">
        <v>0</v>
      </c>
      <c r="P14" s="51">
        <v>0.66</v>
      </c>
      <c r="Q14" s="51">
        <v>9.85</v>
      </c>
      <c r="R14" s="43"/>
      <c r="S14" s="43"/>
      <c r="T14" s="43"/>
      <c r="U14" s="43"/>
    </row>
    <row r="15" spans="1:21" s="11" customFormat="1" ht="15">
      <c r="A15" s="50" t="s">
        <v>308</v>
      </c>
      <c r="B15" s="51">
        <v>20.86</v>
      </c>
      <c r="C15" s="51">
        <v>16.57</v>
      </c>
      <c r="D15" s="51">
        <v>22.63</v>
      </c>
      <c r="E15" s="51">
        <v>2.58</v>
      </c>
      <c r="F15" s="51">
        <v>3.55</v>
      </c>
      <c r="G15" s="51">
        <v>130.74</v>
      </c>
      <c r="H15" s="51">
        <v>41.49</v>
      </c>
      <c r="I15" s="51">
        <v>8.06</v>
      </c>
      <c r="J15" s="51">
        <v>0.15</v>
      </c>
      <c r="K15" s="51">
        <v>358.69</v>
      </c>
      <c r="L15" s="51">
        <v>27.03</v>
      </c>
      <c r="M15" s="51">
        <v>71.94</v>
      </c>
      <c r="N15" s="51">
        <v>206.70</v>
      </c>
      <c r="O15" s="51">
        <v>0</v>
      </c>
      <c r="P15" s="51">
        <v>0.67</v>
      </c>
      <c r="Q15" s="51">
        <v>9.94</v>
      </c>
      <c r="R15" s="43"/>
      <c r="S15" s="43"/>
      <c r="T15" s="43"/>
      <c r="U15" s="43"/>
    </row>
    <row r="16" spans="1:21" s="11" customFormat="1" ht="15">
      <c r="A16" s="50" t="s">
        <v>309</v>
      </c>
      <c r="B16" s="51">
        <v>12.72</v>
      </c>
      <c r="C16" s="51">
        <v>20.43</v>
      </c>
      <c r="D16" s="51">
        <v>19.309999999999999</v>
      </c>
      <c r="E16" s="51">
        <v>2.56</v>
      </c>
      <c r="F16" s="51">
        <v>4.8499999999999996</v>
      </c>
      <c r="G16" s="51">
        <v>117.38</v>
      </c>
      <c r="H16" s="51">
        <v>38.979999999999997</v>
      </c>
      <c r="I16" s="51">
        <v>7.95</v>
      </c>
      <c r="J16" s="51">
        <v>0.14000000000000001</v>
      </c>
      <c r="K16" s="51">
        <v>263.66000000000003</v>
      </c>
      <c r="L16" s="51">
        <v>29.07</v>
      </c>
      <c r="M16" s="51">
        <v>64.23</v>
      </c>
      <c r="N16" s="51">
        <v>441.40</v>
      </c>
      <c r="O16" s="51">
        <v>0</v>
      </c>
      <c r="P16" s="51">
        <v>0.62</v>
      </c>
      <c r="Q16" s="51">
        <v>9.91</v>
      </c>
      <c r="R16" s="43"/>
      <c r="S16" s="43"/>
      <c r="T16" s="43"/>
      <c r="U16" s="43"/>
    </row>
    <row r="17" spans="1:21" s="11" customFormat="1" ht="15">
      <c r="A17" s="50" t="s">
        <v>310</v>
      </c>
      <c r="B17" s="51">
        <v>6.22</v>
      </c>
      <c r="C17" s="51">
        <v>19.57</v>
      </c>
      <c r="D17" s="51">
        <v>15.13</v>
      </c>
      <c r="E17" s="51">
        <v>1.67</v>
      </c>
      <c r="F17" s="51">
        <v>5.56</v>
      </c>
      <c r="G17" s="51">
        <v>77.39</v>
      </c>
      <c r="H17" s="51">
        <v>29.86</v>
      </c>
      <c r="I17" s="51">
        <v>6.69</v>
      </c>
      <c r="J17" s="51">
        <v>0.28999999999999998</v>
      </c>
      <c r="K17" s="51">
        <v>320.97000000000003</v>
      </c>
      <c r="L17" s="51">
        <v>30.67</v>
      </c>
      <c r="M17" s="51">
        <v>56.78</v>
      </c>
      <c r="N17" s="51">
        <v>668.70</v>
      </c>
      <c r="O17" s="51">
        <v>0</v>
      </c>
      <c r="P17" s="51">
        <v>0.54</v>
      </c>
      <c r="Q17" s="51">
        <v>9.51</v>
      </c>
      <c r="R17" s="43"/>
      <c r="S17" s="43"/>
      <c r="T17" s="43"/>
      <c r="U17" s="43"/>
    </row>
    <row r="18" spans="1:21" s="11" customFormat="1" ht="15">
      <c r="A18" s="50" t="s">
        <v>311</v>
      </c>
      <c r="B18" s="51">
        <v>0.10</v>
      </c>
      <c r="C18" s="51">
        <v>15.77</v>
      </c>
      <c r="D18" s="51">
        <v>8.24</v>
      </c>
      <c r="E18" s="51">
        <v>1.86</v>
      </c>
      <c r="F18" s="51">
        <v>8.9600000000000009</v>
      </c>
      <c r="G18" s="51">
        <v>45.87</v>
      </c>
      <c r="H18" s="51">
        <v>21.04</v>
      </c>
      <c r="I18" s="51">
        <v>4.9000000000000004</v>
      </c>
      <c r="J18" s="51">
        <v>0.28999999999999998</v>
      </c>
      <c r="K18" s="51">
        <v>351.71</v>
      </c>
      <c r="L18" s="51">
        <v>32.25</v>
      </c>
      <c r="M18" s="51">
        <v>50.74</v>
      </c>
      <c r="N18" s="51">
        <v>824.90</v>
      </c>
      <c r="O18" s="51">
        <v>0</v>
      </c>
      <c r="P18" s="51">
        <v>0.41</v>
      </c>
      <c r="Q18" s="51">
        <v>9.33</v>
      </c>
      <c r="R18" s="43"/>
      <c r="S18" s="43"/>
      <c r="T18" s="43"/>
      <c r="U18" s="43"/>
    </row>
    <row r="19" spans="1:21" s="11" customFormat="1" ht="15">
      <c r="A19" s="50" t="s">
        <v>312</v>
      </c>
      <c r="B19" s="51">
        <v>0.10</v>
      </c>
      <c r="C19" s="51">
        <v>8.01</v>
      </c>
      <c r="D19" s="51">
        <v>4.18</v>
      </c>
      <c r="E19" s="51">
        <v>2.37</v>
      </c>
      <c r="F19" s="51">
        <v>17.97</v>
      </c>
      <c r="G19" s="51">
        <v>36.28</v>
      </c>
      <c r="H19" s="51">
        <v>16.260000000000002</v>
      </c>
      <c r="I19" s="51">
        <v>3.21</v>
      </c>
      <c r="J19" s="51">
        <v>0.37</v>
      </c>
      <c r="K19" s="51">
        <v>354.74</v>
      </c>
      <c r="L19" s="51">
        <v>34.11</v>
      </c>
      <c r="M19" s="51">
        <v>45.61</v>
      </c>
      <c r="N19" s="51">
        <v>913.20</v>
      </c>
      <c r="O19" s="51">
        <v>0</v>
      </c>
      <c r="P19" s="51">
        <v>0.33</v>
      </c>
      <c r="Q19" s="51">
        <v>9.31</v>
      </c>
      <c r="R19" s="43"/>
      <c r="S19" s="43"/>
      <c r="T19" s="43"/>
      <c r="U19" s="43"/>
    </row>
    <row r="20" spans="1:21" s="11" customFormat="1" ht="15">
      <c r="A20" s="50" t="s">
        <v>313</v>
      </c>
      <c r="B20" s="51">
        <v>0.10</v>
      </c>
      <c r="C20" s="51">
        <v>9.91</v>
      </c>
      <c r="D20" s="51">
        <v>5.18</v>
      </c>
      <c r="E20" s="51">
        <v>2.3199999999999998</v>
      </c>
      <c r="F20" s="51">
        <v>15.63</v>
      </c>
      <c r="G20" s="51">
        <v>23.01</v>
      </c>
      <c r="H20" s="51">
        <v>16.77</v>
      </c>
      <c r="I20" s="51">
        <v>1.78</v>
      </c>
      <c r="J20" s="51">
        <v>0.41</v>
      </c>
      <c r="K20" s="51">
        <v>353.86</v>
      </c>
      <c r="L20" s="51">
        <v>35.72</v>
      </c>
      <c r="M20" s="51">
        <v>38.90</v>
      </c>
      <c r="N20" s="51">
        <v>937.70</v>
      </c>
      <c r="O20" s="51">
        <v>0</v>
      </c>
      <c r="P20" s="51">
        <v>0.32</v>
      </c>
      <c r="Q20" s="51">
        <v>9.31</v>
      </c>
      <c r="R20" s="43"/>
      <c r="S20" s="43"/>
      <c r="T20" s="43"/>
      <c r="U20" s="43"/>
    </row>
    <row r="21" spans="1:21" s="11" customFormat="1" ht="15">
      <c r="A21" s="50" t="s">
        <v>314</v>
      </c>
      <c r="B21" s="51">
        <v>0.10</v>
      </c>
      <c r="C21" s="51">
        <v>10.02</v>
      </c>
      <c r="D21" s="51">
        <v>5.24</v>
      </c>
      <c r="E21" s="51">
        <v>2.60</v>
      </c>
      <c r="F21" s="51">
        <v>15.57</v>
      </c>
      <c r="G21" s="51">
        <v>27.02</v>
      </c>
      <c r="H21" s="51">
        <v>14.74</v>
      </c>
      <c r="I21" s="51">
        <v>2.0699999999999998</v>
      </c>
      <c r="J21" s="51">
        <v>0.81</v>
      </c>
      <c r="K21" s="51">
        <v>342.20</v>
      </c>
      <c r="L21" s="51">
        <v>36.60</v>
      </c>
      <c r="M21" s="51">
        <v>35.18</v>
      </c>
      <c r="N21" s="51">
        <v>929.70</v>
      </c>
      <c r="O21" s="51">
        <v>0</v>
      </c>
      <c r="P21" s="51">
        <v>0.43</v>
      </c>
      <c r="Q21" s="51">
        <v>9.2899999999999991</v>
      </c>
      <c r="R21" s="43"/>
      <c r="S21" s="43"/>
      <c r="T21" s="43"/>
      <c r="U21" s="43"/>
    </row>
    <row r="22" spans="1:21" s="11" customFormat="1" ht="15">
      <c r="A22" s="50" t="s">
        <v>315</v>
      </c>
      <c r="B22" s="51">
        <v>0.10</v>
      </c>
      <c r="C22" s="51">
        <v>8.61</v>
      </c>
      <c r="D22" s="51">
        <v>4.5</v>
      </c>
      <c r="E22" s="51">
        <v>2.99</v>
      </c>
      <c r="F22" s="51">
        <v>15.30</v>
      </c>
      <c r="G22" s="51">
        <v>33.159999999999997</v>
      </c>
      <c r="H22" s="51">
        <v>14.85</v>
      </c>
      <c r="I22" s="51">
        <v>2.52</v>
      </c>
      <c r="J22" s="51">
        <v>0.52</v>
      </c>
      <c r="K22" s="51">
        <v>351.29</v>
      </c>
      <c r="L22" s="51">
        <v>36.90</v>
      </c>
      <c r="M22" s="51">
        <v>33.32</v>
      </c>
      <c r="N22" s="51">
        <v>850</v>
      </c>
      <c r="O22" s="51">
        <v>0</v>
      </c>
      <c r="P22" s="51">
        <v>0.42</v>
      </c>
      <c r="Q22" s="51">
        <v>9.17</v>
      </c>
      <c r="R22" s="43"/>
      <c r="S22" s="43"/>
      <c r="T22" s="43"/>
      <c r="U22" s="43"/>
    </row>
    <row r="23" spans="1:21" s="11" customFormat="1" ht="15">
      <c r="A23" s="50" t="s">
        <v>316</v>
      </c>
      <c r="B23" s="51">
        <v>0.10</v>
      </c>
      <c r="C23" s="51">
        <v>7.03</v>
      </c>
      <c r="D23" s="51">
        <v>3.67</v>
      </c>
      <c r="E23" s="51">
        <v>2.2799999999999998</v>
      </c>
      <c r="F23" s="51">
        <v>9.33</v>
      </c>
      <c r="G23" s="51">
        <v>35.909999999999997</v>
      </c>
      <c r="H23" s="51">
        <v>15.71</v>
      </c>
      <c r="I23" s="51">
        <v>2.4500000000000002</v>
      </c>
      <c r="J23" s="51">
        <v>0.66</v>
      </c>
      <c r="K23" s="51">
        <v>325.33</v>
      </c>
      <c r="L23" s="51">
        <v>37.42</v>
      </c>
      <c r="M23" s="51">
        <v>30.72</v>
      </c>
      <c r="N23" s="51">
        <v>436.60</v>
      </c>
      <c r="O23" s="51">
        <v>0</v>
      </c>
      <c r="P23" s="51">
        <v>0.41</v>
      </c>
      <c r="Q23" s="51">
        <v>9.27</v>
      </c>
      <c r="R23" s="43"/>
      <c r="S23" s="43"/>
      <c r="T23" s="43"/>
      <c r="U23" s="43"/>
    </row>
    <row r="24" spans="1:21" s="11" customFormat="1" ht="15">
      <c r="A24" s="50" t="s">
        <v>317</v>
      </c>
      <c r="B24" s="51">
        <v>0.10</v>
      </c>
      <c r="C24" s="51">
        <v>7.99</v>
      </c>
      <c r="D24" s="51">
        <v>4.17</v>
      </c>
      <c r="E24" s="51">
        <v>2.5499999999999998</v>
      </c>
      <c r="F24" s="51">
        <v>11.03</v>
      </c>
      <c r="G24" s="51">
        <v>31.28</v>
      </c>
      <c r="H24" s="51">
        <v>16.55</v>
      </c>
      <c r="I24" s="51">
        <v>2.58</v>
      </c>
      <c r="J24" s="51">
        <v>0.60</v>
      </c>
      <c r="K24" s="51">
        <v>334.78</v>
      </c>
      <c r="L24" s="51">
        <v>36.82</v>
      </c>
      <c r="M24" s="51">
        <v>29.70</v>
      </c>
      <c r="N24" s="51">
        <v>300.60000000000002</v>
      </c>
      <c r="O24" s="51">
        <v>0</v>
      </c>
      <c r="P24" s="51">
        <v>0.38</v>
      </c>
      <c r="Q24" s="51">
        <v>9.33</v>
      </c>
      <c r="R24" s="43"/>
      <c r="S24" s="43"/>
      <c r="T24" s="43"/>
      <c r="U24" s="43"/>
    </row>
    <row r="25" spans="1:21" s="11" customFormat="1" ht="15">
      <c r="A25" s="50" t="s">
        <v>318</v>
      </c>
      <c r="B25" s="51">
        <v>0.10</v>
      </c>
      <c r="C25" s="51">
        <v>8.6999999999999993</v>
      </c>
      <c r="D25" s="51">
        <v>4.54</v>
      </c>
      <c r="E25" s="51">
        <v>1.18</v>
      </c>
      <c r="F25" s="51">
        <v>9.08</v>
      </c>
      <c r="G25" s="51">
        <v>30.80</v>
      </c>
      <c r="H25" s="51">
        <v>13.34</v>
      </c>
      <c r="I25" s="51">
        <v>2.4500000000000002</v>
      </c>
      <c r="J25" s="51">
        <v>0.91</v>
      </c>
      <c r="K25" s="51">
        <v>351.21</v>
      </c>
      <c r="L25" s="51">
        <v>35.549999999999997</v>
      </c>
      <c r="M25" s="51">
        <v>29.77</v>
      </c>
      <c r="N25" s="51">
        <v>127.60</v>
      </c>
      <c r="O25" s="51">
        <v>0</v>
      </c>
      <c r="P25" s="51">
        <v>0.36</v>
      </c>
      <c r="Q25" s="51">
        <v>9.27</v>
      </c>
      <c r="R25" s="43"/>
      <c r="S25" s="43"/>
      <c r="T25" s="43"/>
      <c r="U25" s="43"/>
    </row>
    <row r="26" spans="1:21" s="11" customFormat="1" ht="15">
      <c r="A26" s="50" t="s">
        <v>319</v>
      </c>
      <c r="B26" s="51">
        <v>0.10</v>
      </c>
      <c r="C26" s="51">
        <v>7.64</v>
      </c>
      <c r="D26" s="51">
        <v>3.99</v>
      </c>
      <c r="E26" s="51">
        <v>1.29</v>
      </c>
      <c r="F26" s="51">
        <v>9.23</v>
      </c>
      <c r="G26" s="51">
        <v>32.74</v>
      </c>
      <c r="H26" s="51">
        <v>13.84</v>
      </c>
      <c r="I26" s="51">
        <v>2.34</v>
      </c>
      <c r="J26" s="51">
        <v>1.81</v>
      </c>
      <c r="K26" s="51">
        <v>336.67</v>
      </c>
      <c r="L26" s="51">
        <v>35.090000000000003</v>
      </c>
      <c r="M26" s="51">
        <v>31.64</v>
      </c>
      <c r="N26" s="51">
        <v>76.80</v>
      </c>
      <c r="O26" s="51">
        <v>0</v>
      </c>
      <c r="P26" s="51">
        <v>0.38</v>
      </c>
      <c r="Q26" s="51">
        <v>9.2100000000000009</v>
      </c>
      <c r="R26" s="43"/>
      <c r="S26" s="43"/>
      <c r="T26" s="43"/>
      <c r="U26" s="43"/>
    </row>
    <row r="27" spans="1:21" s="11" customFormat="1" ht="15">
      <c r="A27" s="50" t="s">
        <v>320</v>
      </c>
      <c r="B27" s="51">
        <v>0.10</v>
      </c>
      <c r="C27" s="51">
        <v>10.29</v>
      </c>
      <c r="D27" s="51">
        <v>5.37</v>
      </c>
      <c r="E27" s="51">
        <v>1.03</v>
      </c>
      <c r="F27" s="51">
        <v>6.45</v>
      </c>
      <c r="G27" s="51">
        <v>51.70</v>
      </c>
      <c r="H27" s="51">
        <v>15.32</v>
      </c>
      <c r="I27" s="51">
        <v>2.86</v>
      </c>
      <c r="J27" s="51">
        <v>0.99</v>
      </c>
      <c r="K27" s="51">
        <v>353.49</v>
      </c>
      <c r="L27" s="51">
        <v>32.409999999999997</v>
      </c>
      <c r="M27" s="51">
        <v>40.51</v>
      </c>
      <c r="N27" s="51">
        <v>28.5</v>
      </c>
      <c r="O27" s="51">
        <v>0</v>
      </c>
      <c r="P27" s="51">
        <v>0.56000000000000005</v>
      </c>
      <c r="Q27" s="51">
        <v>9.2899999999999991</v>
      </c>
      <c r="R27" s="43"/>
      <c r="S27" s="43"/>
      <c r="T27" s="43"/>
      <c r="U27" s="43"/>
    </row>
    <row r="28" spans="1:21" s="11" customFormat="1" ht="15">
      <c r="A28" s="50" t="s">
        <v>321</v>
      </c>
      <c r="B28" s="51">
        <v>0.10</v>
      </c>
      <c r="C28" s="51">
        <v>9.90</v>
      </c>
      <c r="D28" s="51">
        <v>5.17</v>
      </c>
      <c r="E28" s="51">
        <v>1.60</v>
      </c>
      <c r="F28" s="51">
        <v>5.03</v>
      </c>
      <c r="G28" s="51">
        <v>80.94</v>
      </c>
      <c r="H28" s="51">
        <v>18.82</v>
      </c>
      <c r="I28" s="51">
        <v>4.68</v>
      </c>
      <c r="J28" s="51">
        <v>3.10</v>
      </c>
      <c r="K28" s="51">
        <v>357.58</v>
      </c>
      <c r="L28" s="51">
        <v>30.67</v>
      </c>
      <c r="M28" s="51">
        <v>45.15</v>
      </c>
      <c r="N28" s="51">
        <v>20.20</v>
      </c>
      <c r="O28" s="51">
        <v>0</v>
      </c>
      <c r="P28" s="51">
        <v>0.61</v>
      </c>
      <c r="Q28" s="51">
        <v>9.3800000000000008</v>
      </c>
      <c r="R28" s="43"/>
      <c r="S28" s="43"/>
      <c r="T28" s="43"/>
      <c r="U28" s="43"/>
    </row>
    <row r="29" spans="1:21" s="11" customFormat="1" ht="15">
      <c r="A29" s="50" t="s">
        <v>322</v>
      </c>
      <c r="B29" s="51">
        <v>0.10</v>
      </c>
      <c r="C29" s="51">
        <v>8.19</v>
      </c>
      <c r="D29" s="51">
        <v>4.28</v>
      </c>
      <c r="E29" s="51">
        <v>2.19</v>
      </c>
      <c r="F29" s="51">
        <v>4.12</v>
      </c>
      <c r="G29" s="51">
        <v>92.05</v>
      </c>
      <c r="H29" s="51">
        <v>20</v>
      </c>
      <c r="I29" s="51">
        <v>5.03</v>
      </c>
      <c r="J29" s="51">
        <v>0.52</v>
      </c>
      <c r="K29" s="51">
        <v>164.89</v>
      </c>
      <c r="L29" s="51">
        <v>28.5</v>
      </c>
      <c r="M29" s="51">
        <v>43.5</v>
      </c>
      <c r="N29" s="51">
        <v>17.5</v>
      </c>
      <c r="O29" s="51">
        <v>0</v>
      </c>
      <c r="P29" s="51">
        <v>0.65</v>
      </c>
      <c r="Q29" s="51">
        <v>9.4700000000000006</v>
      </c>
      <c r="R29" s="43"/>
      <c r="S29" s="43"/>
      <c r="T29" s="43"/>
      <c r="U29" s="43"/>
    </row>
    <row r="30" spans="1:21" s="11" customFormat="1" ht="15">
      <c r="A30" s="50" t="s">
        <v>323</v>
      </c>
      <c r="B30" s="51">
        <v>0.10</v>
      </c>
      <c r="C30" s="51">
        <v>10.42</v>
      </c>
      <c r="D30" s="51">
        <v>5.44</v>
      </c>
      <c r="E30" s="51">
        <v>2.34</v>
      </c>
      <c r="F30" s="51">
        <v>4.28</v>
      </c>
      <c r="G30" s="51">
        <v>83.76</v>
      </c>
      <c r="H30" s="51">
        <v>18.23</v>
      </c>
      <c r="I30" s="51">
        <v>5.69</v>
      </c>
      <c r="J30" s="51">
        <v>1</v>
      </c>
      <c r="K30" s="51">
        <v>159.69</v>
      </c>
      <c r="L30" s="51">
        <v>28.38</v>
      </c>
      <c r="M30" s="51">
        <v>44.88</v>
      </c>
      <c r="N30" s="51">
        <v>17.80</v>
      </c>
      <c r="O30" s="51">
        <v>0</v>
      </c>
      <c r="P30" s="51">
        <v>0.65</v>
      </c>
      <c r="Q30" s="51">
        <v>9.48</v>
      </c>
      <c r="R30" s="43"/>
      <c r="S30" s="43"/>
      <c r="T30" s="43"/>
      <c r="U30" s="43"/>
    </row>
    <row r="31" spans="1:21" s="11" customFormat="1" ht="15">
      <c r="A31" s="50" t="s">
        <v>324</v>
      </c>
      <c r="B31" s="51">
        <v>0.10</v>
      </c>
      <c r="C31" s="51">
        <v>8.26</v>
      </c>
      <c r="D31" s="51">
        <v>4.3099999999999996</v>
      </c>
      <c r="E31" s="51">
        <v>2.4300000000000002</v>
      </c>
      <c r="F31" s="51">
        <v>4.2699999999999996</v>
      </c>
      <c r="G31" s="51">
        <v>81.75</v>
      </c>
      <c r="H31" s="51">
        <v>18.09</v>
      </c>
      <c r="I31" s="51">
        <v>5.77</v>
      </c>
      <c r="J31" s="51">
        <v>0.73</v>
      </c>
      <c r="K31" s="51">
        <v>169.40</v>
      </c>
      <c r="L31" s="51">
        <v>27.56</v>
      </c>
      <c r="M31" s="51">
        <v>49.34</v>
      </c>
      <c r="N31" s="51">
        <v>18.20</v>
      </c>
      <c r="O31" s="51">
        <v>0</v>
      </c>
      <c r="P31" s="51">
        <v>0.59</v>
      </c>
      <c r="Q31" s="51">
        <v>9.35</v>
      </c>
      <c r="R31" s="43"/>
      <c r="S31" s="43"/>
      <c r="T31" s="43"/>
      <c r="U31" s="43"/>
    </row>
    <row r="32" spans="1:21" s="11" customFormat="1" ht="15">
      <c r="A32" s="50" t="s">
        <v>325</v>
      </c>
      <c r="B32" s="51">
        <v>0.10</v>
      </c>
      <c r="C32" s="51">
        <v>5.85</v>
      </c>
      <c r="D32" s="51">
        <v>3.05</v>
      </c>
      <c r="E32" s="51">
        <v>2.13</v>
      </c>
      <c r="F32" s="51">
        <v>4.3099999999999996</v>
      </c>
      <c r="G32" s="51">
        <v>61.45</v>
      </c>
      <c r="H32" s="51">
        <v>16.91</v>
      </c>
      <c r="I32" s="51">
        <v>5.67</v>
      </c>
      <c r="J32" s="51">
        <v>0.37</v>
      </c>
      <c r="K32" s="51">
        <v>321.79000000000002</v>
      </c>
      <c r="L32" s="51">
        <v>27.19</v>
      </c>
      <c r="M32" s="51">
        <v>59.5</v>
      </c>
      <c r="N32" s="51">
        <v>18.30</v>
      </c>
      <c r="O32" s="51">
        <v>0</v>
      </c>
      <c r="P32" s="51">
        <v>0.52</v>
      </c>
      <c r="Q32" s="51">
        <v>9.31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5.8499999999999996</v>
      </c>
      <c r="D34" s="28">
        <f t="shared" si="0"/>
        <v>3.0499999999999998</v>
      </c>
      <c r="E34" s="28">
        <f t="shared" si="0"/>
        <v>1.03</v>
      </c>
      <c r="F34" s="28">
        <f t="shared" si="0"/>
        <v>3.5499999999999998</v>
      </c>
      <c r="G34" s="28">
        <f t="shared" si="0"/>
        <v>23.010000000000002</v>
      </c>
      <c r="H34" s="28">
        <f t="shared" si="0"/>
        <v>13.34</v>
      </c>
      <c r="I34" s="28">
        <f t="shared" si="0"/>
        <v>1.78</v>
      </c>
      <c r="J34" s="28">
        <f t="shared" si="0"/>
        <v>0.14000000000000001</v>
      </c>
      <c r="K34" s="28">
        <f t="shared" si="0"/>
        <v>159.69</v>
      </c>
      <c r="L34" s="28">
        <f t="shared" si="0"/>
        <v>24.27</v>
      </c>
      <c r="M34" s="28">
        <f t="shared" si="0"/>
        <v>29.699999999999999</v>
      </c>
      <c r="N34" s="28">
        <f t="shared" si="0"/>
        <v>17.5</v>
      </c>
      <c r="O34" s="28">
        <f t="shared" si="0"/>
        <v>0</v>
      </c>
      <c r="P34" s="28">
        <f t="shared" si="0"/>
        <v>0.32000000000000001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20.859999999999999</v>
      </c>
      <c r="C35" s="29">
        <f t="shared" si="1"/>
        <v>20.43</v>
      </c>
      <c r="D35" s="29">
        <f t="shared" si="1"/>
        <v>22.629999999999999</v>
      </c>
      <c r="E35" s="29">
        <f t="shared" si="1"/>
        <v>2.9900000000000002</v>
      </c>
      <c r="F35" s="29">
        <f t="shared" si="1"/>
        <v>17.969999999999999</v>
      </c>
      <c r="G35" s="29">
        <f t="shared" si="1"/>
        <v>130.74000000000001</v>
      </c>
      <c r="H35" s="29">
        <f t="shared" si="1"/>
        <v>41.490000000000002</v>
      </c>
      <c r="I35" s="29">
        <f t="shared" si="1"/>
        <v>8.0600000000000005</v>
      </c>
      <c r="J35" s="29">
        <f t="shared" si="1"/>
        <v>3.1000000000000001</v>
      </c>
      <c r="K35" s="29">
        <f t="shared" si="1"/>
        <v>358.69</v>
      </c>
      <c r="L35" s="29">
        <f t="shared" si="1"/>
        <v>37.420000000000002</v>
      </c>
      <c r="M35" s="29">
        <f t="shared" si="1"/>
        <v>77.810000000000002</v>
      </c>
      <c r="N35" s="29">
        <f t="shared" si="1"/>
        <v>937.70000000000005</v>
      </c>
      <c r="O35" s="29">
        <f t="shared" si="1"/>
        <v>0</v>
      </c>
      <c r="P35" s="29">
        <f t="shared" si="1"/>
        <v>0.67000000000000004</v>
      </c>
      <c r="Q35" s="29">
        <f t="shared" si="1"/>
        <v>9.9399999999999995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3.7549999999999959</v>
      </c>
      <c r="C36" s="28">
        <f t="shared" si="2"/>
        <v>11.017916666666666</v>
      </c>
      <c r="D36" s="28">
        <f t="shared" si="2"/>
        <v>8.4512499999999999</v>
      </c>
      <c r="E36" s="28">
        <f t="shared" si="2"/>
        <v>2.0495833333333331</v>
      </c>
      <c r="F36" s="28">
        <f t="shared" si="2"/>
        <v>7.3604166666666666</v>
      </c>
      <c r="G36" s="28">
        <f t="shared" si="2"/>
        <v>65.779583333333335</v>
      </c>
      <c r="H36" s="28">
        <f t="shared" si="2"/>
        <v>21.109583333333333</v>
      </c>
      <c r="I36" s="28">
        <f t="shared" si="2"/>
        <v>4.9004166666666658</v>
      </c>
      <c r="J36" s="28">
        <f t="shared" si="2"/>
        <v>0.65041666666666664</v>
      </c>
      <c r="K36" s="28">
        <f t="shared" si="2"/>
        <v>317.85124999999999</v>
      </c>
      <c r="L36" s="28">
        <f t="shared" si="2"/>
        <v>30.610833333333332</v>
      </c>
      <c r="M36" s="28">
        <f t="shared" si="2"/>
        <v>51.192083333333336</v>
      </c>
      <c r="N36" s="28">
        <f t="shared" si="2"/>
        <v>292.42916666666673</v>
      </c>
      <c r="O36" s="28">
        <f t="shared" si="2"/>
        <v>0</v>
      </c>
      <c r="P36" s="28">
        <f t="shared" si="2"/>
        <v>0.52333333333333332</v>
      </c>
      <c r="Q36" s="28">
        <f t="shared" si="2"/>
        <v>9.4508333333333336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6.1482843135300786</v>
      </c>
      <c r="C37" s="28">
        <f t="shared" si="3" ref="C37:Q37">STDEV(C9:C32)</f>
        <v>3.7852103257474221</v>
      </c>
      <c r="D37" s="28">
        <f t="shared" si="3"/>
        <v>5.8990767977046508</v>
      </c>
      <c r="E37" s="28">
        <f t="shared" si="3"/>
        <v>0.57473229432921857</v>
      </c>
      <c r="F37" s="28">
        <f t="shared" si="3"/>
        <v>4.6056453819261831</v>
      </c>
      <c r="G37" s="28">
        <f t="shared" si="3"/>
        <v>32.129212020157489</v>
      </c>
      <c r="H37" s="28">
        <f t="shared" si="3"/>
        <v>8.4605670892094729</v>
      </c>
      <c r="I37" s="28">
        <f t="shared" si="3"/>
        <v>2.1017000968505117</v>
      </c>
      <c r="J37" s="28">
        <f t="shared" si="3"/>
        <v>0.64466020147230974</v>
      </c>
      <c r="K37" s="28">
        <f t="shared" si="3"/>
        <v>62.49974854297254</v>
      </c>
      <c r="L37" s="28">
        <f t="shared" si="3"/>
        <v>4.461818616026294</v>
      </c>
      <c r="M37" s="28">
        <f t="shared" si="3"/>
        <v>16.087567162568227</v>
      </c>
      <c r="N37" s="28">
        <f t="shared" si="3"/>
        <v>356.66535707635774</v>
      </c>
      <c r="O37" s="28">
        <f t="shared" si="3"/>
        <v>0</v>
      </c>
      <c r="P37" s="28">
        <f t="shared" si="3"/>
        <v>0.11966135792188784</v>
      </c>
      <c r="Q37" s="28">
        <f t="shared" si="3"/>
        <v>0.21510193067416372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6b9350-52b7-4833-9d71-bd623f5c59f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326</v>
      </c>
      <c r="B9" s="56">
        <v>0.10</v>
      </c>
      <c r="C9" s="56">
        <v>3.28</v>
      </c>
      <c r="D9" s="56">
        <v>1.71</v>
      </c>
      <c r="E9" s="56">
        <v>0.73</v>
      </c>
      <c r="F9" s="56">
        <v>4.05</v>
      </c>
      <c r="G9" s="56">
        <v>50.70</v>
      </c>
      <c r="H9" s="56">
        <v>13.64</v>
      </c>
      <c r="I9" s="56">
        <v>5.5</v>
      </c>
      <c r="J9" s="56">
        <v>0.48</v>
      </c>
      <c r="K9" s="56">
        <v>351.86</v>
      </c>
      <c r="L9" s="56">
        <v>26.60</v>
      </c>
      <c r="M9" s="56">
        <v>57.61</v>
      </c>
      <c r="N9" s="56">
        <v>18.20</v>
      </c>
      <c r="O9" s="56">
        <v>0</v>
      </c>
      <c r="P9" s="56">
        <v>0.48</v>
      </c>
      <c r="Q9" s="56">
        <v>9.34</v>
      </c>
      <c r="R9" s="43"/>
      <c r="S9" s="43"/>
      <c r="T9" s="43"/>
      <c r="U9" s="43"/>
    </row>
    <row r="10" spans="1:21" s="11" customFormat="1" ht="15">
      <c r="A10" s="55" t="s">
        <v>327</v>
      </c>
      <c r="B10" s="56">
        <v>0.10</v>
      </c>
      <c r="C10" s="56">
        <v>4.83</v>
      </c>
      <c r="D10" s="56">
        <v>2.52</v>
      </c>
      <c r="E10" s="56">
        <v>1.18</v>
      </c>
      <c r="F10" s="56">
        <v>4.2300000000000004</v>
      </c>
      <c r="G10" s="56">
        <v>46.19</v>
      </c>
      <c r="H10" s="56">
        <v>13.37</v>
      </c>
      <c r="I10" s="56">
        <v>6.33</v>
      </c>
      <c r="J10" s="56">
        <v>0.23</v>
      </c>
      <c r="K10" s="56">
        <v>326.39</v>
      </c>
      <c r="L10" s="56">
        <v>26.19</v>
      </c>
      <c r="M10" s="56">
        <v>58.88</v>
      </c>
      <c r="N10" s="56">
        <v>18.30</v>
      </c>
      <c r="O10" s="56">
        <v>0</v>
      </c>
      <c r="P10" s="56">
        <v>0.46</v>
      </c>
      <c r="Q10" s="56">
        <v>9.39</v>
      </c>
      <c r="R10" s="43"/>
      <c r="S10" s="43"/>
      <c r="T10" s="43"/>
      <c r="U10" s="43"/>
    </row>
    <row r="11" spans="1:21" s="11" customFormat="1" ht="15">
      <c r="A11" s="55" t="s">
        <v>328</v>
      </c>
      <c r="B11" s="56">
        <v>0.10</v>
      </c>
      <c r="C11" s="56">
        <v>5.41</v>
      </c>
      <c r="D11" s="56">
        <v>2.83</v>
      </c>
      <c r="E11" s="56">
        <v>1.05</v>
      </c>
      <c r="F11" s="56">
        <v>4.1500000000000004</v>
      </c>
      <c r="G11" s="56">
        <v>41.68</v>
      </c>
      <c r="H11" s="56">
        <v>13.58</v>
      </c>
      <c r="I11" s="56">
        <v>6.22</v>
      </c>
      <c r="J11" s="56">
        <v>0.20</v>
      </c>
      <c r="K11" s="56">
        <v>312.82</v>
      </c>
      <c r="L11" s="56">
        <v>26</v>
      </c>
      <c r="M11" s="56">
        <v>64.78</v>
      </c>
      <c r="N11" s="56">
        <v>18.70</v>
      </c>
      <c r="O11" s="56">
        <v>0</v>
      </c>
      <c r="P11" s="56">
        <v>0.44</v>
      </c>
      <c r="Q11" s="56">
        <v>9.42</v>
      </c>
      <c r="R11" s="43"/>
      <c r="S11" s="43"/>
      <c r="T11" s="43"/>
      <c r="U11" s="43"/>
    </row>
    <row r="12" spans="1:21" s="11" customFormat="1" ht="15">
      <c r="A12" s="55" t="s">
        <v>329</v>
      </c>
      <c r="B12" s="56">
        <v>0.10</v>
      </c>
      <c r="C12" s="56">
        <v>2.82</v>
      </c>
      <c r="D12" s="56">
        <v>1.47</v>
      </c>
      <c r="E12" s="56">
        <v>1.1200000000000001</v>
      </c>
      <c r="F12" s="56">
        <v>4.03</v>
      </c>
      <c r="G12" s="56">
        <v>39.549999999999997</v>
      </c>
      <c r="H12" s="56">
        <v>14.36</v>
      </c>
      <c r="I12" s="56">
        <v>5.86</v>
      </c>
      <c r="J12" s="56">
        <v>0.22</v>
      </c>
      <c r="K12" s="56">
        <v>324.92</v>
      </c>
      <c r="L12" s="56">
        <v>24.94</v>
      </c>
      <c r="M12" s="56">
        <v>70.760000000000005</v>
      </c>
      <c r="N12" s="56">
        <v>18.399999999999999</v>
      </c>
      <c r="O12" s="56">
        <v>0</v>
      </c>
      <c r="P12" s="56">
        <v>0.40</v>
      </c>
      <c r="Q12" s="56">
        <v>9.34</v>
      </c>
      <c r="R12" s="43"/>
      <c r="S12" s="43"/>
      <c r="T12" s="43"/>
      <c r="U12" s="43"/>
    </row>
    <row r="13" spans="1:21" s="11" customFormat="1" ht="15">
      <c r="A13" s="55" t="s">
        <v>330</v>
      </c>
      <c r="B13" s="56">
        <v>0.10</v>
      </c>
      <c r="C13" s="56">
        <v>3.10</v>
      </c>
      <c r="D13" s="56">
        <v>1.62</v>
      </c>
      <c r="E13" s="56">
        <v>2.23</v>
      </c>
      <c r="F13" s="56">
        <v>3.86</v>
      </c>
      <c r="G13" s="56">
        <v>40.92</v>
      </c>
      <c r="H13" s="56">
        <v>14.43</v>
      </c>
      <c r="I13" s="56">
        <v>5.46</v>
      </c>
      <c r="J13" s="56">
        <v>0.32</v>
      </c>
      <c r="K13" s="56">
        <v>337.82</v>
      </c>
      <c r="L13" s="56">
        <v>25.02</v>
      </c>
      <c r="M13" s="56">
        <v>71.319999999999993</v>
      </c>
      <c r="N13" s="56">
        <v>18.5</v>
      </c>
      <c r="O13" s="56">
        <v>0</v>
      </c>
      <c r="P13" s="56">
        <v>0.38</v>
      </c>
      <c r="Q13" s="56">
        <v>9.3699999999999992</v>
      </c>
      <c r="R13" s="43"/>
      <c r="S13" s="43"/>
      <c r="T13" s="43"/>
      <c r="U13" s="43"/>
    </row>
    <row r="14" spans="1:21" s="11" customFormat="1" ht="15">
      <c r="A14" s="55" t="s">
        <v>331</v>
      </c>
      <c r="B14" s="56">
        <v>0.25</v>
      </c>
      <c r="C14" s="56">
        <v>4.6900000000000004</v>
      </c>
      <c r="D14" s="56">
        <v>2.57</v>
      </c>
      <c r="E14" s="56">
        <v>2.09</v>
      </c>
      <c r="F14" s="56">
        <v>3.84</v>
      </c>
      <c r="G14" s="56">
        <v>46.53</v>
      </c>
      <c r="H14" s="56">
        <v>14.62</v>
      </c>
      <c r="I14" s="56">
        <v>6.09</v>
      </c>
      <c r="J14" s="56">
        <v>0.65</v>
      </c>
      <c r="K14" s="56">
        <v>171.74</v>
      </c>
      <c r="L14" s="56">
        <v>25.10</v>
      </c>
      <c r="M14" s="56">
        <v>66.67</v>
      </c>
      <c r="N14" s="56">
        <v>58.70</v>
      </c>
      <c r="O14" s="56">
        <v>0</v>
      </c>
      <c r="P14" s="56">
        <v>0.39</v>
      </c>
      <c r="Q14" s="56">
        <v>9.40</v>
      </c>
      <c r="R14" s="43"/>
      <c r="S14" s="43"/>
      <c r="T14" s="43"/>
      <c r="U14" s="43"/>
    </row>
    <row r="15" spans="1:21" s="11" customFormat="1" ht="15">
      <c r="A15" s="55" t="s">
        <v>332</v>
      </c>
      <c r="B15" s="56">
        <v>0.30</v>
      </c>
      <c r="C15" s="56">
        <v>5.22</v>
      </c>
      <c r="D15" s="56">
        <v>2.89</v>
      </c>
      <c r="E15" s="56">
        <v>2.40</v>
      </c>
      <c r="F15" s="56">
        <v>3.94</v>
      </c>
      <c r="G15" s="56">
        <v>49.96</v>
      </c>
      <c r="H15" s="56">
        <v>16.07</v>
      </c>
      <c r="I15" s="56">
        <v>7.01</v>
      </c>
      <c r="J15" s="56">
        <v>1.29</v>
      </c>
      <c r="K15" s="56">
        <v>103.58</v>
      </c>
      <c r="L15" s="56">
        <v>26.35</v>
      </c>
      <c r="M15" s="56">
        <v>64.33</v>
      </c>
      <c r="N15" s="56">
        <v>219</v>
      </c>
      <c r="O15" s="56">
        <v>0</v>
      </c>
      <c r="P15" s="56">
        <v>0.40</v>
      </c>
      <c r="Q15" s="56">
        <v>9.40</v>
      </c>
      <c r="R15" s="43"/>
      <c r="S15" s="43"/>
      <c r="T15" s="43"/>
      <c r="U15" s="43"/>
    </row>
    <row r="16" spans="1:21" s="11" customFormat="1" ht="15">
      <c r="A16" s="55" t="s">
        <v>333</v>
      </c>
      <c r="B16" s="56">
        <v>0.11</v>
      </c>
      <c r="C16" s="56">
        <v>5.01</v>
      </c>
      <c r="D16" s="56">
        <v>2.63</v>
      </c>
      <c r="E16" s="56">
        <v>2.48</v>
      </c>
      <c r="F16" s="56">
        <v>3.82</v>
      </c>
      <c r="G16" s="56">
        <v>51.52</v>
      </c>
      <c r="H16" s="56">
        <v>16.95</v>
      </c>
      <c r="I16" s="56">
        <v>7.14</v>
      </c>
      <c r="J16" s="56">
        <v>0.76</v>
      </c>
      <c r="K16" s="56">
        <v>157.19</v>
      </c>
      <c r="L16" s="56">
        <v>29.04</v>
      </c>
      <c r="M16" s="56">
        <v>58.76</v>
      </c>
      <c r="N16" s="56">
        <v>401.5</v>
      </c>
      <c r="O16" s="56">
        <v>0</v>
      </c>
      <c r="P16" s="56">
        <v>0.44</v>
      </c>
      <c r="Q16" s="56">
        <v>9.3800000000000008</v>
      </c>
      <c r="R16" s="43"/>
      <c r="S16" s="43"/>
      <c r="T16" s="43"/>
      <c r="U16" s="43"/>
    </row>
    <row r="17" spans="1:21" s="11" customFormat="1" ht="15">
      <c r="A17" s="55" t="s">
        <v>334</v>
      </c>
      <c r="B17" s="56">
        <v>0.10</v>
      </c>
      <c r="C17" s="56">
        <v>3.65</v>
      </c>
      <c r="D17" s="56">
        <v>1.91</v>
      </c>
      <c r="E17" s="56">
        <v>1.59</v>
      </c>
      <c r="F17" s="56">
        <v>4.25</v>
      </c>
      <c r="G17" s="56">
        <v>53.10</v>
      </c>
      <c r="H17" s="56">
        <v>17.059999999999999</v>
      </c>
      <c r="I17" s="56">
        <v>7.03</v>
      </c>
      <c r="J17" s="56">
        <v>0.38</v>
      </c>
      <c r="K17" s="56">
        <v>347.49</v>
      </c>
      <c r="L17" s="56">
        <v>31.47</v>
      </c>
      <c r="M17" s="56">
        <v>50.85</v>
      </c>
      <c r="N17" s="56">
        <v>598.60</v>
      </c>
      <c r="O17" s="56">
        <v>0</v>
      </c>
      <c r="P17" s="56">
        <v>0.46</v>
      </c>
      <c r="Q17" s="56">
        <v>9.33</v>
      </c>
      <c r="R17" s="43"/>
      <c r="S17" s="43"/>
      <c r="T17" s="43"/>
      <c r="U17" s="43"/>
    </row>
    <row r="18" spans="1:21" s="11" customFormat="1" ht="15">
      <c r="A18" s="55" t="s">
        <v>335</v>
      </c>
      <c r="B18" s="56">
        <v>0.10</v>
      </c>
      <c r="C18" s="56">
        <v>3.98</v>
      </c>
      <c r="D18" s="56">
        <v>2.08</v>
      </c>
      <c r="E18" s="56">
        <v>1.56</v>
      </c>
      <c r="F18" s="56">
        <v>4.74</v>
      </c>
      <c r="G18" s="56">
        <v>58.81</v>
      </c>
      <c r="H18" s="56">
        <v>17.989999999999998</v>
      </c>
      <c r="I18" s="56">
        <v>7.40</v>
      </c>
      <c r="J18" s="56">
        <v>0.65</v>
      </c>
      <c r="K18" s="56">
        <v>329.03</v>
      </c>
      <c r="L18" s="56">
        <v>33.85</v>
      </c>
      <c r="M18" s="56">
        <v>49.63</v>
      </c>
      <c r="N18" s="56">
        <v>769.70</v>
      </c>
      <c r="O18" s="56">
        <v>0</v>
      </c>
      <c r="P18" s="56">
        <v>0.61</v>
      </c>
      <c r="Q18" s="56">
        <v>9.31</v>
      </c>
      <c r="R18" s="43"/>
      <c r="S18" s="43"/>
      <c r="T18" s="43"/>
      <c r="U18" s="43"/>
    </row>
    <row r="19" spans="1:21" s="11" customFormat="1" ht="15">
      <c r="A19" s="55" t="s">
        <v>336</v>
      </c>
      <c r="B19" s="56">
        <v>0.10</v>
      </c>
      <c r="C19" s="56">
        <v>4.22</v>
      </c>
      <c r="D19" s="56">
        <v>2.21</v>
      </c>
      <c r="E19" s="56">
        <v>1.64</v>
      </c>
      <c r="F19" s="56">
        <v>6.26</v>
      </c>
      <c r="G19" s="56">
        <v>65.47</v>
      </c>
      <c r="H19" s="56">
        <v>20.58</v>
      </c>
      <c r="I19" s="56">
        <v>8.0500000000000007</v>
      </c>
      <c r="J19" s="56">
        <v>0.81</v>
      </c>
      <c r="K19" s="56">
        <v>335.59</v>
      </c>
      <c r="L19" s="56">
        <v>38.5</v>
      </c>
      <c r="M19" s="56">
        <v>42.60</v>
      </c>
      <c r="N19" s="56">
        <v>886.10</v>
      </c>
      <c r="O19" s="56">
        <v>0</v>
      </c>
      <c r="P19" s="56">
        <v>0.81</v>
      </c>
      <c r="Q19" s="56">
        <v>9.35</v>
      </c>
      <c r="R19" s="43"/>
      <c r="S19" s="43"/>
      <c r="T19" s="43"/>
      <c r="U19" s="43"/>
    </row>
    <row r="20" spans="1:21" s="11" customFormat="1" ht="15">
      <c r="A20" s="55" t="s">
        <v>337</v>
      </c>
      <c r="B20" s="56">
        <v>0.10</v>
      </c>
      <c r="C20" s="56">
        <v>3.18</v>
      </c>
      <c r="D20" s="56">
        <v>1.66</v>
      </c>
      <c r="E20" s="56">
        <v>1.68</v>
      </c>
      <c r="F20" s="56">
        <v>7.14</v>
      </c>
      <c r="G20" s="56">
        <v>67.400000000000006</v>
      </c>
      <c r="H20" s="56">
        <v>21.95</v>
      </c>
      <c r="I20" s="56">
        <v>8.14</v>
      </c>
      <c r="J20" s="56">
        <v>1</v>
      </c>
      <c r="K20" s="56">
        <v>337.03</v>
      </c>
      <c r="L20" s="56">
        <v>38.56</v>
      </c>
      <c r="M20" s="56">
        <v>34.119999999999997</v>
      </c>
      <c r="N20" s="56">
        <v>910.80</v>
      </c>
      <c r="O20" s="56">
        <v>0</v>
      </c>
      <c r="P20" s="56">
        <v>0.80</v>
      </c>
      <c r="Q20" s="56">
        <v>9.23</v>
      </c>
      <c r="R20" s="43"/>
      <c r="S20" s="43"/>
      <c r="T20" s="43"/>
      <c r="U20" s="43"/>
    </row>
    <row r="21" spans="1:21" s="11" customFormat="1" ht="15">
      <c r="A21" s="55" t="s">
        <v>338</v>
      </c>
      <c r="B21" s="56">
        <v>0.10</v>
      </c>
      <c r="C21" s="56">
        <v>3.49</v>
      </c>
      <c r="D21" s="56">
        <v>1.82</v>
      </c>
      <c r="E21" s="56">
        <v>1.56</v>
      </c>
      <c r="F21" s="56">
        <v>7.13</v>
      </c>
      <c r="G21" s="56">
        <v>65.06</v>
      </c>
      <c r="H21" s="56">
        <v>20.25</v>
      </c>
      <c r="I21" s="56">
        <v>7.14</v>
      </c>
      <c r="J21" s="56">
        <v>1.0900000000000001</v>
      </c>
      <c r="K21" s="56">
        <v>334.96</v>
      </c>
      <c r="L21" s="56">
        <v>38.93</v>
      </c>
      <c r="M21" s="56">
        <v>35.799999999999997</v>
      </c>
      <c r="N21" s="56">
        <v>893.70</v>
      </c>
      <c r="O21" s="56">
        <v>0</v>
      </c>
      <c r="P21" s="56">
        <v>0.76</v>
      </c>
      <c r="Q21" s="56">
        <v>9.1999999999999993</v>
      </c>
      <c r="R21" s="43"/>
      <c r="S21" s="43"/>
      <c r="T21" s="43"/>
      <c r="U21" s="43"/>
    </row>
    <row r="22" spans="1:21" s="11" customFormat="1" ht="15">
      <c r="A22" s="55" t="s">
        <v>339</v>
      </c>
      <c r="B22" s="56">
        <v>0.10</v>
      </c>
      <c r="C22" s="56">
        <v>3.17</v>
      </c>
      <c r="D22" s="56">
        <v>1.65</v>
      </c>
      <c r="E22" s="56">
        <v>1.66</v>
      </c>
      <c r="F22" s="56">
        <v>6.46</v>
      </c>
      <c r="G22" s="56">
        <v>60.15</v>
      </c>
      <c r="H22" s="56">
        <v>18.86</v>
      </c>
      <c r="I22" s="56">
        <v>7.04</v>
      </c>
      <c r="J22" s="56">
        <v>0.67</v>
      </c>
      <c r="K22" s="56">
        <v>348.53</v>
      </c>
      <c r="L22" s="56">
        <v>38.369999999999997</v>
      </c>
      <c r="M22" s="56">
        <v>32.549999999999997</v>
      </c>
      <c r="N22" s="56">
        <v>804</v>
      </c>
      <c r="O22" s="56">
        <v>0</v>
      </c>
      <c r="P22" s="56">
        <v>0.63</v>
      </c>
      <c r="Q22" s="56">
        <v>9.2200000000000006</v>
      </c>
      <c r="R22" s="43"/>
      <c r="S22" s="43"/>
      <c r="T22" s="43"/>
      <c r="U22" s="43"/>
    </row>
    <row r="23" spans="1:21" s="11" customFormat="1" ht="15">
      <c r="A23" s="55" t="s">
        <v>340</v>
      </c>
      <c r="B23" s="56">
        <v>0.10</v>
      </c>
      <c r="C23" s="56">
        <v>1.68</v>
      </c>
      <c r="D23" s="56">
        <v>0.88</v>
      </c>
      <c r="E23" s="56">
        <v>1.39</v>
      </c>
      <c r="F23" s="56">
        <v>5.85</v>
      </c>
      <c r="G23" s="56">
        <v>50.59</v>
      </c>
      <c r="H23" s="56">
        <v>17.29</v>
      </c>
      <c r="I23" s="56">
        <v>7.20</v>
      </c>
      <c r="J23" s="56">
        <v>1.1000000000000001</v>
      </c>
      <c r="K23" s="56">
        <v>350.60</v>
      </c>
      <c r="L23" s="56">
        <v>38.04</v>
      </c>
      <c r="M23" s="56">
        <v>28.67</v>
      </c>
      <c r="N23" s="56">
        <v>387.90</v>
      </c>
      <c r="O23" s="56">
        <v>0</v>
      </c>
      <c r="P23" s="56">
        <v>0.56999999999999995</v>
      </c>
      <c r="Q23" s="56">
        <v>9.2100000000000009</v>
      </c>
      <c r="R23" s="43"/>
      <c r="S23" s="43"/>
      <c r="T23" s="43"/>
      <c r="U23" s="43"/>
    </row>
    <row r="24" spans="1:21" s="11" customFormat="1" ht="15">
      <c r="A24" s="55" t="s">
        <v>341</v>
      </c>
      <c r="B24" s="56">
        <v>0.10</v>
      </c>
      <c r="C24" s="56">
        <v>4</v>
      </c>
      <c r="D24" s="56">
        <v>2.09</v>
      </c>
      <c r="E24" s="56">
        <v>1.30</v>
      </c>
      <c r="F24" s="56">
        <v>5.62</v>
      </c>
      <c r="G24" s="56">
        <v>46.64</v>
      </c>
      <c r="H24" s="56">
        <v>17.579999999999998</v>
      </c>
      <c r="I24" s="56">
        <v>7.29</v>
      </c>
      <c r="J24" s="56">
        <v>0.67</v>
      </c>
      <c r="K24" s="56">
        <v>348.88</v>
      </c>
      <c r="L24" s="56">
        <v>35.549999999999997</v>
      </c>
      <c r="M24" s="56">
        <v>33.11</v>
      </c>
      <c r="N24" s="56">
        <v>211.80</v>
      </c>
      <c r="O24" s="56">
        <v>0</v>
      </c>
      <c r="P24" s="56">
        <v>0.56000000000000005</v>
      </c>
      <c r="Q24" s="56">
        <v>9.1999999999999993</v>
      </c>
      <c r="R24" s="43"/>
      <c r="S24" s="43"/>
      <c r="T24" s="43"/>
      <c r="U24" s="43"/>
    </row>
    <row r="25" spans="1:21" s="11" customFormat="1" ht="15">
      <c r="A25" s="55" t="s">
        <v>342</v>
      </c>
      <c r="B25" s="56">
        <v>0.10</v>
      </c>
      <c r="C25" s="56">
        <v>3.40</v>
      </c>
      <c r="D25" s="56">
        <v>1.78</v>
      </c>
      <c r="E25" s="56">
        <v>1.69</v>
      </c>
      <c r="F25" s="56">
        <v>6.07</v>
      </c>
      <c r="G25" s="56">
        <v>45.88</v>
      </c>
      <c r="H25" s="56">
        <v>15.11</v>
      </c>
      <c r="I25" s="56">
        <v>7.25</v>
      </c>
      <c r="J25" s="56">
        <v>0.31</v>
      </c>
      <c r="K25" s="56">
        <v>340.10</v>
      </c>
      <c r="L25" s="56">
        <v>33.909999999999997</v>
      </c>
      <c r="M25" s="56">
        <v>35.869999999999997</v>
      </c>
      <c r="N25" s="56">
        <v>99</v>
      </c>
      <c r="O25" s="56">
        <v>0</v>
      </c>
      <c r="P25" s="56">
        <v>0.54</v>
      </c>
      <c r="Q25" s="56">
        <v>9.2100000000000009</v>
      </c>
      <c r="R25" s="43"/>
      <c r="S25" s="43"/>
      <c r="T25" s="43"/>
      <c r="U25" s="43"/>
    </row>
    <row r="26" spans="1:21" s="11" customFormat="1" ht="15">
      <c r="A26" s="55" t="s">
        <v>343</v>
      </c>
      <c r="B26" s="56">
        <v>0.10</v>
      </c>
      <c r="C26" s="56">
        <v>4.8899999999999997</v>
      </c>
      <c r="D26" s="56">
        <v>2.5499999999999998</v>
      </c>
      <c r="E26" s="56">
        <v>1.41</v>
      </c>
      <c r="F26" s="56">
        <v>4.7300000000000004</v>
      </c>
      <c r="G26" s="56">
        <v>46.06</v>
      </c>
      <c r="H26" s="56">
        <v>16.22</v>
      </c>
      <c r="I26" s="56">
        <v>6.74</v>
      </c>
      <c r="J26" s="56">
        <v>1.01</v>
      </c>
      <c r="K26" s="56">
        <v>322.52</v>
      </c>
      <c r="L26" s="56">
        <v>32.90</v>
      </c>
      <c r="M26" s="56">
        <v>41.11</v>
      </c>
      <c r="N26" s="56">
        <v>80.599999999999994</v>
      </c>
      <c r="O26" s="56">
        <v>0</v>
      </c>
      <c r="P26" s="56">
        <v>0.65</v>
      </c>
      <c r="Q26" s="56">
        <v>9.19</v>
      </c>
      <c r="R26" s="43"/>
      <c r="S26" s="43"/>
      <c r="T26" s="43"/>
      <c r="U26" s="43"/>
    </row>
    <row r="27" spans="1:21" s="11" customFormat="1" ht="15">
      <c r="A27" s="55" t="s">
        <v>344</v>
      </c>
      <c r="B27" s="56">
        <v>0.10</v>
      </c>
      <c r="C27" s="56">
        <v>3.60</v>
      </c>
      <c r="D27" s="56">
        <v>1.88</v>
      </c>
      <c r="E27" s="56">
        <v>1.19</v>
      </c>
      <c r="F27" s="56">
        <v>8.3000000000000007</v>
      </c>
      <c r="G27" s="56">
        <v>48.23</v>
      </c>
      <c r="H27" s="56">
        <v>17.11</v>
      </c>
      <c r="I27" s="56">
        <v>6.85</v>
      </c>
      <c r="J27" s="56">
        <v>3.29</v>
      </c>
      <c r="K27" s="56">
        <v>322.37</v>
      </c>
      <c r="L27" s="56">
        <v>28.97</v>
      </c>
      <c r="M27" s="56">
        <v>55.16</v>
      </c>
      <c r="N27" s="56">
        <v>34</v>
      </c>
      <c r="O27" s="56">
        <v>0</v>
      </c>
      <c r="P27" s="56">
        <v>0.57999999999999996</v>
      </c>
      <c r="Q27" s="56">
        <v>9.2200000000000006</v>
      </c>
      <c r="R27" s="43"/>
      <c r="S27" s="43"/>
      <c r="T27" s="43"/>
      <c r="U27" s="43"/>
    </row>
    <row r="28" spans="1:21" s="11" customFormat="1" ht="15">
      <c r="A28" s="55" t="s">
        <v>345</v>
      </c>
      <c r="B28" s="56">
        <v>0.10</v>
      </c>
      <c r="C28" s="56">
        <v>0.28000000000000003</v>
      </c>
      <c r="D28" s="56">
        <v>0.15</v>
      </c>
      <c r="E28" s="56">
        <v>1.69</v>
      </c>
      <c r="F28" s="56">
        <v>10.93</v>
      </c>
      <c r="G28" s="56">
        <v>46.16</v>
      </c>
      <c r="H28" s="56">
        <v>15.71</v>
      </c>
      <c r="I28" s="56">
        <v>5.55</v>
      </c>
      <c r="J28" s="56">
        <v>3.40</v>
      </c>
      <c r="K28" s="56">
        <v>337.41</v>
      </c>
      <c r="L28" s="56">
        <v>26.07</v>
      </c>
      <c r="M28" s="56">
        <v>92.92</v>
      </c>
      <c r="N28" s="56">
        <v>34.700000000000003</v>
      </c>
      <c r="O28" s="56">
        <v>1.20</v>
      </c>
      <c r="P28" s="56">
        <v>0.48</v>
      </c>
      <c r="Q28" s="56">
        <v>9.25</v>
      </c>
      <c r="R28" s="43"/>
      <c r="S28" s="43"/>
      <c r="T28" s="43"/>
      <c r="U28" s="43"/>
    </row>
    <row r="29" spans="1:21" s="11" customFormat="1" ht="15">
      <c r="A29" s="55" t="s">
        <v>346</v>
      </c>
      <c r="B29" s="56">
        <v>0.10</v>
      </c>
      <c r="C29" s="56">
        <v>0</v>
      </c>
      <c r="D29" s="56">
        <v>0</v>
      </c>
      <c r="E29" s="56">
        <v>1.49</v>
      </c>
      <c r="F29" s="56">
        <v>8.8800000000000008</v>
      </c>
      <c r="G29" s="56">
        <v>38.96</v>
      </c>
      <c r="H29" s="56">
        <v>11.58</v>
      </c>
      <c r="I29" s="56">
        <v>3.82</v>
      </c>
      <c r="J29" s="56">
        <v>1.85</v>
      </c>
      <c r="K29" s="56">
        <v>337.65</v>
      </c>
      <c r="L29" s="56">
        <v>22.75</v>
      </c>
      <c r="M29" s="56">
        <v>92.16</v>
      </c>
      <c r="N29" s="56">
        <v>27.10</v>
      </c>
      <c r="O29" s="56">
        <v>0.60</v>
      </c>
      <c r="P29" s="56">
        <v>0.43</v>
      </c>
      <c r="Q29" s="56">
        <v>9.23</v>
      </c>
      <c r="R29" s="43"/>
      <c r="S29" s="43"/>
      <c r="T29" s="43"/>
      <c r="U29" s="43"/>
    </row>
    <row r="30" spans="1:21" s="11" customFormat="1" ht="15">
      <c r="A30" s="55" t="s">
        <v>347</v>
      </c>
      <c r="B30" s="56">
        <v>0.10</v>
      </c>
      <c r="C30" s="56">
        <v>0.69</v>
      </c>
      <c r="D30" s="56">
        <v>0.36</v>
      </c>
      <c r="E30" s="56">
        <v>1.54</v>
      </c>
      <c r="F30" s="56">
        <v>4.7300000000000004</v>
      </c>
      <c r="G30" s="56">
        <v>34.590000000000003</v>
      </c>
      <c r="H30" s="56">
        <v>11.38</v>
      </c>
      <c r="I30" s="56">
        <v>4.22</v>
      </c>
      <c r="J30" s="56">
        <v>1.1399999999999999</v>
      </c>
      <c r="K30" s="56">
        <v>96.60</v>
      </c>
      <c r="L30" s="56">
        <v>23.73</v>
      </c>
      <c r="M30" s="56">
        <v>78.64</v>
      </c>
      <c r="N30" s="56">
        <v>26.70</v>
      </c>
      <c r="O30" s="56">
        <v>0.20</v>
      </c>
      <c r="P30" s="56">
        <v>0.42</v>
      </c>
      <c r="Q30" s="56">
        <v>9.2200000000000006</v>
      </c>
      <c r="R30" s="43"/>
      <c r="S30" s="43"/>
      <c r="T30" s="43"/>
      <c r="U30" s="43"/>
    </row>
    <row r="31" spans="1:21" s="11" customFormat="1" ht="15">
      <c r="A31" s="55" t="s">
        <v>348</v>
      </c>
      <c r="B31" s="56">
        <v>0.10</v>
      </c>
      <c r="C31" s="56">
        <v>1.98</v>
      </c>
      <c r="D31" s="56">
        <v>1.04</v>
      </c>
      <c r="E31" s="56">
        <v>1.73</v>
      </c>
      <c r="F31" s="56">
        <v>4.25</v>
      </c>
      <c r="G31" s="56">
        <v>25.28</v>
      </c>
      <c r="H31" s="56">
        <v>9.32</v>
      </c>
      <c r="I31" s="56">
        <v>4.3499999999999996</v>
      </c>
      <c r="J31" s="56">
        <v>0.54</v>
      </c>
      <c r="K31" s="56">
        <v>336.13</v>
      </c>
      <c r="L31" s="56">
        <v>23.56</v>
      </c>
      <c r="M31" s="56">
        <v>84.79</v>
      </c>
      <c r="N31" s="56">
        <v>26.10</v>
      </c>
      <c r="O31" s="56">
        <v>0</v>
      </c>
      <c r="P31" s="56">
        <v>0.45</v>
      </c>
      <c r="Q31" s="56">
        <v>9.3000000000000007</v>
      </c>
      <c r="R31" s="43"/>
      <c r="S31" s="43"/>
      <c r="T31" s="43"/>
      <c r="U31" s="43"/>
    </row>
    <row r="32" spans="1:21" s="11" customFormat="1" ht="15">
      <c r="A32" s="55" t="s">
        <v>349</v>
      </c>
      <c r="B32" s="56">
        <v>0.10</v>
      </c>
      <c r="C32" s="56">
        <v>1.58</v>
      </c>
      <c r="D32" s="56">
        <v>0.83</v>
      </c>
      <c r="E32" s="56">
        <v>1.55</v>
      </c>
      <c r="F32" s="56">
        <v>4.26</v>
      </c>
      <c r="G32" s="56">
        <v>20.71</v>
      </c>
      <c r="H32" s="56">
        <v>8.39</v>
      </c>
      <c r="I32" s="56">
        <v>4.2699999999999996</v>
      </c>
      <c r="J32" s="56">
        <v>0.45</v>
      </c>
      <c r="K32" s="56">
        <v>207</v>
      </c>
      <c r="L32" s="56">
        <v>23.18</v>
      </c>
      <c r="M32" s="56">
        <v>77.569999999999993</v>
      </c>
      <c r="N32" s="56">
        <v>26.10</v>
      </c>
      <c r="O32" s="56">
        <v>0</v>
      </c>
      <c r="P32" s="56">
        <v>0.43</v>
      </c>
      <c r="Q32" s="56">
        <v>9.3000000000000007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0</v>
      </c>
      <c r="D34" s="28">
        <f t="shared" si="0"/>
        <v>0</v>
      </c>
      <c r="E34" s="28">
        <f t="shared" si="0"/>
        <v>0.72999999999999998</v>
      </c>
      <c r="F34" s="28">
        <f t="shared" si="0"/>
        <v>3.8199999999999998</v>
      </c>
      <c r="G34" s="28">
        <f t="shared" si="0"/>
        <v>20.710000000000001</v>
      </c>
      <c r="H34" s="28">
        <f t="shared" si="0"/>
        <v>8.3900000000000006</v>
      </c>
      <c r="I34" s="28">
        <f t="shared" si="0"/>
        <v>3.8199999999999998</v>
      </c>
      <c r="J34" s="28">
        <f t="shared" si="0"/>
        <v>0.20000000000000001</v>
      </c>
      <c r="K34" s="28">
        <f t="shared" si="0"/>
        <v>96.599999999999994</v>
      </c>
      <c r="L34" s="28">
        <f t="shared" si="0"/>
        <v>22.75</v>
      </c>
      <c r="M34" s="28">
        <f t="shared" si="0"/>
        <v>28.670000000000002</v>
      </c>
      <c r="N34" s="28">
        <f t="shared" si="0"/>
        <v>18.199999999999999</v>
      </c>
      <c r="O34" s="28">
        <f t="shared" si="0"/>
        <v>0</v>
      </c>
      <c r="P34" s="28">
        <f t="shared" si="0"/>
        <v>0.38</v>
      </c>
      <c r="Q34" s="28">
        <f t="shared" si="0"/>
        <v>9.1899999999999995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0.29999999999999999</v>
      </c>
      <c r="C35" s="29">
        <f t="shared" si="1"/>
        <v>5.4100000000000001</v>
      </c>
      <c r="D35" s="29">
        <f t="shared" si="1"/>
        <v>2.8900000000000001</v>
      </c>
      <c r="E35" s="29">
        <f t="shared" si="1"/>
        <v>2.48</v>
      </c>
      <c r="F35" s="29">
        <f t="shared" si="1"/>
        <v>10.93</v>
      </c>
      <c r="G35" s="29">
        <f t="shared" si="1"/>
        <v>67.400000000000006</v>
      </c>
      <c r="H35" s="29">
        <f t="shared" si="1"/>
        <v>21.949999999999999</v>
      </c>
      <c r="I35" s="29">
        <f t="shared" si="1"/>
        <v>8.1400000000000006</v>
      </c>
      <c r="J35" s="29">
        <f t="shared" si="1"/>
        <v>3.3999999999999999</v>
      </c>
      <c r="K35" s="29">
        <f t="shared" si="1"/>
        <v>351.86000000000001</v>
      </c>
      <c r="L35" s="29">
        <f t="shared" si="1"/>
        <v>38.93</v>
      </c>
      <c r="M35" s="29">
        <f t="shared" si="1"/>
        <v>92.920000000000002</v>
      </c>
      <c r="N35" s="29">
        <f t="shared" si="1"/>
        <v>910.79999999999995</v>
      </c>
      <c r="O35" s="29">
        <f t="shared" si="1"/>
        <v>1.2</v>
      </c>
      <c r="P35" s="29">
        <f t="shared" si="1"/>
        <v>0.81000000000000005</v>
      </c>
      <c r="Q35" s="29">
        <f t="shared" si="1"/>
        <v>9.4199999999999999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0.11500000000000006</v>
      </c>
      <c r="C36" s="28">
        <f t="shared" si="2"/>
        <v>3.2562499999999996</v>
      </c>
      <c r="D36" s="28">
        <f t="shared" si="2"/>
        <v>1.7137500000000001</v>
      </c>
      <c r="E36" s="28">
        <f t="shared" si="2"/>
        <v>1.5812499999999998</v>
      </c>
      <c r="F36" s="28">
        <f t="shared" si="2"/>
        <v>5.4800000000000004</v>
      </c>
      <c r="G36" s="28">
        <f t="shared" si="2"/>
        <v>47.505833333333328</v>
      </c>
      <c r="H36" s="28">
        <f t="shared" si="2"/>
        <v>15.55833333333333</v>
      </c>
      <c r="I36" s="28">
        <f t="shared" si="2"/>
        <v>6.3312500000000007</v>
      </c>
      <c r="J36" s="28">
        <f t="shared" si="2"/>
        <v>0.93791666666666662</v>
      </c>
      <c r="K36" s="28">
        <f t="shared" si="2"/>
        <v>296.59208333333328</v>
      </c>
      <c r="L36" s="28">
        <f t="shared" si="2"/>
        <v>29.89916666666667</v>
      </c>
      <c r="M36" s="28">
        <f t="shared" si="2"/>
        <v>57.444166666666668</v>
      </c>
      <c r="N36" s="28">
        <f t="shared" si="2"/>
        <v>274.50833333333338</v>
      </c>
      <c r="O36" s="28">
        <f t="shared" si="2"/>
        <v>0.083333333333333329</v>
      </c>
      <c r="P36" s="28">
        <f t="shared" si="2"/>
        <v>0.52374999999999994</v>
      </c>
      <c r="Q36" s="28">
        <f t="shared" si="2"/>
        <v>9.2920833333333341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0.049869394639790066</v>
      </c>
      <c r="C37" s="28">
        <f t="shared" si="3" ref="C37:Q37">STDEV(C9:C32)</f>
        <v>1.5368652807921537</v>
      </c>
      <c r="D37" s="28">
        <f t="shared" si="3"/>
        <v>0.81762015471201732</v>
      </c>
      <c r="E37" s="28">
        <f t="shared" si="3"/>
        <v>0.41250362317249462</v>
      </c>
      <c r="F37" s="28">
        <f t="shared" si="3"/>
        <v>1.8751602830042347</v>
      </c>
      <c r="G37" s="28">
        <f t="shared" si="3"/>
        <v>11.402534011528255</v>
      </c>
      <c r="H37" s="28">
        <f t="shared" si="3"/>
        <v>3.3561412452355315</v>
      </c>
      <c r="I37" s="28">
        <f t="shared" si="3"/>
        <v>1.2224789942180365</v>
      </c>
      <c r="J37" s="28">
        <f t="shared" si="3"/>
        <v>0.84083798349786365</v>
      </c>
      <c r="K37" s="28">
        <f t="shared" si="3"/>
        <v>81.232474015023556</v>
      </c>
      <c r="L37" s="28">
        <f t="shared" si="3"/>
        <v>5.7419447672495734</v>
      </c>
      <c r="M37" s="28">
        <f t="shared" si="3"/>
        <v>19.494166332892849</v>
      </c>
      <c r="N37" s="28">
        <f t="shared" si="3"/>
        <v>338.3584527335351</v>
      </c>
      <c r="O37" s="28">
        <f t="shared" si="3"/>
        <v>0.26972879562331825</v>
      </c>
      <c r="P37" s="28">
        <f t="shared" si="3"/>
        <v>0.12930625930577477</v>
      </c>
      <c r="Q37" s="28">
        <f t="shared" si="3"/>
        <v>0.077682697232236739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4d2413-9df6-4925-bc47-db326f0d88f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350</v>
      </c>
      <c r="B9" s="56">
        <v>0.10</v>
      </c>
      <c r="C9" s="56">
        <v>0.52</v>
      </c>
      <c r="D9" s="56">
        <v>0.27</v>
      </c>
      <c r="E9" s="56">
        <v>1.42</v>
      </c>
      <c r="F9" s="56">
        <v>5.51</v>
      </c>
      <c r="G9" s="56">
        <v>16.59</v>
      </c>
      <c r="H9" s="56">
        <v>7.21</v>
      </c>
      <c r="I9" s="56">
        <v>4.13</v>
      </c>
      <c r="J9" s="56">
        <v>0.20</v>
      </c>
      <c r="K9" s="56">
        <v>121.5</v>
      </c>
      <c r="L9" s="56">
        <v>22.51</v>
      </c>
      <c r="M9" s="56">
        <v>87.37</v>
      </c>
      <c r="N9" s="56">
        <v>26.10</v>
      </c>
      <c r="O9" s="56">
        <v>0</v>
      </c>
      <c r="P9" s="56">
        <v>0.39</v>
      </c>
      <c r="Q9" s="56">
        <v>9.24</v>
      </c>
      <c r="R9" s="43"/>
      <c r="S9" s="43"/>
      <c r="T9" s="43"/>
      <c r="U9" s="43"/>
    </row>
    <row r="10" spans="1:21" s="11" customFormat="1" ht="15">
      <c r="A10" s="55" t="s">
        <v>351</v>
      </c>
      <c r="B10" s="56">
        <v>0.10</v>
      </c>
      <c r="C10" s="56">
        <v>0</v>
      </c>
      <c r="D10" s="56">
        <v>0</v>
      </c>
      <c r="E10" s="56">
        <v>1.62</v>
      </c>
      <c r="F10" s="56">
        <v>5.45</v>
      </c>
      <c r="G10" s="56">
        <v>17.82</v>
      </c>
      <c r="H10" s="56">
        <v>7.26</v>
      </c>
      <c r="I10" s="56">
        <v>3.59</v>
      </c>
      <c r="J10" s="56">
        <v>0.38</v>
      </c>
      <c r="K10" s="56">
        <v>349.39</v>
      </c>
      <c r="L10" s="56">
        <v>22.21</v>
      </c>
      <c r="M10" s="56">
        <v>87.70</v>
      </c>
      <c r="N10" s="56">
        <v>26.10</v>
      </c>
      <c r="O10" s="56">
        <v>0</v>
      </c>
      <c r="P10" s="56">
        <v>0.32</v>
      </c>
      <c r="Q10" s="56">
        <v>9.19</v>
      </c>
      <c r="R10" s="43"/>
      <c r="S10" s="43"/>
      <c r="T10" s="43"/>
      <c r="U10" s="43"/>
    </row>
    <row r="11" spans="1:21" s="11" customFormat="1" ht="15">
      <c r="A11" s="55" t="s">
        <v>352</v>
      </c>
      <c r="B11" s="56">
        <v>0.10</v>
      </c>
      <c r="C11" s="56">
        <v>0.27</v>
      </c>
      <c r="D11" s="56">
        <v>0.14000000000000001</v>
      </c>
      <c r="E11" s="56">
        <v>1.44</v>
      </c>
      <c r="F11" s="56">
        <v>5.97</v>
      </c>
      <c r="G11" s="56">
        <v>16.73</v>
      </c>
      <c r="H11" s="56">
        <v>6.62</v>
      </c>
      <c r="I11" s="56">
        <v>2.57</v>
      </c>
      <c r="J11" s="56">
        <v>1.86</v>
      </c>
      <c r="K11" s="56">
        <v>331.96</v>
      </c>
      <c r="L11" s="56">
        <v>22.16</v>
      </c>
      <c r="M11" s="56">
        <v>84.12</v>
      </c>
      <c r="N11" s="56">
        <v>26.20</v>
      </c>
      <c r="O11" s="56">
        <v>0</v>
      </c>
      <c r="P11" s="56">
        <v>0.28999999999999998</v>
      </c>
      <c r="Q11" s="56">
        <v>9.14</v>
      </c>
      <c r="R11" s="43"/>
      <c r="S11" s="43"/>
      <c r="T11" s="43"/>
      <c r="U11" s="43"/>
    </row>
    <row r="12" spans="1:21" s="11" customFormat="1" ht="15">
      <c r="A12" s="55" t="s">
        <v>353</v>
      </c>
      <c r="B12" s="56">
        <v>0.10</v>
      </c>
      <c r="C12" s="56">
        <v>0.53</v>
      </c>
      <c r="D12" s="56">
        <v>0.28000000000000003</v>
      </c>
      <c r="E12" s="56">
        <v>1.53</v>
      </c>
      <c r="F12" s="56">
        <v>5.54</v>
      </c>
      <c r="G12" s="56">
        <v>16.97</v>
      </c>
      <c r="H12" s="56">
        <v>7.53</v>
      </c>
      <c r="I12" s="56">
        <v>2.23</v>
      </c>
      <c r="J12" s="56">
        <v>1.28</v>
      </c>
      <c r="K12" s="56">
        <v>313.54000000000002</v>
      </c>
      <c r="L12" s="56">
        <v>22.08</v>
      </c>
      <c r="M12" s="56">
        <v>80.06</v>
      </c>
      <c r="N12" s="56">
        <v>26.10</v>
      </c>
      <c r="O12" s="56">
        <v>0</v>
      </c>
      <c r="P12" s="56">
        <v>0.27</v>
      </c>
      <c r="Q12" s="56">
        <v>9.2200000000000006</v>
      </c>
      <c r="R12" s="43"/>
      <c r="S12" s="43"/>
      <c r="T12" s="43"/>
      <c r="U12" s="43"/>
    </row>
    <row r="13" spans="1:21" s="11" customFormat="1" ht="15">
      <c r="A13" s="55" t="s">
        <v>354</v>
      </c>
      <c r="B13" s="56">
        <v>0.10</v>
      </c>
      <c r="C13" s="56">
        <v>0.63</v>
      </c>
      <c r="D13" s="56">
        <v>0.33</v>
      </c>
      <c r="E13" s="56">
        <v>1.04</v>
      </c>
      <c r="F13" s="56">
        <v>5.0599999999999996</v>
      </c>
      <c r="G13" s="56">
        <v>16.09</v>
      </c>
      <c r="H13" s="56">
        <v>6</v>
      </c>
      <c r="I13" s="56">
        <v>2.09</v>
      </c>
      <c r="J13" s="56">
        <v>1.31</v>
      </c>
      <c r="K13" s="56">
        <v>327.25</v>
      </c>
      <c r="L13" s="56">
        <v>22.28</v>
      </c>
      <c r="M13" s="56">
        <v>78.39</v>
      </c>
      <c r="N13" s="56">
        <v>26.5</v>
      </c>
      <c r="O13" s="56">
        <v>0</v>
      </c>
      <c r="P13" s="56">
        <v>0.25</v>
      </c>
      <c r="Q13" s="56">
        <v>9.23</v>
      </c>
      <c r="R13" s="43"/>
      <c r="S13" s="43"/>
      <c r="T13" s="43"/>
      <c r="U13" s="43"/>
    </row>
    <row r="14" spans="1:21" s="11" customFormat="1" ht="15">
      <c r="A14" s="55" t="s">
        <v>355</v>
      </c>
      <c r="B14" s="56">
        <v>0.10</v>
      </c>
      <c r="C14" s="56">
        <v>1.1200000000000001</v>
      </c>
      <c r="D14" s="56">
        <v>0.59</v>
      </c>
      <c r="E14" s="56">
        <v>1.06</v>
      </c>
      <c r="F14" s="56">
        <v>4</v>
      </c>
      <c r="G14" s="56">
        <v>18.190000000000001</v>
      </c>
      <c r="H14" s="56">
        <v>7.53</v>
      </c>
      <c r="I14" s="56">
        <v>2.2999999999999998</v>
      </c>
      <c r="J14" s="56">
        <v>1.44</v>
      </c>
      <c r="K14" s="56">
        <v>168.17</v>
      </c>
      <c r="L14" s="56">
        <v>22.70</v>
      </c>
      <c r="M14" s="56">
        <v>78.52</v>
      </c>
      <c r="N14" s="56">
        <v>79.30</v>
      </c>
      <c r="O14" s="56">
        <v>0</v>
      </c>
      <c r="P14" s="56">
        <v>0.25</v>
      </c>
      <c r="Q14" s="56">
        <v>9.19</v>
      </c>
      <c r="R14" s="43"/>
      <c r="S14" s="43"/>
      <c r="T14" s="43"/>
      <c r="U14" s="43"/>
    </row>
    <row r="15" spans="1:21" s="11" customFormat="1" ht="15">
      <c r="A15" s="55" t="s">
        <v>356</v>
      </c>
      <c r="B15" s="56">
        <v>0.10</v>
      </c>
      <c r="C15" s="56">
        <v>1.74</v>
      </c>
      <c r="D15" s="56">
        <v>0.91</v>
      </c>
      <c r="E15" s="56">
        <v>1.08</v>
      </c>
      <c r="F15" s="56">
        <v>4.38</v>
      </c>
      <c r="G15" s="56">
        <v>19.649999999999999</v>
      </c>
      <c r="H15" s="56">
        <v>8.7799999999999994</v>
      </c>
      <c r="I15" s="56">
        <v>2.5499999999999998</v>
      </c>
      <c r="J15" s="56">
        <v>1.63</v>
      </c>
      <c r="K15" s="56">
        <v>158.18</v>
      </c>
      <c r="L15" s="56">
        <v>23.65</v>
      </c>
      <c r="M15" s="56">
        <v>77.349999999999994</v>
      </c>
      <c r="N15" s="56">
        <v>265.20</v>
      </c>
      <c r="O15" s="56">
        <v>0</v>
      </c>
      <c r="P15" s="56">
        <v>0.25</v>
      </c>
      <c r="Q15" s="56">
        <v>9.19</v>
      </c>
      <c r="R15" s="43"/>
      <c r="S15" s="43"/>
      <c r="T15" s="43"/>
      <c r="U15" s="43"/>
    </row>
    <row r="16" spans="1:21" s="11" customFormat="1" ht="15">
      <c r="A16" s="55" t="s">
        <v>357</v>
      </c>
      <c r="B16" s="56">
        <v>0.10</v>
      </c>
      <c r="C16" s="56">
        <v>2.0099999999999998</v>
      </c>
      <c r="D16" s="56">
        <v>1.05</v>
      </c>
      <c r="E16" s="56">
        <v>1.1200000000000001</v>
      </c>
      <c r="F16" s="56">
        <v>4.78</v>
      </c>
      <c r="G16" s="56">
        <v>19.30</v>
      </c>
      <c r="H16" s="56">
        <v>8.92</v>
      </c>
      <c r="I16" s="56">
        <v>2.81</v>
      </c>
      <c r="J16" s="56">
        <v>1.64</v>
      </c>
      <c r="K16" s="56">
        <v>159.84</v>
      </c>
      <c r="L16" s="56">
        <v>25.95</v>
      </c>
      <c r="M16" s="56">
        <v>71.650000000000006</v>
      </c>
      <c r="N16" s="56">
        <v>438</v>
      </c>
      <c r="O16" s="56">
        <v>0</v>
      </c>
      <c r="P16" s="56">
        <v>0.27</v>
      </c>
      <c r="Q16" s="56">
        <v>9.17</v>
      </c>
      <c r="R16" s="43"/>
      <c r="S16" s="43"/>
      <c r="T16" s="43"/>
      <c r="U16" s="43"/>
    </row>
    <row r="17" spans="1:21" s="11" customFormat="1" ht="15">
      <c r="A17" s="55" t="s">
        <v>358</v>
      </c>
      <c r="B17" s="56">
        <v>0.10</v>
      </c>
      <c r="C17" s="56">
        <v>1.41</v>
      </c>
      <c r="D17" s="56">
        <v>0.73</v>
      </c>
      <c r="E17" s="56">
        <v>0.73</v>
      </c>
      <c r="F17" s="56">
        <v>5.28</v>
      </c>
      <c r="G17" s="56">
        <v>21.42</v>
      </c>
      <c r="H17" s="56">
        <v>9.33</v>
      </c>
      <c r="I17" s="56">
        <v>2.96</v>
      </c>
      <c r="J17" s="56">
        <v>0.47</v>
      </c>
      <c r="K17" s="56">
        <v>159.49</v>
      </c>
      <c r="L17" s="56">
        <v>28.78</v>
      </c>
      <c r="M17" s="56">
        <v>66.400000000000006</v>
      </c>
      <c r="N17" s="56">
        <v>674.40</v>
      </c>
      <c r="O17" s="56">
        <v>0</v>
      </c>
      <c r="P17" s="56">
        <v>0.30</v>
      </c>
      <c r="Q17" s="56">
        <v>9.19</v>
      </c>
      <c r="R17" s="43"/>
      <c r="S17" s="43"/>
      <c r="T17" s="43"/>
      <c r="U17" s="43"/>
    </row>
    <row r="18" spans="1:21" s="11" customFormat="1" ht="15">
      <c r="A18" s="55" t="s">
        <v>359</v>
      </c>
      <c r="B18" s="56">
        <v>0.57999999999999996</v>
      </c>
      <c r="C18" s="56">
        <v>3.89</v>
      </c>
      <c r="D18" s="56">
        <v>2.41</v>
      </c>
      <c r="E18" s="56">
        <v>0.66</v>
      </c>
      <c r="F18" s="56">
        <v>15.58</v>
      </c>
      <c r="G18" s="56">
        <v>23.33</v>
      </c>
      <c r="H18" s="56">
        <v>9.7899999999999991</v>
      </c>
      <c r="I18" s="56">
        <v>3.32</v>
      </c>
      <c r="J18" s="56">
        <v>0.80</v>
      </c>
      <c r="K18" s="56">
        <v>331.12</v>
      </c>
      <c r="L18" s="56">
        <v>31.88</v>
      </c>
      <c r="M18" s="56">
        <v>56.64</v>
      </c>
      <c r="N18" s="56">
        <v>816.40</v>
      </c>
      <c r="O18" s="56">
        <v>0</v>
      </c>
      <c r="P18" s="56">
        <v>0.39</v>
      </c>
      <c r="Q18" s="56">
        <v>9.1999999999999993</v>
      </c>
      <c r="R18" s="43"/>
      <c r="S18" s="43"/>
      <c r="T18" s="43"/>
      <c r="U18" s="43"/>
    </row>
    <row r="19" spans="1:21" s="11" customFormat="1" ht="15">
      <c r="A19" s="55" t="s">
        <v>360</v>
      </c>
      <c r="B19" s="56">
        <v>2.65</v>
      </c>
      <c r="C19" s="56">
        <v>17.25</v>
      </c>
      <c r="D19" s="56">
        <v>11.01</v>
      </c>
      <c r="E19" s="18" t="s">
        <v>12</v>
      </c>
      <c r="F19" s="56">
        <v>28.61</v>
      </c>
      <c r="G19" s="58" t="s">
        <v>12</v>
      </c>
      <c r="H19" s="58" t="s">
        <v>12</v>
      </c>
      <c r="I19" s="56">
        <v>5.59</v>
      </c>
      <c r="J19" s="56">
        <v>0.95</v>
      </c>
      <c r="K19" s="56">
        <v>340.70</v>
      </c>
      <c r="L19" s="56">
        <v>34.28</v>
      </c>
      <c r="M19" s="56">
        <v>44.04</v>
      </c>
      <c r="N19" s="56">
        <v>917.5</v>
      </c>
      <c r="O19" s="56">
        <v>0</v>
      </c>
      <c r="P19" s="56">
        <v>0.96</v>
      </c>
      <c r="Q19" s="56">
        <v>9.3699999999999992</v>
      </c>
      <c r="R19" s="43"/>
      <c r="S19" s="43"/>
      <c r="T19" s="43"/>
      <c r="U19" s="43"/>
    </row>
    <row r="20" spans="1:21" s="11" customFormat="1" ht="15">
      <c r="A20" s="55" t="s">
        <v>361</v>
      </c>
      <c r="B20" s="56">
        <v>1.22</v>
      </c>
      <c r="C20" s="56">
        <v>11.31</v>
      </c>
      <c r="D20" s="56">
        <v>6.79</v>
      </c>
      <c r="E20" s="56">
        <v>12.37</v>
      </c>
      <c r="F20" s="56">
        <v>12.48</v>
      </c>
      <c r="G20" s="58" t="s">
        <v>12</v>
      </c>
      <c r="H20" s="58" t="s">
        <v>12</v>
      </c>
      <c r="I20" s="56">
        <v>13.13</v>
      </c>
      <c r="J20" s="56">
        <v>1.23</v>
      </c>
      <c r="K20" s="56">
        <v>338.52</v>
      </c>
      <c r="L20" s="56">
        <v>35.799999999999997</v>
      </c>
      <c r="M20" s="56">
        <v>38.28</v>
      </c>
      <c r="N20" s="56">
        <v>959.10</v>
      </c>
      <c r="O20" s="56">
        <v>0</v>
      </c>
      <c r="P20" s="56">
        <v>0.92</v>
      </c>
      <c r="Q20" s="56">
        <v>9.27</v>
      </c>
      <c r="R20" s="43"/>
      <c r="S20" s="43"/>
      <c r="T20" s="43"/>
      <c r="U20" s="43"/>
    </row>
    <row r="21" spans="1:21" s="11" customFormat="1" ht="15">
      <c r="A21" s="55" t="s">
        <v>362</v>
      </c>
      <c r="B21" s="58" t="s">
        <v>12</v>
      </c>
      <c r="C21" s="58" t="s">
        <v>12</v>
      </c>
      <c r="D21" s="58" t="s">
        <v>12</v>
      </c>
      <c r="E21" s="56">
        <v>3.40</v>
      </c>
      <c r="F21" s="56">
        <v>22.64</v>
      </c>
      <c r="G21" s="56">
        <v>22.76</v>
      </c>
      <c r="H21" s="56">
        <v>12.99</v>
      </c>
      <c r="I21" s="56">
        <v>13.60</v>
      </c>
      <c r="J21" s="56">
        <v>1.0900000000000001</v>
      </c>
      <c r="K21" s="56">
        <v>342.64</v>
      </c>
      <c r="L21" s="56">
        <v>35.35</v>
      </c>
      <c r="M21" s="56">
        <v>36.43</v>
      </c>
      <c r="N21" s="56">
        <v>916.80</v>
      </c>
      <c r="O21" s="56">
        <v>0</v>
      </c>
      <c r="P21" s="56">
        <v>0.60</v>
      </c>
      <c r="Q21" s="56">
        <v>9.2100000000000009</v>
      </c>
      <c r="R21" s="43"/>
      <c r="S21" s="43"/>
      <c r="T21" s="43"/>
      <c r="U21" s="43"/>
    </row>
    <row r="22" spans="1:21" s="11" customFormat="1" ht="15">
      <c r="A22" s="55" t="s">
        <v>363</v>
      </c>
      <c r="B22" s="56">
        <v>1.38</v>
      </c>
      <c r="C22" s="56">
        <v>8.4600000000000009</v>
      </c>
      <c r="D22" s="56">
        <v>9.60</v>
      </c>
      <c r="E22" s="56">
        <v>2.74</v>
      </c>
      <c r="F22" s="56">
        <v>9.98</v>
      </c>
      <c r="G22" s="56">
        <v>31.47</v>
      </c>
      <c r="H22" s="56">
        <v>13.39</v>
      </c>
      <c r="I22" s="56">
        <v>15.99</v>
      </c>
      <c r="J22" s="56">
        <v>0.69</v>
      </c>
      <c r="K22" s="56">
        <v>333.73</v>
      </c>
      <c r="L22" s="56">
        <v>36.89</v>
      </c>
      <c r="M22" s="56">
        <v>32.82</v>
      </c>
      <c r="N22" s="56">
        <v>868.5</v>
      </c>
      <c r="O22" s="56">
        <v>0</v>
      </c>
      <c r="P22" s="56">
        <v>0.52</v>
      </c>
      <c r="Q22" s="56">
        <v>9.2799999999999994</v>
      </c>
      <c r="R22" s="43"/>
      <c r="S22" s="43"/>
      <c r="T22" s="43"/>
      <c r="U22" s="43"/>
    </row>
    <row r="23" spans="1:21" s="11" customFormat="1" ht="15">
      <c r="A23" s="55" t="s">
        <v>364</v>
      </c>
      <c r="B23" s="56">
        <v>1.38</v>
      </c>
      <c r="C23" s="56">
        <v>7.29</v>
      </c>
      <c r="D23" s="56">
        <v>8.57</v>
      </c>
      <c r="E23" s="56">
        <v>2.29</v>
      </c>
      <c r="F23" s="56">
        <v>8.98</v>
      </c>
      <c r="G23" s="56">
        <v>33.96</v>
      </c>
      <c r="H23" s="56">
        <v>13.34</v>
      </c>
      <c r="I23" s="56">
        <v>12.94</v>
      </c>
      <c r="J23" s="56">
        <v>0.66</v>
      </c>
      <c r="K23" s="56">
        <v>353.41</v>
      </c>
      <c r="L23" s="56">
        <v>34.270000000000003</v>
      </c>
      <c r="M23" s="56">
        <v>34.520000000000003</v>
      </c>
      <c r="N23" s="56">
        <v>610.60</v>
      </c>
      <c r="O23" s="56">
        <v>0</v>
      </c>
      <c r="P23" s="56">
        <v>0.48</v>
      </c>
      <c r="Q23" s="56">
        <v>9.23</v>
      </c>
      <c r="R23" s="43"/>
      <c r="S23" s="43"/>
      <c r="T23" s="43"/>
      <c r="U23" s="43"/>
    </row>
    <row r="24" spans="1:21" s="11" customFormat="1" ht="15">
      <c r="A24" s="55" t="s">
        <v>365</v>
      </c>
      <c r="B24" s="56">
        <v>1.48</v>
      </c>
      <c r="C24" s="56">
        <v>7.21</v>
      </c>
      <c r="D24" s="56">
        <v>8.49</v>
      </c>
      <c r="E24" s="56">
        <v>2.14</v>
      </c>
      <c r="F24" s="56">
        <v>7.70</v>
      </c>
      <c r="G24" s="56">
        <v>31.09</v>
      </c>
      <c r="H24" s="56">
        <v>12.12</v>
      </c>
      <c r="I24" s="56">
        <v>9.74</v>
      </c>
      <c r="J24" s="56">
        <v>1.01</v>
      </c>
      <c r="K24" s="56">
        <v>336.64</v>
      </c>
      <c r="L24" s="56">
        <v>34.71</v>
      </c>
      <c r="M24" s="56">
        <v>31.87</v>
      </c>
      <c r="N24" s="56">
        <v>306.30</v>
      </c>
      <c r="O24" s="56">
        <v>0</v>
      </c>
      <c r="P24" s="56">
        <v>0.44</v>
      </c>
      <c r="Q24" s="56">
        <v>9.23</v>
      </c>
      <c r="R24" s="43"/>
      <c r="S24" s="43"/>
      <c r="T24" s="43"/>
      <c r="U24" s="43"/>
    </row>
    <row r="25" spans="1:21" s="11" customFormat="1" ht="15">
      <c r="A25" s="55" t="s">
        <v>366</v>
      </c>
      <c r="B25" s="56">
        <v>1.65</v>
      </c>
      <c r="C25" s="56">
        <v>7.65</v>
      </c>
      <c r="D25" s="56">
        <v>9.2100000000000009</v>
      </c>
      <c r="E25" s="56">
        <v>1.24</v>
      </c>
      <c r="F25" s="56">
        <v>6.21</v>
      </c>
      <c r="G25" s="56">
        <v>34.549999999999997</v>
      </c>
      <c r="H25" s="56">
        <v>12.49</v>
      </c>
      <c r="I25" s="56">
        <v>8.0500000000000007</v>
      </c>
      <c r="J25" s="56">
        <v>0.77</v>
      </c>
      <c r="K25" s="56">
        <v>346.98</v>
      </c>
      <c r="L25" s="56">
        <v>33.54</v>
      </c>
      <c r="M25" s="56">
        <v>31.81</v>
      </c>
      <c r="N25" s="56">
        <v>117.5</v>
      </c>
      <c r="O25" s="56">
        <v>0</v>
      </c>
      <c r="P25" s="56">
        <v>0.43</v>
      </c>
      <c r="Q25" s="56">
        <v>9.27</v>
      </c>
      <c r="R25" s="43"/>
      <c r="S25" s="43"/>
      <c r="T25" s="43"/>
      <c r="U25" s="43"/>
    </row>
    <row r="26" spans="1:21" s="11" customFormat="1" ht="15">
      <c r="A26" s="55" t="s">
        <v>367</v>
      </c>
      <c r="B26" s="56">
        <v>1.72</v>
      </c>
      <c r="C26" s="56">
        <v>11.38</v>
      </c>
      <c r="D26" s="56">
        <v>12.92</v>
      </c>
      <c r="E26" s="56">
        <v>1.34</v>
      </c>
      <c r="F26" s="56">
        <v>10.31</v>
      </c>
      <c r="G26" s="56">
        <v>34.01</v>
      </c>
      <c r="H26" s="56">
        <v>12.60</v>
      </c>
      <c r="I26" s="56">
        <v>7.18</v>
      </c>
      <c r="J26" s="56">
        <v>0.39</v>
      </c>
      <c r="K26" s="56">
        <v>326.20</v>
      </c>
      <c r="L26" s="56">
        <v>33.07</v>
      </c>
      <c r="M26" s="56">
        <v>32.729999999999997</v>
      </c>
      <c r="N26" s="56">
        <v>72.70</v>
      </c>
      <c r="O26" s="56">
        <v>0</v>
      </c>
      <c r="P26" s="56">
        <v>0.53</v>
      </c>
      <c r="Q26" s="56">
        <v>9.36</v>
      </c>
      <c r="R26" s="43"/>
      <c r="S26" s="43"/>
      <c r="T26" s="43"/>
      <c r="U26" s="43"/>
    </row>
    <row r="27" spans="1:21" s="11" customFormat="1" ht="15">
      <c r="A27" s="55" t="s">
        <v>368</v>
      </c>
      <c r="B27" s="56">
        <v>2.4700000000000002</v>
      </c>
      <c r="C27" s="56">
        <v>13.85</v>
      </c>
      <c r="D27" s="56">
        <v>16.22</v>
      </c>
      <c r="E27" s="56">
        <v>1.46</v>
      </c>
      <c r="F27" s="56">
        <v>4.84</v>
      </c>
      <c r="G27" s="56">
        <v>36.450000000000003</v>
      </c>
      <c r="H27" s="56">
        <v>12.78</v>
      </c>
      <c r="I27" s="56">
        <v>6.66</v>
      </c>
      <c r="J27" s="56">
        <v>0.26</v>
      </c>
      <c r="K27" s="56">
        <v>227.53</v>
      </c>
      <c r="L27" s="56">
        <v>31.97</v>
      </c>
      <c r="M27" s="56">
        <v>39.950000000000003</v>
      </c>
      <c r="N27" s="56">
        <v>28.40</v>
      </c>
      <c r="O27" s="56">
        <v>0</v>
      </c>
      <c r="P27" s="56">
        <v>0.66</v>
      </c>
      <c r="Q27" s="56">
        <v>9.41</v>
      </c>
      <c r="R27" s="43"/>
      <c r="S27" s="43"/>
      <c r="T27" s="43"/>
      <c r="U27" s="43"/>
    </row>
    <row r="28" spans="1:21" s="11" customFormat="1" ht="15">
      <c r="A28" s="55" t="s">
        <v>369</v>
      </c>
      <c r="B28" s="56">
        <v>5.22</v>
      </c>
      <c r="C28" s="56">
        <v>14.98</v>
      </c>
      <c r="D28" s="56">
        <v>19.5</v>
      </c>
      <c r="E28" s="56">
        <v>1.90</v>
      </c>
      <c r="F28" s="56">
        <v>4.1399999999999997</v>
      </c>
      <c r="G28" s="56">
        <v>51.29</v>
      </c>
      <c r="H28" s="56">
        <v>15.51</v>
      </c>
      <c r="I28" s="56">
        <v>7.23</v>
      </c>
      <c r="J28" s="56">
        <v>1.91</v>
      </c>
      <c r="K28" s="56">
        <v>357.70</v>
      </c>
      <c r="L28" s="56">
        <v>29.95</v>
      </c>
      <c r="M28" s="56">
        <v>51.99</v>
      </c>
      <c r="N28" s="56">
        <v>18.20</v>
      </c>
      <c r="O28" s="56">
        <v>0</v>
      </c>
      <c r="P28" s="56">
        <v>0.82</v>
      </c>
      <c r="Q28" s="56">
        <v>9.44</v>
      </c>
      <c r="R28" s="43"/>
      <c r="S28" s="43"/>
      <c r="T28" s="43"/>
      <c r="U28" s="43"/>
    </row>
    <row r="29" spans="1:21" s="11" customFormat="1" ht="15">
      <c r="A29" s="55" t="s">
        <v>370</v>
      </c>
      <c r="B29" s="56">
        <v>4.59</v>
      </c>
      <c r="C29" s="56">
        <v>15.27</v>
      </c>
      <c r="D29" s="56">
        <v>19.559999999999999</v>
      </c>
      <c r="E29" s="56">
        <v>2.02</v>
      </c>
      <c r="F29" s="56">
        <v>3.66</v>
      </c>
      <c r="G29" s="56">
        <v>61.19</v>
      </c>
      <c r="H29" s="56">
        <v>18.079999999999998</v>
      </c>
      <c r="I29" s="56">
        <v>7.12</v>
      </c>
      <c r="J29" s="56">
        <v>1.72</v>
      </c>
      <c r="K29" s="56">
        <v>353.88</v>
      </c>
      <c r="L29" s="56">
        <v>28.55</v>
      </c>
      <c r="M29" s="56">
        <v>45</v>
      </c>
      <c r="N29" s="56">
        <v>18.899999999999999</v>
      </c>
      <c r="O29" s="56">
        <v>0</v>
      </c>
      <c r="P29" s="56">
        <v>0.86</v>
      </c>
      <c r="Q29" s="56">
        <v>9.5</v>
      </c>
      <c r="R29" s="43"/>
      <c r="S29" s="43"/>
      <c r="T29" s="43"/>
      <c r="U29" s="43"/>
    </row>
    <row r="30" spans="1:21" s="11" customFormat="1" ht="15">
      <c r="A30" s="55" t="s">
        <v>371</v>
      </c>
      <c r="B30" s="56">
        <v>6.02</v>
      </c>
      <c r="C30" s="56">
        <v>14.56</v>
      </c>
      <c r="D30" s="56">
        <v>19.440000000000001</v>
      </c>
      <c r="E30" s="56">
        <v>1.97</v>
      </c>
      <c r="F30" s="56">
        <v>3.59</v>
      </c>
      <c r="G30" s="56">
        <v>66.13</v>
      </c>
      <c r="H30" s="56">
        <v>18.71</v>
      </c>
      <c r="I30" s="56">
        <v>6.77</v>
      </c>
      <c r="J30" s="56">
        <v>0.39</v>
      </c>
      <c r="K30" s="56">
        <v>236.71</v>
      </c>
      <c r="L30" s="56">
        <v>27.88</v>
      </c>
      <c r="M30" s="56">
        <v>53.60</v>
      </c>
      <c r="N30" s="56">
        <v>19.5</v>
      </c>
      <c r="O30" s="56">
        <v>0</v>
      </c>
      <c r="P30" s="56">
        <v>0.91</v>
      </c>
      <c r="Q30" s="56">
        <v>9.57</v>
      </c>
      <c r="R30" s="43"/>
      <c r="S30" s="43"/>
      <c r="T30" s="43"/>
      <c r="U30" s="43"/>
    </row>
    <row r="31" spans="1:21" s="11" customFormat="1" ht="15">
      <c r="A31" s="55" t="s">
        <v>372</v>
      </c>
      <c r="B31" s="56">
        <v>8.11</v>
      </c>
      <c r="C31" s="56">
        <v>12.19</v>
      </c>
      <c r="D31" s="56">
        <v>20.20</v>
      </c>
      <c r="E31" s="56">
        <v>1.93</v>
      </c>
      <c r="F31" s="56">
        <v>3.66</v>
      </c>
      <c r="G31" s="56">
        <v>73.44</v>
      </c>
      <c r="H31" s="56">
        <v>20.53</v>
      </c>
      <c r="I31" s="56">
        <v>7.49</v>
      </c>
      <c r="J31" s="56">
        <v>0.91</v>
      </c>
      <c r="K31" s="56">
        <v>348.78</v>
      </c>
      <c r="L31" s="56">
        <v>26.68</v>
      </c>
      <c r="M31" s="56">
        <v>57.24</v>
      </c>
      <c r="N31" s="56">
        <v>19.5</v>
      </c>
      <c r="O31" s="56">
        <v>0</v>
      </c>
      <c r="P31" s="56">
        <v>0.97</v>
      </c>
      <c r="Q31" s="56">
        <v>9.69</v>
      </c>
      <c r="R31" s="43"/>
      <c r="S31" s="43"/>
      <c r="T31" s="43"/>
      <c r="U31" s="43"/>
    </row>
    <row r="32" spans="1:21" s="11" customFormat="1" ht="15">
      <c r="A32" s="55" t="s">
        <v>373</v>
      </c>
      <c r="B32" s="56">
        <v>8.40</v>
      </c>
      <c r="C32" s="56">
        <v>13.19</v>
      </c>
      <c r="D32" s="56">
        <v>21.49</v>
      </c>
      <c r="E32" s="56">
        <v>2.02</v>
      </c>
      <c r="F32" s="56">
        <v>3.74</v>
      </c>
      <c r="G32" s="56">
        <v>85.90</v>
      </c>
      <c r="H32" s="56">
        <v>26.05</v>
      </c>
      <c r="I32" s="56">
        <v>7.89</v>
      </c>
      <c r="J32" s="56">
        <v>0.93</v>
      </c>
      <c r="K32" s="56">
        <v>353.30</v>
      </c>
      <c r="L32" s="56">
        <v>26.43</v>
      </c>
      <c r="M32" s="56">
        <v>52.27</v>
      </c>
      <c r="N32" s="56">
        <v>19.70</v>
      </c>
      <c r="O32" s="56">
        <v>0</v>
      </c>
      <c r="P32" s="56">
        <v>0.96</v>
      </c>
      <c r="Q32" s="56">
        <v>9.7200000000000006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0.10000000000000001</v>
      </c>
      <c r="C34" s="28">
        <f t="shared" si="0"/>
        <v>0</v>
      </c>
      <c r="D34" s="28">
        <f t="shared" si="0"/>
        <v>0</v>
      </c>
      <c r="E34" s="28">
        <f t="shared" si="0"/>
        <v>0.66000000000000003</v>
      </c>
      <c r="F34" s="28">
        <f t="shared" si="0"/>
        <v>3.5899999999999999</v>
      </c>
      <c r="G34" s="28">
        <f t="shared" si="0"/>
        <v>16.09</v>
      </c>
      <c r="H34" s="28">
        <f t="shared" si="0"/>
        <v>6</v>
      </c>
      <c r="I34" s="28">
        <f t="shared" si="0"/>
        <v>2.0899999999999999</v>
      </c>
      <c r="J34" s="28">
        <f t="shared" si="0"/>
        <v>0.20000000000000001</v>
      </c>
      <c r="K34" s="28">
        <f t="shared" si="0"/>
        <v>121.5</v>
      </c>
      <c r="L34" s="28">
        <f t="shared" si="0"/>
        <v>22.079999999999998</v>
      </c>
      <c r="M34" s="28">
        <f t="shared" si="0"/>
        <v>31.809999999999999</v>
      </c>
      <c r="N34" s="28">
        <f t="shared" si="0"/>
        <v>18.199999999999999</v>
      </c>
      <c r="O34" s="28">
        <f t="shared" si="0"/>
        <v>0</v>
      </c>
      <c r="P34" s="28">
        <f t="shared" si="0"/>
        <v>0.25</v>
      </c>
      <c r="Q34" s="28">
        <f t="shared" si="0"/>
        <v>9.1400000000000006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8.4000000000000004</v>
      </c>
      <c r="C35" s="29">
        <f t="shared" si="1"/>
        <v>17.25</v>
      </c>
      <c r="D35" s="29">
        <f t="shared" si="1"/>
        <v>21.489999999999998</v>
      </c>
      <c r="E35" s="29">
        <f t="shared" si="1"/>
        <v>12.369999999999999</v>
      </c>
      <c r="F35" s="29">
        <f t="shared" si="1"/>
        <v>28.609999999999999</v>
      </c>
      <c r="G35" s="29">
        <f t="shared" si="1"/>
        <v>85.900000000000006</v>
      </c>
      <c r="H35" s="29">
        <f t="shared" si="1"/>
        <v>26.050000000000001</v>
      </c>
      <c r="I35" s="29">
        <f t="shared" si="1"/>
        <v>15.99</v>
      </c>
      <c r="J35" s="29">
        <f t="shared" si="1"/>
        <v>1.9099999999999999</v>
      </c>
      <c r="K35" s="29">
        <f t="shared" si="1"/>
        <v>357.69999999999999</v>
      </c>
      <c r="L35" s="29">
        <f t="shared" si="1"/>
        <v>36.890000000000001</v>
      </c>
      <c r="M35" s="29">
        <f t="shared" si="1"/>
        <v>87.700000000000003</v>
      </c>
      <c r="N35" s="29">
        <f t="shared" si="1"/>
        <v>959.10000000000002</v>
      </c>
      <c r="O35" s="29">
        <f t="shared" si="1"/>
        <v>0</v>
      </c>
      <c r="P35" s="29">
        <f t="shared" si="1"/>
        <v>0.96999999999999997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2.0769565217391306</v>
      </c>
      <c r="C36" s="28">
        <f t="shared" si="2"/>
        <v>7.2482608695652164</v>
      </c>
      <c r="D36" s="28">
        <f t="shared" si="2"/>
        <v>8.2482608695652164</v>
      </c>
      <c r="E36" s="28">
        <f t="shared" si="2"/>
        <v>2.1095652173913049</v>
      </c>
      <c r="F36" s="28">
        <f t="shared" si="2"/>
        <v>8.0037499999999984</v>
      </c>
      <c r="G36" s="28">
        <f t="shared" si="2"/>
        <v>34.014999999999993</v>
      </c>
      <c r="H36" s="28">
        <f t="shared" si="2"/>
        <v>12.161818181818182</v>
      </c>
      <c r="I36" s="28">
        <f t="shared" si="2"/>
        <v>6.5804166666666655</v>
      </c>
      <c r="J36" s="28">
        <f t="shared" si="2"/>
        <v>0.99666666666666692</v>
      </c>
      <c r="K36" s="28">
        <f t="shared" si="2"/>
        <v>292.3816666666666</v>
      </c>
      <c r="L36" s="28">
        <f t="shared" si="2"/>
        <v>28.898749999999996</v>
      </c>
      <c r="M36" s="28">
        <f t="shared" si="2"/>
        <v>56.281249999999993</v>
      </c>
      <c r="N36" s="28">
        <f t="shared" si="2"/>
        <v>304.0625</v>
      </c>
      <c r="O36" s="28">
        <f t="shared" si="2"/>
        <v>0</v>
      </c>
      <c r="P36" s="28">
        <f t="shared" si="2"/>
        <v>0.54333333333333345</v>
      </c>
      <c r="Q36" s="28">
        <f t="shared" si="2"/>
        <v>9.3129166666666663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2.5971232945539229</v>
      </c>
      <c r="C37" s="28">
        <f t="shared" si="3" ref="C37:Q37">STDEV(C9:C32)</f>
        <v>6.0010329809079277</v>
      </c>
      <c r="D37" s="28">
        <f t="shared" si="3"/>
        <v>7.9045077198071061</v>
      </c>
      <c r="E37" s="28">
        <f t="shared" si="3"/>
        <v>2.3261682856750991</v>
      </c>
      <c r="F37" s="28">
        <f t="shared" si="3"/>
        <v>6.2855291448242303</v>
      </c>
      <c r="G37" s="28">
        <f t="shared" si="3"/>
        <v>20.569539835582603</v>
      </c>
      <c r="H37" s="28">
        <f t="shared" si="3"/>
        <v>5.1270260909026533</v>
      </c>
      <c r="I37" s="28">
        <f t="shared" si="3"/>
        <v>4.0677816614129565</v>
      </c>
      <c r="J37" s="28">
        <f t="shared" si="3"/>
        <v>0.52081597072509034</v>
      </c>
      <c r="K37" s="28">
        <f t="shared" si="3"/>
        <v>79.836657139364448</v>
      </c>
      <c r="L37" s="28">
        <f t="shared" si="3"/>
        <v>5.1549067486189175</v>
      </c>
      <c r="M37" s="28">
        <f t="shared" si="3"/>
        <v>19.932484151668675</v>
      </c>
      <c r="N37" s="28">
        <f t="shared" si="3"/>
        <v>362.31170919467291</v>
      </c>
      <c r="O37" s="28">
        <f t="shared" si="3"/>
        <v>0</v>
      </c>
      <c r="P37" s="28">
        <f t="shared" si="3"/>
        <v>0.26827414055915538</v>
      </c>
      <c r="Q37" s="28">
        <f t="shared" si="3"/>
        <v>0.16332094747481943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COUNT(E9:E32)+1</f>
        <v>24</v>
      </c>
      <c r="F38" s="32">
        <f t="shared" si="4" ref="F38:Q38">COUNT(F9:F32)</f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d1689f-e91c-4490-b0d7-bdb50e4ab65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374</v>
      </c>
      <c r="B9" s="56">
        <v>8.08</v>
      </c>
      <c r="C9" s="56">
        <v>12.84</v>
      </c>
      <c r="D9" s="56">
        <v>20.83</v>
      </c>
      <c r="E9" s="56">
        <v>1.73</v>
      </c>
      <c r="F9" s="56">
        <v>3.93</v>
      </c>
      <c r="G9" s="56">
        <v>89.26</v>
      </c>
      <c r="H9" s="56">
        <v>29.32</v>
      </c>
      <c r="I9" s="56">
        <v>7.65</v>
      </c>
      <c r="J9" s="56">
        <v>0.43</v>
      </c>
      <c r="K9" s="56">
        <v>336.25</v>
      </c>
      <c r="L9" s="56">
        <v>26.01</v>
      </c>
      <c r="M9" s="56">
        <v>55.70</v>
      </c>
      <c r="N9" s="56">
        <v>20.30</v>
      </c>
      <c r="O9" s="56">
        <v>0</v>
      </c>
      <c r="P9" s="56">
        <v>0.91</v>
      </c>
      <c r="Q9" s="56">
        <v>9.69</v>
      </c>
      <c r="R9" s="43"/>
      <c r="S9" s="43"/>
      <c r="T9" s="43"/>
      <c r="U9" s="43"/>
    </row>
    <row r="10" spans="1:21" s="11" customFormat="1" ht="15">
      <c r="A10" s="55" t="s">
        <v>375</v>
      </c>
      <c r="B10" s="56">
        <v>6.65</v>
      </c>
      <c r="C10" s="56">
        <v>11.62</v>
      </c>
      <c r="D10" s="56">
        <v>18.170000000000002</v>
      </c>
      <c r="E10" s="56">
        <v>1.49</v>
      </c>
      <c r="F10" s="56">
        <v>3.55</v>
      </c>
      <c r="G10" s="56">
        <v>87.35</v>
      </c>
      <c r="H10" s="56">
        <v>29.87</v>
      </c>
      <c r="I10" s="56">
        <v>7.60</v>
      </c>
      <c r="J10" s="56">
        <v>0.21</v>
      </c>
      <c r="K10" s="56">
        <v>353.20</v>
      </c>
      <c r="L10" s="56">
        <v>24.93</v>
      </c>
      <c r="M10" s="56">
        <v>69.53</v>
      </c>
      <c r="N10" s="56">
        <v>20.80</v>
      </c>
      <c r="O10" s="56">
        <v>0</v>
      </c>
      <c r="P10" s="56">
        <v>0.80</v>
      </c>
      <c r="Q10" s="56">
        <v>9.6300000000000008</v>
      </c>
      <c r="R10" s="43"/>
      <c r="S10" s="43"/>
      <c r="T10" s="43"/>
      <c r="U10" s="43"/>
    </row>
    <row r="11" spans="1:21" s="11" customFormat="1" ht="15">
      <c r="A11" s="55" t="s">
        <v>376</v>
      </c>
      <c r="B11" s="56">
        <v>6.16</v>
      </c>
      <c r="C11" s="56">
        <v>9.44</v>
      </c>
      <c r="D11" s="56">
        <v>15.5</v>
      </c>
      <c r="E11" s="56">
        <v>1.51</v>
      </c>
      <c r="F11" s="56">
        <v>3.57</v>
      </c>
      <c r="G11" s="56">
        <v>78.75</v>
      </c>
      <c r="H11" s="56">
        <v>25.72</v>
      </c>
      <c r="I11" s="56">
        <v>7</v>
      </c>
      <c r="J11" s="56">
        <v>0.36</v>
      </c>
      <c r="K11" s="56">
        <v>332.34</v>
      </c>
      <c r="L11" s="56">
        <v>24.41</v>
      </c>
      <c r="M11" s="56">
        <v>73.5</v>
      </c>
      <c r="N11" s="56">
        <v>21.30</v>
      </c>
      <c r="O11" s="56">
        <v>0</v>
      </c>
      <c r="P11" s="56">
        <v>0.75</v>
      </c>
      <c r="Q11" s="56">
        <v>9.60</v>
      </c>
      <c r="R11" s="43"/>
      <c r="S11" s="43"/>
      <c r="T11" s="43"/>
      <c r="U11" s="43"/>
    </row>
    <row r="12" spans="1:21" s="11" customFormat="1" ht="15">
      <c r="A12" s="55" t="s">
        <v>377</v>
      </c>
      <c r="B12" s="56">
        <v>6.03</v>
      </c>
      <c r="C12" s="56">
        <v>7.66</v>
      </c>
      <c r="D12" s="56">
        <v>13.5</v>
      </c>
      <c r="E12" s="56">
        <v>1.39</v>
      </c>
      <c r="F12" s="56">
        <v>4.1399999999999997</v>
      </c>
      <c r="G12" s="56">
        <v>70.62</v>
      </c>
      <c r="H12" s="56">
        <v>24.87</v>
      </c>
      <c r="I12" s="56">
        <v>7.53</v>
      </c>
      <c r="J12" s="56">
        <v>0.42</v>
      </c>
      <c r="K12" s="56">
        <v>349.34</v>
      </c>
      <c r="L12" s="56">
        <v>23.67</v>
      </c>
      <c r="M12" s="56">
        <v>74.31</v>
      </c>
      <c r="N12" s="56">
        <v>21.30</v>
      </c>
      <c r="O12" s="56">
        <v>0</v>
      </c>
      <c r="P12" s="56">
        <v>0.68</v>
      </c>
      <c r="Q12" s="56">
        <v>9.5299999999999994</v>
      </c>
      <c r="R12" s="43"/>
      <c r="S12" s="43"/>
      <c r="T12" s="43"/>
      <c r="U12" s="43"/>
    </row>
    <row r="13" spans="1:21" s="11" customFormat="1" ht="15">
      <c r="A13" s="55" t="s">
        <v>378</v>
      </c>
      <c r="B13" s="56">
        <v>6.08</v>
      </c>
      <c r="C13" s="56">
        <v>7.63</v>
      </c>
      <c r="D13" s="56">
        <v>13.47</v>
      </c>
      <c r="E13" s="56">
        <v>1.58</v>
      </c>
      <c r="F13" s="56">
        <v>4.12</v>
      </c>
      <c r="G13" s="56">
        <v>67.42</v>
      </c>
      <c r="H13" s="56">
        <v>23.86</v>
      </c>
      <c r="I13" s="56">
        <v>7.77</v>
      </c>
      <c r="J13" s="56">
        <v>0.71</v>
      </c>
      <c r="K13" s="56">
        <v>354.39</v>
      </c>
      <c r="L13" s="56">
        <v>23.47</v>
      </c>
      <c r="M13" s="56">
        <v>68.040000000000006</v>
      </c>
      <c r="N13" s="56">
        <v>21.40</v>
      </c>
      <c r="O13" s="56">
        <v>0</v>
      </c>
      <c r="P13" s="56">
        <v>0.63</v>
      </c>
      <c r="Q13" s="56">
        <v>9.48</v>
      </c>
      <c r="R13" s="43"/>
      <c r="S13" s="43"/>
      <c r="T13" s="43"/>
      <c r="U13" s="43"/>
    </row>
    <row r="14" spans="1:21" s="11" customFormat="1" ht="15">
      <c r="A14" s="55" t="s">
        <v>379</v>
      </c>
      <c r="B14" s="56">
        <v>6.85</v>
      </c>
      <c r="C14" s="56">
        <v>7.53</v>
      </c>
      <c r="D14" s="56">
        <v>14.04</v>
      </c>
      <c r="E14" s="56">
        <v>1.92</v>
      </c>
      <c r="F14" s="56">
        <v>4.08</v>
      </c>
      <c r="G14" s="56">
        <v>81.63</v>
      </c>
      <c r="H14" s="56">
        <v>31.41</v>
      </c>
      <c r="I14" s="56">
        <v>7.28</v>
      </c>
      <c r="J14" s="56">
        <v>0.34</v>
      </c>
      <c r="K14" s="56">
        <v>322.98</v>
      </c>
      <c r="L14" s="56">
        <v>22.98</v>
      </c>
      <c r="M14" s="56">
        <v>71.59</v>
      </c>
      <c r="N14" s="56">
        <v>54.60</v>
      </c>
      <c r="O14" s="56">
        <v>0</v>
      </c>
      <c r="P14" s="56">
        <v>0.69</v>
      </c>
      <c r="Q14" s="56">
        <v>9.4600000000000009</v>
      </c>
      <c r="R14" s="43"/>
      <c r="S14" s="43"/>
      <c r="T14" s="43"/>
      <c r="U14" s="43"/>
    </row>
    <row r="15" spans="1:21" s="11" customFormat="1" ht="15">
      <c r="A15" s="55" t="s">
        <v>380</v>
      </c>
      <c r="B15" s="56">
        <v>8.77</v>
      </c>
      <c r="C15" s="56">
        <v>8.5299999999999994</v>
      </c>
      <c r="D15" s="56">
        <v>17.20</v>
      </c>
      <c r="E15" s="56">
        <v>1.68</v>
      </c>
      <c r="F15" s="56">
        <v>3.53</v>
      </c>
      <c r="G15" s="56">
        <v>149.04</v>
      </c>
      <c r="H15" s="56">
        <v>45.17</v>
      </c>
      <c r="I15" s="56">
        <v>7.13</v>
      </c>
      <c r="J15" s="56">
        <v>0.18</v>
      </c>
      <c r="K15" s="56">
        <v>299.77</v>
      </c>
      <c r="L15" s="56">
        <v>27.35</v>
      </c>
      <c r="M15" s="56">
        <v>68.95</v>
      </c>
      <c r="N15" s="56">
        <v>177.80</v>
      </c>
      <c r="O15" s="56">
        <v>0</v>
      </c>
      <c r="P15" s="56">
        <v>0.76</v>
      </c>
      <c r="Q15" s="56">
        <v>9.73</v>
      </c>
      <c r="R15" s="43"/>
      <c r="S15" s="43"/>
      <c r="T15" s="43"/>
      <c r="U15" s="43"/>
    </row>
    <row r="16" spans="1:21" s="11" customFormat="1" ht="15">
      <c r="A16" s="55" t="s">
        <v>381</v>
      </c>
      <c r="B16" s="56">
        <v>8.8800000000000008</v>
      </c>
      <c r="C16" s="56">
        <v>8.92</v>
      </c>
      <c r="D16" s="56">
        <v>17.61</v>
      </c>
      <c r="E16" s="56">
        <v>1.86</v>
      </c>
      <c r="F16" s="56">
        <v>3.73</v>
      </c>
      <c r="G16" s="56">
        <v>170.29</v>
      </c>
      <c r="H16" s="56">
        <v>48.88</v>
      </c>
      <c r="I16" s="56">
        <v>7.90</v>
      </c>
      <c r="J16" s="56">
        <v>0.84</v>
      </c>
      <c r="K16" s="56">
        <v>340.19</v>
      </c>
      <c r="L16" s="56">
        <v>30.40</v>
      </c>
      <c r="M16" s="56">
        <v>56.40</v>
      </c>
      <c r="N16" s="56">
        <v>390.80</v>
      </c>
      <c r="O16" s="56">
        <v>0</v>
      </c>
      <c r="P16" s="56">
        <v>0.77</v>
      </c>
      <c r="Q16" s="56">
        <v>9.73</v>
      </c>
      <c r="R16" s="43"/>
      <c r="S16" s="43"/>
      <c r="T16" s="43"/>
      <c r="U16" s="43"/>
    </row>
    <row r="17" spans="1:21" s="11" customFormat="1" ht="15">
      <c r="A17" s="55" t="s">
        <v>382</v>
      </c>
      <c r="B17" s="56">
        <v>8.93</v>
      </c>
      <c r="C17" s="56">
        <v>11.22</v>
      </c>
      <c r="D17" s="56">
        <v>19.649999999999999</v>
      </c>
      <c r="E17" s="56">
        <v>1.21</v>
      </c>
      <c r="F17" s="56">
        <v>4.2300000000000004</v>
      </c>
      <c r="G17" s="56">
        <v>129.94</v>
      </c>
      <c r="H17" s="56">
        <v>43.71</v>
      </c>
      <c r="I17" s="56">
        <v>8.27</v>
      </c>
      <c r="J17" s="56">
        <v>0.87</v>
      </c>
      <c r="K17" s="56">
        <v>354.92</v>
      </c>
      <c r="L17" s="56">
        <v>34.19</v>
      </c>
      <c r="M17" s="56">
        <v>42.06</v>
      </c>
      <c r="N17" s="56">
        <v>617.5</v>
      </c>
      <c r="O17" s="56">
        <v>0</v>
      </c>
      <c r="P17" s="56">
        <v>0.81</v>
      </c>
      <c r="Q17" s="56">
        <v>9.73</v>
      </c>
      <c r="R17" s="43"/>
      <c r="S17" s="43"/>
      <c r="T17" s="43"/>
      <c r="U17" s="43"/>
    </row>
    <row r="18" spans="1:21" s="11" customFormat="1" ht="15">
      <c r="A18" s="55" t="s">
        <v>383</v>
      </c>
      <c r="B18" s="56">
        <v>8.10</v>
      </c>
      <c r="C18" s="56">
        <v>12.85</v>
      </c>
      <c r="D18" s="56">
        <v>20.399999999999999</v>
      </c>
      <c r="E18" s="56">
        <v>1.36</v>
      </c>
      <c r="F18" s="56">
        <v>5.58</v>
      </c>
      <c r="G18" s="56">
        <v>136.03</v>
      </c>
      <c r="H18" s="56">
        <v>44.83</v>
      </c>
      <c r="I18" s="56">
        <v>8.18</v>
      </c>
      <c r="J18" s="56">
        <v>0.85</v>
      </c>
      <c r="K18" s="56">
        <v>350.48</v>
      </c>
      <c r="L18" s="56">
        <v>36.08</v>
      </c>
      <c r="M18" s="56">
        <v>34.270000000000003</v>
      </c>
      <c r="N18" s="56">
        <v>787.40</v>
      </c>
      <c r="O18" s="56">
        <v>0</v>
      </c>
      <c r="P18" s="56">
        <v>0.83</v>
      </c>
      <c r="Q18" s="56">
        <v>9.65</v>
      </c>
      <c r="R18" s="43"/>
      <c r="S18" s="43"/>
      <c r="T18" s="43"/>
      <c r="U18" s="43"/>
    </row>
    <row r="19" spans="1:21" s="11" customFormat="1" ht="15">
      <c r="A19" s="55" t="s">
        <v>384</v>
      </c>
      <c r="B19" s="56">
        <v>5.83</v>
      </c>
      <c r="C19" s="56">
        <v>13.26</v>
      </c>
      <c r="D19" s="56">
        <v>18.68</v>
      </c>
      <c r="E19" s="56">
        <v>1.32</v>
      </c>
      <c r="F19" s="56">
        <v>3.93</v>
      </c>
      <c r="G19" s="56">
        <v>93.71</v>
      </c>
      <c r="H19" s="56">
        <v>45.11</v>
      </c>
      <c r="I19" s="56">
        <v>7.89</v>
      </c>
      <c r="J19" s="56">
        <v>0.80</v>
      </c>
      <c r="K19" s="56">
        <v>354.12</v>
      </c>
      <c r="L19" s="56">
        <v>36.71</v>
      </c>
      <c r="M19" s="56">
        <v>32.729999999999997</v>
      </c>
      <c r="N19" s="56">
        <v>882.90</v>
      </c>
      <c r="O19" s="56">
        <v>0</v>
      </c>
      <c r="P19" s="56">
        <v>0.84</v>
      </c>
      <c r="Q19" s="56">
        <v>9.5500000000000007</v>
      </c>
      <c r="R19" s="43"/>
      <c r="S19" s="43"/>
      <c r="T19" s="43"/>
      <c r="U19" s="43"/>
    </row>
    <row r="20" spans="1:21" s="11" customFormat="1" ht="15">
      <c r="A20" s="55" t="s">
        <v>385</v>
      </c>
      <c r="B20" s="56">
        <v>3.90</v>
      </c>
      <c r="C20" s="56">
        <v>12.03</v>
      </c>
      <c r="D20" s="56">
        <v>15.83</v>
      </c>
      <c r="E20" s="56">
        <v>1.08</v>
      </c>
      <c r="F20" s="56">
        <v>4.58</v>
      </c>
      <c r="G20" s="56">
        <v>88.02</v>
      </c>
      <c r="H20" s="56">
        <v>42.74</v>
      </c>
      <c r="I20" s="56">
        <v>8.3800000000000008</v>
      </c>
      <c r="J20" s="56">
        <v>0.86</v>
      </c>
      <c r="K20" s="56">
        <v>351.97</v>
      </c>
      <c r="L20" s="56">
        <v>37.07</v>
      </c>
      <c r="M20" s="56">
        <v>33.590000000000003</v>
      </c>
      <c r="N20" s="56">
        <v>915.5</v>
      </c>
      <c r="O20" s="56">
        <v>0</v>
      </c>
      <c r="P20" s="56">
        <v>0.82</v>
      </c>
      <c r="Q20" s="56">
        <v>9.51</v>
      </c>
      <c r="R20" s="43"/>
      <c r="S20" s="43"/>
      <c r="T20" s="43"/>
      <c r="U20" s="43"/>
    </row>
    <row r="21" spans="1:21" s="11" customFormat="1" ht="15">
      <c r="A21" s="55" t="s">
        <v>386</v>
      </c>
      <c r="B21" s="56">
        <v>2.21</v>
      </c>
      <c r="C21" s="56">
        <v>9.56</v>
      </c>
      <c r="D21" s="56">
        <v>11.67</v>
      </c>
      <c r="E21" s="56">
        <v>1.25</v>
      </c>
      <c r="F21" s="56">
        <v>5.91</v>
      </c>
      <c r="G21" s="56">
        <v>66.849999999999994</v>
      </c>
      <c r="H21" s="56">
        <v>36.71</v>
      </c>
      <c r="I21" s="56">
        <v>9.15</v>
      </c>
      <c r="J21" s="56">
        <v>0.47</v>
      </c>
      <c r="K21" s="56">
        <v>352.42</v>
      </c>
      <c r="L21" s="56">
        <v>37.340000000000003</v>
      </c>
      <c r="M21" s="56">
        <v>30.03</v>
      </c>
      <c r="N21" s="56">
        <v>889.10</v>
      </c>
      <c r="O21" s="56">
        <v>0</v>
      </c>
      <c r="P21" s="56">
        <v>0.77</v>
      </c>
      <c r="Q21" s="56">
        <v>9.43</v>
      </c>
      <c r="R21" s="43"/>
      <c r="S21" s="43"/>
      <c r="T21" s="43"/>
      <c r="U21" s="43"/>
    </row>
    <row r="22" spans="1:21" s="11" customFormat="1" ht="15">
      <c r="A22" s="55" t="s">
        <v>387</v>
      </c>
      <c r="B22" s="56">
        <v>1.45</v>
      </c>
      <c r="C22" s="56">
        <v>9.06</v>
      </c>
      <c r="D22" s="56">
        <v>10.36</v>
      </c>
      <c r="E22" s="56">
        <v>1.76</v>
      </c>
      <c r="F22" s="56">
        <v>7.14</v>
      </c>
      <c r="G22" s="56">
        <v>70.08</v>
      </c>
      <c r="H22" s="56">
        <v>36.79</v>
      </c>
      <c r="I22" s="56">
        <v>8.94</v>
      </c>
      <c r="J22" s="56">
        <v>0.89</v>
      </c>
      <c r="K22" s="56">
        <v>341.67</v>
      </c>
      <c r="L22" s="56">
        <v>38.47</v>
      </c>
      <c r="M22" s="56">
        <v>28.25</v>
      </c>
      <c r="N22" s="56">
        <v>728.40</v>
      </c>
      <c r="O22" s="56">
        <v>0</v>
      </c>
      <c r="P22" s="56">
        <v>0.74</v>
      </c>
      <c r="Q22" s="56">
        <v>9.35</v>
      </c>
      <c r="R22" s="43"/>
      <c r="S22" s="43"/>
      <c r="T22" s="43"/>
      <c r="U22" s="43"/>
    </row>
    <row r="23" spans="1:21" s="11" customFormat="1" ht="15">
      <c r="A23" s="55" t="s">
        <v>388</v>
      </c>
      <c r="B23" s="56">
        <v>1.39</v>
      </c>
      <c r="C23" s="56">
        <v>8.73</v>
      </c>
      <c r="D23" s="56">
        <v>10.02</v>
      </c>
      <c r="E23" s="56">
        <v>1.41</v>
      </c>
      <c r="F23" s="56">
        <v>6.68</v>
      </c>
      <c r="G23" s="56">
        <v>74.98</v>
      </c>
      <c r="H23" s="56">
        <v>34.46</v>
      </c>
      <c r="I23" s="56">
        <v>8.1199999999999992</v>
      </c>
      <c r="J23" s="56">
        <v>0.93</v>
      </c>
      <c r="K23" s="56">
        <v>339.47</v>
      </c>
      <c r="L23" s="56">
        <v>38.11</v>
      </c>
      <c r="M23" s="56">
        <v>26.11</v>
      </c>
      <c r="N23" s="56">
        <v>502.90</v>
      </c>
      <c r="O23" s="56">
        <v>0</v>
      </c>
      <c r="P23" s="56">
        <v>0.70</v>
      </c>
      <c r="Q23" s="56">
        <v>9.32</v>
      </c>
      <c r="R23" s="43"/>
      <c r="S23" s="43"/>
      <c r="T23" s="43"/>
      <c r="U23" s="43"/>
    </row>
    <row r="24" spans="1:21" s="11" customFormat="1" ht="15">
      <c r="A24" s="55" t="s">
        <v>389</v>
      </c>
      <c r="B24" s="56">
        <v>1.38</v>
      </c>
      <c r="C24" s="56">
        <v>8.93</v>
      </c>
      <c r="D24" s="56">
        <v>10.17</v>
      </c>
      <c r="E24" s="56">
        <v>1.81</v>
      </c>
      <c r="F24" s="56">
        <v>6.72</v>
      </c>
      <c r="G24" s="56">
        <v>70.959999999999994</v>
      </c>
      <c r="H24" s="56">
        <v>34.56</v>
      </c>
      <c r="I24" s="56">
        <v>7.32</v>
      </c>
      <c r="J24" s="56">
        <v>1.35</v>
      </c>
      <c r="K24" s="56">
        <v>352.67</v>
      </c>
      <c r="L24" s="56">
        <v>37.83</v>
      </c>
      <c r="M24" s="56">
        <v>25.56</v>
      </c>
      <c r="N24" s="56">
        <v>250.80</v>
      </c>
      <c r="O24" s="56">
        <v>0</v>
      </c>
      <c r="P24" s="56">
        <v>0.68</v>
      </c>
      <c r="Q24" s="56">
        <v>9.31</v>
      </c>
      <c r="R24" s="43"/>
      <c r="S24" s="43"/>
      <c r="T24" s="43"/>
      <c r="U24" s="43"/>
    </row>
    <row r="25" spans="1:21" s="11" customFormat="1" ht="15">
      <c r="A25" s="55" t="s">
        <v>390</v>
      </c>
      <c r="B25" s="56">
        <v>1.35</v>
      </c>
      <c r="C25" s="56">
        <v>6.93</v>
      </c>
      <c r="D25" s="56">
        <v>8.18</v>
      </c>
      <c r="E25" s="56">
        <v>2.15</v>
      </c>
      <c r="F25" s="56">
        <v>6.71</v>
      </c>
      <c r="G25" s="56">
        <v>61.16</v>
      </c>
      <c r="H25" s="56">
        <v>34.729999999999997</v>
      </c>
      <c r="I25" s="56">
        <v>8.69</v>
      </c>
      <c r="J25" s="56">
        <v>1.76</v>
      </c>
      <c r="K25" s="56">
        <v>164.90</v>
      </c>
      <c r="L25" s="56">
        <v>32.979999999999997</v>
      </c>
      <c r="M25" s="56">
        <v>31.93</v>
      </c>
      <c r="N25" s="56">
        <v>158.80000000000001</v>
      </c>
      <c r="O25" s="56">
        <v>0</v>
      </c>
      <c r="P25" s="56">
        <v>0.61</v>
      </c>
      <c r="Q25" s="56">
        <v>9.33</v>
      </c>
      <c r="R25" s="43"/>
      <c r="S25" s="43"/>
      <c r="T25" s="43"/>
      <c r="U25" s="43"/>
    </row>
    <row r="26" spans="1:21" s="11" customFormat="1" ht="15">
      <c r="A26" s="55" t="s">
        <v>391</v>
      </c>
      <c r="B26" s="56">
        <v>1.33</v>
      </c>
      <c r="C26" s="56">
        <v>5.60</v>
      </c>
      <c r="D26" s="56">
        <v>6.82</v>
      </c>
      <c r="E26" s="56">
        <v>2.1800000000000002</v>
      </c>
      <c r="F26" s="56">
        <v>6.5</v>
      </c>
      <c r="G26" s="56">
        <v>54.20</v>
      </c>
      <c r="H26" s="56">
        <v>26.88</v>
      </c>
      <c r="I26" s="56">
        <v>8.5</v>
      </c>
      <c r="J26" s="56">
        <v>1.02</v>
      </c>
      <c r="K26" s="56">
        <v>160.47</v>
      </c>
      <c r="L26" s="56">
        <v>31.29</v>
      </c>
      <c r="M26" s="56">
        <v>34.020000000000003</v>
      </c>
      <c r="N26" s="56">
        <v>95.30</v>
      </c>
      <c r="O26" s="56">
        <v>0</v>
      </c>
      <c r="P26" s="56">
        <v>0.48</v>
      </c>
      <c r="Q26" s="56">
        <v>9.36</v>
      </c>
      <c r="R26" s="43"/>
      <c r="S26" s="43"/>
      <c r="T26" s="43"/>
      <c r="U26" s="43"/>
    </row>
    <row r="27" spans="1:21" s="11" customFormat="1" ht="15">
      <c r="A27" s="55" t="s">
        <v>392</v>
      </c>
      <c r="B27" s="56">
        <v>1.36</v>
      </c>
      <c r="C27" s="56">
        <v>6.07</v>
      </c>
      <c r="D27" s="56">
        <v>7.33</v>
      </c>
      <c r="E27" s="56">
        <v>2.09</v>
      </c>
      <c r="F27" s="56">
        <v>5.22</v>
      </c>
      <c r="G27" s="56">
        <v>40.04</v>
      </c>
      <c r="H27" s="56">
        <v>23.91</v>
      </c>
      <c r="I27" s="56">
        <v>7.17</v>
      </c>
      <c r="J27" s="56">
        <v>0.99</v>
      </c>
      <c r="K27" s="56">
        <v>168.40</v>
      </c>
      <c r="L27" s="56">
        <v>31.11</v>
      </c>
      <c r="M27" s="56">
        <v>31.91</v>
      </c>
      <c r="N27" s="56">
        <v>46.80</v>
      </c>
      <c r="O27" s="56">
        <v>0</v>
      </c>
      <c r="P27" s="56">
        <v>0.42</v>
      </c>
      <c r="Q27" s="56">
        <v>9.35</v>
      </c>
      <c r="R27" s="43"/>
      <c r="S27" s="43"/>
      <c r="T27" s="43"/>
      <c r="U27" s="43"/>
    </row>
    <row r="28" spans="1:21" s="11" customFormat="1" ht="15">
      <c r="A28" s="55" t="s">
        <v>393</v>
      </c>
      <c r="B28" s="56">
        <v>1.67</v>
      </c>
      <c r="C28" s="56">
        <v>7.10</v>
      </c>
      <c r="D28" s="56">
        <v>8.68</v>
      </c>
      <c r="E28" s="56">
        <v>2.14</v>
      </c>
      <c r="F28" s="56">
        <v>4.72</v>
      </c>
      <c r="G28" s="56">
        <v>44.70</v>
      </c>
      <c r="H28" s="56">
        <v>22.38</v>
      </c>
      <c r="I28" s="56">
        <v>6.31</v>
      </c>
      <c r="J28" s="56">
        <v>0.12</v>
      </c>
      <c r="K28" s="56">
        <v>308.52999999999997</v>
      </c>
      <c r="L28" s="56">
        <v>30.10</v>
      </c>
      <c r="M28" s="56">
        <v>33.24</v>
      </c>
      <c r="N28" s="56">
        <v>32.799999999999997</v>
      </c>
      <c r="O28" s="56">
        <v>0</v>
      </c>
      <c r="P28" s="56">
        <v>0.51</v>
      </c>
      <c r="Q28" s="56">
        <v>9.36</v>
      </c>
      <c r="R28" s="43"/>
      <c r="S28" s="43"/>
      <c r="T28" s="43"/>
      <c r="U28" s="43"/>
    </row>
    <row r="29" spans="1:21" s="11" customFormat="1" ht="15">
      <c r="A29" s="55" t="s">
        <v>394</v>
      </c>
      <c r="B29" s="56">
        <v>2.39</v>
      </c>
      <c r="C29" s="56">
        <v>7.61</v>
      </c>
      <c r="D29" s="56">
        <v>9.89</v>
      </c>
      <c r="E29" s="56">
        <v>1.26</v>
      </c>
      <c r="F29" s="56">
        <v>3.84</v>
      </c>
      <c r="G29" s="56">
        <v>58.09</v>
      </c>
      <c r="H29" s="56">
        <v>22.60</v>
      </c>
      <c r="I29" s="56">
        <v>6.14</v>
      </c>
      <c r="J29" s="56">
        <v>0.43</v>
      </c>
      <c r="K29" s="56">
        <v>335.5</v>
      </c>
      <c r="L29" s="56">
        <v>29.34</v>
      </c>
      <c r="M29" s="56">
        <v>39.619999999999997</v>
      </c>
      <c r="N29" s="56">
        <v>35</v>
      </c>
      <c r="O29" s="56">
        <v>0</v>
      </c>
      <c r="P29" s="56">
        <v>0.65</v>
      </c>
      <c r="Q29" s="56">
        <v>9.48</v>
      </c>
      <c r="R29" s="43"/>
      <c r="S29" s="43"/>
      <c r="T29" s="43"/>
      <c r="U29" s="43"/>
    </row>
    <row r="30" spans="1:21" s="11" customFormat="1" ht="15">
      <c r="A30" s="55" t="s">
        <v>395</v>
      </c>
      <c r="B30" s="56">
        <v>3</v>
      </c>
      <c r="C30" s="56">
        <v>7.71</v>
      </c>
      <c r="D30" s="56">
        <v>10.61</v>
      </c>
      <c r="E30" s="56">
        <v>1.60</v>
      </c>
      <c r="F30" s="56">
        <v>3.66</v>
      </c>
      <c r="G30" s="56">
        <v>61.92</v>
      </c>
      <c r="H30" s="56">
        <v>21.46</v>
      </c>
      <c r="I30" s="56">
        <v>6.39</v>
      </c>
      <c r="J30" s="56">
        <v>0.38</v>
      </c>
      <c r="K30" s="56">
        <v>359.28</v>
      </c>
      <c r="L30" s="56">
        <v>28.59</v>
      </c>
      <c r="M30" s="56">
        <v>42.06</v>
      </c>
      <c r="N30" s="56">
        <v>35.299999999999997</v>
      </c>
      <c r="O30" s="56">
        <v>0</v>
      </c>
      <c r="P30" s="56">
        <v>0.76</v>
      </c>
      <c r="Q30" s="56">
        <v>9.58</v>
      </c>
      <c r="R30" s="43"/>
      <c r="S30" s="43"/>
      <c r="T30" s="43"/>
      <c r="U30" s="43"/>
    </row>
    <row r="31" spans="1:21" s="11" customFormat="1" ht="15">
      <c r="A31" s="55" t="s">
        <v>396</v>
      </c>
      <c r="B31" s="56">
        <v>4.41</v>
      </c>
      <c r="C31" s="56">
        <v>10.78</v>
      </c>
      <c r="D31" s="56">
        <v>14.97</v>
      </c>
      <c r="E31" s="56">
        <v>2.0499999999999998</v>
      </c>
      <c r="F31" s="56">
        <v>4.4800000000000004</v>
      </c>
      <c r="G31" s="56">
        <v>66.459999999999994</v>
      </c>
      <c r="H31" s="56">
        <v>24.01</v>
      </c>
      <c r="I31" s="56">
        <v>7.09</v>
      </c>
      <c r="J31" s="56">
        <v>0.46</v>
      </c>
      <c r="K31" s="56">
        <v>314.64</v>
      </c>
      <c r="L31" s="56">
        <v>27.45</v>
      </c>
      <c r="M31" s="56">
        <v>48.53</v>
      </c>
      <c r="N31" s="56">
        <v>35.40</v>
      </c>
      <c r="O31" s="56">
        <v>0</v>
      </c>
      <c r="P31" s="56">
        <v>0.85</v>
      </c>
      <c r="Q31" s="56">
        <v>9.64</v>
      </c>
      <c r="R31" s="43"/>
      <c r="S31" s="43"/>
      <c r="T31" s="43"/>
      <c r="U31" s="43"/>
    </row>
    <row r="32" spans="1:21" s="11" customFormat="1" ht="15">
      <c r="A32" s="55" t="s">
        <v>397</v>
      </c>
      <c r="B32" s="56">
        <v>4.29</v>
      </c>
      <c r="C32" s="56">
        <v>10.35</v>
      </c>
      <c r="D32" s="56">
        <v>14.54</v>
      </c>
      <c r="E32" s="56">
        <v>1.72</v>
      </c>
      <c r="F32" s="56">
        <v>3.82</v>
      </c>
      <c r="G32" s="56">
        <v>71.45</v>
      </c>
      <c r="H32" s="56">
        <v>25.88</v>
      </c>
      <c r="I32" s="56">
        <v>7.09</v>
      </c>
      <c r="J32" s="56">
        <v>0.37</v>
      </c>
      <c r="K32" s="56">
        <v>353.51</v>
      </c>
      <c r="L32" s="56">
        <v>26.86</v>
      </c>
      <c r="M32" s="56">
        <v>48.42</v>
      </c>
      <c r="N32" s="56">
        <v>35.700000000000003</v>
      </c>
      <c r="O32" s="56">
        <v>0</v>
      </c>
      <c r="P32" s="56">
        <v>0.83</v>
      </c>
      <c r="Q32" s="56">
        <v>9.66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1.3300000000000001</v>
      </c>
      <c r="C34" s="28">
        <f t="shared" si="0"/>
        <v>5.5999999999999996</v>
      </c>
      <c r="D34" s="28">
        <f t="shared" si="0"/>
        <v>6.8200000000000003</v>
      </c>
      <c r="E34" s="28">
        <f t="shared" si="0"/>
        <v>1.0800000000000001</v>
      </c>
      <c r="F34" s="28">
        <f t="shared" si="0"/>
        <v>3.5299999999999998</v>
      </c>
      <c r="G34" s="28">
        <f t="shared" si="0"/>
        <v>40.039999999999999</v>
      </c>
      <c r="H34" s="28">
        <f t="shared" si="0"/>
        <v>21.460000000000001</v>
      </c>
      <c r="I34" s="28">
        <f t="shared" si="0"/>
        <v>6.1399999999999997</v>
      </c>
      <c r="J34" s="28">
        <f t="shared" si="0"/>
        <v>0.12</v>
      </c>
      <c r="K34" s="28">
        <f t="shared" si="0"/>
        <v>160.47</v>
      </c>
      <c r="L34" s="28">
        <f t="shared" si="0"/>
        <v>22.98</v>
      </c>
      <c r="M34" s="28">
        <f t="shared" si="0"/>
        <v>25.559999999999999</v>
      </c>
      <c r="N34" s="28">
        <f t="shared" si="0"/>
        <v>20.300000000000001</v>
      </c>
      <c r="O34" s="28">
        <f t="shared" si="0"/>
        <v>0</v>
      </c>
      <c r="P34" s="28">
        <f t="shared" si="0"/>
        <v>0.41999999999999998</v>
      </c>
      <c r="Q34" s="28">
        <f t="shared" si="0"/>
        <v>9.3100000000000005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8.9299999999999997</v>
      </c>
      <c r="C35" s="29">
        <f t="shared" si="1"/>
        <v>13.26</v>
      </c>
      <c r="D35" s="29">
        <f t="shared" si="1"/>
        <v>20.829999999999998</v>
      </c>
      <c r="E35" s="29">
        <f t="shared" si="1"/>
        <v>2.1800000000000002</v>
      </c>
      <c r="F35" s="29">
        <f t="shared" si="1"/>
        <v>7.1399999999999997</v>
      </c>
      <c r="G35" s="29">
        <f t="shared" si="1"/>
        <v>170.28999999999999</v>
      </c>
      <c r="H35" s="29">
        <f t="shared" si="1"/>
        <v>48.880000000000003</v>
      </c>
      <c r="I35" s="29">
        <f t="shared" si="1"/>
        <v>9.1500000000000004</v>
      </c>
      <c r="J35" s="29">
        <f t="shared" si="1"/>
        <v>1.76</v>
      </c>
      <c r="K35" s="29">
        <f t="shared" si="1"/>
        <v>359.27999999999997</v>
      </c>
      <c r="L35" s="29">
        <f t="shared" si="1"/>
        <v>38.469999999999999</v>
      </c>
      <c r="M35" s="29">
        <f t="shared" si="1"/>
        <v>74.310000000000002</v>
      </c>
      <c r="N35" s="29">
        <f t="shared" si="1"/>
        <v>915.5</v>
      </c>
      <c r="O35" s="29">
        <f t="shared" si="1"/>
        <v>0</v>
      </c>
      <c r="P35" s="29">
        <f t="shared" si="1"/>
        <v>0.91000000000000003</v>
      </c>
      <c r="Q35" s="29">
        <f t="shared" si="1"/>
        <v>9.7300000000000004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4.6037499999999998</v>
      </c>
      <c r="C36" s="28">
        <f t="shared" si="2"/>
        <v>9.2483333333333331</v>
      </c>
      <c r="D36" s="28">
        <f t="shared" si="2"/>
        <v>13.671666666666669</v>
      </c>
      <c r="E36" s="28">
        <f t="shared" si="2"/>
        <v>1.6479166666666663</v>
      </c>
      <c r="F36" s="28">
        <f t="shared" si="2"/>
        <v>4.765416666666666</v>
      </c>
      <c r="G36" s="28">
        <f t="shared" si="2"/>
        <v>82.622916666666669</v>
      </c>
      <c r="H36" s="28">
        <f t="shared" si="2"/>
        <v>32.494166666666665</v>
      </c>
      <c r="I36" s="28">
        <f t="shared" si="2"/>
        <v>7.6454166666666659</v>
      </c>
      <c r="J36" s="28">
        <f t="shared" si="2"/>
        <v>0.66833333333333333</v>
      </c>
      <c r="K36" s="28">
        <f t="shared" si="2"/>
        <v>318.80874999999997</v>
      </c>
      <c r="L36" s="28">
        <f t="shared" si="2"/>
        <v>30.697500000000005</v>
      </c>
      <c r="M36" s="28">
        <f t="shared" si="2"/>
        <v>45.84791666666667</v>
      </c>
      <c r="N36" s="28">
        <f t="shared" si="2"/>
        <v>282.41249999999997</v>
      </c>
      <c r="O36" s="28">
        <f t="shared" si="2"/>
        <v>0</v>
      </c>
      <c r="P36" s="28">
        <f t="shared" si="2"/>
        <v>0.72041666666666659</v>
      </c>
      <c r="Q36" s="28">
        <f t="shared" si="2"/>
        <v>9.519166666666667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2.8050758534268301</v>
      </c>
      <c r="C37" s="28">
        <f t="shared" si="3" ref="C37:Q37">STDEV(C9:C32)</f>
        <v>2.1917387710627598</v>
      </c>
      <c r="D37" s="28">
        <f t="shared" si="3"/>
        <v>4.2867821788930831</v>
      </c>
      <c r="E37" s="28">
        <f t="shared" si="3"/>
        <v>0.32921486530263738</v>
      </c>
      <c r="F37" s="28">
        <f t="shared" si="3"/>
        <v>1.209559672545873</v>
      </c>
      <c r="G37" s="28">
        <f t="shared" si="3"/>
        <v>32.527359116952439</v>
      </c>
      <c r="H37" s="28">
        <f t="shared" si="3"/>
        <v>8.7482092163341409</v>
      </c>
      <c r="I37" s="28">
        <f t="shared" si="3"/>
        <v>0.80075496532507728</v>
      </c>
      <c r="J37" s="28">
        <f t="shared" si="3"/>
        <v>0.39244680245050201</v>
      </c>
      <c r="K37" s="28">
        <f t="shared" si="3"/>
        <v>61.577210092024941</v>
      </c>
      <c r="L37" s="28">
        <f t="shared" si="3"/>
        <v>5.2468253341383422</v>
      </c>
      <c r="M37" s="28">
        <f t="shared" si="3"/>
        <v>16.963409465328748</v>
      </c>
      <c r="N37" s="28">
        <f t="shared" si="3"/>
        <v>334.51856816274369</v>
      </c>
      <c r="O37" s="28">
        <f t="shared" si="3"/>
        <v>0</v>
      </c>
      <c r="P37" s="28">
        <f t="shared" si="3"/>
        <v>0.12281053511906814</v>
      </c>
      <c r="Q37" s="28">
        <f t="shared" si="3"/>
        <v>0.14437019645054142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0c2d36-e46d-4799-a49e-3e5fec644e3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0" t="s">
        <v>398</v>
      </c>
      <c r="B9" s="51">
        <v>3.75</v>
      </c>
      <c r="C9" s="51">
        <v>8.11</v>
      </c>
      <c r="D9" s="51">
        <v>11.76</v>
      </c>
      <c r="E9" s="51">
        <v>1.02</v>
      </c>
      <c r="F9" s="51">
        <v>3.67</v>
      </c>
      <c r="G9" s="51">
        <v>55.31</v>
      </c>
      <c r="H9" s="51">
        <v>22.61</v>
      </c>
      <c r="I9" s="51">
        <v>6.60</v>
      </c>
      <c r="J9" s="51">
        <v>0.53</v>
      </c>
      <c r="K9" s="51">
        <v>316.83999999999997</v>
      </c>
      <c r="L9" s="51">
        <v>26.66</v>
      </c>
      <c r="M9" s="51">
        <v>52.51</v>
      </c>
      <c r="N9" s="51">
        <v>36.40</v>
      </c>
      <c r="O9" s="51">
        <v>0</v>
      </c>
      <c r="P9" s="51">
        <v>0.77</v>
      </c>
      <c r="Q9" s="51">
        <v>9.67</v>
      </c>
      <c r="R9" s="43"/>
      <c r="S9" s="43"/>
      <c r="T9" s="43"/>
      <c r="U9" s="43"/>
    </row>
    <row r="10" spans="1:21" s="11" customFormat="1" ht="15">
      <c r="A10" s="50" t="s">
        <v>399</v>
      </c>
      <c r="B10" s="51">
        <v>3.25</v>
      </c>
      <c r="C10" s="51">
        <v>6.75</v>
      </c>
      <c r="D10" s="51">
        <v>9.90</v>
      </c>
      <c r="E10" s="51">
        <v>0.82</v>
      </c>
      <c r="F10" s="51">
        <v>3.70</v>
      </c>
      <c r="G10" s="51">
        <v>57.51</v>
      </c>
      <c r="H10" s="51">
        <v>22.10</v>
      </c>
      <c r="I10" s="51">
        <v>6.20</v>
      </c>
      <c r="J10" s="51">
        <v>0.28000000000000003</v>
      </c>
      <c r="K10" s="51">
        <v>354.90</v>
      </c>
      <c r="L10" s="51">
        <v>25.20</v>
      </c>
      <c r="M10" s="51">
        <v>61.82</v>
      </c>
      <c r="N10" s="51">
        <v>36.299999999999997</v>
      </c>
      <c r="O10" s="51">
        <v>0</v>
      </c>
      <c r="P10" s="51">
        <v>0.69</v>
      </c>
      <c r="Q10" s="51">
        <v>9.66</v>
      </c>
      <c r="R10" s="43"/>
      <c r="S10" s="43"/>
      <c r="T10" s="43"/>
      <c r="U10" s="43"/>
    </row>
    <row r="11" spans="1:21" s="11" customFormat="1" ht="15">
      <c r="A11" s="50" t="s">
        <v>400</v>
      </c>
      <c r="B11" s="51">
        <v>3.19</v>
      </c>
      <c r="C11" s="51">
        <v>5.66</v>
      </c>
      <c r="D11" s="51">
        <v>8.67</v>
      </c>
      <c r="E11" s="51">
        <v>0.95</v>
      </c>
      <c r="F11" s="51">
        <v>3.73</v>
      </c>
      <c r="G11" s="51">
        <v>53.84</v>
      </c>
      <c r="H11" s="51">
        <v>21.49</v>
      </c>
      <c r="I11" s="51">
        <v>6.44</v>
      </c>
      <c r="J11" s="51">
        <v>0.22</v>
      </c>
      <c r="K11" s="51">
        <v>233.38</v>
      </c>
      <c r="L11" s="51">
        <v>24.82</v>
      </c>
      <c r="M11" s="51">
        <v>62.79</v>
      </c>
      <c r="N11" s="51">
        <v>35.799999999999997</v>
      </c>
      <c r="O11" s="51">
        <v>0</v>
      </c>
      <c r="P11" s="51">
        <v>0.64</v>
      </c>
      <c r="Q11" s="51">
        <v>9.6199999999999992</v>
      </c>
      <c r="R11" s="43"/>
      <c r="S11" s="43"/>
      <c r="T11" s="43"/>
      <c r="U11" s="43"/>
    </row>
    <row r="12" spans="1:21" s="11" customFormat="1" ht="15">
      <c r="A12" s="50" t="s">
        <v>401</v>
      </c>
      <c r="B12" s="51">
        <v>3.16</v>
      </c>
      <c r="C12" s="51">
        <v>5.62</v>
      </c>
      <c r="D12" s="51">
        <v>8.67</v>
      </c>
      <c r="E12" s="51">
        <v>0.94</v>
      </c>
      <c r="F12" s="51">
        <v>3.77</v>
      </c>
      <c r="G12" s="51">
        <v>54.41</v>
      </c>
      <c r="H12" s="51">
        <v>20.36</v>
      </c>
      <c r="I12" s="51">
        <v>7.38</v>
      </c>
      <c r="J12" s="51">
        <v>0.25</v>
      </c>
      <c r="K12" s="51">
        <v>282.58</v>
      </c>
      <c r="L12" s="51">
        <v>24.84</v>
      </c>
      <c r="M12" s="51">
        <v>64.77</v>
      </c>
      <c r="N12" s="51">
        <v>35.40</v>
      </c>
      <c r="O12" s="51">
        <v>0</v>
      </c>
      <c r="P12" s="51">
        <v>0.61</v>
      </c>
      <c r="Q12" s="51">
        <v>9.57</v>
      </c>
      <c r="R12" s="43"/>
      <c r="S12" s="43"/>
      <c r="T12" s="43"/>
      <c r="U12" s="43"/>
    </row>
    <row r="13" spans="1:21" s="11" customFormat="1" ht="15">
      <c r="A13" s="50" t="s">
        <v>402</v>
      </c>
      <c r="B13" s="51">
        <v>4.12</v>
      </c>
      <c r="C13" s="51">
        <v>5.56</v>
      </c>
      <c r="D13" s="51">
        <v>9.58</v>
      </c>
      <c r="E13" s="51">
        <v>1.58</v>
      </c>
      <c r="F13" s="51">
        <v>3.83</v>
      </c>
      <c r="G13" s="51">
        <v>55.21</v>
      </c>
      <c r="H13" s="51">
        <v>21.09</v>
      </c>
      <c r="I13" s="51">
        <v>6.93</v>
      </c>
      <c r="J13" s="51">
        <v>0.31</v>
      </c>
      <c r="K13" s="51">
        <v>340.98</v>
      </c>
      <c r="L13" s="51">
        <v>24.52</v>
      </c>
      <c r="M13" s="51">
        <v>67.97</v>
      </c>
      <c r="N13" s="51">
        <v>35.40</v>
      </c>
      <c r="O13" s="51">
        <v>0</v>
      </c>
      <c r="P13" s="51">
        <v>0.56000000000000005</v>
      </c>
      <c r="Q13" s="51">
        <v>9.5399999999999991</v>
      </c>
      <c r="R13" s="43"/>
      <c r="S13" s="43"/>
      <c r="T13" s="43"/>
      <c r="U13" s="43"/>
    </row>
    <row r="14" spans="1:21" s="11" customFormat="1" ht="15">
      <c r="A14" s="50" t="s">
        <v>403</v>
      </c>
      <c r="B14" s="51">
        <v>4.04</v>
      </c>
      <c r="C14" s="51">
        <v>6.15</v>
      </c>
      <c r="D14" s="51">
        <v>10.029999999999999</v>
      </c>
      <c r="E14" s="51">
        <v>1.55</v>
      </c>
      <c r="F14" s="51">
        <v>3.67</v>
      </c>
      <c r="G14" s="51">
        <v>52.36</v>
      </c>
      <c r="H14" s="51">
        <v>21.42</v>
      </c>
      <c r="I14" s="51">
        <v>6.71</v>
      </c>
      <c r="J14" s="51">
        <v>0.65</v>
      </c>
      <c r="K14" s="51">
        <v>357.51</v>
      </c>
      <c r="L14" s="51">
        <v>24.35</v>
      </c>
      <c r="M14" s="51">
        <v>65.28</v>
      </c>
      <c r="N14" s="51">
        <v>66.70</v>
      </c>
      <c r="O14" s="51">
        <v>0</v>
      </c>
      <c r="P14" s="51">
        <v>0.54</v>
      </c>
      <c r="Q14" s="51">
        <v>9.66</v>
      </c>
      <c r="R14" s="43"/>
      <c r="S14" s="43"/>
      <c r="T14" s="43"/>
      <c r="U14" s="43"/>
    </row>
    <row r="15" spans="1:21" s="11" customFormat="1" ht="15">
      <c r="A15" s="50" t="s">
        <v>404</v>
      </c>
      <c r="B15" s="51">
        <v>3.92</v>
      </c>
      <c r="C15" s="51">
        <v>5.79</v>
      </c>
      <c r="D15" s="51">
        <v>9.6199999999999992</v>
      </c>
      <c r="E15" s="51">
        <v>1.51</v>
      </c>
      <c r="F15" s="51">
        <v>3.53</v>
      </c>
      <c r="G15" s="51">
        <v>55</v>
      </c>
      <c r="H15" s="51">
        <v>21.82</v>
      </c>
      <c r="I15" s="51">
        <v>7.10</v>
      </c>
      <c r="J15" s="51">
        <v>0.36</v>
      </c>
      <c r="K15" s="51">
        <v>202.63</v>
      </c>
      <c r="L15" s="51">
        <v>25.52</v>
      </c>
      <c r="M15" s="51">
        <v>62.74</v>
      </c>
      <c r="N15" s="51">
        <v>166.60</v>
      </c>
      <c r="O15" s="51">
        <v>0</v>
      </c>
      <c r="P15" s="51">
        <v>0.55000000000000004</v>
      </c>
      <c r="Q15" s="51">
        <v>9.7100000000000009</v>
      </c>
      <c r="R15" s="43"/>
      <c r="S15" s="43"/>
      <c r="T15" s="43"/>
      <c r="U15" s="43"/>
    </row>
    <row r="16" spans="1:21" s="11" customFormat="1" ht="15">
      <c r="A16" s="50" t="s">
        <v>405</v>
      </c>
      <c r="B16" s="51">
        <v>3.53</v>
      </c>
      <c r="C16" s="51">
        <v>7.09</v>
      </c>
      <c r="D16" s="51">
        <v>10.08</v>
      </c>
      <c r="E16" s="51">
        <v>1.86</v>
      </c>
      <c r="F16" s="51">
        <v>5</v>
      </c>
      <c r="G16" s="51">
        <v>57.55</v>
      </c>
      <c r="H16" s="51">
        <v>21.95</v>
      </c>
      <c r="I16" s="51">
        <v>7.15</v>
      </c>
      <c r="J16" s="51">
        <v>0.26</v>
      </c>
      <c r="K16" s="51">
        <v>359.46</v>
      </c>
      <c r="L16" s="51">
        <v>27.59</v>
      </c>
      <c r="M16" s="51">
        <v>57.94</v>
      </c>
      <c r="N16" s="51">
        <v>403.10</v>
      </c>
      <c r="O16" s="51">
        <v>0</v>
      </c>
      <c r="P16" s="51">
        <v>0.59</v>
      </c>
      <c r="Q16" s="51">
        <v>9.6199999999999992</v>
      </c>
      <c r="R16" s="43"/>
      <c r="S16" s="43"/>
      <c r="T16" s="43"/>
      <c r="U16" s="43"/>
    </row>
    <row r="17" spans="1:21" s="11" customFormat="1" ht="15">
      <c r="A17" s="50" t="s">
        <v>406</v>
      </c>
      <c r="B17" s="51">
        <v>2.84</v>
      </c>
      <c r="C17" s="51">
        <v>7.59</v>
      </c>
      <c r="D17" s="51">
        <v>10.10</v>
      </c>
      <c r="E17" s="51">
        <v>1.99</v>
      </c>
      <c r="F17" s="51">
        <v>5.98</v>
      </c>
      <c r="G17" s="51">
        <v>58.27</v>
      </c>
      <c r="H17" s="51">
        <v>24.92</v>
      </c>
      <c r="I17" s="51">
        <v>6.93</v>
      </c>
      <c r="J17" s="51">
        <v>0.38</v>
      </c>
      <c r="K17" s="51">
        <v>337.85</v>
      </c>
      <c r="L17" s="51">
        <v>33.049999999999997</v>
      </c>
      <c r="M17" s="51">
        <v>46.57</v>
      </c>
      <c r="N17" s="51">
        <v>600.60</v>
      </c>
      <c r="O17" s="51">
        <v>0</v>
      </c>
      <c r="P17" s="51">
        <v>0.61</v>
      </c>
      <c r="Q17" s="51">
        <v>9.40</v>
      </c>
      <c r="R17" s="43"/>
      <c r="S17" s="43"/>
      <c r="T17" s="43"/>
      <c r="U17" s="43"/>
    </row>
    <row r="18" spans="1:21" s="11" customFormat="1" ht="15">
      <c r="A18" s="50" t="s">
        <v>407</v>
      </c>
      <c r="B18" s="51">
        <v>1.90</v>
      </c>
      <c r="C18" s="51">
        <v>7.66</v>
      </c>
      <c r="D18" s="51">
        <v>9.39</v>
      </c>
      <c r="E18" s="51">
        <v>1.70</v>
      </c>
      <c r="F18" s="51">
        <v>4.0199999999999996</v>
      </c>
      <c r="G18" s="51">
        <v>55.08</v>
      </c>
      <c r="H18" s="51">
        <v>27.20</v>
      </c>
      <c r="I18" s="51">
        <v>6.47</v>
      </c>
      <c r="J18" s="51">
        <v>0.60</v>
      </c>
      <c r="K18" s="51">
        <v>338.18</v>
      </c>
      <c r="L18" s="51">
        <v>34.79</v>
      </c>
      <c r="M18" s="51">
        <v>32.28</v>
      </c>
      <c r="N18" s="51">
        <v>619.60</v>
      </c>
      <c r="O18" s="51">
        <v>0</v>
      </c>
      <c r="P18" s="51">
        <v>0.61</v>
      </c>
      <c r="Q18" s="51">
        <v>9.4499999999999993</v>
      </c>
      <c r="R18" s="43"/>
      <c r="S18" s="43"/>
      <c r="T18" s="43"/>
      <c r="U18" s="43"/>
    </row>
    <row r="19" spans="1:21" s="11" customFormat="1" ht="15">
      <c r="A19" s="50" t="s">
        <v>408</v>
      </c>
      <c r="B19" s="61" t="s">
        <v>4</v>
      </c>
      <c r="C19" s="61" t="s">
        <v>4</v>
      </c>
      <c r="D19" s="61" t="s">
        <v>4</v>
      </c>
      <c r="E19" s="61" t="s">
        <v>4</v>
      </c>
      <c r="F19" s="61" t="s">
        <v>4</v>
      </c>
      <c r="G19" s="61" t="s">
        <v>4</v>
      </c>
      <c r="H19" s="61" t="s">
        <v>4</v>
      </c>
      <c r="I19" s="61" t="s">
        <v>4</v>
      </c>
      <c r="J19" s="61" t="s">
        <v>4</v>
      </c>
      <c r="K19" s="61" t="s">
        <v>4</v>
      </c>
      <c r="L19" s="61" t="s">
        <v>4</v>
      </c>
      <c r="M19" s="61" t="s">
        <v>4</v>
      </c>
      <c r="N19" s="61" t="s">
        <v>4</v>
      </c>
      <c r="O19" s="61" t="s">
        <v>4</v>
      </c>
      <c r="P19" s="61" t="s">
        <v>4</v>
      </c>
      <c r="Q19" s="61" t="s">
        <v>4</v>
      </c>
      <c r="R19" s="43"/>
      <c r="S19" s="43"/>
      <c r="T19" s="43"/>
      <c r="U19" s="43"/>
    </row>
    <row r="20" spans="1:21" s="11" customFormat="1" ht="15">
      <c r="A20" s="50" t="s">
        <v>409</v>
      </c>
      <c r="B20" s="51">
        <v>1.58</v>
      </c>
      <c r="C20" s="51">
        <v>7.82</v>
      </c>
      <c r="D20" s="51">
        <v>9.2899999999999991</v>
      </c>
      <c r="E20" s="51">
        <v>4.43</v>
      </c>
      <c r="F20" s="51">
        <v>11.36</v>
      </c>
      <c r="G20" s="51">
        <v>167.55</v>
      </c>
      <c r="H20" s="51">
        <v>36.71</v>
      </c>
      <c r="I20" s="51">
        <v>9.61</v>
      </c>
      <c r="J20" s="51">
        <v>0.71</v>
      </c>
      <c r="K20" s="51">
        <v>116.19</v>
      </c>
      <c r="L20" s="51">
        <v>34.979999999999997</v>
      </c>
      <c r="M20" s="51">
        <v>31.48</v>
      </c>
      <c r="N20" s="51">
        <v>833.40</v>
      </c>
      <c r="O20" s="51">
        <v>0</v>
      </c>
      <c r="P20" s="51">
        <v>0.51</v>
      </c>
      <c r="Q20" s="51">
        <v>9.9600000000000009</v>
      </c>
      <c r="R20" s="43"/>
      <c r="S20" s="43"/>
      <c r="T20" s="43"/>
      <c r="U20" s="43"/>
    </row>
    <row r="21" spans="1:21" s="11" customFormat="1" ht="15">
      <c r="A21" s="50" t="s">
        <v>410</v>
      </c>
      <c r="B21" s="51">
        <v>1.46</v>
      </c>
      <c r="C21" s="51">
        <v>8.59</v>
      </c>
      <c r="D21" s="51">
        <v>9.94</v>
      </c>
      <c r="E21" s="51">
        <v>0</v>
      </c>
      <c r="F21" s="51">
        <v>6.46</v>
      </c>
      <c r="G21" s="51">
        <v>214.66</v>
      </c>
      <c r="H21" s="51">
        <v>38.299999999999997</v>
      </c>
      <c r="I21" s="51">
        <v>13.28</v>
      </c>
      <c r="J21" s="51">
        <v>1.54</v>
      </c>
      <c r="K21" s="51">
        <v>353.35</v>
      </c>
      <c r="L21" s="51">
        <v>37.54</v>
      </c>
      <c r="M21" s="51">
        <v>32.54</v>
      </c>
      <c r="N21" s="51">
        <v>846.30</v>
      </c>
      <c r="O21" s="51">
        <v>0</v>
      </c>
      <c r="P21" s="51">
        <v>0.42</v>
      </c>
      <c r="Q21" s="51">
        <v>9.65</v>
      </c>
      <c r="R21" s="43"/>
      <c r="S21" s="43"/>
      <c r="T21" s="43"/>
      <c r="U21" s="43"/>
    </row>
    <row r="22" spans="1:21" s="11" customFormat="1" ht="15">
      <c r="A22" s="50" t="s">
        <v>411</v>
      </c>
      <c r="B22" s="51">
        <v>1.28</v>
      </c>
      <c r="C22" s="51">
        <v>8.76</v>
      </c>
      <c r="D22" s="51">
        <v>9.93</v>
      </c>
      <c r="E22" s="51">
        <v>0</v>
      </c>
      <c r="F22" s="51">
        <v>8.10</v>
      </c>
      <c r="G22" s="51">
        <v>75.510000000000005</v>
      </c>
      <c r="H22" s="51">
        <v>35.159999999999997</v>
      </c>
      <c r="I22" s="51">
        <v>13.55</v>
      </c>
      <c r="J22" s="51">
        <v>0.63</v>
      </c>
      <c r="K22" s="51">
        <v>342.30</v>
      </c>
      <c r="L22" s="51">
        <v>38.42</v>
      </c>
      <c r="M22" s="51">
        <v>29</v>
      </c>
      <c r="N22" s="51">
        <v>719.10</v>
      </c>
      <c r="O22" s="51">
        <v>0</v>
      </c>
      <c r="P22" s="51">
        <v>0.76</v>
      </c>
      <c r="Q22" s="51">
        <v>9.52</v>
      </c>
      <c r="R22" s="43"/>
      <c r="S22" s="43"/>
      <c r="T22" s="43"/>
      <c r="U22" s="43"/>
    </row>
    <row r="23" spans="1:21" s="11" customFormat="1" ht="15">
      <c r="A23" s="50" t="s">
        <v>412</v>
      </c>
      <c r="B23" s="51">
        <v>1.30</v>
      </c>
      <c r="C23" s="51">
        <v>9.2799999999999994</v>
      </c>
      <c r="D23" s="51">
        <v>10.43</v>
      </c>
      <c r="E23" s="51">
        <v>0</v>
      </c>
      <c r="F23" s="51">
        <v>7.80</v>
      </c>
      <c r="G23" s="51">
        <v>77.34</v>
      </c>
      <c r="H23" s="51">
        <v>36.020000000000003</v>
      </c>
      <c r="I23" s="51">
        <v>13.08</v>
      </c>
      <c r="J23" s="51">
        <v>0.35</v>
      </c>
      <c r="K23" s="51">
        <v>341.86</v>
      </c>
      <c r="L23" s="51">
        <v>37.72</v>
      </c>
      <c r="M23" s="51">
        <v>29.66</v>
      </c>
      <c r="N23" s="51">
        <v>529.29999999999995</v>
      </c>
      <c r="O23" s="51">
        <v>0</v>
      </c>
      <c r="P23" s="51">
        <v>0.76</v>
      </c>
      <c r="Q23" s="51">
        <v>9.64</v>
      </c>
      <c r="R23" s="43"/>
      <c r="S23" s="43"/>
      <c r="T23" s="43"/>
      <c r="U23" s="43"/>
    </row>
    <row r="24" spans="1:21" s="11" customFormat="1" ht="15">
      <c r="A24" s="50" t="s">
        <v>413</v>
      </c>
      <c r="B24" s="51">
        <v>1.33</v>
      </c>
      <c r="C24" s="51">
        <v>8.65</v>
      </c>
      <c r="D24" s="51">
        <v>9.8800000000000008</v>
      </c>
      <c r="E24" s="51">
        <v>1.30</v>
      </c>
      <c r="F24" s="51">
        <v>8.19</v>
      </c>
      <c r="G24" s="51">
        <v>78.84</v>
      </c>
      <c r="H24" s="51">
        <v>36.19</v>
      </c>
      <c r="I24" s="51">
        <v>13.45</v>
      </c>
      <c r="J24" s="51">
        <v>1.24</v>
      </c>
      <c r="K24" s="51">
        <v>336.83</v>
      </c>
      <c r="L24" s="51">
        <v>35.99</v>
      </c>
      <c r="M24" s="51">
        <v>28.73</v>
      </c>
      <c r="N24" s="51">
        <v>285.20</v>
      </c>
      <c r="O24" s="51">
        <v>0</v>
      </c>
      <c r="P24" s="51">
        <v>0.74</v>
      </c>
      <c r="Q24" s="51">
        <v>9.7200000000000006</v>
      </c>
      <c r="R24" s="43"/>
      <c r="S24" s="43"/>
      <c r="T24" s="43"/>
      <c r="U24" s="43"/>
    </row>
    <row r="25" spans="1:21" s="11" customFormat="1" ht="15">
      <c r="A25" s="50" t="s">
        <v>414</v>
      </c>
      <c r="B25" s="51">
        <v>1.33</v>
      </c>
      <c r="C25" s="51">
        <v>9.01</v>
      </c>
      <c r="D25" s="51">
        <v>10.220000000000001</v>
      </c>
      <c r="E25" s="51">
        <v>2.0099999999999998</v>
      </c>
      <c r="F25" s="51">
        <v>8.0299999999999994</v>
      </c>
      <c r="G25" s="51">
        <v>81.80</v>
      </c>
      <c r="H25" s="51">
        <v>34.25</v>
      </c>
      <c r="I25" s="51">
        <v>13.5</v>
      </c>
      <c r="J25" s="51">
        <v>0.60</v>
      </c>
      <c r="K25" s="51">
        <v>165.63</v>
      </c>
      <c r="L25" s="51">
        <v>34.42</v>
      </c>
      <c r="M25" s="51">
        <v>29.38</v>
      </c>
      <c r="N25" s="51">
        <v>168</v>
      </c>
      <c r="O25" s="51">
        <v>0</v>
      </c>
      <c r="P25" s="51">
        <v>0.71</v>
      </c>
      <c r="Q25" s="51">
        <v>9.68</v>
      </c>
      <c r="R25" s="43"/>
      <c r="S25" s="43"/>
      <c r="T25" s="43"/>
      <c r="U25" s="43"/>
    </row>
    <row r="26" spans="1:21" s="11" customFormat="1" ht="15">
      <c r="A26" s="50" t="s">
        <v>415</v>
      </c>
      <c r="B26" s="51">
        <v>1.47</v>
      </c>
      <c r="C26" s="51">
        <v>9.74</v>
      </c>
      <c r="D26" s="51">
        <v>11.10</v>
      </c>
      <c r="E26" s="51">
        <v>1.59</v>
      </c>
      <c r="F26" s="51">
        <v>7.94</v>
      </c>
      <c r="G26" s="51">
        <v>69.180000000000007</v>
      </c>
      <c r="H26" s="51">
        <v>34.299999999999997</v>
      </c>
      <c r="I26" s="51">
        <v>12.28</v>
      </c>
      <c r="J26" s="51">
        <v>0.99</v>
      </c>
      <c r="K26" s="51">
        <v>354.55</v>
      </c>
      <c r="L26" s="51">
        <v>33.479999999999997</v>
      </c>
      <c r="M26" s="51">
        <v>40.799999999999997</v>
      </c>
      <c r="N26" s="51">
        <v>108.60</v>
      </c>
      <c r="O26" s="51">
        <v>0</v>
      </c>
      <c r="P26" s="51">
        <v>0.65</v>
      </c>
      <c r="Q26" s="51">
        <v>9.6300000000000008</v>
      </c>
      <c r="R26" s="43"/>
      <c r="S26" s="43"/>
      <c r="T26" s="43"/>
      <c r="U26" s="43"/>
    </row>
    <row r="27" spans="1:21" s="11" customFormat="1" ht="15">
      <c r="A27" s="50" t="s">
        <v>416</v>
      </c>
      <c r="B27" s="51">
        <v>1.57</v>
      </c>
      <c r="C27" s="51">
        <v>11.73</v>
      </c>
      <c r="D27" s="51">
        <v>13.17</v>
      </c>
      <c r="E27" s="51">
        <v>1.63</v>
      </c>
      <c r="F27" s="51">
        <v>5.62</v>
      </c>
      <c r="G27" s="51">
        <v>90.99</v>
      </c>
      <c r="H27" s="51">
        <v>32.880000000000003</v>
      </c>
      <c r="I27" s="51">
        <v>11.02</v>
      </c>
      <c r="J27" s="51">
        <v>0.84</v>
      </c>
      <c r="K27" s="51">
        <v>111.56</v>
      </c>
      <c r="L27" s="51">
        <v>31.14</v>
      </c>
      <c r="M27" s="51">
        <v>42.93</v>
      </c>
      <c r="N27" s="51">
        <v>42.10</v>
      </c>
      <c r="O27" s="51">
        <v>0</v>
      </c>
      <c r="P27" s="51">
        <v>0.67</v>
      </c>
      <c r="Q27" s="51">
        <v>9.64</v>
      </c>
      <c r="R27" s="43"/>
      <c r="S27" s="43"/>
      <c r="T27" s="43"/>
      <c r="U27" s="43"/>
    </row>
    <row r="28" spans="1:21" s="11" customFormat="1" ht="15">
      <c r="A28" s="50" t="s">
        <v>417</v>
      </c>
      <c r="B28" s="51">
        <v>1.70</v>
      </c>
      <c r="C28" s="51">
        <v>10.86</v>
      </c>
      <c r="D28" s="51">
        <v>12.34</v>
      </c>
      <c r="E28" s="51">
        <v>1.60</v>
      </c>
      <c r="F28" s="51">
        <v>4.72</v>
      </c>
      <c r="G28" s="51">
        <v>98.86</v>
      </c>
      <c r="H28" s="51">
        <v>33.65</v>
      </c>
      <c r="I28" s="51">
        <v>10.29</v>
      </c>
      <c r="J28" s="51">
        <v>0.48</v>
      </c>
      <c r="K28" s="51">
        <v>168.72</v>
      </c>
      <c r="L28" s="51">
        <v>31.42</v>
      </c>
      <c r="M28" s="51">
        <v>39.89</v>
      </c>
      <c r="N28" s="51">
        <v>40.5</v>
      </c>
      <c r="O28" s="51">
        <v>0</v>
      </c>
      <c r="P28" s="51">
        <v>0.64</v>
      </c>
      <c r="Q28" s="51">
        <v>9.7899999999999991</v>
      </c>
      <c r="R28" s="43"/>
      <c r="S28" s="43"/>
      <c r="T28" s="43"/>
      <c r="U28" s="43"/>
    </row>
    <row r="29" spans="1:21" s="11" customFormat="1" ht="15">
      <c r="A29" s="50" t="s">
        <v>418</v>
      </c>
      <c r="B29" s="51">
        <v>1.95</v>
      </c>
      <c r="C29" s="51">
        <v>10.43</v>
      </c>
      <c r="D29" s="51">
        <v>12.28</v>
      </c>
      <c r="E29" s="51">
        <v>1.02</v>
      </c>
      <c r="F29" s="51">
        <v>4.9800000000000004</v>
      </c>
      <c r="G29" s="51">
        <v>62.37</v>
      </c>
      <c r="H29" s="51">
        <v>31.80</v>
      </c>
      <c r="I29" s="51">
        <v>9.75</v>
      </c>
      <c r="J29" s="51">
        <v>2.17</v>
      </c>
      <c r="K29" s="51">
        <v>348.71</v>
      </c>
      <c r="L29" s="51">
        <v>30.40</v>
      </c>
      <c r="M29" s="51">
        <v>41.59</v>
      </c>
      <c r="N29" s="51">
        <v>42</v>
      </c>
      <c r="O29" s="51">
        <v>0</v>
      </c>
      <c r="P29" s="51">
        <v>0.65</v>
      </c>
      <c r="Q29" s="51">
        <v>9.8000000000000007</v>
      </c>
      <c r="R29" s="43"/>
      <c r="S29" s="43"/>
      <c r="T29" s="43"/>
      <c r="U29" s="43"/>
    </row>
    <row r="30" spans="1:21" s="11" customFormat="1" ht="15">
      <c r="A30" s="50" t="s">
        <v>419</v>
      </c>
      <c r="B30" s="51">
        <v>1.92</v>
      </c>
      <c r="C30" s="51">
        <v>11.09</v>
      </c>
      <c r="D30" s="51">
        <v>12.81</v>
      </c>
      <c r="E30" s="51">
        <v>1.0900000000000001</v>
      </c>
      <c r="F30" s="51">
        <v>5.51</v>
      </c>
      <c r="G30" s="51">
        <v>62.35</v>
      </c>
      <c r="H30" s="51">
        <v>28.63</v>
      </c>
      <c r="I30" s="51">
        <v>9.8800000000000008</v>
      </c>
      <c r="J30" s="51">
        <v>2.12</v>
      </c>
      <c r="K30" s="51">
        <v>351.83</v>
      </c>
      <c r="L30" s="51">
        <v>29.20</v>
      </c>
      <c r="M30" s="51">
        <v>49.84</v>
      </c>
      <c r="N30" s="51">
        <v>42.30</v>
      </c>
      <c r="O30" s="51">
        <v>0</v>
      </c>
      <c r="P30" s="51">
        <v>0.67</v>
      </c>
      <c r="Q30" s="51">
        <v>9.73</v>
      </c>
      <c r="R30" s="43"/>
      <c r="S30" s="43"/>
      <c r="T30" s="43"/>
      <c r="U30" s="43"/>
    </row>
    <row r="31" spans="1:21" s="11" customFormat="1" ht="15">
      <c r="A31" s="50" t="s">
        <v>420</v>
      </c>
      <c r="B31" s="51">
        <v>1.69</v>
      </c>
      <c r="C31" s="51">
        <v>11.94</v>
      </c>
      <c r="D31" s="51">
        <v>13.53</v>
      </c>
      <c r="E31" s="51">
        <v>1</v>
      </c>
      <c r="F31" s="51">
        <v>5.86</v>
      </c>
      <c r="G31" s="51">
        <v>73.48</v>
      </c>
      <c r="H31" s="51">
        <v>29.72</v>
      </c>
      <c r="I31" s="51">
        <v>8.17</v>
      </c>
      <c r="J31" s="51">
        <v>2.16</v>
      </c>
      <c r="K31" s="51">
        <v>349.36</v>
      </c>
      <c r="L31" s="51">
        <v>27.60</v>
      </c>
      <c r="M31" s="51">
        <v>57.16</v>
      </c>
      <c r="N31" s="51">
        <v>42.70</v>
      </c>
      <c r="O31" s="51">
        <v>0</v>
      </c>
      <c r="P31" s="51">
        <v>0.64</v>
      </c>
      <c r="Q31" s="51">
        <v>9.76</v>
      </c>
      <c r="R31" s="43"/>
      <c r="S31" s="43"/>
      <c r="T31" s="43"/>
      <c r="U31" s="43"/>
    </row>
    <row r="32" spans="1:21" s="11" customFormat="1" ht="15">
      <c r="A32" s="50" t="s">
        <v>421</v>
      </c>
      <c r="B32" s="51">
        <v>1.73</v>
      </c>
      <c r="C32" s="51">
        <v>12.08</v>
      </c>
      <c r="D32" s="51">
        <v>13.70</v>
      </c>
      <c r="E32" s="51">
        <v>1.65</v>
      </c>
      <c r="F32" s="51">
        <v>4.78</v>
      </c>
      <c r="G32" s="51">
        <v>76.260000000000005</v>
      </c>
      <c r="H32" s="51">
        <v>30.53</v>
      </c>
      <c r="I32" s="51">
        <v>6.71</v>
      </c>
      <c r="J32" s="51">
        <v>2.0299999999999998</v>
      </c>
      <c r="K32" s="51">
        <v>352.91</v>
      </c>
      <c r="L32" s="51">
        <v>26.43</v>
      </c>
      <c r="M32" s="51">
        <v>58.24</v>
      </c>
      <c r="N32" s="51">
        <v>42.80</v>
      </c>
      <c r="O32" s="51">
        <v>0</v>
      </c>
      <c r="P32" s="51">
        <v>0.60</v>
      </c>
      <c r="Q32" s="51">
        <v>9.77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1.28</v>
      </c>
      <c r="C34" s="28">
        <f t="shared" si="0"/>
        <v>5.5599999999999996</v>
      </c>
      <c r="D34" s="28">
        <f t="shared" si="0"/>
        <v>8.6699999999999999</v>
      </c>
      <c r="E34" s="28">
        <f t="shared" si="0"/>
        <v>0</v>
      </c>
      <c r="F34" s="28">
        <f t="shared" si="0"/>
        <v>3.5299999999999998</v>
      </c>
      <c r="G34" s="28">
        <f t="shared" si="0"/>
        <v>52.359999999999999</v>
      </c>
      <c r="H34" s="28">
        <f t="shared" si="0"/>
        <v>20.359999999999999</v>
      </c>
      <c r="I34" s="28">
        <f t="shared" si="0"/>
        <v>6.2000000000000002</v>
      </c>
      <c r="J34" s="28">
        <f t="shared" si="0"/>
        <v>0.22</v>
      </c>
      <c r="K34" s="28">
        <f t="shared" si="0"/>
        <v>111.56</v>
      </c>
      <c r="L34" s="28">
        <f t="shared" si="0"/>
        <v>24.350000000000001</v>
      </c>
      <c r="M34" s="28">
        <f t="shared" si="0"/>
        <v>28.73</v>
      </c>
      <c r="N34" s="28">
        <f t="shared" si="0"/>
        <v>35.399999999999999</v>
      </c>
      <c r="O34" s="28">
        <f t="shared" si="0"/>
        <v>0</v>
      </c>
      <c r="P34" s="28">
        <f t="shared" si="0"/>
        <v>0.41999999999999998</v>
      </c>
      <c r="Q34" s="28">
        <f t="shared" si="0"/>
        <v>9.4000000000000004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4.1200000000000001</v>
      </c>
      <c r="C35" s="29">
        <f t="shared" si="1"/>
        <v>12.08</v>
      </c>
      <c r="D35" s="29">
        <f t="shared" si="1"/>
        <v>13.699999999999999</v>
      </c>
      <c r="E35" s="29">
        <f t="shared" si="1"/>
        <v>4.4299999999999997</v>
      </c>
      <c r="F35" s="29">
        <f t="shared" si="1"/>
        <v>11.359999999999999</v>
      </c>
      <c r="G35" s="29">
        <f t="shared" si="1"/>
        <v>214.66</v>
      </c>
      <c r="H35" s="29">
        <f t="shared" si="1"/>
        <v>38.299999999999997</v>
      </c>
      <c r="I35" s="29">
        <f t="shared" si="1"/>
        <v>13.550000000000001</v>
      </c>
      <c r="J35" s="29">
        <f t="shared" si="1"/>
        <v>2.1699999999999999</v>
      </c>
      <c r="K35" s="29">
        <f t="shared" si="1"/>
        <v>359.45999999999998</v>
      </c>
      <c r="L35" s="29">
        <f t="shared" si="1"/>
        <v>38.420000000000002</v>
      </c>
      <c r="M35" s="29">
        <f t="shared" si="1"/>
        <v>67.969999999999999</v>
      </c>
      <c r="N35" s="29">
        <f t="shared" si="1"/>
        <v>846.29999999999995</v>
      </c>
      <c r="O35" s="29">
        <f t="shared" si="1"/>
        <v>0</v>
      </c>
      <c r="P35" s="29">
        <f t="shared" si="1"/>
        <v>0.77000000000000002</v>
      </c>
      <c r="Q35" s="29">
        <f t="shared" si="1"/>
        <v>9.9600000000000009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2.3482608695652174</v>
      </c>
      <c r="C36" s="28">
        <f t="shared" si="2"/>
        <v>8.5200000000000014</v>
      </c>
      <c r="D36" s="28">
        <f t="shared" si="2"/>
        <v>10.713913043478261</v>
      </c>
      <c r="E36" s="28">
        <f t="shared" si="2"/>
        <v>1.3582608695652174</v>
      </c>
      <c r="F36" s="28">
        <f t="shared" si="2"/>
        <v>5.6630434782608692</v>
      </c>
      <c r="G36" s="28">
        <f t="shared" si="2"/>
        <v>77.553478260869539</v>
      </c>
      <c r="H36" s="28">
        <f t="shared" si="2"/>
        <v>28.830434782608691</v>
      </c>
      <c r="I36" s="28">
        <f t="shared" si="2"/>
        <v>9.2382608695652166</v>
      </c>
      <c r="J36" s="28">
        <f t="shared" si="2"/>
        <v>0.85652173913043494</v>
      </c>
      <c r="K36" s="28">
        <f t="shared" si="2"/>
        <v>296.4395652173913</v>
      </c>
      <c r="L36" s="28">
        <f t="shared" si="2"/>
        <v>30.438260869565219</v>
      </c>
      <c r="M36" s="28">
        <f t="shared" si="2"/>
        <v>47.213478260869557</v>
      </c>
      <c r="N36" s="28">
        <f t="shared" si="2"/>
        <v>251.22608695652181</v>
      </c>
      <c r="O36" s="28">
        <f t="shared" si="2"/>
        <v>0</v>
      </c>
      <c r="P36" s="28">
        <f t="shared" si="2"/>
        <v>0.63434782608695661</v>
      </c>
      <c r="Q36" s="28">
        <f t="shared" si="2"/>
        <v>9.6604347826086965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1.0247822481515192</v>
      </c>
      <c r="C37" s="28">
        <f t="shared" si="3" ref="C37:Q37">STDEV(C9:C32)</f>
        <v>2.1175629216797063</v>
      </c>
      <c r="D37" s="28">
        <f t="shared" si="3"/>
        <v>1.5429214884003688</v>
      </c>
      <c r="E37" s="28">
        <f t="shared" si="3"/>
        <v>0.89459311306574629</v>
      </c>
      <c r="F37" s="28">
        <f t="shared" si="3"/>
        <v>2.0586390799895145</v>
      </c>
      <c r="G37" s="28">
        <f t="shared" si="3"/>
        <v>38.741666858669689</v>
      </c>
      <c r="H37" s="28">
        <f t="shared" si="3"/>
        <v>6.2085648160503988</v>
      </c>
      <c r="I37" s="28">
        <f t="shared" si="3"/>
        <v>2.7681987122805927</v>
      </c>
      <c r="J37" s="28">
        <f t="shared" si="3"/>
        <v>0.67472289730102708</v>
      </c>
      <c r="K37" s="28">
        <f t="shared" si="3"/>
        <v>83.731582912752131</v>
      </c>
      <c r="L37" s="28">
        <f t="shared" si="3"/>
        <v>4.7939760042008581</v>
      </c>
      <c r="M37" s="28">
        <f t="shared" si="3"/>
        <v>13.921180595407904</v>
      </c>
      <c r="N37" s="28">
        <f t="shared" si="3"/>
        <v>288.73826181161382</v>
      </c>
      <c r="O37" s="28">
        <f t="shared" si="3"/>
        <v>0</v>
      </c>
      <c r="P37" s="28">
        <f t="shared" si="3"/>
        <v>0.085537131063145561</v>
      </c>
      <c r="Q37" s="28">
        <f t="shared" si="3"/>
        <v>0.12039624959672819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 t="shared" si="4" ref="C38:Q38">COUNT(C9:C32)+1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b69841-83cc-4c3a-b437-ab9b1c1d96e9}">
  <sheetPr codeName=""/>
  <dimension ref="A1:U119"/>
  <sheetViews>
    <sheetView zoomScale="85" zoomScaleNormal="85" workbookViewId="0" topLeftCell="A1">
      <pane xSplit="1" ySplit="8" topLeftCell="B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422</v>
      </c>
      <c r="B9" s="56">
        <v>1.73</v>
      </c>
      <c r="C9" s="56">
        <v>8.99</v>
      </c>
      <c r="D9" s="56">
        <v>10.51</v>
      </c>
      <c r="E9" s="56">
        <v>1.59</v>
      </c>
      <c r="F9" s="56">
        <v>4.12</v>
      </c>
      <c r="G9" s="56">
        <v>69.22</v>
      </c>
      <c r="H9" s="56">
        <v>28.55</v>
      </c>
      <c r="I9" s="56">
        <v>5.98</v>
      </c>
      <c r="J9" s="56">
        <v>0.79</v>
      </c>
      <c r="K9" s="56">
        <v>353.59</v>
      </c>
      <c r="L9" s="56">
        <v>26.53</v>
      </c>
      <c r="M9" s="56">
        <v>54.70</v>
      </c>
      <c r="N9" s="56">
        <v>43.80</v>
      </c>
      <c r="O9" s="56">
        <v>0</v>
      </c>
      <c r="P9" s="56">
        <v>0.53</v>
      </c>
      <c r="Q9" s="56">
        <v>9.7799999999999994</v>
      </c>
      <c r="R9" s="43"/>
      <c r="S9" s="43"/>
      <c r="T9" s="43"/>
      <c r="U9" s="43"/>
    </row>
    <row r="10" spans="1:21" s="11" customFormat="1" ht="15">
      <c r="A10" s="55" t="s">
        <v>423</v>
      </c>
      <c r="B10" s="56">
        <v>1.88</v>
      </c>
      <c r="C10" s="56">
        <v>8.76</v>
      </c>
      <c r="D10" s="56">
        <v>10.54</v>
      </c>
      <c r="E10" s="56">
        <v>1.42</v>
      </c>
      <c r="F10" s="56">
        <v>4.25</v>
      </c>
      <c r="G10" s="56">
        <v>78.25</v>
      </c>
      <c r="H10" s="56">
        <v>29.80</v>
      </c>
      <c r="I10" s="56">
        <v>6.22</v>
      </c>
      <c r="J10" s="56">
        <v>0.27</v>
      </c>
      <c r="K10" s="56">
        <v>233.99</v>
      </c>
      <c r="L10" s="56">
        <v>26.13</v>
      </c>
      <c r="M10" s="56">
        <v>60.18</v>
      </c>
      <c r="N10" s="56">
        <v>44.10</v>
      </c>
      <c r="O10" s="56">
        <v>0</v>
      </c>
      <c r="P10" s="56">
        <v>0.56000000000000005</v>
      </c>
      <c r="Q10" s="56">
        <v>9.74</v>
      </c>
      <c r="R10" s="43"/>
      <c r="S10" s="43"/>
      <c r="T10" s="43"/>
      <c r="U10" s="43"/>
    </row>
    <row r="11" spans="1:21" s="11" customFormat="1" ht="15">
      <c r="A11" s="55" t="s">
        <v>424</v>
      </c>
      <c r="B11" s="56">
        <v>2.2400000000000002</v>
      </c>
      <c r="C11" s="56">
        <v>9.4700000000000006</v>
      </c>
      <c r="D11" s="56">
        <v>11.61</v>
      </c>
      <c r="E11" s="56">
        <v>1.41</v>
      </c>
      <c r="F11" s="56">
        <v>4.4400000000000004</v>
      </c>
      <c r="G11" s="56">
        <v>80.28</v>
      </c>
      <c r="H11" s="56">
        <v>30.59</v>
      </c>
      <c r="I11" s="56">
        <v>6.39</v>
      </c>
      <c r="J11" s="56">
        <v>0.37</v>
      </c>
      <c r="K11" s="56">
        <v>228.56</v>
      </c>
      <c r="L11" s="56">
        <v>25.91</v>
      </c>
      <c r="M11" s="56">
        <v>64.73</v>
      </c>
      <c r="N11" s="56">
        <v>46.20</v>
      </c>
      <c r="O11" s="56">
        <v>0</v>
      </c>
      <c r="P11" s="56">
        <v>0.55000000000000004</v>
      </c>
      <c r="Q11" s="56">
        <v>9.69</v>
      </c>
      <c r="R11" s="43"/>
      <c r="S11" s="43"/>
      <c r="T11" s="43"/>
      <c r="U11" s="43"/>
    </row>
    <row r="12" spans="1:21" s="11" customFormat="1" ht="15">
      <c r="A12" s="55" t="s">
        <v>425</v>
      </c>
      <c r="B12" s="56">
        <v>2.2599999999999998</v>
      </c>
      <c r="C12" s="56">
        <v>9.0500000000000007</v>
      </c>
      <c r="D12" s="56">
        <v>11.17</v>
      </c>
      <c r="E12" s="56">
        <v>1.69</v>
      </c>
      <c r="F12" s="56">
        <v>4.3499999999999996</v>
      </c>
      <c r="G12" s="56">
        <v>80.47</v>
      </c>
      <c r="H12" s="56">
        <v>28.87</v>
      </c>
      <c r="I12" s="56">
        <v>6.21</v>
      </c>
      <c r="J12" s="56">
        <v>0.14000000000000001</v>
      </c>
      <c r="K12" s="56">
        <v>322.82</v>
      </c>
      <c r="L12" s="56">
        <v>25.68</v>
      </c>
      <c r="M12" s="56">
        <v>67.010000000000005</v>
      </c>
      <c r="N12" s="56">
        <v>52.40</v>
      </c>
      <c r="O12" s="56">
        <v>0</v>
      </c>
      <c r="P12" s="56">
        <v>0.53</v>
      </c>
      <c r="Q12" s="56">
        <v>9.7100000000000009</v>
      </c>
      <c r="R12" s="43"/>
      <c r="S12" s="43"/>
      <c r="T12" s="43"/>
      <c r="U12" s="43"/>
    </row>
    <row r="13" spans="1:21" s="11" customFormat="1" ht="15">
      <c r="A13" s="55" t="s">
        <v>426</v>
      </c>
      <c r="B13" s="56">
        <v>3.13</v>
      </c>
      <c r="C13" s="56">
        <v>6.23</v>
      </c>
      <c r="D13" s="56">
        <v>9.0399999999999991</v>
      </c>
      <c r="E13" s="56">
        <v>0.44</v>
      </c>
      <c r="F13" s="56">
        <v>3.58</v>
      </c>
      <c r="G13" s="56">
        <v>87.84</v>
      </c>
      <c r="H13" s="56">
        <v>35.67</v>
      </c>
      <c r="I13" s="56">
        <v>6.01</v>
      </c>
      <c r="J13" s="56">
        <v>0.28000000000000003</v>
      </c>
      <c r="K13" s="56">
        <v>358.11</v>
      </c>
      <c r="L13" s="56">
        <v>25.76</v>
      </c>
      <c r="M13" s="56">
        <v>66.25</v>
      </c>
      <c r="N13" s="56">
        <v>63.10</v>
      </c>
      <c r="O13" s="56">
        <v>0</v>
      </c>
      <c r="P13" s="56">
        <v>0.55000000000000004</v>
      </c>
      <c r="Q13" s="56">
        <v>9.81</v>
      </c>
      <c r="R13" s="43"/>
      <c r="S13" s="43"/>
      <c r="T13" s="43"/>
      <c r="U13" s="43"/>
    </row>
    <row r="14" spans="1:21" s="11" customFormat="1" ht="15">
      <c r="A14" s="55" t="s">
        <v>427</v>
      </c>
      <c r="B14" s="56">
        <v>3.39</v>
      </c>
      <c r="C14" s="56">
        <v>7.69</v>
      </c>
      <c r="D14" s="56">
        <v>10.98</v>
      </c>
      <c r="E14" s="56">
        <v>0.65</v>
      </c>
      <c r="F14" s="56">
        <v>3.15</v>
      </c>
      <c r="G14" s="56">
        <v>109.41</v>
      </c>
      <c r="H14" s="56">
        <v>41.85</v>
      </c>
      <c r="I14" s="56">
        <v>7.23</v>
      </c>
      <c r="J14" s="56">
        <v>0.61</v>
      </c>
      <c r="K14" s="56">
        <v>357.21</v>
      </c>
      <c r="L14" s="56">
        <v>25.70</v>
      </c>
      <c r="M14" s="56">
        <v>58.70</v>
      </c>
      <c r="N14" s="56">
        <v>78.099999999999994</v>
      </c>
      <c r="O14" s="56">
        <v>0</v>
      </c>
      <c r="P14" s="56">
        <v>0.59</v>
      </c>
      <c r="Q14" s="56">
        <v>9.84</v>
      </c>
      <c r="R14" s="43"/>
      <c r="S14" s="43"/>
      <c r="T14" s="43"/>
      <c r="U14" s="43"/>
    </row>
    <row r="15" spans="1:21" s="11" customFormat="1" ht="15">
      <c r="A15" s="55" t="s">
        <v>428</v>
      </c>
      <c r="B15" s="56">
        <v>3.54</v>
      </c>
      <c r="C15" s="56">
        <v>8.81</v>
      </c>
      <c r="D15" s="56">
        <v>12.25</v>
      </c>
      <c r="E15" s="56">
        <v>0.55000000000000004</v>
      </c>
      <c r="F15" s="56">
        <v>3.68</v>
      </c>
      <c r="G15" s="56">
        <v>116.21</v>
      </c>
      <c r="H15" s="56">
        <v>42.99</v>
      </c>
      <c r="I15" s="56">
        <v>8.10</v>
      </c>
      <c r="J15" s="56">
        <v>0.40</v>
      </c>
      <c r="K15" s="56">
        <v>90.30</v>
      </c>
      <c r="L15" s="56">
        <v>26.29</v>
      </c>
      <c r="M15" s="56">
        <v>59.33</v>
      </c>
      <c r="N15" s="56">
        <v>137.90</v>
      </c>
      <c r="O15" s="56">
        <v>0</v>
      </c>
      <c r="P15" s="56">
        <v>0.63</v>
      </c>
      <c r="Q15" s="56">
        <v>9.8800000000000008</v>
      </c>
      <c r="R15" s="43"/>
      <c r="S15" s="43"/>
      <c r="T15" s="43"/>
      <c r="U15" s="43"/>
    </row>
    <row r="16" spans="1:21" s="11" customFormat="1" ht="15">
      <c r="A16" s="55" t="s">
        <v>429</v>
      </c>
      <c r="B16" s="56">
        <v>3.29</v>
      </c>
      <c r="C16" s="56">
        <v>8.0399999999999991</v>
      </c>
      <c r="D16" s="56">
        <v>11.23</v>
      </c>
      <c r="E16" s="56">
        <v>0.97</v>
      </c>
      <c r="F16" s="56">
        <v>3.72</v>
      </c>
      <c r="G16" s="56">
        <v>117.17</v>
      </c>
      <c r="H16" s="56">
        <v>42.93</v>
      </c>
      <c r="I16" s="56">
        <v>7.83</v>
      </c>
      <c r="J16" s="56">
        <v>0.80</v>
      </c>
      <c r="K16" s="56">
        <v>97.86</v>
      </c>
      <c r="L16" s="56">
        <v>27.48</v>
      </c>
      <c r="M16" s="56">
        <v>54.82</v>
      </c>
      <c r="N16" s="56">
        <v>270.60000000000002</v>
      </c>
      <c r="O16" s="56">
        <v>0</v>
      </c>
      <c r="P16" s="56">
        <v>0.57999999999999996</v>
      </c>
      <c r="Q16" s="56">
        <v>9.92</v>
      </c>
      <c r="R16" s="43"/>
      <c r="S16" s="43"/>
      <c r="T16" s="43"/>
      <c r="U16" s="43"/>
    </row>
    <row r="17" spans="1:21" s="11" customFormat="1" ht="15">
      <c r="A17" s="55" t="s">
        <v>430</v>
      </c>
      <c r="B17" s="56">
        <v>2.36</v>
      </c>
      <c r="C17" s="56">
        <v>7.11</v>
      </c>
      <c r="D17" s="56">
        <v>9.32</v>
      </c>
      <c r="E17" s="56">
        <v>1.1100000000000001</v>
      </c>
      <c r="F17" s="56">
        <v>3.90</v>
      </c>
      <c r="G17" s="56">
        <v>76.430000000000007</v>
      </c>
      <c r="H17" s="56">
        <v>38.40</v>
      </c>
      <c r="I17" s="56">
        <v>8.08</v>
      </c>
      <c r="J17" s="56">
        <v>1.40</v>
      </c>
      <c r="K17" s="56">
        <v>98.42</v>
      </c>
      <c r="L17" s="56">
        <v>28.22</v>
      </c>
      <c r="M17" s="56">
        <v>53.26</v>
      </c>
      <c r="N17" s="56">
        <v>384.60</v>
      </c>
      <c r="O17" s="56">
        <v>0</v>
      </c>
      <c r="P17" s="56">
        <v>0.54</v>
      </c>
      <c r="Q17" s="56">
        <v>9.83</v>
      </c>
      <c r="R17" s="43"/>
      <c r="S17" s="43"/>
      <c r="T17" s="43"/>
      <c r="U17" s="43"/>
    </row>
    <row r="18" spans="1:21" s="11" customFormat="1" ht="15">
      <c r="A18" s="55" t="s">
        <v>431</v>
      </c>
      <c r="B18" s="56">
        <v>1.80</v>
      </c>
      <c r="C18" s="56">
        <v>6.25</v>
      </c>
      <c r="D18" s="56">
        <v>7.95</v>
      </c>
      <c r="E18" s="56">
        <v>1.05</v>
      </c>
      <c r="F18" s="56">
        <v>4.33</v>
      </c>
      <c r="G18" s="56">
        <v>65.47</v>
      </c>
      <c r="H18" s="56">
        <v>31.55</v>
      </c>
      <c r="I18" s="56">
        <v>8.82</v>
      </c>
      <c r="J18" s="56">
        <v>0.92</v>
      </c>
      <c r="K18" s="56">
        <v>107.49</v>
      </c>
      <c r="L18" s="56">
        <v>31.59</v>
      </c>
      <c r="M18" s="56">
        <v>50.97</v>
      </c>
      <c r="N18" s="56">
        <v>771.80</v>
      </c>
      <c r="O18" s="56">
        <v>0</v>
      </c>
      <c r="P18" s="56">
        <v>0.49</v>
      </c>
      <c r="Q18" s="56">
        <v>9.8000000000000007</v>
      </c>
      <c r="R18" s="43"/>
      <c r="S18" s="43"/>
      <c r="T18" s="43"/>
      <c r="U18" s="43"/>
    </row>
    <row r="19" spans="1:21" s="11" customFormat="1" ht="15">
      <c r="A19" s="55" t="s">
        <v>432</v>
      </c>
      <c r="B19" s="56">
        <v>1.59</v>
      </c>
      <c r="C19" s="56">
        <v>7.35</v>
      </c>
      <c r="D19" s="56">
        <v>8.4499999999999993</v>
      </c>
      <c r="E19" s="56">
        <v>1.64</v>
      </c>
      <c r="F19" s="56">
        <v>13.43</v>
      </c>
      <c r="G19" s="56">
        <v>55.66</v>
      </c>
      <c r="H19" s="56">
        <v>29.96</v>
      </c>
      <c r="I19" s="56">
        <v>8.69</v>
      </c>
      <c r="J19" s="56">
        <v>0.49</v>
      </c>
      <c r="K19" s="56">
        <v>263.31</v>
      </c>
      <c r="L19" s="56">
        <v>35.43</v>
      </c>
      <c r="M19" s="56">
        <v>39.86</v>
      </c>
      <c r="N19" s="56">
        <v>866.30</v>
      </c>
      <c r="O19" s="56">
        <v>0</v>
      </c>
      <c r="P19" s="56">
        <v>0.49</v>
      </c>
      <c r="Q19" s="56">
        <v>9.7200000000000006</v>
      </c>
      <c r="R19" s="43"/>
      <c r="S19" s="43"/>
      <c r="T19" s="43"/>
      <c r="U19" s="43"/>
    </row>
    <row r="20" spans="1:21" s="11" customFormat="1" ht="15">
      <c r="A20" s="55" t="s">
        <v>433</v>
      </c>
      <c r="B20" s="56">
        <v>1.40</v>
      </c>
      <c r="C20" s="56">
        <v>7.74</v>
      </c>
      <c r="D20" s="56">
        <v>8.90</v>
      </c>
      <c r="E20" s="56">
        <v>1.28</v>
      </c>
      <c r="F20" s="56">
        <v>7.93</v>
      </c>
      <c r="G20" s="56">
        <v>50.94</v>
      </c>
      <c r="H20" s="56">
        <v>25.59</v>
      </c>
      <c r="I20" s="56">
        <v>6.89</v>
      </c>
      <c r="J20" s="56">
        <v>0.35</v>
      </c>
      <c r="K20" s="56">
        <v>339.53</v>
      </c>
      <c r="L20" s="56">
        <v>34.840000000000003</v>
      </c>
      <c r="M20" s="56">
        <v>35.76</v>
      </c>
      <c r="N20" s="56">
        <v>907.90</v>
      </c>
      <c r="O20" s="56">
        <v>0</v>
      </c>
      <c r="P20" s="56">
        <v>0.45</v>
      </c>
      <c r="Q20" s="56">
        <v>9.61</v>
      </c>
      <c r="R20" s="43"/>
      <c r="S20" s="43"/>
      <c r="T20" s="43"/>
      <c r="U20" s="43"/>
    </row>
    <row r="21" spans="1:21" s="11" customFormat="1" ht="15">
      <c r="A21" s="55" t="s">
        <v>434</v>
      </c>
      <c r="B21" s="56">
        <v>1.52</v>
      </c>
      <c r="C21" s="56">
        <v>7.65</v>
      </c>
      <c r="D21" s="56">
        <v>8.84</v>
      </c>
      <c r="E21" s="56">
        <v>1.23</v>
      </c>
      <c r="F21" s="56">
        <v>12.86</v>
      </c>
      <c r="G21" s="56">
        <v>58.41</v>
      </c>
      <c r="H21" s="56">
        <v>23.47</v>
      </c>
      <c r="I21" s="56">
        <v>5.54</v>
      </c>
      <c r="J21" s="56">
        <v>1.08</v>
      </c>
      <c r="K21" s="56">
        <v>338.43</v>
      </c>
      <c r="L21" s="56">
        <v>37.15</v>
      </c>
      <c r="M21" s="56">
        <v>33.880000000000003</v>
      </c>
      <c r="N21" s="56">
        <v>665.90</v>
      </c>
      <c r="O21" s="56">
        <v>0</v>
      </c>
      <c r="P21" s="56">
        <v>0.40</v>
      </c>
      <c r="Q21" s="56">
        <v>9.5500000000000007</v>
      </c>
      <c r="R21" s="43"/>
      <c r="S21" s="43"/>
      <c r="T21" s="43"/>
      <c r="U21" s="43"/>
    </row>
    <row r="22" spans="1:21" s="11" customFormat="1" ht="15">
      <c r="A22" s="55" t="s">
        <v>435</v>
      </c>
      <c r="B22" s="56">
        <v>1.53</v>
      </c>
      <c r="C22" s="56">
        <v>14.59</v>
      </c>
      <c r="D22" s="56">
        <v>15.85</v>
      </c>
      <c r="E22" s="56">
        <v>2.10</v>
      </c>
      <c r="F22" s="56">
        <v>14.27</v>
      </c>
      <c r="G22" s="56">
        <v>39.78</v>
      </c>
      <c r="H22" s="56">
        <v>21.14</v>
      </c>
      <c r="I22" s="56">
        <v>5.01</v>
      </c>
      <c r="J22" s="56">
        <v>1.28</v>
      </c>
      <c r="K22" s="56">
        <v>345.78</v>
      </c>
      <c r="L22" s="56">
        <v>39.450000000000003</v>
      </c>
      <c r="M22" s="56">
        <v>31.34</v>
      </c>
      <c r="N22" s="56">
        <v>782.20</v>
      </c>
      <c r="O22" s="56">
        <v>0</v>
      </c>
      <c r="P22" s="56">
        <v>0.45</v>
      </c>
      <c r="Q22" s="56">
        <v>9.7200000000000006</v>
      </c>
      <c r="R22" s="43"/>
      <c r="S22" s="43"/>
      <c r="T22" s="43"/>
      <c r="U22" s="43"/>
    </row>
    <row r="23" spans="1:21" s="11" customFormat="1" ht="15">
      <c r="A23" s="55" t="s">
        <v>436</v>
      </c>
      <c r="B23" s="56">
        <v>1.31</v>
      </c>
      <c r="C23" s="56">
        <v>10.74</v>
      </c>
      <c r="D23" s="56">
        <v>11.89</v>
      </c>
      <c r="E23" s="56">
        <v>1</v>
      </c>
      <c r="F23" s="56">
        <v>8.6999999999999993</v>
      </c>
      <c r="G23" s="56">
        <v>40.60</v>
      </c>
      <c r="H23" s="56">
        <v>21.32</v>
      </c>
      <c r="I23" s="56">
        <v>5.28</v>
      </c>
      <c r="J23" s="56">
        <v>0.93</v>
      </c>
      <c r="K23" s="56">
        <v>140.47</v>
      </c>
      <c r="L23" s="56">
        <v>35.67</v>
      </c>
      <c r="M23" s="56">
        <v>32.83</v>
      </c>
      <c r="N23" s="56">
        <v>554.60</v>
      </c>
      <c r="O23" s="56">
        <v>0</v>
      </c>
      <c r="P23" s="56">
        <v>0.40</v>
      </c>
      <c r="Q23" s="56">
        <v>9.66</v>
      </c>
      <c r="R23" s="43"/>
      <c r="S23" s="43"/>
      <c r="T23" s="43"/>
      <c r="U23" s="43"/>
    </row>
    <row r="24" spans="1:21" s="11" customFormat="1" ht="15">
      <c r="A24" s="55" t="s">
        <v>437</v>
      </c>
      <c r="B24" s="56">
        <v>1.42</v>
      </c>
      <c r="C24" s="56">
        <v>7.67</v>
      </c>
      <c r="D24" s="56">
        <v>8.98</v>
      </c>
      <c r="E24" s="56">
        <v>1.19</v>
      </c>
      <c r="F24" s="56">
        <v>8.2799999999999994</v>
      </c>
      <c r="G24" s="56">
        <v>34.880000000000003</v>
      </c>
      <c r="H24" s="56">
        <v>19.649999999999999</v>
      </c>
      <c r="I24" s="56">
        <v>6.17</v>
      </c>
      <c r="J24" s="56">
        <v>1.89</v>
      </c>
      <c r="K24" s="56">
        <v>357.66</v>
      </c>
      <c r="L24" s="56">
        <v>34.700000000000003</v>
      </c>
      <c r="M24" s="56">
        <v>32.54</v>
      </c>
      <c r="N24" s="56">
        <v>274.60000000000002</v>
      </c>
      <c r="O24" s="56">
        <v>0</v>
      </c>
      <c r="P24" s="56">
        <v>0.35</v>
      </c>
      <c r="Q24" s="56">
        <v>9.57</v>
      </c>
      <c r="R24" s="43"/>
      <c r="S24" s="43"/>
      <c r="T24" s="43"/>
      <c r="U24" s="43"/>
    </row>
    <row r="25" spans="1:21" s="11" customFormat="1" ht="15">
      <c r="A25" s="55" t="s">
        <v>438</v>
      </c>
      <c r="B25" s="56">
        <v>1.76</v>
      </c>
      <c r="C25" s="56">
        <v>12.80</v>
      </c>
      <c r="D25" s="56">
        <v>9.5</v>
      </c>
      <c r="E25" s="56">
        <v>0.92</v>
      </c>
      <c r="F25" s="56">
        <v>9.94</v>
      </c>
      <c r="G25" s="56">
        <v>44.74</v>
      </c>
      <c r="H25" s="56">
        <v>18.79</v>
      </c>
      <c r="I25" s="56">
        <v>6.09</v>
      </c>
      <c r="J25" s="56">
        <v>1.29</v>
      </c>
      <c r="K25" s="56">
        <v>353.36</v>
      </c>
      <c r="L25" s="56">
        <v>34.020000000000003</v>
      </c>
      <c r="M25" s="56">
        <v>34.92</v>
      </c>
      <c r="N25" s="56">
        <v>169</v>
      </c>
      <c r="O25" s="56">
        <v>0</v>
      </c>
      <c r="P25" s="56">
        <v>0.48</v>
      </c>
      <c r="Q25" s="56">
        <v>9.56</v>
      </c>
      <c r="R25" s="43"/>
      <c r="S25" s="43"/>
      <c r="T25" s="43"/>
      <c r="U25" s="43"/>
    </row>
    <row r="26" spans="1:21" s="11" customFormat="1" ht="15">
      <c r="A26" s="55" t="s">
        <v>439</v>
      </c>
      <c r="B26" s="56">
        <v>1.75</v>
      </c>
      <c r="C26" s="56">
        <v>15.64</v>
      </c>
      <c r="D26" s="56">
        <v>9.35</v>
      </c>
      <c r="E26" s="56">
        <v>0.95</v>
      </c>
      <c r="F26" s="56">
        <v>7.71</v>
      </c>
      <c r="G26" s="56">
        <v>55.15</v>
      </c>
      <c r="H26" s="56">
        <v>21.06</v>
      </c>
      <c r="I26" s="56">
        <v>5.95</v>
      </c>
      <c r="J26" s="56">
        <v>0.67</v>
      </c>
      <c r="K26" s="56">
        <v>348</v>
      </c>
      <c r="L26" s="56">
        <v>33.07</v>
      </c>
      <c r="M26" s="56">
        <v>42.41</v>
      </c>
      <c r="N26" s="56">
        <v>99.70</v>
      </c>
      <c r="O26" s="56">
        <v>0</v>
      </c>
      <c r="P26" s="56">
        <v>0.62</v>
      </c>
      <c r="Q26" s="56">
        <v>9.67</v>
      </c>
      <c r="R26" s="43"/>
      <c r="S26" s="43"/>
      <c r="T26" s="43"/>
      <c r="U26" s="43"/>
    </row>
    <row r="27" spans="1:21" s="11" customFormat="1" ht="15">
      <c r="A27" s="55" t="s">
        <v>440</v>
      </c>
      <c r="B27" s="56">
        <v>1.99</v>
      </c>
      <c r="C27" s="56">
        <v>12.08</v>
      </c>
      <c r="D27" s="56">
        <v>7.71</v>
      </c>
      <c r="E27" s="56">
        <v>0.23</v>
      </c>
      <c r="F27" s="56">
        <v>3.89</v>
      </c>
      <c r="G27" s="56">
        <v>51.27</v>
      </c>
      <c r="H27" s="56">
        <v>22.17</v>
      </c>
      <c r="I27" s="56">
        <v>6.45</v>
      </c>
      <c r="J27" s="56">
        <v>0.26</v>
      </c>
      <c r="K27" s="56">
        <v>353.71</v>
      </c>
      <c r="L27" s="56">
        <v>31.48</v>
      </c>
      <c r="M27" s="56">
        <v>39.65</v>
      </c>
      <c r="N27" s="56">
        <v>48.30</v>
      </c>
      <c r="O27" s="56">
        <v>0</v>
      </c>
      <c r="P27" s="56">
        <v>0.66</v>
      </c>
      <c r="Q27" s="56">
        <v>9.69</v>
      </c>
      <c r="R27" s="43"/>
      <c r="S27" s="43"/>
      <c r="T27" s="43"/>
      <c r="U27" s="43"/>
    </row>
    <row r="28" spans="1:21" s="11" customFormat="1" ht="15">
      <c r="A28" s="55" t="s">
        <v>441</v>
      </c>
      <c r="B28" s="56">
        <v>2.02</v>
      </c>
      <c r="C28" s="56">
        <v>9.17</v>
      </c>
      <c r="D28" s="56">
        <v>6.32</v>
      </c>
      <c r="E28" s="56">
        <v>1.54</v>
      </c>
      <c r="F28" s="56">
        <v>3.98</v>
      </c>
      <c r="G28" s="56">
        <v>54.02</v>
      </c>
      <c r="H28" s="56">
        <v>22.5</v>
      </c>
      <c r="I28" s="56">
        <v>6.73</v>
      </c>
      <c r="J28" s="56">
        <v>0.15</v>
      </c>
      <c r="K28" s="56">
        <v>317.60000000000002</v>
      </c>
      <c r="L28" s="56">
        <v>31.05</v>
      </c>
      <c r="M28" s="56">
        <v>42.36</v>
      </c>
      <c r="N28" s="56">
        <v>40.5</v>
      </c>
      <c r="O28" s="56">
        <v>0</v>
      </c>
      <c r="P28" s="56">
        <v>0.69</v>
      </c>
      <c r="Q28" s="56">
        <v>9.75</v>
      </c>
      <c r="R28" s="43"/>
      <c r="S28" s="43"/>
      <c r="T28" s="43"/>
      <c r="U28" s="43"/>
    </row>
    <row r="29" spans="1:21" s="11" customFormat="1" ht="15">
      <c r="A29" s="55" t="s">
        <v>442</v>
      </c>
      <c r="B29" s="56">
        <v>2.0499999999999998</v>
      </c>
      <c r="C29" s="56">
        <v>9.3699999999999992</v>
      </c>
      <c r="D29" s="56">
        <v>6.38</v>
      </c>
      <c r="E29" s="56">
        <v>2.57</v>
      </c>
      <c r="F29" s="56">
        <v>3.58</v>
      </c>
      <c r="G29" s="56">
        <v>56.73</v>
      </c>
      <c r="H29" s="56">
        <v>22.54</v>
      </c>
      <c r="I29" s="56">
        <v>6.73</v>
      </c>
      <c r="J29" s="56">
        <v>0.30</v>
      </c>
      <c r="K29" s="56">
        <v>272.30</v>
      </c>
      <c r="L29" s="56">
        <v>30.43</v>
      </c>
      <c r="M29" s="56">
        <v>45.75</v>
      </c>
      <c r="N29" s="56">
        <v>46.30</v>
      </c>
      <c r="O29" s="56">
        <v>0</v>
      </c>
      <c r="P29" s="56">
        <v>0.67</v>
      </c>
      <c r="Q29" s="56">
        <v>9.7799999999999994</v>
      </c>
      <c r="R29" s="43"/>
      <c r="S29" s="43"/>
      <c r="T29" s="43"/>
      <c r="U29" s="43"/>
    </row>
    <row r="30" spans="1:21" s="11" customFormat="1" ht="15">
      <c r="A30" s="55" t="s">
        <v>443</v>
      </c>
      <c r="B30" s="56">
        <v>2.27</v>
      </c>
      <c r="C30" s="56">
        <v>8.4499999999999993</v>
      </c>
      <c r="D30" s="56">
        <v>6.15</v>
      </c>
      <c r="E30" s="56">
        <v>2.37</v>
      </c>
      <c r="F30" s="56">
        <v>3.36</v>
      </c>
      <c r="G30" s="56">
        <v>61.32</v>
      </c>
      <c r="H30" s="56">
        <v>21.77</v>
      </c>
      <c r="I30" s="56">
        <v>6.52</v>
      </c>
      <c r="J30" s="56">
        <v>0.30</v>
      </c>
      <c r="K30" s="56">
        <v>222.45</v>
      </c>
      <c r="L30" s="56">
        <v>29.91</v>
      </c>
      <c r="M30" s="56">
        <v>46.59</v>
      </c>
      <c r="N30" s="56">
        <v>52.40</v>
      </c>
      <c r="O30" s="56">
        <v>0</v>
      </c>
      <c r="P30" s="56">
        <v>0.69</v>
      </c>
      <c r="Q30" s="56">
        <v>9.60</v>
      </c>
      <c r="R30" s="43"/>
      <c r="S30" s="43"/>
      <c r="T30" s="43"/>
      <c r="U30" s="43"/>
    </row>
    <row r="31" spans="1:21" s="11" customFormat="1" ht="15">
      <c r="A31" s="55" t="s">
        <v>444</v>
      </c>
      <c r="B31" s="56">
        <v>2.85</v>
      </c>
      <c r="C31" s="56">
        <v>8.26</v>
      </c>
      <c r="D31" s="56">
        <v>6.10</v>
      </c>
      <c r="E31" s="56">
        <v>2.25</v>
      </c>
      <c r="F31" s="56">
        <v>3.43</v>
      </c>
      <c r="G31" s="56">
        <v>62.62</v>
      </c>
      <c r="H31" s="56">
        <v>23.55</v>
      </c>
      <c r="I31" s="56">
        <v>6.16</v>
      </c>
      <c r="J31" s="56">
        <v>0.48</v>
      </c>
      <c r="K31" s="56">
        <v>320.95</v>
      </c>
      <c r="L31" s="56">
        <v>29.63</v>
      </c>
      <c r="M31" s="56">
        <v>51.87</v>
      </c>
      <c r="N31" s="56">
        <v>85.80</v>
      </c>
      <c r="O31" s="56">
        <v>0</v>
      </c>
      <c r="P31" s="56">
        <v>0.72</v>
      </c>
      <c r="Q31" s="56">
        <v>9.6199999999999992</v>
      </c>
      <c r="R31" s="43"/>
      <c r="S31" s="43"/>
      <c r="T31" s="43"/>
      <c r="U31" s="43"/>
    </row>
    <row r="32" spans="1:21" s="11" customFormat="1" ht="15">
      <c r="A32" s="55" t="s">
        <v>445</v>
      </c>
      <c r="B32" s="56">
        <v>2.75</v>
      </c>
      <c r="C32" s="56">
        <v>6.75</v>
      </c>
      <c r="D32" s="56">
        <v>5.65</v>
      </c>
      <c r="E32" s="56">
        <v>2.16</v>
      </c>
      <c r="F32" s="56">
        <v>3.55</v>
      </c>
      <c r="G32" s="56">
        <v>61.20</v>
      </c>
      <c r="H32" s="56">
        <v>23.99</v>
      </c>
      <c r="I32" s="56">
        <v>6.22</v>
      </c>
      <c r="J32" s="56">
        <v>0.28999999999999998</v>
      </c>
      <c r="K32" s="56">
        <v>198.27</v>
      </c>
      <c r="L32" s="56">
        <v>29.52</v>
      </c>
      <c r="M32" s="56">
        <v>50.58</v>
      </c>
      <c r="N32" s="56">
        <v>75.20</v>
      </c>
      <c r="O32" s="56">
        <v>0</v>
      </c>
      <c r="P32" s="56">
        <v>0.67</v>
      </c>
      <c r="Q32" s="56">
        <v>9.6300000000000008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1.3100000000000001</v>
      </c>
      <c r="C34" s="28">
        <f t="shared" si="0"/>
        <v>6.2300000000000004</v>
      </c>
      <c r="D34" s="28">
        <f t="shared" si="0"/>
        <v>5.6500000000000004</v>
      </c>
      <c r="E34" s="28">
        <f t="shared" si="0"/>
        <v>0.23000000000000001</v>
      </c>
      <c r="F34" s="28">
        <f t="shared" si="0"/>
        <v>3.1499999999999999</v>
      </c>
      <c r="G34" s="28">
        <f t="shared" si="0"/>
        <v>34.880000000000003</v>
      </c>
      <c r="H34" s="28">
        <f t="shared" si="0"/>
        <v>18.789999999999999</v>
      </c>
      <c r="I34" s="28">
        <f t="shared" si="0"/>
        <v>5.0099999999999998</v>
      </c>
      <c r="J34" s="28">
        <f t="shared" si="0"/>
        <v>0.14000000000000001</v>
      </c>
      <c r="K34" s="28">
        <f t="shared" si="0"/>
        <v>90.299999999999997</v>
      </c>
      <c r="L34" s="28">
        <f t="shared" si="0"/>
        <v>25.68</v>
      </c>
      <c r="M34" s="28">
        <f t="shared" si="0"/>
        <v>31.34</v>
      </c>
      <c r="N34" s="28">
        <f t="shared" si="0"/>
        <v>40.5</v>
      </c>
      <c r="O34" s="28">
        <f t="shared" si="0"/>
        <v>0</v>
      </c>
      <c r="P34" s="28">
        <f t="shared" si="0"/>
        <v>0.34999999999999998</v>
      </c>
      <c r="Q34" s="28">
        <f t="shared" si="0"/>
        <v>9.5500000000000007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3.54</v>
      </c>
      <c r="C35" s="29">
        <f t="shared" si="1"/>
        <v>15.640000000000001</v>
      </c>
      <c r="D35" s="29">
        <f t="shared" si="1"/>
        <v>15.85</v>
      </c>
      <c r="E35" s="29">
        <f t="shared" si="1"/>
        <v>2.5699999999999998</v>
      </c>
      <c r="F35" s="29">
        <f t="shared" si="1"/>
        <v>14.27</v>
      </c>
      <c r="G35" s="29">
        <f t="shared" si="1"/>
        <v>117.17</v>
      </c>
      <c r="H35" s="29">
        <f t="shared" si="1"/>
        <v>42.990000000000002</v>
      </c>
      <c r="I35" s="29">
        <f t="shared" si="1"/>
        <v>8.8200000000000003</v>
      </c>
      <c r="J35" s="29">
        <f t="shared" si="1"/>
        <v>1.8899999999999999</v>
      </c>
      <c r="K35" s="29">
        <f t="shared" si="1"/>
        <v>358.11000000000001</v>
      </c>
      <c r="L35" s="29">
        <f t="shared" si="1"/>
        <v>39.450000000000003</v>
      </c>
      <c r="M35" s="29">
        <f t="shared" si="1"/>
        <v>67.010000000000005</v>
      </c>
      <c r="N35" s="29">
        <f t="shared" si="1"/>
        <v>907.89999999999998</v>
      </c>
      <c r="O35" s="29">
        <f t="shared" si="1"/>
        <v>0</v>
      </c>
      <c r="P35" s="29">
        <f t="shared" si="1"/>
        <v>0.71999999999999997</v>
      </c>
      <c r="Q35" s="29">
        <f t="shared" si="1"/>
        <v>9.9199999999999999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2.1595833333333334</v>
      </c>
      <c r="C36" s="28">
        <f t="shared" si="2"/>
        <v>9.110833333333332</v>
      </c>
      <c r="D36" s="28">
        <f t="shared" si="2"/>
        <v>9.3612500000000001</v>
      </c>
      <c r="E36" s="28">
        <f t="shared" si="2"/>
        <v>1.3462500000000002</v>
      </c>
      <c r="F36" s="28">
        <f t="shared" si="2"/>
        <v>6.0179166666666681</v>
      </c>
      <c r="G36" s="28">
        <f t="shared" si="2"/>
        <v>67.002916666666664</v>
      </c>
      <c r="H36" s="28">
        <f t="shared" si="2"/>
        <v>27.862499999999986</v>
      </c>
      <c r="I36" s="28">
        <f t="shared" si="2"/>
        <v>6.6375000000000002</v>
      </c>
      <c r="J36" s="28">
        <f t="shared" si="2"/>
        <v>0.65583333333333338</v>
      </c>
      <c r="K36" s="28">
        <f t="shared" si="2"/>
        <v>267.50708333333336</v>
      </c>
      <c r="L36" s="28">
        <f t="shared" si="2"/>
        <v>30.65166666666666</v>
      </c>
      <c r="M36" s="28">
        <f t="shared" si="2"/>
        <v>47.928749999999987</v>
      </c>
      <c r="N36" s="28">
        <f t="shared" si="2"/>
        <v>273.38749999999999</v>
      </c>
      <c r="O36" s="28">
        <f t="shared" si="2"/>
        <v>0</v>
      </c>
      <c r="P36" s="28">
        <f t="shared" si="2"/>
        <v>0.55375000000000008</v>
      </c>
      <c r="Q36" s="28">
        <f t="shared" si="2"/>
        <v>9.7137499999999992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0.66882427123804356</v>
      </c>
      <c r="C37" s="28">
        <f t="shared" si="3" ref="C37:Q37">STDEV(C9:C32)</f>
        <v>2.4471739098248775</v>
      </c>
      <c r="D37" s="28">
        <f t="shared" si="3"/>
        <v>2.4061015058641533</v>
      </c>
      <c r="E37" s="28">
        <f t="shared" si="3"/>
        <v>0.6212106867974051</v>
      </c>
      <c r="F37" s="28">
        <f t="shared" si="3"/>
        <v>3.506442491938992</v>
      </c>
      <c r="G37" s="28">
        <f t="shared" si="3"/>
        <v>22.769559862689082</v>
      </c>
      <c r="H37" s="28">
        <f t="shared" si="3"/>
        <v>7.5839689333890021</v>
      </c>
      <c r="I37" s="28">
        <f t="shared" si="3"/>
        <v>1.0093573073560396</v>
      </c>
      <c r="J37" s="28">
        <f t="shared" si="3"/>
        <v>0.46107545988714793</v>
      </c>
      <c r="K37" s="28">
        <f t="shared" si="3"/>
        <v>97.326133425945372</v>
      </c>
      <c r="L37" s="28">
        <f t="shared" si="3"/>
        <v>4.125781788015364</v>
      </c>
      <c r="M37" s="28">
        <f t="shared" si="3"/>
        <v>11.397967138542962</v>
      </c>
      <c r="N37" s="28">
        <f t="shared" si="3"/>
        <v>304.62128064133213</v>
      </c>
      <c r="O37" s="28">
        <f t="shared" si="3"/>
        <v>0</v>
      </c>
      <c r="P37" s="28">
        <f t="shared" si="3"/>
        <v>0.10227042158138742</v>
      </c>
      <c r="Q37" s="28">
        <f t="shared" si="3"/>
        <v>0.10294838301424243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2f6a0e-eb5e-4b4c-8a24-fa7d953c9f0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446</v>
      </c>
      <c r="B9" s="56">
        <v>2.46</v>
      </c>
      <c r="C9" s="56">
        <v>7.09</v>
      </c>
      <c r="D9" s="56">
        <v>5.48</v>
      </c>
      <c r="E9" s="56">
        <v>1.67</v>
      </c>
      <c r="F9" s="56">
        <v>3.89</v>
      </c>
      <c r="G9" s="56">
        <v>56.27</v>
      </c>
      <c r="H9" s="56">
        <v>22.70</v>
      </c>
      <c r="I9" s="56">
        <v>6.27</v>
      </c>
      <c r="J9" s="56">
        <v>1.1399999999999999</v>
      </c>
      <c r="K9" s="56">
        <v>164.91</v>
      </c>
      <c r="L9" s="56">
        <v>28.48</v>
      </c>
      <c r="M9" s="56">
        <v>51.67</v>
      </c>
      <c r="N9" s="56">
        <v>81.80</v>
      </c>
      <c r="O9" s="56">
        <v>0</v>
      </c>
      <c r="P9" s="56">
        <v>0.62</v>
      </c>
      <c r="Q9" s="56">
        <v>9.66</v>
      </c>
      <c r="R9" s="43"/>
      <c r="S9" s="43"/>
      <c r="T9" s="43"/>
      <c r="U9" s="43"/>
    </row>
    <row r="10" spans="1:21" s="11" customFormat="1" ht="15">
      <c r="A10" s="55" t="s">
        <v>447</v>
      </c>
      <c r="B10" s="56">
        <v>2.11</v>
      </c>
      <c r="C10" s="56">
        <v>8.94</v>
      </c>
      <c r="D10" s="56">
        <v>6.23</v>
      </c>
      <c r="E10" s="56">
        <v>1.69</v>
      </c>
      <c r="F10" s="56">
        <v>4.43</v>
      </c>
      <c r="G10" s="56">
        <v>48.09</v>
      </c>
      <c r="H10" s="56">
        <v>19.690000000000001</v>
      </c>
      <c r="I10" s="56">
        <v>6.66</v>
      </c>
      <c r="J10" s="56">
        <v>1.45</v>
      </c>
      <c r="K10" s="56">
        <v>148.85</v>
      </c>
      <c r="L10" s="56">
        <v>28.46</v>
      </c>
      <c r="M10" s="56">
        <v>51.84</v>
      </c>
      <c r="N10" s="56">
        <v>74</v>
      </c>
      <c r="O10" s="56">
        <v>0</v>
      </c>
      <c r="P10" s="56">
        <v>0.55000000000000004</v>
      </c>
      <c r="Q10" s="56">
        <v>9.6199999999999992</v>
      </c>
      <c r="R10" s="43"/>
      <c r="S10" s="43"/>
      <c r="T10" s="43"/>
      <c r="U10" s="43"/>
    </row>
    <row r="11" spans="1:21" s="11" customFormat="1" ht="15">
      <c r="A11" s="55" t="s">
        <v>448</v>
      </c>
      <c r="B11" s="56">
        <v>2</v>
      </c>
      <c r="C11" s="56">
        <v>7.65</v>
      </c>
      <c r="D11" s="56">
        <v>5.5</v>
      </c>
      <c r="E11" s="56">
        <v>1.74</v>
      </c>
      <c r="F11" s="56">
        <v>3.99</v>
      </c>
      <c r="G11" s="56">
        <v>44.97</v>
      </c>
      <c r="H11" s="56">
        <v>19.73</v>
      </c>
      <c r="I11" s="56">
        <v>6.45</v>
      </c>
      <c r="J11" s="56">
        <v>0.89</v>
      </c>
      <c r="K11" s="56">
        <v>188.94</v>
      </c>
      <c r="L11" s="56">
        <v>28.01</v>
      </c>
      <c r="M11" s="56">
        <v>54.29</v>
      </c>
      <c r="N11" s="56">
        <v>71.599999999999994</v>
      </c>
      <c r="O11" s="56">
        <v>0</v>
      </c>
      <c r="P11" s="56">
        <v>0.51</v>
      </c>
      <c r="Q11" s="56">
        <v>9.51</v>
      </c>
      <c r="R11" s="43"/>
      <c r="S11" s="43"/>
      <c r="T11" s="43"/>
      <c r="U11" s="43"/>
    </row>
    <row r="12" spans="1:21" s="11" customFormat="1" ht="15">
      <c r="A12" s="55" t="s">
        <v>449</v>
      </c>
      <c r="B12" s="56">
        <v>2.02</v>
      </c>
      <c r="C12" s="56">
        <v>5.51</v>
      </c>
      <c r="D12" s="56">
        <v>4.3600000000000003</v>
      </c>
      <c r="E12" s="56">
        <v>1.54</v>
      </c>
      <c r="F12" s="56">
        <v>3.76</v>
      </c>
      <c r="G12" s="56">
        <v>36.11</v>
      </c>
      <c r="H12" s="56">
        <v>16.510000000000002</v>
      </c>
      <c r="I12" s="56">
        <v>5.77</v>
      </c>
      <c r="J12" s="56">
        <v>0.63</v>
      </c>
      <c r="K12" s="56">
        <v>305.88</v>
      </c>
      <c r="L12" s="56">
        <v>27.33</v>
      </c>
      <c r="M12" s="56">
        <v>57.03</v>
      </c>
      <c r="N12" s="56">
        <v>54.60</v>
      </c>
      <c r="O12" s="56">
        <v>0</v>
      </c>
      <c r="P12" s="56">
        <v>0.45</v>
      </c>
      <c r="Q12" s="56">
        <v>9.5299999999999994</v>
      </c>
      <c r="R12" s="43"/>
      <c r="S12" s="43"/>
      <c r="T12" s="43"/>
      <c r="U12" s="43"/>
    </row>
    <row r="13" spans="1:21" s="11" customFormat="1" ht="15">
      <c r="A13" s="55" t="s">
        <v>450</v>
      </c>
      <c r="B13" s="56">
        <v>2.04</v>
      </c>
      <c r="C13" s="56">
        <v>5.93</v>
      </c>
      <c r="D13" s="56">
        <v>4.63</v>
      </c>
      <c r="E13" s="56">
        <v>1.61</v>
      </c>
      <c r="F13" s="56">
        <v>4.16</v>
      </c>
      <c r="G13" s="56">
        <v>36.64</v>
      </c>
      <c r="H13" s="56">
        <v>14.46</v>
      </c>
      <c r="I13" s="56">
        <v>5.78</v>
      </c>
      <c r="J13" s="56">
        <v>0.18</v>
      </c>
      <c r="K13" s="56">
        <v>15.79</v>
      </c>
      <c r="L13" s="56">
        <v>27.12</v>
      </c>
      <c r="M13" s="56">
        <v>58.57</v>
      </c>
      <c r="N13" s="56">
        <v>54.5</v>
      </c>
      <c r="O13" s="56">
        <v>0</v>
      </c>
      <c r="P13" s="56">
        <v>0.43</v>
      </c>
      <c r="Q13" s="56">
        <v>9.5500000000000007</v>
      </c>
      <c r="R13" s="43"/>
      <c r="S13" s="43"/>
      <c r="T13" s="43"/>
      <c r="U13" s="43"/>
    </row>
    <row r="14" spans="1:21" s="11" customFormat="1" ht="15">
      <c r="A14" s="55" t="s">
        <v>451</v>
      </c>
      <c r="B14" s="56">
        <v>1.98</v>
      </c>
      <c r="C14" s="56">
        <v>5.98</v>
      </c>
      <c r="D14" s="56">
        <v>4.5999999999999996</v>
      </c>
      <c r="E14" s="56">
        <v>1.64</v>
      </c>
      <c r="F14" s="56">
        <v>4.21</v>
      </c>
      <c r="G14" s="56">
        <v>31.35</v>
      </c>
      <c r="H14" s="56">
        <v>14.39</v>
      </c>
      <c r="I14" s="56">
        <v>5.44</v>
      </c>
      <c r="J14" s="56">
        <v>0.19</v>
      </c>
      <c r="K14" s="56">
        <v>343.79</v>
      </c>
      <c r="L14" s="56">
        <v>26.82</v>
      </c>
      <c r="M14" s="56">
        <v>62.42</v>
      </c>
      <c r="N14" s="56">
        <v>66.099999999999994</v>
      </c>
      <c r="O14" s="56">
        <v>0</v>
      </c>
      <c r="P14" s="56">
        <v>0.38</v>
      </c>
      <c r="Q14" s="56">
        <v>9.48</v>
      </c>
      <c r="R14" s="43"/>
      <c r="S14" s="43"/>
      <c r="T14" s="43"/>
      <c r="U14" s="43"/>
    </row>
    <row r="15" spans="1:21" s="11" customFormat="1" ht="15">
      <c r="A15" s="55" t="s">
        <v>452</v>
      </c>
      <c r="B15" s="56">
        <v>1.92</v>
      </c>
      <c r="C15" s="56">
        <v>6.30</v>
      </c>
      <c r="D15" s="56">
        <v>4.71</v>
      </c>
      <c r="E15" s="56">
        <v>1.59</v>
      </c>
      <c r="F15" s="56">
        <v>4.3899999999999997</v>
      </c>
      <c r="G15" s="56">
        <v>30.03</v>
      </c>
      <c r="H15" s="56">
        <v>14.78</v>
      </c>
      <c r="I15" s="56">
        <v>4.54</v>
      </c>
      <c r="J15" s="56">
        <v>0.28999999999999998</v>
      </c>
      <c r="K15" s="56">
        <v>346.05</v>
      </c>
      <c r="L15" s="56">
        <v>26.81</v>
      </c>
      <c r="M15" s="56">
        <v>62.83</v>
      </c>
      <c r="N15" s="56">
        <v>108.10</v>
      </c>
      <c r="O15" s="56">
        <v>0</v>
      </c>
      <c r="P15" s="56">
        <v>0.34</v>
      </c>
      <c r="Q15" s="56">
        <v>9.43</v>
      </c>
      <c r="R15" s="43"/>
      <c r="S15" s="43"/>
      <c r="T15" s="43"/>
      <c r="U15" s="43"/>
    </row>
    <row r="16" spans="1:21" s="11" customFormat="1" ht="15">
      <c r="A16" s="55" t="s">
        <v>453</v>
      </c>
      <c r="B16" s="56">
        <v>1.94</v>
      </c>
      <c r="C16" s="56">
        <v>6.60</v>
      </c>
      <c r="D16" s="56">
        <v>4.84</v>
      </c>
      <c r="E16" s="56">
        <v>1.82</v>
      </c>
      <c r="F16" s="56">
        <v>4.93</v>
      </c>
      <c r="G16" s="56">
        <v>30.36</v>
      </c>
      <c r="H16" s="56">
        <v>14.83</v>
      </c>
      <c r="I16" s="56">
        <v>3.80</v>
      </c>
      <c r="J16" s="56">
        <v>0.39</v>
      </c>
      <c r="K16" s="56">
        <v>349.05</v>
      </c>
      <c r="L16" s="56">
        <v>27.49</v>
      </c>
      <c r="M16" s="56">
        <v>62.06</v>
      </c>
      <c r="N16" s="56">
        <v>185.30</v>
      </c>
      <c r="O16" s="56">
        <v>0</v>
      </c>
      <c r="P16" s="56">
        <v>0.37</v>
      </c>
      <c r="Q16" s="56">
        <v>9.4600000000000009</v>
      </c>
      <c r="R16" s="43"/>
      <c r="S16" s="43"/>
      <c r="T16" s="43"/>
      <c r="U16" s="43"/>
    </row>
    <row r="17" spans="1:21" s="11" customFormat="1" ht="15">
      <c r="A17" s="55" t="s">
        <v>454</v>
      </c>
      <c r="B17" s="56">
        <v>1.98</v>
      </c>
      <c r="C17" s="56">
        <v>6.43</v>
      </c>
      <c r="D17" s="56">
        <v>4.78</v>
      </c>
      <c r="E17" s="56">
        <v>0.98</v>
      </c>
      <c r="F17" s="56">
        <v>3.92</v>
      </c>
      <c r="G17" s="56">
        <v>19.739999999999998</v>
      </c>
      <c r="H17" s="56">
        <v>12.93</v>
      </c>
      <c r="I17" s="56">
        <v>3.31</v>
      </c>
      <c r="J17" s="56">
        <v>0.24</v>
      </c>
      <c r="K17" s="56">
        <v>352.33</v>
      </c>
      <c r="L17" s="56">
        <v>27.46</v>
      </c>
      <c r="M17" s="56">
        <v>68.56</v>
      </c>
      <c r="N17" s="56">
        <v>272.5</v>
      </c>
      <c r="O17" s="56">
        <v>0</v>
      </c>
      <c r="P17" s="56">
        <v>0.41</v>
      </c>
      <c r="Q17" s="56">
        <v>9.48</v>
      </c>
      <c r="R17" s="43"/>
      <c r="S17" s="43"/>
      <c r="T17" s="43"/>
      <c r="U17" s="43"/>
    </row>
    <row r="18" spans="1:21" s="11" customFormat="1" ht="15">
      <c r="A18" s="55" t="s">
        <v>455</v>
      </c>
      <c r="B18" s="56">
        <v>2.4500000000000002</v>
      </c>
      <c r="C18" s="56">
        <v>6.44</v>
      </c>
      <c r="D18" s="56">
        <v>5.25</v>
      </c>
      <c r="E18" s="56">
        <v>1.35</v>
      </c>
      <c r="F18" s="56">
        <v>3.95</v>
      </c>
      <c r="G18" s="57" t="s">
        <v>14</v>
      </c>
      <c r="H18" s="56">
        <v>15.09</v>
      </c>
      <c r="I18" s="56">
        <v>3.62</v>
      </c>
      <c r="J18" s="56">
        <v>0.78</v>
      </c>
      <c r="K18" s="56">
        <v>321.06</v>
      </c>
      <c r="L18" s="56">
        <v>29.39</v>
      </c>
      <c r="M18" s="56">
        <v>63.56</v>
      </c>
      <c r="N18" s="56">
        <v>321.20</v>
      </c>
      <c r="O18" s="56">
        <v>0</v>
      </c>
      <c r="P18" s="56">
        <v>0.53</v>
      </c>
      <c r="Q18" s="56">
        <v>9.4700000000000006</v>
      </c>
      <c r="R18" s="43"/>
      <c r="S18" s="43"/>
      <c r="T18" s="43"/>
      <c r="U18" s="43"/>
    </row>
    <row r="19" spans="1:21" s="11" customFormat="1" ht="15">
      <c r="A19" s="55" t="s">
        <v>456</v>
      </c>
      <c r="B19" s="56">
        <v>2.85</v>
      </c>
      <c r="C19" s="56">
        <v>7.83</v>
      </c>
      <c r="D19" s="56">
        <v>6.29</v>
      </c>
      <c r="E19" s="56">
        <v>1.25</v>
      </c>
      <c r="F19" s="56">
        <v>3.72</v>
      </c>
      <c r="G19" s="57" t="s">
        <v>14</v>
      </c>
      <c r="H19" s="56">
        <v>15.69</v>
      </c>
      <c r="I19" s="56">
        <v>3.99</v>
      </c>
      <c r="J19" s="56">
        <v>0.95</v>
      </c>
      <c r="K19" s="56">
        <v>329.71</v>
      </c>
      <c r="L19" s="56">
        <v>30.51</v>
      </c>
      <c r="M19" s="56">
        <v>54.58</v>
      </c>
      <c r="N19" s="56">
        <v>319.5</v>
      </c>
      <c r="O19" s="56">
        <v>0</v>
      </c>
      <c r="P19" s="56">
        <v>0.56999999999999995</v>
      </c>
      <c r="Q19" s="56">
        <v>9.4600000000000009</v>
      </c>
      <c r="R19" s="43"/>
      <c r="S19" s="43"/>
      <c r="T19" s="43"/>
      <c r="U19" s="43"/>
    </row>
    <row r="20" spans="1:21" s="11" customFormat="1" ht="15">
      <c r="A20" s="55" t="s">
        <v>457</v>
      </c>
      <c r="B20" s="56">
        <v>2.76</v>
      </c>
      <c r="C20" s="56">
        <v>8.66</v>
      </c>
      <c r="D20" s="56">
        <v>6.53</v>
      </c>
      <c r="E20" s="56">
        <v>1.57</v>
      </c>
      <c r="F20" s="56">
        <v>4.2699999999999996</v>
      </c>
      <c r="G20" s="57" t="s">
        <v>14</v>
      </c>
      <c r="H20" s="56">
        <v>12.82</v>
      </c>
      <c r="I20" s="56">
        <v>3.99</v>
      </c>
      <c r="J20" s="56">
        <v>0.18</v>
      </c>
      <c r="K20" s="56">
        <v>312.93</v>
      </c>
      <c r="L20" s="56">
        <v>29.84</v>
      </c>
      <c r="M20" s="56">
        <v>54.34</v>
      </c>
      <c r="N20" s="56">
        <v>244.10</v>
      </c>
      <c r="O20" s="56">
        <v>0</v>
      </c>
      <c r="P20" s="56">
        <v>0.63</v>
      </c>
      <c r="Q20" s="56">
        <v>9.48</v>
      </c>
      <c r="R20" s="43"/>
      <c r="S20" s="43"/>
      <c r="T20" s="43"/>
      <c r="U20" s="43"/>
    </row>
    <row r="21" spans="1:21" s="11" customFormat="1" ht="15">
      <c r="A21" s="55" t="s">
        <v>458</v>
      </c>
      <c r="B21" s="56">
        <v>1.92</v>
      </c>
      <c r="C21" s="56">
        <v>8.5</v>
      </c>
      <c r="D21" s="56">
        <v>5.91</v>
      </c>
      <c r="E21" s="56">
        <v>1.76</v>
      </c>
      <c r="F21" s="56">
        <v>4.8899999999999997</v>
      </c>
      <c r="G21" s="57" t="s">
        <v>14</v>
      </c>
      <c r="H21" s="56">
        <v>14.11</v>
      </c>
      <c r="I21" s="56">
        <v>4.8899999999999997</v>
      </c>
      <c r="J21" s="56">
        <v>0.95</v>
      </c>
      <c r="K21" s="56">
        <v>258.87</v>
      </c>
      <c r="L21" s="56">
        <v>30.01</v>
      </c>
      <c r="M21" s="56">
        <v>53.42</v>
      </c>
      <c r="N21" s="56">
        <v>460.80</v>
      </c>
      <c r="O21" s="56">
        <v>0</v>
      </c>
      <c r="P21" s="56">
        <v>0.62</v>
      </c>
      <c r="Q21" s="56">
        <v>9.44</v>
      </c>
      <c r="R21" s="43"/>
      <c r="S21" s="43"/>
      <c r="T21" s="43"/>
      <c r="U21" s="43"/>
    </row>
    <row r="22" spans="1:21" s="11" customFormat="1" ht="15">
      <c r="A22" s="55" t="s">
        <v>459</v>
      </c>
      <c r="B22" s="56">
        <v>1.51</v>
      </c>
      <c r="C22" s="56">
        <v>6.01</v>
      </c>
      <c r="D22" s="56">
        <v>4.24</v>
      </c>
      <c r="E22" s="56">
        <v>1.90</v>
      </c>
      <c r="F22" s="56">
        <v>4.9000000000000004</v>
      </c>
      <c r="G22" s="57" t="s">
        <v>14</v>
      </c>
      <c r="H22" s="56">
        <v>14.96</v>
      </c>
      <c r="I22" s="56">
        <v>5.81</v>
      </c>
      <c r="J22" s="56">
        <v>0.34</v>
      </c>
      <c r="K22" s="56">
        <v>169.57</v>
      </c>
      <c r="L22" s="56">
        <v>31.53</v>
      </c>
      <c r="M22" s="56">
        <v>47.86</v>
      </c>
      <c r="N22" s="56">
        <v>512.40</v>
      </c>
      <c r="O22" s="56">
        <v>0</v>
      </c>
      <c r="P22" s="56">
        <v>0.53</v>
      </c>
      <c r="Q22" s="56">
        <v>9.40</v>
      </c>
      <c r="R22" s="43"/>
      <c r="S22" s="43"/>
      <c r="T22" s="43"/>
      <c r="U22" s="43"/>
    </row>
    <row r="23" spans="1:21" s="11" customFormat="1" ht="15">
      <c r="A23" s="55" t="s">
        <v>460</v>
      </c>
      <c r="B23" s="56">
        <v>1.72</v>
      </c>
      <c r="C23" s="56">
        <v>6.69</v>
      </c>
      <c r="D23" s="56">
        <v>4.79</v>
      </c>
      <c r="E23" s="56">
        <v>2</v>
      </c>
      <c r="F23" s="56">
        <v>4.88</v>
      </c>
      <c r="G23" s="57" t="s">
        <v>14</v>
      </c>
      <c r="H23" s="56">
        <v>14.87</v>
      </c>
      <c r="I23" s="56">
        <v>5.94</v>
      </c>
      <c r="J23" s="56">
        <v>1</v>
      </c>
      <c r="K23" s="56">
        <v>344.71</v>
      </c>
      <c r="L23" s="56">
        <v>31.36</v>
      </c>
      <c r="M23" s="56">
        <v>50.27</v>
      </c>
      <c r="N23" s="56">
        <v>331.80</v>
      </c>
      <c r="O23" s="56">
        <v>0</v>
      </c>
      <c r="P23" s="56">
        <v>0.52</v>
      </c>
      <c r="Q23" s="56">
        <v>9.39</v>
      </c>
      <c r="R23" s="43"/>
      <c r="S23" s="43"/>
      <c r="T23" s="43"/>
      <c r="U23" s="43"/>
    </row>
    <row r="24" spans="1:21" s="11" customFormat="1" ht="15">
      <c r="A24" s="55" t="s">
        <v>461</v>
      </c>
      <c r="B24" s="56">
        <v>1.62</v>
      </c>
      <c r="C24" s="56">
        <v>6.17</v>
      </c>
      <c r="D24" s="56">
        <v>4.4400000000000004</v>
      </c>
      <c r="E24" s="56">
        <v>2</v>
      </c>
      <c r="F24" s="56">
        <v>4.3099999999999996</v>
      </c>
      <c r="G24" s="57" t="s">
        <v>14</v>
      </c>
      <c r="H24" s="56">
        <v>12.29</v>
      </c>
      <c r="I24" s="56">
        <v>5.91</v>
      </c>
      <c r="J24" s="56">
        <v>1.1100000000000001</v>
      </c>
      <c r="K24" s="56">
        <v>179.48</v>
      </c>
      <c r="L24" s="56">
        <v>30.51</v>
      </c>
      <c r="M24" s="56">
        <v>43.03</v>
      </c>
      <c r="N24" s="56">
        <v>172.80</v>
      </c>
      <c r="O24" s="56">
        <v>0</v>
      </c>
      <c r="P24" s="56">
        <v>0.5</v>
      </c>
      <c r="Q24" s="56">
        <v>9.32</v>
      </c>
      <c r="R24" s="43"/>
      <c r="S24" s="43"/>
      <c r="T24" s="43"/>
      <c r="U24" s="43"/>
    </row>
    <row r="25" spans="1:21" s="11" customFormat="1" ht="15">
      <c r="A25" s="55" t="s">
        <v>462</v>
      </c>
      <c r="B25" s="56">
        <v>2.0699999999999998</v>
      </c>
      <c r="C25" s="56">
        <v>6.36</v>
      </c>
      <c r="D25" s="56">
        <v>4.7300000000000004</v>
      </c>
      <c r="E25" s="56">
        <v>1.89</v>
      </c>
      <c r="F25" s="56">
        <v>4.01</v>
      </c>
      <c r="G25" s="57" t="s">
        <v>14</v>
      </c>
      <c r="H25" s="56">
        <v>10.53</v>
      </c>
      <c r="I25" s="56">
        <v>5.72</v>
      </c>
      <c r="J25" s="56">
        <v>0.39</v>
      </c>
      <c r="K25" s="56">
        <v>351.35</v>
      </c>
      <c r="L25" s="56">
        <v>30.32</v>
      </c>
      <c r="M25" s="56">
        <v>51.10</v>
      </c>
      <c r="N25" s="56">
        <v>110.10</v>
      </c>
      <c r="O25" s="56">
        <v>0</v>
      </c>
      <c r="P25" s="56">
        <v>0.52</v>
      </c>
      <c r="Q25" s="56">
        <v>9.34</v>
      </c>
      <c r="R25" s="43"/>
      <c r="S25" s="43"/>
      <c r="T25" s="43"/>
      <c r="U25" s="43"/>
    </row>
    <row r="26" spans="1:21" s="11" customFormat="1" ht="15">
      <c r="A26" s="55" t="s">
        <v>463</v>
      </c>
      <c r="B26" s="56">
        <v>2.61</v>
      </c>
      <c r="C26" s="56">
        <v>6.70</v>
      </c>
      <c r="D26" s="56">
        <v>5.52</v>
      </c>
      <c r="E26" s="56">
        <v>1.67</v>
      </c>
      <c r="F26" s="56">
        <v>3.79</v>
      </c>
      <c r="G26" s="57" t="s">
        <v>14</v>
      </c>
      <c r="H26" s="56">
        <v>12.42</v>
      </c>
      <c r="I26" s="56">
        <v>5.55</v>
      </c>
      <c r="J26" s="56">
        <v>0.90</v>
      </c>
      <c r="K26" s="56">
        <v>349.91</v>
      </c>
      <c r="L26" s="56">
        <v>30.04</v>
      </c>
      <c r="M26" s="56">
        <v>47.40</v>
      </c>
      <c r="N26" s="56">
        <v>84.70</v>
      </c>
      <c r="O26" s="56">
        <v>0</v>
      </c>
      <c r="P26" s="56">
        <v>0.56000000000000005</v>
      </c>
      <c r="Q26" s="56">
        <v>9.51</v>
      </c>
      <c r="R26" s="43"/>
      <c r="S26" s="43"/>
      <c r="T26" s="43"/>
      <c r="U26" s="43"/>
    </row>
    <row r="27" spans="1:21" s="11" customFormat="1" ht="15">
      <c r="A27" s="55" t="s">
        <v>464</v>
      </c>
      <c r="B27" s="56">
        <v>2.21</v>
      </c>
      <c r="C27" s="56">
        <v>6.23</v>
      </c>
      <c r="D27" s="56">
        <v>4.92</v>
      </c>
      <c r="E27" s="56">
        <v>1.75</v>
      </c>
      <c r="F27" s="56">
        <v>4.21</v>
      </c>
      <c r="G27" s="57" t="s">
        <v>14</v>
      </c>
      <c r="H27" s="56">
        <v>15.05</v>
      </c>
      <c r="I27" s="56">
        <v>6.24</v>
      </c>
      <c r="J27" s="56">
        <v>1.46</v>
      </c>
      <c r="K27" s="56">
        <v>192.85</v>
      </c>
      <c r="L27" s="56">
        <v>29.43</v>
      </c>
      <c r="M27" s="56">
        <v>57.04</v>
      </c>
      <c r="N27" s="56">
        <v>43.5</v>
      </c>
      <c r="O27" s="56">
        <v>0</v>
      </c>
      <c r="P27" s="56">
        <v>0.51</v>
      </c>
      <c r="Q27" s="56">
        <v>9.52</v>
      </c>
      <c r="R27" s="43"/>
      <c r="S27" s="43"/>
      <c r="T27" s="43"/>
      <c r="U27" s="43"/>
    </row>
    <row r="28" spans="1:21" s="11" customFormat="1" ht="15">
      <c r="A28" s="55" t="s">
        <v>465</v>
      </c>
      <c r="B28" s="56">
        <v>1.69</v>
      </c>
      <c r="C28" s="56">
        <v>5.54</v>
      </c>
      <c r="D28" s="56">
        <v>4.17</v>
      </c>
      <c r="E28" s="56">
        <v>1.94</v>
      </c>
      <c r="F28" s="56">
        <v>4.63</v>
      </c>
      <c r="G28" s="57" t="s">
        <v>14</v>
      </c>
      <c r="H28" s="56">
        <v>15.77</v>
      </c>
      <c r="I28" s="56">
        <v>6.62</v>
      </c>
      <c r="J28" s="56">
        <v>1.06</v>
      </c>
      <c r="K28" s="56">
        <v>191.68</v>
      </c>
      <c r="L28" s="56">
        <v>27.48</v>
      </c>
      <c r="M28" s="56">
        <v>63.81</v>
      </c>
      <c r="N28" s="56">
        <v>34.5</v>
      </c>
      <c r="O28" s="56">
        <v>0</v>
      </c>
      <c r="P28" s="56">
        <v>0.49</v>
      </c>
      <c r="Q28" s="56">
        <v>9.49</v>
      </c>
      <c r="R28" s="43"/>
      <c r="S28" s="43"/>
      <c r="T28" s="43"/>
      <c r="U28" s="43"/>
    </row>
    <row r="29" spans="1:21" s="11" customFormat="1" ht="15">
      <c r="A29" s="55" t="s">
        <v>466</v>
      </c>
      <c r="B29" s="56">
        <v>1.48</v>
      </c>
      <c r="C29" s="56">
        <v>5.26</v>
      </c>
      <c r="D29" s="56">
        <v>3.86</v>
      </c>
      <c r="E29" s="56">
        <v>0.63</v>
      </c>
      <c r="F29" s="56">
        <v>4.0199999999999996</v>
      </c>
      <c r="G29" s="57" t="s">
        <v>14</v>
      </c>
      <c r="H29" s="56">
        <v>15.73</v>
      </c>
      <c r="I29" s="56">
        <v>6.07</v>
      </c>
      <c r="J29" s="56">
        <v>0.96</v>
      </c>
      <c r="K29" s="56">
        <v>193.60</v>
      </c>
      <c r="L29" s="56">
        <v>26.59</v>
      </c>
      <c r="M29" s="56">
        <v>64.61</v>
      </c>
      <c r="N29" s="56">
        <v>34.700000000000003</v>
      </c>
      <c r="O29" s="56">
        <v>0</v>
      </c>
      <c r="P29" s="56">
        <v>0.48</v>
      </c>
      <c r="Q29" s="56">
        <v>9.42</v>
      </c>
      <c r="R29" s="43"/>
      <c r="S29" s="43"/>
      <c r="T29" s="43"/>
      <c r="U29" s="43"/>
    </row>
    <row r="30" spans="1:21" s="11" customFormat="1" ht="15">
      <c r="A30" s="55" t="s">
        <v>467</v>
      </c>
      <c r="B30" s="56">
        <v>1.54</v>
      </c>
      <c r="C30" s="56">
        <v>5.25</v>
      </c>
      <c r="D30" s="56">
        <v>3.85</v>
      </c>
      <c r="E30" s="56">
        <v>0.82</v>
      </c>
      <c r="F30" s="56">
        <v>3.73</v>
      </c>
      <c r="G30" s="57" t="s">
        <v>14</v>
      </c>
      <c r="H30" s="56">
        <v>15</v>
      </c>
      <c r="I30" s="56">
        <v>5.61</v>
      </c>
      <c r="J30" s="56">
        <v>0.51</v>
      </c>
      <c r="K30" s="56">
        <v>198.15</v>
      </c>
      <c r="L30" s="56">
        <v>26.23</v>
      </c>
      <c r="M30" s="56">
        <v>67.42</v>
      </c>
      <c r="N30" s="56">
        <v>35.40</v>
      </c>
      <c r="O30" s="56">
        <v>0</v>
      </c>
      <c r="P30" s="56">
        <v>0.48</v>
      </c>
      <c r="Q30" s="56">
        <v>9.36</v>
      </c>
      <c r="R30" s="43"/>
      <c r="S30" s="43"/>
      <c r="T30" s="43"/>
      <c r="U30" s="43"/>
    </row>
    <row r="31" spans="1:21" s="11" customFormat="1" ht="15">
      <c r="A31" s="55" t="s">
        <v>468</v>
      </c>
      <c r="B31" s="56">
        <v>1.71</v>
      </c>
      <c r="C31" s="56">
        <v>3.65</v>
      </c>
      <c r="D31" s="56">
        <v>3.15</v>
      </c>
      <c r="E31" s="56">
        <v>0.54</v>
      </c>
      <c r="F31" s="56">
        <v>3.89</v>
      </c>
      <c r="G31" s="57" t="s">
        <v>14</v>
      </c>
      <c r="H31" s="56">
        <v>14.65</v>
      </c>
      <c r="I31" s="56">
        <v>5.56</v>
      </c>
      <c r="J31" s="56">
        <v>0.78</v>
      </c>
      <c r="K31" s="56">
        <v>169.15</v>
      </c>
      <c r="L31" s="56">
        <v>25.56</v>
      </c>
      <c r="M31" s="56">
        <v>71.67</v>
      </c>
      <c r="N31" s="56">
        <v>35.60</v>
      </c>
      <c r="O31" s="56">
        <v>0</v>
      </c>
      <c r="P31" s="56">
        <v>0.45</v>
      </c>
      <c r="Q31" s="56">
        <v>9.43</v>
      </c>
      <c r="R31" s="43"/>
      <c r="S31" s="43"/>
      <c r="T31" s="43"/>
      <c r="U31" s="43"/>
    </row>
    <row r="32" spans="1:21" s="11" customFormat="1" ht="15">
      <c r="A32" s="55" t="s">
        <v>469</v>
      </c>
      <c r="B32" s="56">
        <v>1.91</v>
      </c>
      <c r="C32" s="56">
        <v>3.92</v>
      </c>
      <c r="D32" s="56">
        <v>3.48</v>
      </c>
      <c r="E32" s="56">
        <v>1.29</v>
      </c>
      <c r="F32" s="56">
        <v>3.66</v>
      </c>
      <c r="G32" s="57" t="s">
        <v>14</v>
      </c>
      <c r="H32" s="56">
        <v>14.67</v>
      </c>
      <c r="I32" s="56">
        <v>5.73</v>
      </c>
      <c r="J32" s="56">
        <v>0.32</v>
      </c>
      <c r="K32" s="56">
        <v>356.16</v>
      </c>
      <c r="L32" s="56">
        <v>25.61</v>
      </c>
      <c r="M32" s="56">
        <v>72.150000000000006</v>
      </c>
      <c r="N32" s="56">
        <v>35.5</v>
      </c>
      <c r="O32" s="56">
        <v>0</v>
      </c>
      <c r="P32" s="56">
        <v>0.43</v>
      </c>
      <c r="Q32" s="56">
        <v>9.44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1.48</v>
      </c>
      <c r="C34" s="28">
        <f t="shared" si="0"/>
        <v>3.6499999999999999</v>
      </c>
      <c r="D34" s="28">
        <f t="shared" si="0"/>
        <v>3.1499999999999999</v>
      </c>
      <c r="E34" s="28">
        <f t="shared" si="0"/>
        <v>0.54000000000000004</v>
      </c>
      <c r="F34" s="28">
        <f t="shared" si="0"/>
        <v>3.6600000000000001</v>
      </c>
      <c r="G34" s="28">
        <f t="shared" si="0"/>
        <v>19.739999999999998</v>
      </c>
      <c r="H34" s="28">
        <f t="shared" si="0"/>
        <v>10.529999999999999</v>
      </c>
      <c r="I34" s="28">
        <f t="shared" si="0"/>
        <v>3.3100000000000001</v>
      </c>
      <c r="J34" s="28">
        <f t="shared" si="0"/>
        <v>0.17999999999999999</v>
      </c>
      <c r="K34" s="28">
        <f t="shared" si="0"/>
        <v>15.789999999999999</v>
      </c>
      <c r="L34" s="28">
        <f t="shared" si="0"/>
        <v>25.559999999999999</v>
      </c>
      <c r="M34" s="28">
        <f t="shared" si="0"/>
        <v>43.030000000000001</v>
      </c>
      <c r="N34" s="28">
        <f t="shared" si="0"/>
        <v>34.5</v>
      </c>
      <c r="O34" s="28">
        <f t="shared" si="0"/>
        <v>0</v>
      </c>
      <c r="P34" s="28">
        <f t="shared" si="0"/>
        <v>0.34000000000000002</v>
      </c>
      <c r="Q34" s="28">
        <f t="shared" si="0"/>
        <v>9.3200000000000003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2.8500000000000001</v>
      </c>
      <c r="C35" s="29">
        <f t="shared" si="1"/>
        <v>8.9399999999999995</v>
      </c>
      <c r="D35" s="29">
        <f t="shared" si="1"/>
        <v>6.5300000000000002</v>
      </c>
      <c r="E35" s="29">
        <f t="shared" si="1"/>
        <v>2</v>
      </c>
      <c r="F35" s="29">
        <f t="shared" si="1"/>
        <v>4.9299999999999997</v>
      </c>
      <c r="G35" s="29">
        <f t="shared" si="1"/>
        <v>56.270000000000003</v>
      </c>
      <c r="H35" s="29">
        <f t="shared" si="1"/>
        <v>22.699999999999999</v>
      </c>
      <c r="I35" s="29">
        <f t="shared" si="1"/>
        <v>6.6600000000000001</v>
      </c>
      <c r="J35" s="29">
        <f t="shared" si="1"/>
        <v>1.46</v>
      </c>
      <c r="K35" s="29">
        <f t="shared" si="1"/>
        <v>356.16000000000003</v>
      </c>
      <c r="L35" s="29">
        <f t="shared" si="1"/>
        <v>31.530000000000001</v>
      </c>
      <c r="M35" s="29">
        <f t="shared" si="1"/>
        <v>72.150000000000006</v>
      </c>
      <c r="N35" s="29">
        <f t="shared" si="1"/>
        <v>512.39999999999998</v>
      </c>
      <c r="O35" s="29">
        <f t="shared" si="1"/>
        <v>0</v>
      </c>
      <c r="P35" s="29">
        <f t="shared" si="1"/>
        <v>0.63</v>
      </c>
      <c r="Q35" s="29">
        <f t="shared" si="1"/>
        <v>9.6600000000000001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2.020833333333333</v>
      </c>
      <c r="C36" s="28">
        <f t="shared" si="2"/>
        <v>6.4016666666666646</v>
      </c>
      <c r="D36" s="28">
        <f t="shared" si="2"/>
        <v>4.8441666666666672</v>
      </c>
      <c r="E36" s="28">
        <f t="shared" si="2"/>
        <v>1.5266666666666666</v>
      </c>
      <c r="F36" s="28">
        <f t="shared" si="2"/>
        <v>4.1891666666666669</v>
      </c>
      <c r="G36" s="28">
        <f t="shared" si="2"/>
        <v>37.062222222222225</v>
      </c>
      <c r="H36" s="28">
        <f t="shared" si="2"/>
        <v>15.152916666666668</v>
      </c>
      <c r="I36" s="28">
        <f t="shared" si="2"/>
        <v>5.3862499999999995</v>
      </c>
      <c r="J36" s="28">
        <f t="shared" si="2"/>
        <v>0.71208333333333329</v>
      </c>
      <c r="K36" s="28">
        <f t="shared" si="2"/>
        <v>255.61541666666665</v>
      </c>
      <c r="L36" s="28">
        <f t="shared" si="2"/>
        <v>28.432916666666667</v>
      </c>
      <c r="M36" s="28">
        <f t="shared" si="2"/>
        <v>57.980416666666663</v>
      </c>
      <c r="N36" s="28">
        <f t="shared" si="2"/>
        <v>156.04583333333332</v>
      </c>
      <c r="O36" s="28">
        <f t="shared" si="2"/>
        <v>0</v>
      </c>
      <c r="P36" s="28">
        <f t="shared" si="2"/>
        <v>0.49500000000000005</v>
      </c>
      <c r="Q36" s="28">
        <f t="shared" si="2"/>
        <v>9.4662500000000005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0.37817544429360733</v>
      </c>
      <c r="C37" s="28">
        <f t="shared" si="3" ref="C37:Q37">STDEV(C9:C32)</f>
        <v>1.2984729046298908</v>
      </c>
      <c r="D37" s="28">
        <f t="shared" si="3"/>
        <v>0.87226799166045221</v>
      </c>
      <c r="E37" s="28">
        <f t="shared" si="3"/>
        <v>0.41490351593621327</v>
      </c>
      <c r="F37" s="28">
        <f t="shared" si="3"/>
        <v>0.40655409465906589</v>
      </c>
      <c r="G37" s="28">
        <f t="shared" si="3"/>
        <v>11.074911712715584</v>
      </c>
      <c r="H37" s="28">
        <f t="shared" si="3"/>
        <v>2.5689796302383781</v>
      </c>
      <c r="I37" s="28">
        <f t="shared" si="3"/>
        <v>0.98827831188341597</v>
      </c>
      <c r="J37" s="28">
        <f t="shared" si="3"/>
        <v>0.40039088690783226</v>
      </c>
      <c r="K37" s="28">
        <f t="shared" si="3"/>
        <v>93.987949272842997</v>
      </c>
      <c r="L37" s="28">
        <f t="shared" si="3"/>
        <v>1.8043678386353643</v>
      </c>
      <c r="M37" s="28">
        <f t="shared" si="3"/>
        <v>7.9172917411506605</v>
      </c>
      <c r="N37" s="28">
        <f t="shared" si="3"/>
        <v>143.03003022827568</v>
      </c>
      <c r="O37" s="28">
        <f t="shared" si="3"/>
        <v>0</v>
      </c>
      <c r="P37" s="28">
        <f t="shared" si="3"/>
        <v>0.077907414392927282</v>
      </c>
      <c r="Q37" s="28">
        <f t="shared" si="3"/>
        <v>0.079444402216130069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COUNT(G9:G32)+15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368e8a-5deb-4c8a-a80a-17369ccea7b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470</v>
      </c>
      <c r="B9" s="56">
        <v>1.84</v>
      </c>
      <c r="C9" s="56">
        <v>3.47</v>
      </c>
      <c r="D9" s="56">
        <v>3.21</v>
      </c>
      <c r="E9" s="56">
        <v>1.57</v>
      </c>
      <c r="F9" s="56">
        <v>3.82</v>
      </c>
      <c r="G9" s="57" t="s">
        <v>14</v>
      </c>
      <c r="H9" s="56">
        <v>12.05</v>
      </c>
      <c r="I9" s="56">
        <v>5.16</v>
      </c>
      <c r="J9" s="56">
        <v>1.02</v>
      </c>
      <c r="K9" s="56">
        <v>194.33</v>
      </c>
      <c r="L9" s="56">
        <v>25.57</v>
      </c>
      <c r="M9" s="56">
        <v>68.78</v>
      </c>
      <c r="N9" s="56">
        <v>35.799999999999997</v>
      </c>
      <c r="O9" s="56">
        <v>0</v>
      </c>
      <c r="P9" s="56">
        <v>0.40</v>
      </c>
      <c r="Q9" s="56">
        <v>9.3699999999999992</v>
      </c>
      <c r="R9" s="43"/>
      <c r="S9" s="43"/>
      <c r="T9" s="43"/>
      <c r="U9" s="43"/>
    </row>
    <row r="10" spans="1:21" s="11" customFormat="1" ht="15">
      <c r="A10" s="55" t="s">
        <v>471</v>
      </c>
      <c r="B10" s="56">
        <v>1.60</v>
      </c>
      <c r="C10" s="56">
        <v>2.90</v>
      </c>
      <c r="D10" s="56">
        <v>2.72</v>
      </c>
      <c r="E10" s="56">
        <v>1.53</v>
      </c>
      <c r="F10" s="56">
        <v>3.76</v>
      </c>
      <c r="G10" s="57" t="s">
        <v>14</v>
      </c>
      <c r="H10" s="56">
        <v>8.7899999999999991</v>
      </c>
      <c r="I10" s="56">
        <v>4.66</v>
      </c>
      <c r="J10" s="56">
        <v>0.60</v>
      </c>
      <c r="K10" s="56">
        <v>213.34</v>
      </c>
      <c r="L10" s="56">
        <v>24.67</v>
      </c>
      <c r="M10" s="56">
        <v>71.459999999999994</v>
      </c>
      <c r="N10" s="56">
        <v>35.799999999999997</v>
      </c>
      <c r="O10" s="56">
        <v>0</v>
      </c>
      <c r="P10" s="56">
        <v>0.32</v>
      </c>
      <c r="Q10" s="56">
        <v>9.35</v>
      </c>
      <c r="R10" s="43"/>
      <c r="S10" s="43"/>
      <c r="T10" s="43"/>
      <c r="U10" s="43"/>
    </row>
    <row r="11" spans="1:21" s="11" customFormat="1" ht="15">
      <c r="A11" s="55" t="s">
        <v>472</v>
      </c>
      <c r="B11" s="56">
        <v>1.58</v>
      </c>
      <c r="C11" s="56">
        <v>2.85</v>
      </c>
      <c r="D11" s="56">
        <v>2.59</v>
      </c>
      <c r="E11" s="56">
        <v>1.49</v>
      </c>
      <c r="F11" s="56">
        <v>3.81</v>
      </c>
      <c r="G11" s="57" t="s">
        <v>14</v>
      </c>
      <c r="H11" s="56">
        <v>8.58</v>
      </c>
      <c r="I11" s="56">
        <v>3.74</v>
      </c>
      <c r="J11" s="56">
        <v>0.5</v>
      </c>
      <c r="K11" s="56">
        <v>259.64999999999998</v>
      </c>
      <c r="L11" s="56">
        <v>24.10</v>
      </c>
      <c r="M11" s="56">
        <v>72.239999999999995</v>
      </c>
      <c r="N11" s="56">
        <v>35.40</v>
      </c>
      <c r="O11" s="56">
        <v>0</v>
      </c>
      <c r="P11" s="56">
        <v>0.28000000000000003</v>
      </c>
      <c r="Q11" s="56">
        <v>9.40</v>
      </c>
      <c r="R11" s="43"/>
      <c r="S11" s="43"/>
      <c r="T11" s="43"/>
      <c r="U11" s="43"/>
    </row>
    <row r="12" spans="1:21" s="11" customFormat="1" ht="15">
      <c r="A12" s="55" t="s">
        <v>473</v>
      </c>
      <c r="B12" s="56">
        <v>1.76</v>
      </c>
      <c r="C12" s="56">
        <v>2.60</v>
      </c>
      <c r="D12" s="56">
        <v>2.62</v>
      </c>
      <c r="E12" s="56">
        <v>1.53</v>
      </c>
      <c r="F12" s="56">
        <v>3.65</v>
      </c>
      <c r="G12" s="57" t="s">
        <v>14</v>
      </c>
      <c r="H12" s="56">
        <v>6.40</v>
      </c>
      <c r="I12" s="56">
        <v>3.78</v>
      </c>
      <c r="J12" s="56">
        <v>0.47</v>
      </c>
      <c r="K12" s="56">
        <v>349.71</v>
      </c>
      <c r="L12" s="56">
        <v>24.31</v>
      </c>
      <c r="M12" s="56">
        <v>71.66</v>
      </c>
      <c r="N12" s="56">
        <v>35.200000000000003</v>
      </c>
      <c r="O12" s="56">
        <v>0</v>
      </c>
      <c r="P12" s="56">
        <v>0.26</v>
      </c>
      <c r="Q12" s="56">
        <v>9.40</v>
      </c>
      <c r="R12" s="43"/>
      <c r="S12" s="43"/>
      <c r="T12" s="43"/>
      <c r="U12" s="43"/>
    </row>
    <row r="13" spans="1:21" s="11" customFormat="1" ht="15">
      <c r="A13" s="55" t="s">
        <v>474</v>
      </c>
      <c r="B13" s="56">
        <v>1.87</v>
      </c>
      <c r="C13" s="56">
        <v>3.31</v>
      </c>
      <c r="D13" s="56">
        <v>3.14</v>
      </c>
      <c r="E13" s="56">
        <v>1.46</v>
      </c>
      <c r="F13" s="56">
        <v>4.28</v>
      </c>
      <c r="G13" s="57" t="s">
        <v>14</v>
      </c>
      <c r="H13" s="56">
        <v>4.57</v>
      </c>
      <c r="I13" s="56">
        <v>3.89</v>
      </c>
      <c r="J13" s="56">
        <v>0.31</v>
      </c>
      <c r="K13" s="56">
        <v>266.83999999999997</v>
      </c>
      <c r="L13" s="56">
        <v>24.32</v>
      </c>
      <c r="M13" s="56">
        <v>73.77</v>
      </c>
      <c r="N13" s="56">
        <v>35.40</v>
      </c>
      <c r="O13" s="56">
        <v>0</v>
      </c>
      <c r="P13" s="56">
        <v>0.23</v>
      </c>
      <c r="Q13" s="56">
        <v>9.36</v>
      </c>
      <c r="R13" s="43"/>
      <c r="S13" s="43"/>
      <c r="T13" s="43"/>
      <c r="U13" s="43"/>
    </row>
    <row r="14" spans="1:21" s="11" customFormat="1" ht="15">
      <c r="A14" s="55" t="s">
        <v>475</v>
      </c>
      <c r="B14" s="56">
        <v>2.48</v>
      </c>
      <c r="C14" s="56">
        <v>3.83</v>
      </c>
      <c r="D14" s="56">
        <v>3.87</v>
      </c>
      <c r="E14" s="56">
        <v>1.85</v>
      </c>
      <c r="F14" s="56">
        <v>4.4800000000000004</v>
      </c>
      <c r="G14" s="57" t="s">
        <v>14</v>
      </c>
      <c r="H14" s="56">
        <v>4.32</v>
      </c>
      <c r="I14" s="56">
        <v>3.79</v>
      </c>
      <c r="J14" s="56">
        <v>0.70</v>
      </c>
      <c r="K14" s="56">
        <v>346.84</v>
      </c>
      <c r="L14" s="56">
        <v>24.27</v>
      </c>
      <c r="M14" s="56">
        <v>75.06</v>
      </c>
      <c r="N14" s="56">
        <v>62.70</v>
      </c>
      <c r="O14" s="56">
        <v>0</v>
      </c>
      <c r="P14" s="56">
        <v>0.25</v>
      </c>
      <c r="Q14" s="56">
        <v>9.2799999999999994</v>
      </c>
      <c r="R14" s="43"/>
      <c r="S14" s="43"/>
      <c r="T14" s="43"/>
      <c r="U14" s="43"/>
    </row>
    <row r="15" spans="1:21" s="11" customFormat="1" ht="15">
      <c r="A15" s="55" t="s">
        <v>476</v>
      </c>
      <c r="B15" s="56">
        <v>2.64</v>
      </c>
      <c r="C15" s="56">
        <v>4.16</v>
      </c>
      <c r="D15" s="56">
        <v>4.1399999999999997</v>
      </c>
      <c r="E15" s="56">
        <v>1.84</v>
      </c>
      <c r="F15" s="56">
        <v>3.33</v>
      </c>
      <c r="G15" s="57" t="s">
        <v>14</v>
      </c>
      <c r="H15" s="56">
        <v>4.66</v>
      </c>
      <c r="I15" s="56">
        <v>4.21</v>
      </c>
      <c r="J15" s="56">
        <v>0.94</v>
      </c>
      <c r="K15" s="56">
        <v>166.75</v>
      </c>
      <c r="L15" s="56">
        <v>24.51</v>
      </c>
      <c r="M15" s="56">
        <v>72.53</v>
      </c>
      <c r="N15" s="56">
        <v>104.60</v>
      </c>
      <c r="O15" s="56">
        <v>0</v>
      </c>
      <c r="P15" s="56">
        <v>0.24</v>
      </c>
      <c r="Q15" s="56">
        <v>9.3800000000000008</v>
      </c>
      <c r="R15" s="43"/>
      <c r="S15" s="43"/>
      <c r="T15" s="43"/>
      <c r="U15" s="43"/>
    </row>
    <row r="16" spans="1:21" s="11" customFormat="1" ht="15">
      <c r="A16" s="55" t="s">
        <v>477</v>
      </c>
      <c r="B16" s="56">
        <v>2.79</v>
      </c>
      <c r="C16" s="56">
        <v>3.45</v>
      </c>
      <c r="D16" s="56">
        <v>3.95</v>
      </c>
      <c r="E16" s="56">
        <v>1.61</v>
      </c>
      <c r="F16" s="56">
        <v>3.40</v>
      </c>
      <c r="G16" s="57" t="s">
        <v>14</v>
      </c>
      <c r="H16" s="56">
        <v>3.64</v>
      </c>
      <c r="I16" s="56">
        <v>4.84</v>
      </c>
      <c r="J16" s="56">
        <v>1.1599999999999999</v>
      </c>
      <c r="K16" s="56">
        <v>158.41999999999999</v>
      </c>
      <c r="L16" s="56">
        <v>25.76</v>
      </c>
      <c r="M16" s="56">
        <v>72.069999999999993</v>
      </c>
      <c r="N16" s="56">
        <v>355.70</v>
      </c>
      <c r="O16" s="56">
        <v>0</v>
      </c>
      <c r="P16" s="56">
        <v>0.25</v>
      </c>
      <c r="Q16" s="56">
        <v>9.49</v>
      </c>
      <c r="R16" s="43"/>
      <c r="S16" s="43"/>
      <c r="T16" s="43"/>
      <c r="U16" s="43"/>
    </row>
    <row r="17" spans="1:21" s="11" customFormat="1" ht="15">
      <c r="A17" s="55" t="s">
        <v>478</v>
      </c>
      <c r="B17" s="56">
        <v>2.78</v>
      </c>
      <c r="C17" s="56">
        <v>4.16</v>
      </c>
      <c r="D17" s="56">
        <v>4.26</v>
      </c>
      <c r="E17" s="56">
        <v>1.27</v>
      </c>
      <c r="F17" s="56">
        <v>3.60</v>
      </c>
      <c r="G17" s="57" t="s">
        <v>14</v>
      </c>
      <c r="H17" s="56">
        <v>3.71</v>
      </c>
      <c r="I17" s="56">
        <v>5.07</v>
      </c>
      <c r="J17" s="56">
        <v>0.63</v>
      </c>
      <c r="K17" s="56">
        <v>155.44999999999999</v>
      </c>
      <c r="L17" s="56">
        <v>26.88</v>
      </c>
      <c r="M17" s="56">
        <v>66.62</v>
      </c>
      <c r="N17" s="56">
        <v>302</v>
      </c>
      <c r="O17" s="56">
        <v>0</v>
      </c>
      <c r="P17" s="56">
        <v>0.26</v>
      </c>
      <c r="Q17" s="56">
        <v>9.51</v>
      </c>
      <c r="R17" s="43"/>
      <c r="S17" s="43"/>
      <c r="T17" s="43"/>
      <c r="U17" s="43"/>
    </row>
    <row r="18" spans="1:21" s="11" customFormat="1" ht="15">
      <c r="A18" s="55" t="s">
        <v>479</v>
      </c>
      <c r="B18" s="56">
        <v>2.56</v>
      </c>
      <c r="C18" s="56">
        <v>4.99</v>
      </c>
      <c r="D18" s="56">
        <v>4.5</v>
      </c>
      <c r="E18" s="56">
        <v>1.34</v>
      </c>
      <c r="F18" s="56">
        <v>3.91</v>
      </c>
      <c r="G18" s="57" t="s">
        <v>14</v>
      </c>
      <c r="H18" s="56">
        <v>3.23</v>
      </c>
      <c r="I18" s="56">
        <v>5.09</v>
      </c>
      <c r="J18" s="56">
        <v>0.71</v>
      </c>
      <c r="K18" s="56">
        <v>170.67</v>
      </c>
      <c r="L18" s="56">
        <v>26.89</v>
      </c>
      <c r="M18" s="56">
        <v>66.430000000000007</v>
      </c>
      <c r="N18" s="56">
        <v>271.39999999999998</v>
      </c>
      <c r="O18" s="56">
        <v>0</v>
      </c>
      <c r="P18" s="56">
        <v>0.27</v>
      </c>
      <c r="Q18" s="56">
        <v>9.48</v>
      </c>
      <c r="R18" s="43"/>
      <c r="S18" s="43"/>
      <c r="T18" s="43"/>
      <c r="U18" s="43"/>
    </row>
    <row r="19" spans="1:21" s="11" customFormat="1" ht="15">
      <c r="A19" s="55" t="s">
        <v>480</v>
      </c>
      <c r="B19" s="56">
        <v>2.23</v>
      </c>
      <c r="C19" s="56">
        <v>4.82</v>
      </c>
      <c r="D19" s="56">
        <v>4.12</v>
      </c>
      <c r="E19" s="56">
        <v>2.04</v>
      </c>
      <c r="F19" s="56">
        <v>18.149999999999999</v>
      </c>
      <c r="G19" s="57" t="s">
        <v>14</v>
      </c>
      <c r="H19" s="56">
        <v>3.25</v>
      </c>
      <c r="I19" s="56">
        <v>4.8899999999999997</v>
      </c>
      <c r="J19" s="56">
        <v>1.1399999999999999</v>
      </c>
      <c r="K19" s="56">
        <v>183.61</v>
      </c>
      <c r="L19" s="56">
        <v>28.30</v>
      </c>
      <c r="M19" s="56">
        <v>63.37</v>
      </c>
      <c r="N19" s="56">
        <v>537.5</v>
      </c>
      <c r="O19" s="56">
        <v>0</v>
      </c>
      <c r="P19" s="56">
        <v>0.27</v>
      </c>
      <c r="Q19" s="56">
        <v>9.41</v>
      </c>
      <c r="R19" s="43"/>
      <c r="S19" s="43"/>
      <c r="T19" s="43"/>
      <c r="U19" s="43"/>
    </row>
    <row r="20" spans="1:21" s="11" customFormat="1" ht="15">
      <c r="A20" s="55" t="s">
        <v>481</v>
      </c>
      <c r="B20" s="56">
        <v>1.23</v>
      </c>
      <c r="C20" s="56">
        <v>3.03</v>
      </c>
      <c r="D20" s="56">
        <v>2.39</v>
      </c>
      <c r="E20" s="56">
        <v>2.16</v>
      </c>
      <c r="F20" s="56">
        <v>11.01</v>
      </c>
      <c r="G20" s="56">
        <v>23.37</v>
      </c>
      <c r="H20" s="56">
        <v>10.39</v>
      </c>
      <c r="I20" s="56">
        <v>3.82</v>
      </c>
      <c r="J20" s="56">
        <v>0.32</v>
      </c>
      <c r="K20" s="56">
        <v>184.56</v>
      </c>
      <c r="L20" s="56">
        <v>28.64</v>
      </c>
      <c r="M20" s="56">
        <v>59.69</v>
      </c>
      <c r="N20" s="56">
        <v>490</v>
      </c>
      <c r="O20" s="56">
        <v>0</v>
      </c>
      <c r="P20" s="56">
        <v>0.23</v>
      </c>
      <c r="Q20" s="56">
        <v>9.2899999999999991</v>
      </c>
      <c r="R20" s="43"/>
      <c r="S20" s="43"/>
      <c r="T20" s="43"/>
      <c r="U20" s="43"/>
    </row>
    <row r="21" spans="1:21" s="11" customFormat="1" ht="15">
      <c r="A21" s="55" t="s">
        <v>482</v>
      </c>
      <c r="B21" s="56">
        <v>1.35</v>
      </c>
      <c r="C21" s="56">
        <v>3.18</v>
      </c>
      <c r="D21" s="56">
        <v>2.66</v>
      </c>
      <c r="E21" s="56">
        <v>2.23</v>
      </c>
      <c r="F21" s="56">
        <v>5.25</v>
      </c>
      <c r="G21" s="56">
        <v>29.67</v>
      </c>
      <c r="H21" s="56">
        <v>11</v>
      </c>
      <c r="I21" s="56">
        <v>3.12</v>
      </c>
      <c r="J21" s="56">
        <v>0.87</v>
      </c>
      <c r="K21" s="56">
        <v>156.58000000000001</v>
      </c>
      <c r="L21" s="56">
        <v>30.30</v>
      </c>
      <c r="M21" s="56">
        <v>57.45</v>
      </c>
      <c r="N21" s="56">
        <v>706.5</v>
      </c>
      <c r="O21" s="56">
        <v>0</v>
      </c>
      <c r="P21" s="56">
        <v>0.24</v>
      </c>
      <c r="Q21" s="56">
        <v>9.39</v>
      </c>
      <c r="R21" s="43"/>
      <c r="S21" s="43"/>
      <c r="T21" s="43"/>
      <c r="U21" s="43"/>
    </row>
    <row r="22" spans="1:21" s="11" customFormat="1" ht="15">
      <c r="A22" s="55" t="s">
        <v>483</v>
      </c>
      <c r="B22" s="56">
        <v>1.27</v>
      </c>
      <c r="C22" s="56">
        <v>4.05</v>
      </c>
      <c r="D22" s="56">
        <v>3.01</v>
      </c>
      <c r="E22" s="56">
        <v>3.41</v>
      </c>
      <c r="F22" s="56">
        <v>8.64</v>
      </c>
      <c r="G22" s="56">
        <v>30.80</v>
      </c>
      <c r="H22" s="56">
        <v>12.21</v>
      </c>
      <c r="I22" s="56">
        <v>3.5</v>
      </c>
      <c r="J22" s="56">
        <v>0.22</v>
      </c>
      <c r="K22" s="56">
        <v>312.11</v>
      </c>
      <c r="L22" s="56">
        <v>32.47</v>
      </c>
      <c r="M22" s="56">
        <v>52.88</v>
      </c>
      <c r="N22" s="56">
        <v>759.70</v>
      </c>
      <c r="O22" s="56">
        <v>0</v>
      </c>
      <c r="P22" s="56">
        <v>0.28999999999999998</v>
      </c>
      <c r="Q22" s="56">
        <v>9.4600000000000009</v>
      </c>
      <c r="R22" s="43"/>
      <c r="S22" s="43"/>
      <c r="T22" s="43"/>
      <c r="U22" s="43"/>
    </row>
    <row r="23" spans="1:21" s="11" customFormat="1" ht="15">
      <c r="A23" s="55" t="s">
        <v>484</v>
      </c>
      <c r="B23" s="56">
        <v>1.40</v>
      </c>
      <c r="C23" s="56">
        <v>3.59</v>
      </c>
      <c r="D23" s="56">
        <v>2.86</v>
      </c>
      <c r="E23" s="56">
        <v>2.35</v>
      </c>
      <c r="F23" s="56">
        <v>4.82</v>
      </c>
      <c r="G23" s="56">
        <v>30.84</v>
      </c>
      <c r="H23" s="56">
        <v>14.27</v>
      </c>
      <c r="I23" s="56">
        <v>2.97</v>
      </c>
      <c r="J23" s="56">
        <v>0.36</v>
      </c>
      <c r="K23" s="56">
        <v>320.55</v>
      </c>
      <c r="L23" s="56">
        <v>33.409999999999997</v>
      </c>
      <c r="M23" s="56">
        <v>42.41</v>
      </c>
      <c r="N23" s="56">
        <v>525.70000000000005</v>
      </c>
      <c r="O23" s="56">
        <v>0</v>
      </c>
      <c r="P23" s="56">
        <v>0.28999999999999998</v>
      </c>
      <c r="Q23" s="56">
        <v>9.36</v>
      </c>
      <c r="R23" s="43"/>
      <c r="S23" s="43"/>
      <c r="T23" s="43"/>
      <c r="U23" s="43"/>
    </row>
    <row r="24" spans="1:21" s="11" customFormat="1" ht="15">
      <c r="A24" s="55" t="s">
        <v>485</v>
      </c>
      <c r="B24" s="56">
        <v>1.52</v>
      </c>
      <c r="C24" s="56">
        <v>4.17</v>
      </c>
      <c r="D24" s="56">
        <v>3.32</v>
      </c>
      <c r="E24" s="56">
        <v>2.12</v>
      </c>
      <c r="F24" s="56">
        <v>4.79</v>
      </c>
      <c r="G24" s="56">
        <v>25.52</v>
      </c>
      <c r="H24" s="56">
        <v>14.38</v>
      </c>
      <c r="I24" s="56">
        <v>3.68</v>
      </c>
      <c r="J24" s="56">
        <v>0.66</v>
      </c>
      <c r="K24" s="56">
        <v>340.56</v>
      </c>
      <c r="L24" s="56">
        <v>33.57</v>
      </c>
      <c r="M24" s="56">
        <v>40.99</v>
      </c>
      <c r="N24" s="56">
        <v>249.5</v>
      </c>
      <c r="O24" s="56">
        <v>0</v>
      </c>
      <c r="P24" s="56">
        <v>0.31</v>
      </c>
      <c r="Q24" s="56">
        <v>9.39</v>
      </c>
      <c r="R24" s="43"/>
      <c r="S24" s="43"/>
      <c r="T24" s="43"/>
      <c r="U24" s="43"/>
    </row>
    <row r="25" spans="1:21" s="11" customFormat="1" ht="15">
      <c r="A25" s="55" t="s">
        <v>486</v>
      </c>
      <c r="B25" s="56">
        <v>1.38</v>
      </c>
      <c r="C25" s="56">
        <v>3.72</v>
      </c>
      <c r="D25" s="56">
        <v>2.95</v>
      </c>
      <c r="E25" s="56">
        <v>0.86</v>
      </c>
      <c r="F25" s="56">
        <v>6.65</v>
      </c>
      <c r="G25" s="56">
        <v>16.989999999999998</v>
      </c>
      <c r="H25" s="56">
        <v>10.86</v>
      </c>
      <c r="I25" s="56">
        <v>5.31</v>
      </c>
      <c r="J25" s="56">
        <v>0.73</v>
      </c>
      <c r="K25" s="56">
        <v>104.17</v>
      </c>
      <c r="L25" s="56">
        <v>32.700000000000003</v>
      </c>
      <c r="M25" s="56">
        <v>38.880000000000003</v>
      </c>
      <c r="N25" s="56">
        <v>172.20</v>
      </c>
      <c r="O25" s="56">
        <v>0</v>
      </c>
      <c r="P25" s="56">
        <v>0.33</v>
      </c>
      <c r="Q25" s="56">
        <v>9.40</v>
      </c>
      <c r="R25" s="43"/>
      <c r="S25" s="43"/>
      <c r="T25" s="43"/>
      <c r="U25" s="43"/>
    </row>
    <row r="26" spans="1:21" s="11" customFormat="1" ht="15">
      <c r="A26" s="55" t="s">
        <v>487</v>
      </c>
      <c r="B26" s="56">
        <v>1.42</v>
      </c>
      <c r="C26" s="56">
        <v>4.38</v>
      </c>
      <c r="D26" s="56">
        <v>3.27</v>
      </c>
      <c r="E26" s="56">
        <v>1.0900000000000001</v>
      </c>
      <c r="F26" s="56">
        <v>6</v>
      </c>
      <c r="G26" s="56">
        <v>20.56</v>
      </c>
      <c r="H26" s="56">
        <v>10.87</v>
      </c>
      <c r="I26" s="56">
        <v>5.89</v>
      </c>
      <c r="J26" s="56">
        <v>0.96</v>
      </c>
      <c r="K26" s="56">
        <v>150.97</v>
      </c>
      <c r="L26" s="56">
        <v>31.42</v>
      </c>
      <c r="M26" s="56">
        <v>42.82</v>
      </c>
      <c r="N26" s="56">
        <v>108.40</v>
      </c>
      <c r="O26" s="56">
        <v>0</v>
      </c>
      <c r="P26" s="56">
        <v>0.34</v>
      </c>
      <c r="Q26" s="56">
        <v>9.41</v>
      </c>
      <c r="R26" s="43"/>
      <c r="S26" s="43"/>
      <c r="T26" s="43"/>
      <c r="U26" s="43"/>
    </row>
    <row r="27" spans="1:21" s="11" customFormat="1" ht="15">
      <c r="A27" s="55" t="s">
        <v>488</v>
      </c>
      <c r="B27" s="56">
        <v>1.36</v>
      </c>
      <c r="C27" s="56">
        <v>4.75</v>
      </c>
      <c r="D27" s="56">
        <v>3.44</v>
      </c>
      <c r="E27" s="56">
        <v>1.07</v>
      </c>
      <c r="F27" s="56">
        <v>5.31</v>
      </c>
      <c r="G27" s="56">
        <v>35.47</v>
      </c>
      <c r="H27" s="56">
        <v>10.90</v>
      </c>
      <c r="I27" s="56">
        <v>5.66</v>
      </c>
      <c r="J27" s="56">
        <v>1.05</v>
      </c>
      <c r="K27" s="56">
        <v>169.06</v>
      </c>
      <c r="L27" s="56">
        <v>30.62</v>
      </c>
      <c r="M27" s="56">
        <v>43.78</v>
      </c>
      <c r="N27" s="56">
        <v>32.799999999999997</v>
      </c>
      <c r="O27" s="56">
        <v>0</v>
      </c>
      <c r="P27" s="56">
        <v>0.35</v>
      </c>
      <c r="Q27" s="56">
        <v>9.4600000000000009</v>
      </c>
      <c r="R27" s="43"/>
      <c r="S27" s="43"/>
      <c r="T27" s="43"/>
      <c r="U27" s="43"/>
    </row>
    <row r="28" spans="1:21" s="11" customFormat="1" ht="15">
      <c r="A28" s="55" t="s">
        <v>489</v>
      </c>
      <c r="B28" s="56">
        <v>1.5</v>
      </c>
      <c r="C28" s="56">
        <v>4.51</v>
      </c>
      <c r="D28" s="56">
        <v>3.40</v>
      </c>
      <c r="E28" s="56">
        <v>1.1599999999999999</v>
      </c>
      <c r="F28" s="56">
        <v>3.98</v>
      </c>
      <c r="G28" s="56">
        <v>36.340000000000003</v>
      </c>
      <c r="H28" s="56">
        <v>11.05</v>
      </c>
      <c r="I28" s="56">
        <v>5.76</v>
      </c>
      <c r="J28" s="56">
        <v>2.64</v>
      </c>
      <c r="K28" s="56">
        <v>162.75</v>
      </c>
      <c r="L28" s="56">
        <v>30.21</v>
      </c>
      <c r="M28" s="56">
        <v>56.04</v>
      </c>
      <c r="N28" s="56">
        <v>27.60</v>
      </c>
      <c r="O28" s="56">
        <v>0</v>
      </c>
      <c r="P28" s="56">
        <v>0.35</v>
      </c>
      <c r="Q28" s="56">
        <v>9.3699999999999992</v>
      </c>
      <c r="R28" s="43"/>
      <c r="S28" s="43"/>
      <c r="T28" s="43"/>
      <c r="U28" s="43"/>
    </row>
    <row r="29" spans="1:21" s="11" customFormat="1" ht="15">
      <c r="A29" s="55" t="s">
        <v>490</v>
      </c>
      <c r="B29" s="56">
        <v>1.53</v>
      </c>
      <c r="C29" s="56">
        <v>4.3899999999999997</v>
      </c>
      <c r="D29" s="56">
        <v>3.42</v>
      </c>
      <c r="E29" s="56">
        <v>0.92</v>
      </c>
      <c r="F29" s="56">
        <v>4.34</v>
      </c>
      <c r="G29" s="56">
        <v>37.31</v>
      </c>
      <c r="H29" s="56">
        <v>11.05</v>
      </c>
      <c r="I29" s="56">
        <v>5.5</v>
      </c>
      <c r="J29" s="56">
        <v>2.64</v>
      </c>
      <c r="K29" s="56">
        <v>152.53</v>
      </c>
      <c r="L29" s="56">
        <v>26.64</v>
      </c>
      <c r="M29" s="56">
        <v>67.489999999999995</v>
      </c>
      <c r="N29" s="56">
        <v>25.5</v>
      </c>
      <c r="O29" s="56">
        <v>0</v>
      </c>
      <c r="P29" s="56">
        <v>0.33</v>
      </c>
      <c r="Q29" s="56">
        <v>9.39</v>
      </c>
      <c r="R29" s="43"/>
      <c r="S29" s="43"/>
      <c r="T29" s="43"/>
      <c r="U29" s="43"/>
    </row>
    <row r="30" spans="1:21" s="11" customFormat="1" ht="15">
      <c r="A30" s="55" t="s">
        <v>491</v>
      </c>
      <c r="B30" s="56">
        <v>1.57</v>
      </c>
      <c r="C30" s="56">
        <v>3.24</v>
      </c>
      <c r="D30" s="56">
        <v>2.87</v>
      </c>
      <c r="E30" s="56">
        <v>0.74</v>
      </c>
      <c r="F30" s="56">
        <v>3.74</v>
      </c>
      <c r="G30" s="56">
        <v>37.40</v>
      </c>
      <c r="H30" s="56">
        <v>9.19</v>
      </c>
      <c r="I30" s="56">
        <v>4.71</v>
      </c>
      <c r="J30" s="56">
        <v>1.93</v>
      </c>
      <c r="K30" s="56">
        <v>158.53</v>
      </c>
      <c r="L30" s="56">
        <v>25.53</v>
      </c>
      <c r="M30" s="56">
        <v>71.98</v>
      </c>
      <c r="N30" s="56">
        <v>24.90</v>
      </c>
      <c r="O30" s="56">
        <v>0</v>
      </c>
      <c r="P30" s="56">
        <v>0.28999999999999998</v>
      </c>
      <c r="Q30" s="56">
        <v>9.4600000000000009</v>
      </c>
      <c r="R30" s="43"/>
      <c r="S30" s="43"/>
      <c r="T30" s="43"/>
      <c r="U30" s="43"/>
    </row>
    <row r="31" spans="1:21" s="11" customFormat="1" ht="15">
      <c r="A31" s="55" t="s">
        <v>492</v>
      </c>
      <c r="B31" s="56">
        <v>1.67</v>
      </c>
      <c r="C31" s="56">
        <v>2.98</v>
      </c>
      <c r="D31" s="56">
        <v>2.81</v>
      </c>
      <c r="E31" s="56">
        <v>0.85</v>
      </c>
      <c r="F31" s="56">
        <v>3.68</v>
      </c>
      <c r="G31" s="56">
        <v>27.04</v>
      </c>
      <c r="H31" s="56">
        <v>8.86</v>
      </c>
      <c r="I31" s="56">
        <v>4.07</v>
      </c>
      <c r="J31" s="56">
        <v>1.1499999999999999</v>
      </c>
      <c r="K31" s="56">
        <v>190.88</v>
      </c>
      <c r="L31" s="56">
        <v>24.74</v>
      </c>
      <c r="M31" s="56">
        <v>76.73</v>
      </c>
      <c r="N31" s="56">
        <v>25.20</v>
      </c>
      <c r="O31" s="56">
        <v>0</v>
      </c>
      <c r="P31" s="56">
        <v>0.26</v>
      </c>
      <c r="Q31" s="56">
        <v>9.4700000000000006</v>
      </c>
      <c r="R31" s="43"/>
      <c r="S31" s="43"/>
      <c r="T31" s="43"/>
      <c r="U31" s="43"/>
    </row>
    <row r="32" spans="1:21" s="11" customFormat="1" ht="15">
      <c r="A32" s="55" t="s">
        <v>493</v>
      </c>
      <c r="B32" s="56">
        <v>1.74</v>
      </c>
      <c r="C32" s="56">
        <v>2.92</v>
      </c>
      <c r="D32" s="56">
        <v>2.82</v>
      </c>
      <c r="E32" s="56">
        <v>1.02</v>
      </c>
      <c r="F32" s="56">
        <v>3.84</v>
      </c>
      <c r="G32" s="56">
        <v>23.14</v>
      </c>
      <c r="H32" s="56">
        <v>6.21</v>
      </c>
      <c r="I32" s="56">
        <v>3.40</v>
      </c>
      <c r="J32" s="56">
        <v>0.76</v>
      </c>
      <c r="K32" s="56">
        <v>189.28</v>
      </c>
      <c r="L32" s="56">
        <v>24.14</v>
      </c>
      <c r="M32" s="56">
        <v>78.37</v>
      </c>
      <c r="N32" s="56">
        <v>25.60</v>
      </c>
      <c r="O32" s="56">
        <v>0</v>
      </c>
      <c r="P32" s="56">
        <v>0.25</v>
      </c>
      <c r="Q32" s="56">
        <v>9.35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1.23</v>
      </c>
      <c r="C34" s="28">
        <f t="shared" si="0"/>
        <v>2.6000000000000001</v>
      </c>
      <c r="D34" s="28">
        <f t="shared" si="0"/>
        <v>2.3900000000000001</v>
      </c>
      <c r="E34" s="28">
        <f t="shared" si="0"/>
        <v>0.73999999999999999</v>
      </c>
      <c r="F34" s="28">
        <f t="shared" si="0"/>
        <v>3.3300000000000001</v>
      </c>
      <c r="G34" s="28">
        <f t="shared" si="0"/>
        <v>16.989999999999998</v>
      </c>
      <c r="H34" s="28">
        <f t="shared" si="0"/>
        <v>3.23</v>
      </c>
      <c r="I34" s="28">
        <f t="shared" si="0"/>
        <v>2.9700000000000002</v>
      </c>
      <c r="J34" s="28">
        <f t="shared" si="0"/>
        <v>0.22</v>
      </c>
      <c r="K34" s="28">
        <f t="shared" si="0"/>
        <v>104.17</v>
      </c>
      <c r="L34" s="28">
        <f t="shared" si="0"/>
        <v>24.100000000000001</v>
      </c>
      <c r="M34" s="28">
        <f t="shared" si="0"/>
        <v>38.880000000000003</v>
      </c>
      <c r="N34" s="28">
        <f t="shared" si="0"/>
        <v>24.899999999999999</v>
      </c>
      <c r="O34" s="28">
        <f t="shared" si="0"/>
        <v>0</v>
      </c>
      <c r="P34" s="28">
        <f t="shared" si="0"/>
        <v>0.23000000000000001</v>
      </c>
      <c r="Q34" s="28">
        <f t="shared" si="0"/>
        <v>9.2799999999999994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2.79</v>
      </c>
      <c r="C35" s="29">
        <f t="shared" si="1"/>
        <v>4.9900000000000002</v>
      </c>
      <c r="D35" s="29">
        <f t="shared" si="1"/>
        <v>4.5</v>
      </c>
      <c r="E35" s="29">
        <f t="shared" si="1"/>
        <v>3.4100000000000001</v>
      </c>
      <c r="F35" s="29">
        <f t="shared" si="1"/>
        <v>18.149999999999999</v>
      </c>
      <c r="G35" s="29">
        <f t="shared" si="1"/>
        <v>37.399999999999999</v>
      </c>
      <c r="H35" s="29">
        <f t="shared" si="1"/>
        <v>14.380000000000001</v>
      </c>
      <c r="I35" s="29">
        <f t="shared" si="1"/>
        <v>5.8899999999999997</v>
      </c>
      <c r="J35" s="29">
        <f t="shared" si="1"/>
        <v>2.6400000000000001</v>
      </c>
      <c r="K35" s="29">
        <f t="shared" si="1"/>
        <v>349.70999999999998</v>
      </c>
      <c r="L35" s="29">
        <f t="shared" si="1"/>
        <v>33.57</v>
      </c>
      <c r="M35" s="29">
        <f t="shared" si="1"/>
        <v>78.370000000000005</v>
      </c>
      <c r="N35" s="29">
        <f t="shared" si="1"/>
        <v>759.70000000000005</v>
      </c>
      <c r="O35" s="29">
        <f t="shared" si="1"/>
        <v>0</v>
      </c>
      <c r="P35" s="29">
        <f t="shared" si="1"/>
        <v>0.40000000000000002</v>
      </c>
      <c r="Q35" s="29">
        <f t="shared" si="1"/>
        <v>9.5099999999999998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1.7945833333333336</v>
      </c>
      <c r="C36" s="28">
        <f t="shared" si="2"/>
        <v>3.7270833333333333</v>
      </c>
      <c r="D36" s="28">
        <f t="shared" si="2"/>
        <v>3.2641666666666667</v>
      </c>
      <c r="E36" s="28">
        <f t="shared" si="2"/>
        <v>1.562916666666667</v>
      </c>
      <c r="F36" s="28">
        <f t="shared" si="2"/>
        <v>5.3433333333333337</v>
      </c>
      <c r="G36" s="28">
        <f t="shared" si="2"/>
        <v>28.803846153846152</v>
      </c>
      <c r="H36" s="28">
        <f t="shared" si="2"/>
        <v>8.5183333333333344</v>
      </c>
      <c r="I36" s="28">
        <f t="shared" si="2"/>
        <v>4.4379166666666672</v>
      </c>
      <c r="J36" s="28">
        <f t="shared" si="2"/>
        <v>0.93625000000000014</v>
      </c>
      <c r="K36" s="28">
        <f t="shared" si="2"/>
        <v>210.7558333333333</v>
      </c>
      <c r="L36" s="28">
        <f t="shared" si="2"/>
        <v>27.665416666666662</v>
      </c>
      <c r="M36" s="28">
        <f t="shared" si="2"/>
        <v>62.645833333333336</v>
      </c>
      <c r="N36" s="28">
        <f t="shared" si="2"/>
        <v>207.71249999999998</v>
      </c>
      <c r="O36" s="28">
        <f t="shared" si="2"/>
        <v>0</v>
      </c>
      <c r="P36" s="28">
        <f t="shared" si="2"/>
        <v>0.2870833333333333</v>
      </c>
      <c r="Q36" s="28">
        <f t="shared" si="2"/>
        <v>9.401250000000001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0.50061682966608989</v>
      </c>
      <c r="C37" s="28">
        <f t="shared" si="3" ref="C37:Q37">STDEV(C9:C32)</f>
        <v>0.70067345968108019</v>
      </c>
      <c r="D37" s="28">
        <f t="shared" si="3"/>
        <v>0.59459095670645523</v>
      </c>
      <c r="E37" s="28">
        <f t="shared" si="3"/>
        <v>0.61511030588488536</v>
      </c>
      <c r="F37" s="28">
        <f t="shared" si="3"/>
        <v>3.2639448879973534</v>
      </c>
      <c r="G37" s="28">
        <f t="shared" si="3"/>
        <v>6.7044084233951997</v>
      </c>
      <c r="H37" s="28">
        <f t="shared" si="3"/>
        <v>3.574740691923366</v>
      </c>
      <c r="I37" s="28">
        <f t="shared" si="3"/>
        <v>0.87740218910672141</v>
      </c>
      <c r="J37" s="28">
        <f t="shared" si="3"/>
        <v>0.64077950151765706</v>
      </c>
      <c r="K37" s="28">
        <f t="shared" si="3"/>
        <v>72.970393812754068</v>
      </c>
      <c r="L37" s="28">
        <f t="shared" si="3"/>
        <v>3.3319846275112464</v>
      </c>
      <c r="M37" s="28">
        <f t="shared" si="3"/>
        <v>12.695154130840496</v>
      </c>
      <c r="N37" s="28">
        <f t="shared" si="3"/>
        <v>234.68785432440103</v>
      </c>
      <c r="O37" s="28">
        <f t="shared" si="3"/>
        <v>0</v>
      </c>
      <c r="P37" s="28">
        <f t="shared" si="3"/>
        <v>0.045058335779170171</v>
      </c>
      <c r="Q37" s="28">
        <f t="shared" si="3"/>
        <v>0.058852246826453292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COUNT(G9:G32)+11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97ea4e-00c2-4e7b-8cf4-743cb8ef203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494</v>
      </c>
      <c r="B9" s="56">
        <v>1.75</v>
      </c>
      <c r="C9" s="56">
        <v>2.81</v>
      </c>
      <c r="D9" s="56">
        <v>2.79</v>
      </c>
      <c r="E9" s="56">
        <v>1.37</v>
      </c>
      <c r="F9" s="56">
        <v>3.87</v>
      </c>
      <c r="G9" s="56">
        <v>15.31</v>
      </c>
      <c r="H9" s="56">
        <v>4.6399999999999997</v>
      </c>
      <c r="I9" s="56">
        <v>3.21</v>
      </c>
      <c r="J9" s="56">
        <v>1.95</v>
      </c>
      <c r="K9" s="56">
        <v>153.21</v>
      </c>
      <c r="L9" s="56">
        <v>23.83</v>
      </c>
      <c r="M9" s="56">
        <v>78.72</v>
      </c>
      <c r="N9" s="56">
        <v>25.90</v>
      </c>
      <c r="O9" s="56">
        <v>0</v>
      </c>
      <c r="P9" s="56">
        <v>0.24</v>
      </c>
      <c r="Q9" s="56">
        <v>9.2899999999999991</v>
      </c>
      <c r="R9" s="43"/>
      <c r="S9" s="43"/>
      <c r="T9" s="43"/>
      <c r="U9" s="43"/>
    </row>
    <row r="10" spans="1:21" s="11" customFormat="1" ht="15">
      <c r="A10" s="55" t="s">
        <v>495</v>
      </c>
      <c r="B10" s="56">
        <v>1.73</v>
      </c>
      <c r="C10" s="56">
        <v>2.15</v>
      </c>
      <c r="D10" s="56">
        <v>2.4300000000000002</v>
      </c>
      <c r="E10" s="56">
        <v>1.1200000000000001</v>
      </c>
      <c r="F10" s="56">
        <v>3.60</v>
      </c>
      <c r="G10" s="56">
        <v>12.22</v>
      </c>
      <c r="H10" s="56">
        <v>3.34</v>
      </c>
      <c r="I10" s="56">
        <v>2.89</v>
      </c>
      <c r="J10" s="56">
        <v>1.77</v>
      </c>
      <c r="K10" s="56">
        <v>201.45</v>
      </c>
      <c r="L10" s="56">
        <v>23.78</v>
      </c>
      <c r="M10" s="56">
        <v>78.900000000000006</v>
      </c>
      <c r="N10" s="56">
        <v>26.40</v>
      </c>
      <c r="O10" s="56">
        <v>0</v>
      </c>
      <c r="P10" s="56">
        <v>0.21</v>
      </c>
      <c r="Q10" s="56">
        <v>9.34</v>
      </c>
      <c r="R10" s="43"/>
      <c r="S10" s="43"/>
      <c r="T10" s="43"/>
      <c r="U10" s="43"/>
    </row>
    <row r="11" spans="1:21" s="11" customFormat="1" ht="15">
      <c r="A11" s="55" t="s">
        <v>496</v>
      </c>
      <c r="B11" s="56">
        <v>1.73</v>
      </c>
      <c r="C11" s="56">
        <v>2.15</v>
      </c>
      <c r="D11" s="56">
        <v>2.42</v>
      </c>
      <c r="E11" s="56">
        <v>0.98</v>
      </c>
      <c r="F11" s="56">
        <v>3.83</v>
      </c>
      <c r="G11" s="56">
        <v>12.18</v>
      </c>
      <c r="H11" s="56">
        <v>3.48</v>
      </c>
      <c r="I11" s="56">
        <v>2.99</v>
      </c>
      <c r="J11" s="56">
        <v>1.56</v>
      </c>
      <c r="K11" s="56">
        <v>159.96</v>
      </c>
      <c r="L11" s="56">
        <v>23.34</v>
      </c>
      <c r="M11" s="56">
        <v>81.069999999999993</v>
      </c>
      <c r="N11" s="56">
        <v>26.90</v>
      </c>
      <c r="O11" s="56">
        <v>0</v>
      </c>
      <c r="P11" s="56">
        <v>0.21</v>
      </c>
      <c r="Q11" s="56">
        <v>9.3699999999999992</v>
      </c>
      <c r="R11" s="43"/>
      <c r="S11" s="43"/>
      <c r="T11" s="43"/>
      <c r="U11" s="43"/>
    </row>
    <row r="12" spans="1:21" s="11" customFormat="1" ht="15">
      <c r="A12" s="55" t="s">
        <v>497</v>
      </c>
      <c r="B12" s="56">
        <v>1.76</v>
      </c>
      <c r="C12" s="56">
        <v>2.27</v>
      </c>
      <c r="D12" s="56">
        <v>2.52</v>
      </c>
      <c r="E12" s="56">
        <v>2.40</v>
      </c>
      <c r="F12" s="56">
        <v>3.81</v>
      </c>
      <c r="G12" s="56">
        <v>11.45</v>
      </c>
      <c r="H12" s="56">
        <v>3.55</v>
      </c>
      <c r="I12" s="56">
        <v>2.96</v>
      </c>
      <c r="J12" s="56">
        <v>0.30</v>
      </c>
      <c r="K12" s="56">
        <v>233.81</v>
      </c>
      <c r="L12" s="56">
        <v>23.21</v>
      </c>
      <c r="M12" s="56">
        <v>83</v>
      </c>
      <c r="N12" s="56">
        <v>27.5</v>
      </c>
      <c r="O12" s="56">
        <v>0</v>
      </c>
      <c r="P12" s="56">
        <v>0.19</v>
      </c>
      <c r="Q12" s="56">
        <v>9.32</v>
      </c>
      <c r="R12" s="43"/>
      <c r="S12" s="43"/>
      <c r="T12" s="43"/>
      <c r="U12" s="43"/>
    </row>
    <row r="13" spans="1:21" s="11" customFormat="1" ht="15">
      <c r="A13" s="55" t="s">
        <v>498</v>
      </c>
      <c r="B13" s="56">
        <v>1.90</v>
      </c>
      <c r="C13" s="56">
        <v>2.4300000000000002</v>
      </c>
      <c r="D13" s="56">
        <v>2.71</v>
      </c>
      <c r="E13" s="56">
        <v>1.51</v>
      </c>
      <c r="F13" s="56">
        <v>3.61</v>
      </c>
      <c r="G13" s="56">
        <v>10.28</v>
      </c>
      <c r="H13" s="56">
        <v>2.71</v>
      </c>
      <c r="I13" s="56">
        <v>2.85</v>
      </c>
      <c r="J13" s="56">
        <v>0.12</v>
      </c>
      <c r="K13" s="56">
        <v>275.45999999999998</v>
      </c>
      <c r="L13" s="56">
        <v>22.71</v>
      </c>
      <c r="M13" s="56">
        <v>83.64</v>
      </c>
      <c r="N13" s="56">
        <v>27.80</v>
      </c>
      <c r="O13" s="56">
        <v>0</v>
      </c>
      <c r="P13" s="56">
        <v>0.19</v>
      </c>
      <c r="Q13" s="56">
        <v>9.2899999999999991</v>
      </c>
      <c r="R13" s="43"/>
      <c r="S13" s="43"/>
      <c r="T13" s="43"/>
      <c r="U13" s="43"/>
    </row>
    <row r="14" spans="1:21" s="11" customFormat="1" ht="15">
      <c r="A14" s="55" t="s">
        <v>499</v>
      </c>
      <c r="B14" s="56">
        <v>2.09</v>
      </c>
      <c r="C14" s="56">
        <v>2.80</v>
      </c>
      <c r="D14" s="56">
        <v>3.06</v>
      </c>
      <c r="E14" s="56">
        <v>1.35</v>
      </c>
      <c r="F14" s="56">
        <v>4.04</v>
      </c>
      <c r="G14" s="56">
        <v>13.98</v>
      </c>
      <c r="H14" s="56">
        <v>3.78</v>
      </c>
      <c r="I14" s="56">
        <v>2.79</v>
      </c>
      <c r="J14" s="56">
        <v>0.18</v>
      </c>
      <c r="K14" s="56">
        <v>342.22</v>
      </c>
      <c r="L14" s="56">
        <v>23.46</v>
      </c>
      <c r="M14" s="56">
        <v>81.819999999999993</v>
      </c>
      <c r="N14" s="56">
        <v>87.80</v>
      </c>
      <c r="O14" s="56">
        <v>0</v>
      </c>
      <c r="P14" s="56">
        <v>0.20</v>
      </c>
      <c r="Q14" s="56">
        <v>9.31</v>
      </c>
      <c r="R14" s="43"/>
      <c r="S14" s="43"/>
      <c r="T14" s="43"/>
      <c r="U14" s="43"/>
    </row>
    <row r="15" spans="1:21" s="11" customFormat="1" ht="15">
      <c r="A15" s="55" t="s">
        <v>500</v>
      </c>
      <c r="B15" s="56">
        <v>2.12</v>
      </c>
      <c r="C15" s="56">
        <v>2.88</v>
      </c>
      <c r="D15" s="56">
        <v>3.11</v>
      </c>
      <c r="E15" s="56">
        <v>1.77</v>
      </c>
      <c r="F15" s="56">
        <v>3.48</v>
      </c>
      <c r="G15" s="56">
        <v>14.19</v>
      </c>
      <c r="H15" s="56">
        <v>3.84</v>
      </c>
      <c r="I15" s="56">
        <v>3.22</v>
      </c>
      <c r="J15" s="56">
        <v>0.08</v>
      </c>
      <c r="K15" s="56">
        <v>353.15</v>
      </c>
      <c r="L15" s="56">
        <v>25.17</v>
      </c>
      <c r="M15" s="56">
        <v>78.22</v>
      </c>
      <c r="N15" s="56">
        <v>206.20</v>
      </c>
      <c r="O15" s="56">
        <v>0</v>
      </c>
      <c r="P15" s="56">
        <v>0.23</v>
      </c>
      <c r="Q15" s="56">
        <v>9.33</v>
      </c>
      <c r="R15" s="43"/>
      <c r="S15" s="43"/>
      <c r="T15" s="43"/>
      <c r="U15" s="43"/>
    </row>
    <row r="16" spans="1:21" s="11" customFormat="1" ht="15">
      <c r="A16" s="55" t="s">
        <v>501</v>
      </c>
      <c r="B16" s="56">
        <v>2.23</v>
      </c>
      <c r="C16" s="56">
        <v>3.5</v>
      </c>
      <c r="D16" s="56">
        <v>3.53</v>
      </c>
      <c r="E16" s="56">
        <v>1.63</v>
      </c>
      <c r="F16" s="56">
        <v>3.99</v>
      </c>
      <c r="G16" s="56">
        <v>14.31</v>
      </c>
      <c r="H16" s="56">
        <v>3.09</v>
      </c>
      <c r="I16" s="56">
        <v>3.36</v>
      </c>
      <c r="J16" s="56">
        <v>0.19</v>
      </c>
      <c r="K16" s="56">
        <v>341.93</v>
      </c>
      <c r="L16" s="56">
        <v>28.33</v>
      </c>
      <c r="M16" s="56">
        <v>69.930000000000007</v>
      </c>
      <c r="N16" s="56">
        <v>470.60</v>
      </c>
      <c r="O16" s="56">
        <v>0</v>
      </c>
      <c r="P16" s="56">
        <v>0.26</v>
      </c>
      <c r="Q16" s="56">
        <v>9.3000000000000007</v>
      </c>
      <c r="R16" s="43"/>
      <c r="S16" s="43"/>
      <c r="T16" s="43"/>
      <c r="U16" s="43"/>
    </row>
    <row r="17" spans="1:21" s="11" customFormat="1" ht="15">
      <c r="A17" s="55" t="s">
        <v>502</v>
      </c>
      <c r="B17" s="56">
        <v>2.09</v>
      </c>
      <c r="C17" s="56">
        <v>4.08</v>
      </c>
      <c r="D17" s="56">
        <v>3.70</v>
      </c>
      <c r="E17" s="56">
        <v>1.44</v>
      </c>
      <c r="F17" s="56">
        <v>4.5199999999999996</v>
      </c>
      <c r="G17" s="56">
        <v>20.12</v>
      </c>
      <c r="H17" s="56">
        <v>3.28</v>
      </c>
      <c r="I17" s="56">
        <v>3.07</v>
      </c>
      <c r="J17" s="56">
        <v>0.36</v>
      </c>
      <c r="K17" s="56">
        <v>347.90</v>
      </c>
      <c r="L17" s="56">
        <v>30.64</v>
      </c>
      <c r="M17" s="56">
        <v>59.31</v>
      </c>
      <c r="N17" s="56">
        <v>613</v>
      </c>
      <c r="O17" s="56">
        <v>0</v>
      </c>
      <c r="P17" s="56">
        <v>0.28999999999999998</v>
      </c>
      <c r="Q17" s="56">
        <v>9.2799999999999994</v>
      </c>
      <c r="R17" s="43"/>
      <c r="S17" s="43"/>
      <c r="T17" s="43"/>
      <c r="U17" s="43"/>
    </row>
    <row r="18" spans="1:21" s="11" customFormat="1" ht="15">
      <c r="A18" s="55" t="s">
        <v>503</v>
      </c>
      <c r="B18" s="56">
        <v>1.77</v>
      </c>
      <c r="C18" s="56">
        <v>4.04</v>
      </c>
      <c r="D18" s="56">
        <v>3.39</v>
      </c>
      <c r="E18" s="56">
        <v>1.55</v>
      </c>
      <c r="F18" s="56">
        <v>4.6399999999999997</v>
      </c>
      <c r="G18" s="56">
        <v>20.46</v>
      </c>
      <c r="H18" s="56">
        <v>3.85</v>
      </c>
      <c r="I18" s="56">
        <v>2.4900000000000002</v>
      </c>
      <c r="J18" s="56">
        <v>0.48</v>
      </c>
      <c r="K18" s="56">
        <v>355.02</v>
      </c>
      <c r="L18" s="56">
        <v>31.64</v>
      </c>
      <c r="M18" s="56">
        <v>57.98</v>
      </c>
      <c r="N18" s="56">
        <v>810.20</v>
      </c>
      <c r="O18" s="56">
        <v>0</v>
      </c>
      <c r="P18" s="56">
        <v>0.31</v>
      </c>
      <c r="Q18" s="56">
        <v>9.18</v>
      </c>
      <c r="R18" s="43"/>
      <c r="S18" s="43"/>
      <c r="T18" s="43"/>
      <c r="U18" s="43"/>
    </row>
    <row r="19" spans="1:21" s="11" customFormat="1" ht="15">
      <c r="A19" s="55" t="s">
        <v>504</v>
      </c>
      <c r="B19" s="56">
        <v>1.53</v>
      </c>
      <c r="C19" s="56">
        <v>3.67</v>
      </c>
      <c r="D19" s="56">
        <v>3.05</v>
      </c>
      <c r="E19" s="56">
        <v>1.42</v>
      </c>
      <c r="F19" s="56">
        <v>5.46</v>
      </c>
      <c r="G19" s="56">
        <v>21.64</v>
      </c>
      <c r="H19" s="56">
        <v>6.93</v>
      </c>
      <c r="I19" s="56">
        <v>2.38</v>
      </c>
      <c r="J19" s="56">
        <v>1.05</v>
      </c>
      <c r="K19" s="56">
        <v>327.14999999999998</v>
      </c>
      <c r="L19" s="56">
        <v>34.93</v>
      </c>
      <c r="M19" s="56">
        <v>51.71</v>
      </c>
      <c r="N19" s="56">
        <v>887.90</v>
      </c>
      <c r="O19" s="56">
        <v>0</v>
      </c>
      <c r="P19" s="56">
        <v>0.40</v>
      </c>
      <c r="Q19" s="56">
        <v>9.18</v>
      </c>
      <c r="R19" s="43"/>
      <c r="S19" s="43"/>
      <c r="T19" s="43"/>
      <c r="U19" s="43"/>
    </row>
    <row r="20" spans="1:21" s="11" customFormat="1" ht="15">
      <c r="A20" s="55" t="s">
        <v>505</v>
      </c>
      <c r="B20" s="56">
        <v>1.49</v>
      </c>
      <c r="C20" s="56">
        <v>3.98</v>
      </c>
      <c r="D20" s="56">
        <v>3.20</v>
      </c>
      <c r="E20" s="56">
        <v>1.35</v>
      </c>
      <c r="F20" s="56">
        <v>5.23</v>
      </c>
      <c r="G20" s="56">
        <v>22.78</v>
      </c>
      <c r="H20" s="56">
        <v>7.11</v>
      </c>
      <c r="I20" s="56">
        <v>3.01</v>
      </c>
      <c r="J20" s="56">
        <v>0.97</v>
      </c>
      <c r="K20" s="56">
        <v>328.66</v>
      </c>
      <c r="L20" s="56">
        <v>36.840000000000003</v>
      </c>
      <c r="M20" s="56">
        <v>37.92</v>
      </c>
      <c r="N20" s="56">
        <v>915.90</v>
      </c>
      <c r="O20" s="56">
        <v>0</v>
      </c>
      <c r="P20" s="56">
        <v>0.43</v>
      </c>
      <c r="Q20" s="56">
        <v>9.24</v>
      </c>
      <c r="R20" s="43"/>
      <c r="S20" s="43"/>
      <c r="T20" s="43"/>
      <c r="U20" s="43"/>
    </row>
    <row r="21" spans="1:21" s="11" customFormat="1" ht="15">
      <c r="A21" s="55" t="s">
        <v>506</v>
      </c>
      <c r="B21" s="56">
        <v>1.53</v>
      </c>
      <c r="C21" s="56">
        <v>5.28</v>
      </c>
      <c r="D21" s="56">
        <v>3.89</v>
      </c>
      <c r="E21" s="56">
        <v>1.80</v>
      </c>
      <c r="F21" s="56">
        <v>5.09</v>
      </c>
      <c r="G21" s="56">
        <v>22.85</v>
      </c>
      <c r="H21" s="56">
        <v>7.75</v>
      </c>
      <c r="I21" s="56">
        <v>3.43</v>
      </c>
      <c r="J21" s="56">
        <v>1.46</v>
      </c>
      <c r="K21" s="56">
        <v>346.58</v>
      </c>
      <c r="L21" s="56">
        <v>36.97</v>
      </c>
      <c r="M21" s="56">
        <v>35.729999999999997</v>
      </c>
      <c r="N21" s="56">
        <v>909.90</v>
      </c>
      <c r="O21" s="56">
        <v>0</v>
      </c>
      <c r="P21" s="56">
        <v>0.44</v>
      </c>
      <c r="Q21" s="56">
        <v>9.27</v>
      </c>
      <c r="R21" s="43"/>
      <c r="S21" s="43"/>
      <c r="T21" s="43"/>
      <c r="U21" s="43"/>
    </row>
    <row r="22" spans="1:21" s="11" customFormat="1" ht="15">
      <c r="A22" s="55" t="s">
        <v>507</v>
      </c>
      <c r="B22" s="56">
        <v>1.5</v>
      </c>
      <c r="C22" s="56">
        <v>4.5999999999999996</v>
      </c>
      <c r="D22" s="56">
        <v>3.52</v>
      </c>
      <c r="E22" s="56">
        <v>1.76</v>
      </c>
      <c r="F22" s="56">
        <v>5.45</v>
      </c>
      <c r="G22" s="56">
        <v>24.34</v>
      </c>
      <c r="H22" s="56">
        <v>11.31</v>
      </c>
      <c r="I22" s="56">
        <v>4.01</v>
      </c>
      <c r="J22" s="56">
        <v>0.5</v>
      </c>
      <c r="K22" s="56">
        <v>335.03</v>
      </c>
      <c r="L22" s="56">
        <v>37.49</v>
      </c>
      <c r="M22" s="56">
        <v>33.479999999999997</v>
      </c>
      <c r="N22" s="56">
        <v>853.40</v>
      </c>
      <c r="O22" s="56">
        <v>0</v>
      </c>
      <c r="P22" s="56">
        <v>0.36</v>
      </c>
      <c r="Q22" s="56">
        <v>9.2200000000000006</v>
      </c>
      <c r="R22" s="43"/>
      <c r="S22" s="43"/>
      <c r="T22" s="43"/>
      <c r="U22" s="43"/>
    </row>
    <row r="23" spans="1:21" s="11" customFormat="1" ht="15">
      <c r="A23" s="55" t="s">
        <v>508</v>
      </c>
      <c r="B23" s="56">
        <v>1.42</v>
      </c>
      <c r="C23" s="56">
        <v>4.5999999999999996</v>
      </c>
      <c r="D23" s="56">
        <v>3.45</v>
      </c>
      <c r="E23" s="56">
        <v>1.96</v>
      </c>
      <c r="F23" s="56">
        <v>5.05</v>
      </c>
      <c r="G23" s="56">
        <v>24.56</v>
      </c>
      <c r="H23" s="56">
        <v>11.51</v>
      </c>
      <c r="I23" s="56">
        <v>4.3899999999999997</v>
      </c>
      <c r="J23" s="56">
        <v>0.5</v>
      </c>
      <c r="K23" s="56">
        <v>345.61</v>
      </c>
      <c r="L23" s="56">
        <v>36.83</v>
      </c>
      <c r="M23" s="56">
        <v>33.14</v>
      </c>
      <c r="N23" s="56">
        <v>506.90</v>
      </c>
      <c r="O23" s="56">
        <v>0</v>
      </c>
      <c r="P23" s="56">
        <v>0.34</v>
      </c>
      <c r="Q23" s="56">
        <v>9.2100000000000009</v>
      </c>
      <c r="R23" s="43"/>
      <c r="S23" s="43"/>
      <c r="T23" s="43"/>
      <c r="U23" s="43"/>
    </row>
    <row r="24" spans="1:21" s="11" customFormat="1" ht="15">
      <c r="A24" s="55" t="s">
        <v>509</v>
      </c>
      <c r="B24" s="56">
        <v>1.43</v>
      </c>
      <c r="C24" s="56">
        <v>4</v>
      </c>
      <c r="D24" s="56">
        <v>3.15</v>
      </c>
      <c r="E24" s="56">
        <v>1.64</v>
      </c>
      <c r="F24" s="56">
        <v>5.40</v>
      </c>
      <c r="G24" s="56">
        <v>21.33</v>
      </c>
      <c r="H24" s="56">
        <v>9.34</v>
      </c>
      <c r="I24" s="56">
        <v>5.42</v>
      </c>
      <c r="J24" s="56">
        <v>0.51</v>
      </c>
      <c r="K24" s="56">
        <v>326.79000000000002</v>
      </c>
      <c r="L24" s="56">
        <v>35.51</v>
      </c>
      <c r="M24" s="56">
        <v>33.43</v>
      </c>
      <c r="N24" s="56">
        <v>241.30</v>
      </c>
      <c r="O24" s="56">
        <v>0</v>
      </c>
      <c r="P24" s="56">
        <v>0.33</v>
      </c>
      <c r="Q24" s="56">
        <v>9.24</v>
      </c>
      <c r="R24" s="43"/>
      <c r="S24" s="43"/>
      <c r="T24" s="43"/>
      <c r="U24" s="43"/>
    </row>
    <row r="25" spans="1:21" s="11" customFormat="1" ht="15">
      <c r="A25" s="55" t="s">
        <v>510</v>
      </c>
      <c r="B25" s="56">
        <v>1.45</v>
      </c>
      <c r="C25" s="56">
        <v>4.3600000000000003</v>
      </c>
      <c r="D25" s="56">
        <v>3.33</v>
      </c>
      <c r="E25" s="56">
        <v>1.42</v>
      </c>
      <c r="F25" s="56">
        <v>5.03</v>
      </c>
      <c r="G25" s="56">
        <v>19.5</v>
      </c>
      <c r="H25" s="56">
        <v>9.41</v>
      </c>
      <c r="I25" s="56">
        <v>5.68</v>
      </c>
      <c r="J25" s="56">
        <v>1.1100000000000001</v>
      </c>
      <c r="K25" s="56">
        <v>330.23</v>
      </c>
      <c r="L25" s="56">
        <v>35.520000000000003</v>
      </c>
      <c r="M25" s="56">
        <v>34.729999999999997</v>
      </c>
      <c r="N25" s="56">
        <v>134.90</v>
      </c>
      <c r="O25" s="56">
        <v>0</v>
      </c>
      <c r="P25" s="56">
        <v>0.30</v>
      </c>
      <c r="Q25" s="56">
        <v>9.24</v>
      </c>
      <c r="R25" s="43"/>
      <c r="S25" s="43"/>
      <c r="T25" s="43"/>
      <c r="U25" s="43"/>
    </row>
    <row r="26" spans="1:21" s="11" customFormat="1" ht="15">
      <c r="A26" s="55" t="s">
        <v>511</v>
      </c>
      <c r="B26" s="56">
        <v>1.39</v>
      </c>
      <c r="C26" s="56">
        <v>4.29</v>
      </c>
      <c r="D26" s="56">
        <v>3.27</v>
      </c>
      <c r="E26" s="56">
        <v>1.34</v>
      </c>
      <c r="F26" s="56">
        <v>5.05</v>
      </c>
      <c r="G26" s="56">
        <v>21.41</v>
      </c>
      <c r="H26" s="56">
        <v>9.10</v>
      </c>
      <c r="I26" s="56">
        <v>5.74</v>
      </c>
      <c r="J26" s="56">
        <v>0.81</v>
      </c>
      <c r="K26" s="56">
        <v>152.41</v>
      </c>
      <c r="L26" s="56">
        <v>33.770000000000003</v>
      </c>
      <c r="M26" s="56">
        <v>38.25</v>
      </c>
      <c r="N26" s="56">
        <v>76.5</v>
      </c>
      <c r="O26" s="56">
        <v>0</v>
      </c>
      <c r="P26" s="56">
        <v>0.27</v>
      </c>
      <c r="Q26" s="56">
        <v>9.1999999999999993</v>
      </c>
      <c r="R26" s="43"/>
      <c r="S26" s="43"/>
      <c r="T26" s="43"/>
      <c r="U26" s="43"/>
    </row>
    <row r="27" spans="1:21" s="11" customFormat="1" ht="15">
      <c r="A27" s="55" t="s">
        <v>512</v>
      </c>
      <c r="B27" s="56">
        <v>1.47</v>
      </c>
      <c r="C27" s="56">
        <v>5.54</v>
      </c>
      <c r="D27" s="56">
        <v>3.99</v>
      </c>
      <c r="E27" s="56">
        <v>1.29</v>
      </c>
      <c r="F27" s="56">
        <v>4.71</v>
      </c>
      <c r="G27" s="56">
        <v>29.94</v>
      </c>
      <c r="H27" s="56">
        <v>11.34</v>
      </c>
      <c r="I27" s="56">
        <v>5.61</v>
      </c>
      <c r="J27" s="56">
        <v>0.89</v>
      </c>
      <c r="K27" s="56">
        <v>278.77</v>
      </c>
      <c r="L27" s="56">
        <v>32.43</v>
      </c>
      <c r="M27" s="56">
        <v>44.85</v>
      </c>
      <c r="N27" s="56">
        <v>32.40</v>
      </c>
      <c r="O27" s="56">
        <v>0</v>
      </c>
      <c r="P27" s="56">
        <v>0.30</v>
      </c>
      <c r="Q27" s="56">
        <v>9.2100000000000009</v>
      </c>
      <c r="R27" s="43"/>
      <c r="S27" s="43"/>
      <c r="T27" s="43"/>
      <c r="U27" s="43"/>
    </row>
    <row r="28" spans="1:21" s="11" customFormat="1" ht="15">
      <c r="A28" s="55" t="s">
        <v>513</v>
      </c>
      <c r="B28" s="56">
        <v>1.54</v>
      </c>
      <c r="C28" s="56">
        <v>6.34</v>
      </c>
      <c r="D28" s="56">
        <v>4.46</v>
      </c>
      <c r="E28" s="56">
        <v>1.81</v>
      </c>
      <c r="F28" s="56">
        <v>4.18</v>
      </c>
      <c r="G28" s="56">
        <v>46.84</v>
      </c>
      <c r="H28" s="56">
        <v>15.10</v>
      </c>
      <c r="I28" s="56">
        <v>5.80</v>
      </c>
      <c r="J28" s="56">
        <v>1.1299999999999999</v>
      </c>
      <c r="K28" s="56">
        <v>147.19999999999999</v>
      </c>
      <c r="L28" s="56">
        <v>32.14</v>
      </c>
      <c r="M28" s="56">
        <v>42.10</v>
      </c>
      <c r="N28" s="56">
        <v>20.60</v>
      </c>
      <c r="O28" s="56">
        <v>0</v>
      </c>
      <c r="P28" s="56">
        <v>0.42</v>
      </c>
      <c r="Q28" s="56">
        <v>9.26</v>
      </c>
      <c r="R28" s="43"/>
      <c r="S28" s="43"/>
      <c r="T28" s="43"/>
      <c r="U28" s="43"/>
    </row>
    <row r="29" spans="1:21" s="11" customFormat="1" ht="15">
      <c r="A29" s="55" t="s">
        <v>514</v>
      </c>
      <c r="B29" s="56">
        <v>1.75</v>
      </c>
      <c r="C29" s="56">
        <v>5.62</v>
      </c>
      <c r="D29" s="56">
        <v>4.26</v>
      </c>
      <c r="E29" s="56">
        <v>1.99</v>
      </c>
      <c r="F29" s="56">
        <v>4.2300000000000004</v>
      </c>
      <c r="G29" s="56">
        <v>49.29</v>
      </c>
      <c r="H29" s="56">
        <v>15.81</v>
      </c>
      <c r="I29" s="56">
        <v>5.87</v>
      </c>
      <c r="J29" s="56">
        <v>1.05</v>
      </c>
      <c r="K29" s="56">
        <v>358.46</v>
      </c>
      <c r="L29" s="56">
        <v>31.38</v>
      </c>
      <c r="M29" s="56">
        <v>44.37</v>
      </c>
      <c r="N29" s="56">
        <v>20.60</v>
      </c>
      <c r="O29" s="56">
        <v>0</v>
      </c>
      <c r="P29" s="56">
        <v>0.47</v>
      </c>
      <c r="Q29" s="56">
        <v>9.32</v>
      </c>
      <c r="R29" s="43"/>
      <c r="S29" s="43"/>
      <c r="T29" s="43"/>
      <c r="U29" s="43"/>
    </row>
    <row r="30" spans="1:21" s="11" customFormat="1" ht="15">
      <c r="A30" s="55" t="s">
        <v>515</v>
      </c>
      <c r="B30" s="56">
        <v>2.2400000000000002</v>
      </c>
      <c r="C30" s="56">
        <v>8.08</v>
      </c>
      <c r="D30" s="56">
        <v>5.90</v>
      </c>
      <c r="E30" s="56">
        <v>1.98</v>
      </c>
      <c r="F30" s="56">
        <v>4.30</v>
      </c>
      <c r="G30" s="56">
        <v>49.58</v>
      </c>
      <c r="H30" s="56">
        <v>16.47</v>
      </c>
      <c r="I30" s="56">
        <v>6.78</v>
      </c>
      <c r="J30" s="56">
        <v>1.24</v>
      </c>
      <c r="K30" s="56">
        <v>356.93</v>
      </c>
      <c r="L30" s="56">
        <v>30.71</v>
      </c>
      <c r="M30" s="56">
        <v>37.630000000000003</v>
      </c>
      <c r="N30" s="56">
        <v>21.20</v>
      </c>
      <c r="O30" s="56">
        <v>0</v>
      </c>
      <c r="P30" s="56">
        <v>0.54</v>
      </c>
      <c r="Q30" s="56">
        <v>9.3699999999999992</v>
      </c>
      <c r="R30" s="43"/>
      <c r="S30" s="43"/>
      <c r="T30" s="43"/>
      <c r="U30" s="43"/>
    </row>
    <row r="31" spans="1:21" s="11" customFormat="1" ht="15">
      <c r="A31" s="55" t="s">
        <v>516</v>
      </c>
      <c r="B31" s="56">
        <v>2.80</v>
      </c>
      <c r="C31" s="56">
        <v>8.5399999999999991</v>
      </c>
      <c r="D31" s="56">
        <v>6.63</v>
      </c>
      <c r="E31" s="56">
        <v>2.0299999999999998</v>
      </c>
      <c r="F31" s="56">
        <v>3.65</v>
      </c>
      <c r="G31" s="56">
        <v>51.31</v>
      </c>
      <c r="H31" s="56">
        <v>16.510000000000002</v>
      </c>
      <c r="I31" s="56">
        <v>6.64</v>
      </c>
      <c r="J31" s="56">
        <v>1.03</v>
      </c>
      <c r="K31" s="56">
        <v>359.87</v>
      </c>
      <c r="L31" s="56">
        <v>29.21</v>
      </c>
      <c r="M31" s="56">
        <v>44.21</v>
      </c>
      <c r="N31" s="56">
        <v>21.10</v>
      </c>
      <c r="O31" s="56">
        <v>0</v>
      </c>
      <c r="P31" s="56">
        <v>0.56999999999999995</v>
      </c>
      <c r="Q31" s="56">
        <v>9.36</v>
      </c>
      <c r="R31" s="43"/>
      <c r="S31" s="43"/>
      <c r="T31" s="43"/>
      <c r="U31" s="43"/>
    </row>
    <row r="32" spans="1:21" s="11" customFormat="1" ht="15">
      <c r="A32" s="55" t="s">
        <v>517</v>
      </c>
      <c r="B32" s="56">
        <v>2.4500000000000002</v>
      </c>
      <c r="C32" s="56">
        <v>7.17</v>
      </c>
      <c r="D32" s="56">
        <v>5.63</v>
      </c>
      <c r="E32" s="56">
        <v>2.11</v>
      </c>
      <c r="F32" s="56">
        <v>4.12</v>
      </c>
      <c r="G32" s="56">
        <v>52.49</v>
      </c>
      <c r="H32" s="56">
        <v>15.21</v>
      </c>
      <c r="I32" s="56">
        <v>5.76</v>
      </c>
      <c r="J32" s="56">
        <v>0.74</v>
      </c>
      <c r="K32" s="56">
        <v>170.17</v>
      </c>
      <c r="L32" s="56">
        <v>28.81</v>
      </c>
      <c r="M32" s="56">
        <v>48.41</v>
      </c>
      <c r="N32" s="56">
        <v>21.10</v>
      </c>
      <c r="O32" s="56">
        <v>0</v>
      </c>
      <c r="P32" s="56">
        <v>0.56000000000000005</v>
      </c>
      <c r="Q32" s="56">
        <v>9.40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1.3899999999999999</v>
      </c>
      <c r="C34" s="28">
        <f t="shared" si="0"/>
        <v>2.1499999999999999</v>
      </c>
      <c r="D34" s="28">
        <f t="shared" si="0"/>
        <v>2.4199999999999999</v>
      </c>
      <c r="E34" s="28">
        <f t="shared" si="0"/>
        <v>0.97999999999999998</v>
      </c>
      <c r="F34" s="28">
        <f t="shared" si="0"/>
        <v>3.48</v>
      </c>
      <c r="G34" s="28">
        <f t="shared" si="0"/>
        <v>10.279999999999999</v>
      </c>
      <c r="H34" s="28">
        <f t="shared" si="0"/>
        <v>2.71</v>
      </c>
      <c r="I34" s="28">
        <f t="shared" si="0"/>
        <v>2.3799999999999999</v>
      </c>
      <c r="J34" s="28">
        <f t="shared" si="0"/>
        <v>0.080000000000000002</v>
      </c>
      <c r="K34" s="28">
        <f t="shared" si="0"/>
        <v>147.19999999999999</v>
      </c>
      <c r="L34" s="28">
        <f t="shared" si="0"/>
        <v>22.710000000000001</v>
      </c>
      <c r="M34" s="28">
        <f t="shared" si="0"/>
        <v>33.140000000000001</v>
      </c>
      <c r="N34" s="28">
        <f t="shared" si="0"/>
        <v>20.600000000000001</v>
      </c>
      <c r="O34" s="28">
        <f t="shared" si="0"/>
        <v>0</v>
      </c>
      <c r="P34" s="28">
        <f t="shared" si="0"/>
        <v>0.19</v>
      </c>
      <c r="Q34" s="28">
        <f t="shared" si="0"/>
        <v>9.1799999999999997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2.7999999999999998</v>
      </c>
      <c r="C35" s="29">
        <f t="shared" si="1"/>
        <v>8.5399999999999991</v>
      </c>
      <c r="D35" s="29">
        <f t="shared" si="1"/>
        <v>6.6299999999999999</v>
      </c>
      <c r="E35" s="29">
        <f t="shared" si="1"/>
        <v>2.3999999999999999</v>
      </c>
      <c r="F35" s="29">
        <f t="shared" si="1"/>
        <v>5.46</v>
      </c>
      <c r="G35" s="29">
        <f t="shared" si="1"/>
        <v>52.490000000000002</v>
      </c>
      <c r="H35" s="29">
        <f t="shared" si="1"/>
        <v>16.510000000000002</v>
      </c>
      <c r="I35" s="29">
        <f t="shared" si="1"/>
        <v>6.7800000000000002</v>
      </c>
      <c r="J35" s="29">
        <f t="shared" si="1"/>
        <v>1.95</v>
      </c>
      <c r="K35" s="29">
        <f t="shared" si="1"/>
        <v>359.87</v>
      </c>
      <c r="L35" s="29">
        <f t="shared" si="1"/>
        <v>37.490000000000002</v>
      </c>
      <c r="M35" s="29">
        <f t="shared" si="1"/>
        <v>83.640000000000001</v>
      </c>
      <c r="N35" s="29">
        <f t="shared" si="1"/>
        <v>915.89999999999998</v>
      </c>
      <c r="O35" s="29">
        <f t="shared" si="1"/>
        <v>0</v>
      </c>
      <c r="P35" s="29">
        <f t="shared" si="1"/>
        <v>0.56999999999999995</v>
      </c>
      <c r="Q35" s="29">
        <f t="shared" si="1"/>
        <v>9.4000000000000004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1.7983333333333336</v>
      </c>
      <c r="C36" s="28">
        <f t="shared" si="2"/>
        <v>4.3825000000000012</v>
      </c>
      <c r="D36" s="28">
        <f t="shared" si="2"/>
        <v>3.6412500000000008</v>
      </c>
      <c r="E36" s="28">
        <f t="shared" si="2"/>
        <v>1.6258333333333335</v>
      </c>
      <c r="F36" s="28">
        <f t="shared" si="2"/>
        <v>4.4308333333333332</v>
      </c>
      <c r="G36" s="28">
        <f t="shared" si="2"/>
        <v>25.098333333333329</v>
      </c>
      <c r="H36" s="28">
        <f t="shared" si="2"/>
        <v>8.269166666666667</v>
      </c>
      <c r="I36" s="28">
        <f t="shared" si="2"/>
        <v>4.1812500000000004</v>
      </c>
      <c r="J36" s="28">
        <f t="shared" si="2"/>
        <v>0.83250000000000002</v>
      </c>
      <c r="K36" s="28">
        <f t="shared" si="2"/>
        <v>288.66541666666666</v>
      </c>
      <c r="L36" s="28">
        <f t="shared" si="2"/>
        <v>30.360416666666666</v>
      </c>
      <c r="M36" s="28">
        <f t="shared" si="2"/>
        <v>54.689583333333331</v>
      </c>
      <c r="N36" s="28">
        <f t="shared" si="2"/>
        <v>291.08333333333331</v>
      </c>
      <c r="O36" s="28">
        <f t="shared" si="2"/>
        <v>0</v>
      </c>
      <c r="P36" s="28">
        <f t="shared" si="2"/>
        <v>0.33583333333333326</v>
      </c>
      <c r="Q36" s="28">
        <f t="shared" si="2"/>
        <v>9.2804166666666656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0.37178379255394678</v>
      </c>
      <c r="C37" s="28">
        <f t="shared" si="3" ref="C37:Q37">STDEV(C9:C32)</f>
        <v>1.7890955937227768</v>
      </c>
      <c r="D37" s="28">
        <f t="shared" si="3"/>
        <v>1.079546251299891</v>
      </c>
      <c r="E37" s="28">
        <f t="shared" si="3"/>
        <v>0.34221677171140896</v>
      </c>
      <c r="F37" s="28">
        <f t="shared" si="3"/>
        <v>0.65503346523647943</v>
      </c>
      <c r="G37" s="28">
        <f t="shared" si="3"/>
        <v>13.894301198588641</v>
      </c>
      <c r="H37" s="28">
        <f t="shared" si="3"/>
        <v>4.8775554431958286</v>
      </c>
      <c r="I37" s="28">
        <f t="shared" si="3"/>
        <v>1.4624527119816912</v>
      </c>
      <c r="J37" s="28">
        <f t="shared" si="3"/>
        <v>0.52815717357619973</v>
      </c>
      <c r="K37" s="28">
        <f t="shared" si="3"/>
        <v>79.620055152125673</v>
      </c>
      <c r="L37" s="28">
        <f t="shared" si="3"/>
        <v>5.1144683766118195</v>
      </c>
      <c r="M37" s="28">
        <f t="shared" si="3"/>
        <v>19.269061365458267</v>
      </c>
      <c r="N37" s="28">
        <f t="shared" si="3"/>
        <v>348.90559787983352</v>
      </c>
      <c r="O37" s="28">
        <f t="shared" si="3"/>
        <v>0</v>
      </c>
      <c r="P37" s="28">
        <f t="shared" si="3"/>
        <v>0.11883187490212223</v>
      </c>
      <c r="Q37" s="28">
        <f t="shared" si="3"/>
        <v>0.063552728307778444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e3ceee-e737-4042-8786-0c353321de2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518</v>
      </c>
      <c r="B9" s="56">
        <v>1.98</v>
      </c>
      <c r="C9" s="56">
        <v>5.62</v>
      </c>
      <c r="D9" s="56">
        <v>4.45</v>
      </c>
      <c r="E9" s="56">
        <v>2.52</v>
      </c>
      <c r="F9" s="56">
        <v>4.13</v>
      </c>
      <c r="G9" s="56">
        <v>52.56</v>
      </c>
      <c r="H9" s="56">
        <v>16</v>
      </c>
      <c r="I9" s="56">
        <v>5.5</v>
      </c>
      <c r="J9" s="56">
        <v>2.04</v>
      </c>
      <c r="K9" s="56">
        <v>334.21</v>
      </c>
      <c r="L9" s="56">
        <v>27.97</v>
      </c>
      <c r="M9" s="56">
        <v>54.24</v>
      </c>
      <c r="N9" s="56">
        <v>21.10</v>
      </c>
      <c r="O9" s="56">
        <v>0</v>
      </c>
      <c r="P9" s="56">
        <v>0.51</v>
      </c>
      <c r="Q9" s="56">
        <v>9.42</v>
      </c>
      <c r="R9" s="43"/>
      <c r="S9" s="43"/>
      <c r="T9" s="43"/>
      <c r="U9" s="43"/>
    </row>
    <row r="10" spans="1:21" s="11" customFormat="1" ht="15">
      <c r="A10" s="55" t="s">
        <v>519</v>
      </c>
      <c r="B10" s="56">
        <v>1.59</v>
      </c>
      <c r="C10" s="56">
        <v>4.09</v>
      </c>
      <c r="D10" s="56">
        <v>3.33</v>
      </c>
      <c r="E10" s="56">
        <v>2.5099999999999998</v>
      </c>
      <c r="F10" s="56">
        <v>6.19</v>
      </c>
      <c r="G10" s="56">
        <v>51.66</v>
      </c>
      <c r="H10" s="56">
        <v>16.100000000000001</v>
      </c>
      <c r="I10" s="56">
        <v>5.79</v>
      </c>
      <c r="J10" s="56">
        <v>2.0299999999999998</v>
      </c>
      <c r="K10" s="56">
        <v>321.81</v>
      </c>
      <c r="L10" s="56">
        <v>26.96</v>
      </c>
      <c r="M10" s="56">
        <v>53.73</v>
      </c>
      <c r="N10" s="56">
        <v>21.80</v>
      </c>
      <c r="O10" s="56">
        <v>0</v>
      </c>
      <c r="P10" s="56">
        <v>0.45</v>
      </c>
      <c r="Q10" s="56">
        <v>9.43</v>
      </c>
      <c r="R10" s="43"/>
      <c r="S10" s="43"/>
      <c r="T10" s="43"/>
      <c r="U10" s="43"/>
    </row>
    <row r="11" spans="1:21" s="11" customFormat="1" ht="15">
      <c r="A11" s="55" t="s">
        <v>520</v>
      </c>
      <c r="B11" s="56">
        <v>1.31</v>
      </c>
      <c r="C11" s="56">
        <v>2.99</v>
      </c>
      <c r="D11" s="56">
        <v>2.52</v>
      </c>
      <c r="E11" s="56">
        <v>2.5</v>
      </c>
      <c r="F11" s="56">
        <v>4.8099999999999996</v>
      </c>
      <c r="G11" s="56">
        <v>41.85</v>
      </c>
      <c r="H11" s="56">
        <v>14.56</v>
      </c>
      <c r="I11" s="56">
        <v>4.67</v>
      </c>
      <c r="J11" s="56">
        <v>1.34</v>
      </c>
      <c r="K11" s="56">
        <v>183.42</v>
      </c>
      <c r="L11" s="56">
        <v>25.71</v>
      </c>
      <c r="M11" s="56">
        <v>53.24</v>
      </c>
      <c r="N11" s="56">
        <v>20.70</v>
      </c>
      <c r="O11" s="56">
        <v>0</v>
      </c>
      <c r="P11" s="56">
        <v>0.38</v>
      </c>
      <c r="Q11" s="56">
        <v>9.36</v>
      </c>
      <c r="R11" s="43"/>
      <c r="S11" s="43"/>
      <c r="T11" s="43"/>
      <c r="U11" s="43"/>
    </row>
    <row r="12" spans="1:21" s="11" customFormat="1" ht="15">
      <c r="A12" s="55" t="s">
        <v>521</v>
      </c>
      <c r="B12" s="56">
        <v>1.36</v>
      </c>
      <c r="C12" s="56">
        <v>2.2799999999999998</v>
      </c>
      <c r="D12" s="56">
        <v>2.16</v>
      </c>
      <c r="E12" s="56">
        <v>2.86</v>
      </c>
      <c r="F12" s="56">
        <v>4.76</v>
      </c>
      <c r="G12" s="56">
        <v>36.200000000000003</v>
      </c>
      <c r="H12" s="56">
        <v>13.92</v>
      </c>
      <c r="I12" s="56">
        <v>4.16</v>
      </c>
      <c r="J12" s="56">
        <v>0.78</v>
      </c>
      <c r="K12" s="56">
        <v>170.19</v>
      </c>
      <c r="L12" s="56">
        <v>25.36</v>
      </c>
      <c r="M12" s="56">
        <v>53.81</v>
      </c>
      <c r="N12" s="56">
        <v>20.80</v>
      </c>
      <c r="O12" s="56">
        <v>0</v>
      </c>
      <c r="P12" s="56">
        <v>0.33</v>
      </c>
      <c r="Q12" s="56">
        <v>9.3000000000000007</v>
      </c>
      <c r="R12" s="43"/>
      <c r="S12" s="43"/>
      <c r="T12" s="43"/>
      <c r="U12" s="43"/>
    </row>
    <row r="13" spans="1:21" s="11" customFormat="1" ht="15">
      <c r="A13" s="55" t="s">
        <v>522</v>
      </c>
      <c r="B13" s="56">
        <v>1.41</v>
      </c>
      <c r="C13" s="56">
        <v>2.1800000000000002</v>
      </c>
      <c r="D13" s="56">
        <v>2.19</v>
      </c>
      <c r="E13" s="56">
        <v>1.17</v>
      </c>
      <c r="F13" s="56">
        <v>4.41</v>
      </c>
      <c r="G13" s="56">
        <v>32.130000000000003</v>
      </c>
      <c r="H13" s="56">
        <v>12.12</v>
      </c>
      <c r="I13" s="56">
        <v>3.97</v>
      </c>
      <c r="J13" s="56">
        <v>1.37</v>
      </c>
      <c r="K13" s="56">
        <v>198.07</v>
      </c>
      <c r="L13" s="56">
        <v>25</v>
      </c>
      <c r="M13" s="56">
        <v>55.08</v>
      </c>
      <c r="N13" s="56">
        <v>20.80</v>
      </c>
      <c r="O13" s="56">
        <v>0</v>
      </c>
      <c r="P13" s="56">
        <v>0.28999999999999998</v>
      </c>
      <c r="Q13" s="56">
        <v>9.35</v>
      </c>
      <c r="R13" s="43"/>
      <c r="S13" s="43"/>
      <c r="T13" s="43"/>
      <c r="U13" s="43"/>
    </row>
    <row r="14" spans="1:21" s="11" customFormat="1" ht="15">
      <c r="A14" s="55" t="s">
        <v>523</v>
      </c>
      <c r="B14" s="56">
        <v>1.43</v>
      </c>
      <c r="C14" s="56">
        <v>2.39</v>
      </c>
      <c r="D14" s="56">
        <v>2.3199999999999998</v>
      </c>
      <c r="E14" s="56">
        <v>1.1200000000000001</v>
      </c>
      <c r="F14" s="56">
        <v>4.20</v>
      </c>
      <c r="G14" s="56">
        <v>29.85</v>
      </c>
      <c r="H14" s="56">
        <v>12.23</v>
      </c>
      <c r="I14" s="56">
        <v>3.68</v>
      </c>
      <c r="J14" s="56">
        <v>0.48</v>
      </c>
      <c r="K14" s="56">
        <v>237.97</v>
      </c>
      <c r="L14" s="56">
        <v>24.40</v>
      </c>
      <c r="M14" s="56">
        <v>59.30</v>
      </c>
      <c r="N14" s="56">
        <v>64.099999999999994</v>
      </c>
      <c r="O14" s="56">
        <v>0</v>
      </c>
      <c r="P14" s="56">
        <v>0.28000000000000003</v>
      </c>
      <c r="Q14" s="56">
        <v>9.35</v>
      </c>
      <c r="R14" s="43"/>
      <c r="S14" s="43"/>
      <c r="T14" s="43"/>
      <c r="U14" s="43"/>
    </row>
    <row r="15" spans="1:21" s="11" customFormat="1" ht="15">
      <c r="A15" s="55" t="s">
        <v>524</v>
      </c>
      <c r="B15" s="56">
        <v>1.63</v>
      </c>
      <c r="C15" s="56">
        <v>3.10</v>
      </c>
      <c r="D15" s="56">
        <v>2.85</v>
      </c>
      <c r="E15" s="56">
        <v>1.26</v>
      </c>
      <c r="F15" s="56">
        <v>4.0199999999999996</v>
      </c>
      <c r="G15" s="56">
        <v>39.880000000000003</v>
      </c>
      <c r="H15" s="56">
        <v>12.66</v>
      </c>
      <c r="I15" s="56">
        <v>3.83</v>
      </c>
      <c r="J15" s="56">
        <v>0.63</v>
      </c>
      <c r="K15" s="56">
        <v>338.30</v>
      </c>
      <c r="L15" s="56">
        <v>29.48</v>
      </c>
      <c r="M15" s="56">
        <v>57.39</v>
      </c>
      <c r="N15" s="56">
        <v>235.40</v>
      </c>
      <c r="O15" s="56">
        <v>0</v>
      </c>
      <c r="P15" s="56">
        <v>0.32</v>
      </c>
      <c r="Q15" s="56">
        <v>9.34</v>
      </c>
      <c r="R15" s="43"/>
      <c r="S15" s="43"/>
      <c r="T15" s="43"/>
      <c r="U15" s="43"/>
    </row>
    <row r="16" spans="1:21" s="11" customFormat="1" ht="15">
      <c r="A16" s="55" t="s">
        <v>525</v>
      </c>
      <c r="B16" s="56">
        <v>1.79</v>
      </c>
      <c r="C16" s="56">
        <v>4.5</v>
      </c>
      <c r="D16" s="56">
        <v>3.71</v>
      </c>
      <c r="E16" s="56">
        <v>1.48</v>
      </c>
      <c r="F16" s="56">
        <v>4.1399999999999997</v>
      </c>
      <c r="G16" s="56">
        <v>44.85</v>
      </c>
      <c r="H16" s="56">
        <v>12.81</v>
      </c>
      <c r="I16" s="56">
        <v>3.89</v>
      </c>
      <c r="J16" s="56">
        <v>0.85</v>
      </c>
      <c r="K16" s="56">
        <v>333.38</v>
      </c>
      <c r="L16" s="56">
        <v>33.08</v>
      </c>
      <c r="M16" s="56">
        <v>43.27</v>
      </c>
      <c r="N16" s="56">
        <v>463.40</v>
      </c>
      <c r="O16" s="56">
        <v>0</v>
      </c>
      <c r="P16" s="56">
        <v>0.35</v>
      </c>
      <c r="Q16" s="56">
        <v>9.35</v>
      </c>
      <c r="R16" s="43"/>
      <c r="S16" s="43"/>
      <c r="T16" s="43"/>
      <c r="U16" s="43"/>
    </row>
    <row r="17" spans="1:21" s="11" customFormat="1" ht="15">
      <c r="A17" s="55" t="s">
        <v>526</v>
      </c>
      <c r="B17" s="56">
        <v>1.74</v>
      </c>
      <c r="C17" s="56">
        <v>4.92</v>
      </c>
      <c r="D17" s="56">
        <v>3.83</v>
      </c>
      <c r="E17" s="56">
        <v>0.39</v>
      </c>
      <c r="F17" s="56">
        <v>4.8899999999999997</v>
      </c>
      <c r="G17" s="56">
        <v>45.11</v>
      </c>
      <c r="H17" s="56">
        <v>11.87</v>
      </c>
      <c r="I17" s="56">
        <v>3.81</v>
      </c>
      <c r="J17" s="56">
        <v>1.31</v>
      </c>
      <c r="K17" s="56">
        <v>349.89</v>
      </c>
      <c r="L17" s="56">
        <v>33.78</v>
      </c>
      <c r="M17" s="56">
        <v>50.81</v>
      </c>
      <c r="N17" s="56">
        <v>661.70</v>
      </c>
      <c r="O17" s="56">
        <v>0</v>
      </c>
      <c r="P17" s="56">
        <v>0.42</v>
      </c>
      <c r="Q17" s="56">
        <v>9.2899999999999991</v>
      </c>
      <c r="R17" s="43"/>
      <c r="S17" s="43"/>
      <c r="T17" s="43"/>
      <c r="U17" s="43"/>
    </row>
    <row r="18" spans="1:21" s="11" customFormat="1" ht="15">
      <c r="A18" s="55" t="s">
        <v>527</v>
      </c>
      <c r="B18" s="56">
        <v>1.63</v>
      </c>
      <c r="C18" s="56">
        <v>4.43</v>
      </c>
      <c r="D18" s="56">
        <v>3.54</v>
      </c>
      <c r="E18" s="56">
        <v>0.25</v>
      </c>
      <c r="F18" s="56">
        <v>5.12</v>
      </c>
      <c r="G18" s="56">
        <v>43.20</v>
      </c>
      <c r="H18" s="56">
        <v>12.10</v>
      </c>
      <c r="I18" s="56">
        <v>4.3899999999999997</v>
      </c>
      <c r="J18" s="56">
        <v>0.85</v>
      </c>
      <c r="K18" s="56">
        <v>315.94</v>
      </c>
      <c r="L18" s="56">
        <v>35.47</v>
      </c>
      <c r="M18" s="56">
        <v>41.52</v>
      </c>
      <c r="N18" s="56">
        <v>818.60</v>
      </c>
      <c r="O18" s="56">
        <v>0</v>
      </c>
      <c r="P18" s="56">
        <v>0.42</v>
      </c>
      <c r="Q18" s="56">
        <v>9.36</v>
      </c>
      <c r="R18" s="43"/>
      <c r="S18" s="43"/>
      <c r="T18" s="43"/>
      <c r="U18" s="43"/>
    </row>
    <row r="19" spans="1:21" s="11" customFormat="1" ht="15">
      <c r="A19" s="55" t="s">
        <v>528</v>
      </c>
      <c r="B19" s="56">
        <v>1.40</v>
      </c>
      <c r="C19" s="56">
        <v>3.75</v>
      </c>
      <c r="D19" s="56">
        <v>3</v>
      </c>
      <c r="E19" s="56">
        <v>0.11</v>
      </c>
      <c r="F19" s="56">
        <v>6.22</v>
      </c>
      <c r="G19" s="56">
        <v>41.49</v>
      </c>
      <c r="H19" s="56">
        <v>12.11</v>
      </c>
      <c r="I19" s="56">
        <v>3.82</v>
      </c>
      <c r="J19" s="56">
        <v>1.45</v>
      </c>
      <c r="K19" s="56">
        <v>329.51</v>
      </c>
      <c r="L19" s="56">
        <v>37.71</v>
      </c>
      <c r="M19" s="56">
        <v>29.54</v>
      </c>
      <c r="N19" s="56">
        <v>920.20</v>
      </c>
      <c r="O19" s="56">
        <v>0</v>
      </c>
      <c r="P19" s="56">
        <v>0.41</v>
      </c>
      <c r="Q19" s="56">
        <v>9.36</v>
      </c>
      <c r="R19" s="43"/>
      <c r="S19" s="43"/>
      <c r="T19" s="43"/>
      <c r="U19" s="43"/>
    </row>
    <row r="20" spans="1:21" s="11" customFormat="1" ht="15">
      <c r="A20" s="55" t="s">
        <v>529</v>
      </c>
      <c r="B20" s="56">
        <v>1.37</v>
      </c>
      <c r="C20" s="56">
        <v>5.08</v>
      </c>
      <c r="D20" s="56">
        <v>3.66</v>
      </c>
      <c r="E20" s="56">
        <v>2.41</v>
      </c>
      <c r="F20" s="56">
        <v>6.04</v>
      </c>
      <c r="G20" s="56">
        <v>32.19</v>
      </c>
      <c r="H20" s="56">
        <v>12.06</v>
      </c>
      <c r="I20" s="56">
        <v>3.09</v>
      </c>
      <c r="J20" s="56">
        <v>0.86</v>
      </c>
      <c r="K20" s="56">
        <v>334.99</v>
      </c>
      <c r="L20" s="56">
        <v>37.99</v>
      </c>
      <c r="M20" s="56">
        <v>29.82</v>
      </c>
      <c r="N20" s="56">
        <v>949.5</v>
      </c>
      <c r="O20" s="56">
        <v>0</v>
      </c>
      <c r="P20" s="56">
        <v>0.41</v>
      </c>
      <c r="Q20" s="56">
        <v>9.35</v>
      </c>
      <c r="R20" s="43"/>
      <c r="S20" s="43"/>
      <c r="T20" s="43"/>
      <c r="U20" s="43"/>
    </row>
    <row r="21" spans="1:21" s="11" customFormat="1" ht="15">
      <c r="A21" s="55" t="s">
        <v>530</v>
      </c>
      <c r="B21" s="56">
        <v>1.36</v>
      </c>
      <c r="C21" s="56">
        <v>4.8499999999999996</v>
      </c>
      <c r="D21" s="56">
        <v>3.55</v>
      </c>
      <c r="E21" s="56">
        <v>2.04</v>
      </c>
      <c r="F21" s="56">
        <v>6.66</v>
      </c>
      <c r="G21" s="56">
        <v>31.08</v>
      </c>
      <c r="H21" s="56">
        <v>12.08</v>
      </c>
      <c r="I21" s="56">
        <v>2.75</v>
      </c>
      <c r="J21" s="56">
        <v>0.77</v>
      </c>
      <c r="K21" s="56">
        <v>331.73</v>
      </c>
      <c r="L21" s="56">
        <v>38.01</v>
      </c>
      <c r="M21" s="56">
        <v>33.14</v>
      </c>
      <c r="N21" s="56">
        <v>928.80</v>
      </c>
      <c r="O21" s="56">
        <v>0</v>
      </c>
      <c r="P21" s="56">
        <v>0.40</v>
      </c>
      <c r="Q21" s="56">
        <v>9.27</v>
      </c>
      <c r="R21" s="43"/>
      <c r="S21" s="43"/>
      <c r="T21" s="43"/>
      <c r="U21" s="43"/>
    </row>
    <row r="22" spans="1:21" s="11" customFormat="1" ht="15">
      <c r="A22" s="55" t="s">
        <v>531</v>
      </c>
      <c r="B22" s="56">
        <v>1.35</v>
      </c>
      <c r="C22" s="56">
        <v>4.9800000000000004</v>
      </c>
      <c r="D22" s="56">
        <v>3.60</v>
      </c>
      <c r="E22" s="56">
        <v>1.90</v>
      </c>
      <c r="F22" s="56">
        <v>6.35</v>
      </c>
      <c r="G22" s="56">
        <v>29.28</v>
      </c>
      <c r="H22" s="56">
        <v>14.16</v>
      </c>
      <c r="I22" s="56">
        <v>2.94</v>
      </c>
      <c r="J22" s="56">
        <v>0.92</v>
      </c>
      <c r="K22" s="56">
        <v>340.61</v>
      </c>
      <c r="L22" s="56">
        <v>38.549999999999997</v>
      </c>
      <c r="M22" s="56">
        <v>31.99</v>
      </c>
      <c r="N22" s="56">
        <v>839.90</v>
      </c>
      <c r="O22" s="56">
        <v>0</v>
      </c>
      <c r="P22" s="56">
        <v>0.45</v>
      </c>
      <c r="Q22" s="56">
        <v>9.26</v>
      </c>
      <c r="R22" s="43"/>
      <c r="S22" s="43"/>
      <c r="T22" s="43"/>
      <c r="U22" s="43"/>
    </row>
    <row r="23" spans="1:21" s="11" customFormat="1" ht="15">
      <c r="A23" s="55" t="s">
        <v>532</v>
      </c>
      <c r="B23" s="56">
        <v>1.36</v>
      </c>
      <c r="C23" s="56">
        <v>4.74</v>
      </c>
      <c r="D23" s="56">
        <v>3.47</v>
      </c>
      <c r="E23" s="56">
        <v>2.2799999999999998</v>
      </c>
      <c r="F23" s="56">
        <v>6.25</v>
      </c>
      <c r="G23" s="56">
        <v>30.61</v>
      </c>
      <c r="H23" s="56">
        <v>15.35</v>
      </c>
      <c r="I23" s="56">
        <v>4.4400000000000004</v>
      </c>
      <c r="J23" s="56">
        <v>0.66</v>
      </c>
      <c r="K23" s="56">
        <v>330.80</v>
      </c>
      <c r="L23" s="56">
        <v>37.659999999999997</v>
      </c>
      <c r="M23" s="56">
        <v>31.29</v>
      </c>
      <c r="N23" s="56">
        <v>444.5</v>
      </c>
      <c r="O23" s="56">
        <v>0</v>
      </c>
      <c r="P23" s="56">
        <v>0.48</v>
      </c>
      <c r="Q23" s="56">
        <v>9.32</v>
      </c>
      <c r="R23" s="43"/>
      <c r="S23" s="43"/>
      <c r="T23" s="43"/>
      <c r="U23" s="43"/>
    </row>
    <row r="24" spans="1:21" s="11" customFormat="1" ht="15">
      <c r="A24" s="55" t="s">
        <v>533</v>
      </c>
      <c r="B24" s="56">
        <v>1.38</v>
      </c>
      <c r="C24" s="56">
        <v>4.37</v>
      </c>
      <c r="D24" s="56">
        <v>3.27</v>
      </c>
      <c r="E24" s="56">
        <v>2.65</v>
      </c>
      <c r="F24" s="56">
        <v>6.20</v>
      </c>
      <c r="G24" s="56">
        <v>30.69</v>
      </c>
      <c r="H24" s="56">
        <v>15.41</v>
      </c>
      <c r="I24" s="56">
        <v>5.22</v>
      </c>
      <c r="J24" s="56">
        <v>0.61</v>
      </c>
      <c r="K24" s="56">
        <v>356.25</v>
      </c>
      <c r="L24" s="56">
        <v>36.979999999999997</v>
      </c>
      <c r="M24" s="56">
        <v>30.03</v>
      </c>
      <c r="N24" s="56">
        <v>190.30</v>
      </c>
      <c r="O24" s="56">
        <v>0</v>
      </c>
      <c r="P24" s="56">
        <v>0.47</v>
      </c>
      <c r="Q24" s="56">
        <v>9.34</v>
      </c>
      <c r="R24" s="43"/>
      <c r="S24" s="43"/>
      <c r="T24" s="43"/>
      <c r="U24" s="43"/>
    </row>
    <row r="25" spans="1:21" s="11" customFormat="1" ht="15">
      <c r="A25" s="55" t="s">
        <v>534</v>
      </c>
      <c r="B25" s="56">
        <v>1.32</v>
      </c>
      <c r="C25" s="56">
        <v>4.38</v>
      </c>
      <c r="D25" s="56">
        <v>3.27</v>
      </c>
      <c r="E25" s="56">
        <v>2.94</v>
      </c>
      <c r="F25" s="56">
        <v>5.91</v>
      </c>
      <c r="G25" s="56">
        <v>28.03</v>
      </c>
      <c r="H25" s="56">
        <v>13.80</v>
      </c>
      <c r="I25" s="56">
        <v>5.12</v>
      </c>
      <c r="J25" s="56">
        <v>0.34</v>
      </c>
      <c r="K25" s="56">
        <v>330.13</v>
      </c>
      <c r="L25" s="56">
        <v>36.36</v>
      </c>
      <c r="M25" s="56">
        <v>30.64</v>
      </c>
      <c r="N25" s="56">
        <v>126.70</v>
      </c>
      <c r="O25" s="56">
        <v>0</v>
      </c>
      <c r="P25" s="56">
        <v>0.44</v>
      </c>
      <c r="Q25" s="56">
        <v>9.31</v>
      </c>
      <c r="R25" s="43"/>
      <c r="S25" s="43"/>
      <c r="T25" s="43"/>
      <c r="U25" s="43"/>
    </row>
    <row r="26" spans="1:21" s="11" customFormat="1" ht="15">
      <c r="A26" s="55" t="s">
        <v>535</v>
      </c>
      <c r="B26" s="56">
        <v>1.53</v>
      </c>
      <c r="C26" s="56">
        <v>5.68</v>
      </c>
      <c r="D26" s="56">
        <v>4.1100000000000003</v>
      </c>
      <c r="E26" s="56">
        <v>2.76</v>
      </c>
      <c r="F26" s="56">
        <v>5.54</v>
      </c>
      <c r="G26" s="56">
        <v>28.46</v>
      </c>
      <c r="H26" s="56">
        <v>13.83</v>
      </c>
      <c r="I26" s="56">
        <v>4.62</v>
      </c>
      <c r="J26" s="56">
        <v>0.28000000000000003</v>
      </c>
      <c r="K26" s="56">
        <v>349.48</v>
      </c>
      <c r="L26" s="56">
        <v>35.54</v>
      </c>
      <c r="M26" s="56">
        <v>34.76</v>
      </c>
      <c r="N26" s="56">
        <v>72.20</v>
      </c>
      <c r="O26" s="56">
        <v>0</v>
      </c>
      <c r="P26" s="56">
        <v>0.44</v>
      </c>
      <c r="Q26" s="56">
        <v>9.2799999999999994</v>
      </c>
      <c r="R26" s="43"/>
      <c r="S26" s="43"/>
      <c r="T26" s="43"/>
      <c r="U26" s="43"/>
    </row>
    <row r="27" spans="1:21" s="11" customFormat="1" ht="15">
      <c r="A27" s="55" t="s">
        <v>536</v>
      </c>
      <c r="B27" s="56">
        <v>1.62</v>
      </c>
      <c r="C27" s="56">
        <v>6.57</v>
      </c>
      <c r="D27" s="56">
        <v>4.5999999999999996</v>
      </c>
      <c r="E27" s="56">
        <v>2.70</v>
      </c>
      <c r="F27" s="56">
        <v>5.22</v>
      </c>
      <c r="G27" s="56">
        <v>34.19</v>
      </c>
      <c r="H27" s="56">
        <v>15.39</v>
      </c>
      <c r="I27" s="56">
        <v>4.3899999999999997</v>
      </c>
      <c r="J27" s="56">
        <v>0.32</v>
      </c>
      <c r="K27" s="56">
        <v>234.65</v>
      </c>
      <c r="L27" s="56">
        <v>34.159999999999997</v>
      </c>
      <c r="M27" s="56">
        <v>36.03</v>
      </c>
      <c r="N27" s="56">
        <v>29.60</v>
      </c>
      <c r="O27" s="56">
        <v>0</v>
      </c>
      <c r="P27" s="56">
        <v>0.49</v>
      </c>
      <c r="Q27" s="56">
        <v>9.32</v>
      </c>
      <c r="R27" s="43"/>
      <c r="S27" s="43"/>
      <c r="T27" s="43"/>
      <c r="U27" s="43"/>
    </row>
    <row r="28" spans="1:21" s="11" customFormat="1" ht="15">
      <c r="A28" s="55" t="s">
        <v>537</v>
      </c>
      <c r="B28" s="56">
        <v>2.4700000000000002</v>
      </c>
      <c r="C28" s="56">
        <v>6.84</v>
      </c>
      <c r="D28" s="56">
        <v>5.47</v>
      </c>
      <c r="E28" s="56">
        <v>2.63</v>
      </c>
      <c r="F28" s="56">
        <v>3.64</v>
      </c>
      <c r="G28" s="56">
        <v>47.55</v>
      </c>
      <c r="H28" s="56">
        <v>15.63</v>
      </c>
      <c r="I28" s="56">
        <v>5.52</v>
      </c>
      <c r="J28" s="56">
        <v>0.33</v>
      </c>
      <c r="K28" s="56">
        <v>353.19</v>
      </c>
      <c r="L28" s="56">
        <v>33.01</v>
      </c>
      <c r="M28" s="56">
        <v>45.59</v>
      </c>
      <c r="N28" s="56">
        <v>17.80</v>
      </c>
      <c r="O28" s="56">
        <v>0</v>
      </c>
      <c r="P28" s="56">
        <v>0.84</v>
      </c>
      <c r="Q28" s="56">
        <v>9.42</v>
      </c>
      <c r="R28" s="43"/>
      <c r="S28" s="43"/>
      <c r="T28" s="43"/>
      <c r="U28" s="43"/>
    </row>
    <row r="29" spans="1:21" s="11" customFormat="1" ht="15">
      <c r="A29" s="55" t="s">
        <v>538</v>
      </c>
      <c r="B29" s="56">
        <v>6.55</v>
      </c>
      <c r="C29" s="56">
        <v>10.51</v>
      </c>
      <c r="D29" s="56">
        <v>10.67</v>
      </c>
      <c r="E29" s="56">
        <v>1.56</v>
      </c>
      <c r="F29" s="56">
        <v>3.42</v>
      </c>
      <c r="G29" s="56">
        <v>65.02</v>
      </c>
      <c r="H29" s="56">
        <v>22.51</v>
      </c>
      <c r="I29" s="56">
        <v>8.81</v>
      </c>
      <c r="J29" s="56">
        <v>0.19</v>
      </c>
      <c r="K29" s="56">
        <v>343.94</v>
      </c>
      <c r="L29" s="56">
        <v>32</v>
      </c>
      <c r="M29" s="56">
        <v>45.60</v>
      </c>
      <c r="N29" s="56">
        <v>17.70</v>
      </c>
      <c r="O29" s="56">
        <v>0</v>
      </c>
      <c r="P29" s="56">
        <v>1.1200000000000001</v>
      </c>
      <c r="Q29" s="56">
        <v>9.61</v>
      </c>
      <c r="R29" s="43"/>
      <c r="S29" s="43"/>
      <c r="T29" s="43"/>
      <c r="U29" s="43"/>
    </row>
    <row r="30" spans="1:21" s="11" customFormat="1" ht="15">
      <c r="A30" s="55" t="s">
        <v>539</v>
      </c>
      <c r="B30" s="56">
        <v>7.96</v>
      </c>
      <c r="C30" s="56">
        <v>12.03</v>
      </c>
      <c r="D30" s="56">
        <v>12.35</v>
      </c>
      <c r="E30" s="56">
        <v>1.54</v>
      </c>
      <c r="F30" s="56">
        <v>3.46</v>
      </c>
      <c r="G30" s="56">
        <v>73.569999999999993</v>
      </c>
      <c r="H30" s="56">
        <v>24.87</v>
      </c>
      <c r="I30" s="56">
        <v>8.35</v>
      </c>
      <c r="J30" s="56">
        <v>1.42</v>
      </c>
      <c r="K30" s="56">
        <v>355.82</v>
      </c>
      <c r="L30" s="56">
        <v>31.57</v>
      </c>
      <c r="M30" s="56">
        <v>46.31</v>
      </c>
      <c r="N30" s="56">
        <v>18.399999999999999</v>
      </c>
      <c r="O30" s="56">
        <v>0</v>
      </c>
      <c r="P30" s="56">
        <v>1.20</v>
      </c>
      <c r="Q30" s="56">
        <v>9.8000000000000007</v>
      </c>
      <c r="R30" s="43"/>
      <c r="S30" s="43"/>
      <c r="T30" s="43"/>
      <c r="U30" s="43"/>
    </row>
    <row r="31" spans="1:21" s="11" customFormat="1" ht="15">
      <c r="A31" s="55" t="s">
        <v>540</v>
      </c>
      <c r="B31" s="56">
        <v>6</v>
      </c>
      <c r="C31" s="56">
        <v>11.80</v>
      </c>
      <c r="D31" s="56">
        <v>10.89</v>
      </c>
      <c r="E31" s="56">
        <v>1.43</v>
      </c>
      <c r="F31" s="56">
        <v>4</v>
      </c>
      <c r="G31" s="56">
        <v>74.02</v>
      </c>
      <c r="H31" s="56">
        <v>24.99</v>
      </c>
      <c r="I31" s="56">
        <v>8.74</v>
      </c>
      <c r="J31" s="56">
        <v>1.66</v>
      </c>
      <c r="K31" s="56">
        <v>103.61</v>
      </c>
      <c r="L31" s="56">
        <v>30.28</v>
      </c>
      <c r="M31" s="56">
        <v>52.29</v>
      </c>
      <c r="N31" s="56">
        <v>20.80</v>
      </c>
      <c r="O31" s="56">
        <v>0</v>
      </c>
      <c r="P31" s="56">
        <v>1.1100000000000001</v>
      </c>
      <c r="Q31" s="56">
        <v>9.81</v>
      </c>
      <c r="R31" s="43"/>
      <c r="S31" s="43"/>
      <c r="T31" s="43"/>
      <c r="U31" s="43"/>
    </row>
    <row r="32" spans="1:21" s="11" customFormat="1" ht="15">
      <c r="A32" s="55" t="s">
        <v>541</v>
      </c>
      <c r="B32" s="56">
        <v>3.27</v>
      </c>
      <c r="C32" s="56">
        <v>9.14</v>
      </c>
      <c r="D32" s="56">
        <v>7.31</v>
      </c>
      <c r="E32" s="56">
        <v>2.02</v>
      </c>
      <c r="F32" s="56">
        <v>4.17</v>
      </c>
      <c r="G32" s="56">
        <v>70.13</v>
      </c>
      <c r="H32" s="56">
        <v>23.73</v>
      </c>
      <c r="I32" s="56">
        <v>8.82</v>
      </c>
      <c r="J32" s="56">
        <v>0.93</v>
      </c>
      <c r="K32" s="56">
        <v>159.53</v>
      </c>
      <c r="L32" s="56">
        <v>26.89</v>
      </c>
      <c r="M32" s="56">
        <v>59.32</v>
      </c>
      <c r="N32" s="56">
        <v>17.70</v>
      </c>
      <c r="O32" s="56">
        <v>0</v>
      </c>
      <c r="P32" s="56">
        <v>0.90</v>
      </c>
      <c r="Q32" s="56">
        <v>9.64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1.3100000000000001</v>
      </c>
      <c r="C34" s="28">
        <f t="shared" si="0"/>
        <v>2.1800000000000002</v>
      </c>
      <c r="D34" s="28">
        <f t="shared" si="0"/>
        <v>2.1600000000000001</v>
      </c>
      <c r="E34" s="28">
        <f t="shared" si="0"/>
        <v>0.11</v>
      </c>
      <c r="F34" s="28">
        <f t="shared" si="0"/>
        <v>3.4199999999999999</v>
      </c>
      <c r="G34" s="28">
        <f t="shared" si="0"/>
        <v>28.030000000000001</v>
      </c>
      <c r="H34" s="28">
        <f t="shared" si="0"/>
        <v>11.869999999999999</v>
      </c>
      <c r="I34" s="28">
        <f t="shared" si="0"/>
        <v>2.75</v>
      </c>
      <c r="J34" s="28">
        <f t="shared" si="0"/>
        <v>0.19</v>
      </c>
      <c r="K34" s="28">
        <f t="shared" si="0"/>
        <v>103.61</v>
      </c>
      <c r="L34" s="28">
        <f t="shared" si="0"/>
        <v>24.399999999999999</v>
      </c>
      <c r="M34" s="28">
        <f t="shared" si="0"/>
        <v>29.539999999999999</v>
      </c>
      <c r="N34" s="28">
        <f t="shared" si="0"/>
        <v>17.699999999999999</v>
      </c>
      <c r="O34" s="28">
        <f t="shared" si="0"/>
        <v>0</v>
      </c>
      <c r="P34" s="28">
        <f t="shared" si="0"/>
        <v>0.28000000000000003</v>
      </c>
      <c r="Q34" s="28">
        <f t="shared" si="0"/>
        <v>9.2599999999999998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7.96</v>
      </c>
      <c r="C35" s="29">
        <f t="shared" si="1"/>
        <v>12.029999999999999</v>
      </c>
      <c r="D35" s="29">
        <f t="shared" si="1"/>
        <v>12.35</v>
      </c>
      <c r="E35" s="29">
        <f t="shared" si="1"/>
        <v>2.9399999999999999</v>
      </c>
      <c r="F35" s="29">
        <f t="shared" si="1"/>
        <v>6.6600000000000001</v>
      </c>
      <c r="G35" s="29">
        <f t="shared" si="1"/>
        <v>74.019999999999996</v>
      </c>
      <c r="H35" s="29">
        <f t="shared" si="1"/>
        <v>24.989999999999998</v>
      </c>
      <c r="I35" s="29">
        <f t="shared" si="1"/>
        <v>8.8200000000000003</v>
      </c>
      <c r="J35" s="29">
        <f t="shared" si="1"/>
        <v>2.04</v>
      </c>
      <c r="K35" s="29">
        <f t="shared" si="1"/>
        <v>356.25</v>
      </c>
      <c r="L35" s="29">
        <f t="shared" si="1"/>
        <v>38.549999999999997</v>
      </c>
      <c r="M35" s="29">
        <f t="shared" si="1"/>
        <v>59.32</v>
      </c>
      <c r="N35" s="29">
        <f t="shared" si="1"/>
        <v>949.5</v>
      </c>
      <c r="O35" s="29">
        <f t="shared" si="1"/>
        <v>0</v>
      </c>
      <c r="P35" s="29">
        <f t="shared" si="1"/>
        <v>1.2</v>
      </c>
      <c r="Q35" s="29">
        <f t="shared" si="1"/>
        <v>9.8100000000000005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2.2837499999999999</v>
      </c>
      <c r="C36" s="28">
        <f t="shared" si="2"/>
        <v>5.4674999999999985</v>
      </c>
      <c r="D36" s="28">
        <f t="shared" si="2"/>
        <v>4.5883333333333338</v>
      </c>
      <c r="E36" s="28">
        <f t="shared" si="2"/>
        <v>1.8762500000000004</v>
      </c>
      <c r="F36" s="28">
        <f t="shared" si="2"/>
        <v>4.989583333333333</v>
      </c>
      <c r="G36" s="28">
        <f t="shared" si="2"/>
        <v>43.066666666666663</v>
      </c>
      <c r="H36" s="28">
        <f t="shared" si="2"/>
        <v>15.428750000000003</v>
      </c>
      <c r="I36" s="28">
        <f t="shared" si="2"/>
        <v>5.0133333333333328</v>
      </c>
      <c r="J36" s="28">
        <f t="shared" si="2"/>
        <v>0.93416666666666659</v>
      </c>
      <c r="K36" s="28">
        <f t="shared" si="2"/>
        <v>293.22583333333324</v>
      </c>
      <c r="L36" s="28">
        <f t="shared" si="2"/>
        <v>32.246666666666663</v>
      </c>
      <c r="M36" s="28">
        <f t="shared" si="2"/>
        <v>44.114166666666655</v>
      </c>
      <c r="N36" s="28">
        <f t="shared" si="2"/>
        <v>289.27083333333331</v>
      </c>
      <c r="O36" s="28">
        <f t="shared" si="2"/>
        <v>0</v>
      </c>
      <c r="P36" s="28">
        <f t="shared" si="2"/>
        <v>0.53791666666666671</v>
      </c>
      <c r="Q36" s="28">
        <f t="shared" si="2"/>
        <v>9.4016666666666655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1.8350330230413223</v>
      </c>
      <c r="C37" s="28">
        <f t="shared" si="3" ref="C37:Q37">STDEV(C9:C32)</f>
        <v>2.7840824731662175</v>
      </c>
      <c r="D37" s="28">
        <f t="shared" si="3"/>
        <v>2.8258368005227066</v>
      </c>
      <c r="E37" s="28">
        <f t="shared" si="3"/>
        <v>0.84492764032862766</v>
      </c>
      <c r="F37" s="28">
        <f t="shared" si="3"/>
        <v>1.0363794804685365</v>
      </c>
      <c r="G37" s="28">
        <f t="shared" si="3"/>
        <v>14.638538079379694</v>
      </c>
      <c r="H37" s="28">
        <f t="shared" si="3"/>
        <v>4.187508663196736</v>
      </c>
      <c r="I37" s="28">
        <f t="shared" si="3"/>
        <v>1.8498570254191966</v>
      </c>
      <c r="J37" s="28">
        <f t="shared" si="3"/>
        <v>0.53467516889405298</v>
      </c>
      <c r="K37" s="28">
        <f t="shared" si="3"/>
        <v>76.104901054352709</v>
      </c>
      <c r="L37" s="28">
        <f t="shared" si="3"/>
        <v>4.77378317449603</v>
      </c>
      <c r="M37" s="28">
        <f t="shared" si="3"/>
        <v>10.714327634838678</v>
      </c>
      <c r="N37" s="28">
        <f t="shared" si="3"/>
        <v>358.14961833334229</v>
      </c>
      <c r="O37" s="28">
        <f t="shared" si="3"/>
        <v>0</v>
      </c>
      <c r="P37" s="28">
        <f t="shared" si="3"/>
        <v>0.27433681562232404</v>
      </c>
      <c r="Q37" s="28">
        <f t="shared" si="3"/>
        <v>0.15426309166252122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dbd90a-63fd-4914-b481-119c572f551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542</v>
      </c>
      <c r="B9" s="56">
        <v>2.09</v>
      </c>
      <c r="C9" s="56">
        <v>6.20</v>
      </c>
      <c r="D9" s="56">
        <v>4.84</v>
      </c>
      <c r="E9" s="56">
        <v>2.36</v>
      </c>
      <c r="F9" s="56">
        <v>4.0599999999999996</v>
      </c>
      <c r="G9" s="56">
        <v>58.40</v>
      </c>
      <c r="H9" s="56">
        <v>17.39</v>
      </c>
      <c r="I9" s="56">
        <v>8.1999999999999993</v>
      </c>
      <c r="J9" s="56">
        <v>0.56999999999999995</v>
      </c>
      <c r="K9" s="56">
        <v>310.87</v>
      </c>
      <c r="L9" s="56">
        <v>26.98</v>
      </c>
      <c r="M9" s="56">
        <v>63.62</v>
      </c>
      <c r="N9" s="56">
        <v>17.70</v>
      </c>
      <c r="O9" s="56">
        <v>0</v>
      </c>
      <c r="P9" s="56">
        <v>0.71</v>
      </c>
      <c r="Q9" s="56">
        <v>9.5399999999999991</v>
      </c>
      <c r="R9" s="43"/>
      <c r="S9" s="43"/>
      <c r="T9" s="43"/>
      <c r="U9" s="43"/>
    </row>
    <row r="10" spans="1:21" s="11" customFormat="1" ht="15">
      <c r="A10" s="55" t="s">
        <v>543</v>
      </c>
      <c r="B10" s="56">
        <v>1.93</v>
      </c>
      <c r="C10" s="56">
        <v>6.26</v>
      </c>
      <c r="D10" s="56">
        <v>4.6900000000000004</v>
      </c>
      <c r="E10" s="56">
        <v>2.56</v>
      </c>
      <c r="F10" s="56">
        <v>4.9800000000000004</v>
      </c>
      <c r="G10" s="56">
        <v>44.83</v>
      </c>
      <c r="H10" s="56">
        <v>16.760000000000002</v>
      </c>
      <c r="I10" s="56">
        <v>7.74</v>
      </c>
      <c r="J10" s="56">
        <v>2.09</v>
      </c>
      <c r="K10" s="56">
        <v>158.85</v>
      </c>
      <c r="L10" s="56">
        <v>27.22</v>
      </c>
      <c r="M10" s="56">
        <v>61.12</v>
      </c>
      <c r="N10" s="56">
        <v>18.5</v>
      </c>
      <c r="O10" s="56">
        <v>0</v>
      </c>
      <c r="P10" s="56">
        <v>0.60</v>
      </c>
      <c r="Q10" s="56">
        <v>9.4700000000000006</v>
      </c>
      <c r="R10" s="43"/>
      <c r="S10" s="43"/>
      <c r="T10" s="43"/>
      <c r="U10" s="43"/>
    </row>
    <row r="11" spans="1:21" s="11" customFormat="1" ht="15">
      <c r="A11" s="55" t="s">
        <v>544</v>
      </c>
      <c r="B11" s="56">
        <v>1.5</v>
      </c>
      <c r="C11" s="56">
        <v>4.63</v>
      </c>
      <c r="D11" s="56">
        <v>3.54</v>
      </c>
      <c r="E11" s="56">
        <v>2.09</v>
      </c>
      <c r="F11" s="56">
        <v>5.77</v>
      </c>
      <c r="G11" s="56">
        <v>38.46</v>
      </c>
      <c r="H11" s="56">
        <v>14.45</v>
      </c>
      <c r="I11" s="56">
        <v>7.62</v>
      </c>
      <c r="J11" s="56">
        <v>1.88</v>
      </c>
      <c r="K11" s="56">
        <v>160.71</v>
      </c>
      <c r="L11" s="56">
        <v>25.51</v>
      </c>
      <c r="M11" s="56">
        <v>61.74</v>
      </c>
      <c r="N11" s="56">
        <v>18.100000000000001</v>
      </c>
      <c r="O11" s="56">
        <v>0</v>
      </c>
      <c r="P11" s="56">
        <v>0.46</v>
      </c>
      <c r="Q11" s="56">
        <v>9.34</v>
      </c>
      <c r="R11" s="43"/>
      <c r="S11" s="43"/>
      <c r="T11" s="43"/>
      <c r="U11" s="43"/>
    </row>
    <row r="12" spans="1:21" s="11" customFormat="1" ht="15">
      <c r="A12" s="55" t="s">
        <v>545</v>
      </c>
      <c r="B12" s="56">
        <v>1.36</v>
      </c>
      <c r="C12" s="56">
        <v>2.69</v>
      </c>
      <c r="D12" s="56">
        <v>2.41</v>
      </c>
      <c r="E12" s="56">
        <v>2.33</v>
      </c>
      <c r="F12" s="56">
        <v>5.68</v>
      </c>
      <c r="G12" s="56">
        <v>28.16</v>
      </c>
      <c r="H12" s="56">
        <v>14.52</v>
      </c>
      <c r="I12" s="56">
        <v>6.14</v>
      </c>
      <c r="J12" s="56">
        <v>1.59</v>
      </c>
      <c r="K12" s="56">
        <v>189.87</v>
      </c>
      <c r="L12" s="56">
        <v>24.83</v>
      </c>
      <c r="M12" s="56">
        <v>65</v>
      </c>
      <c r="N12" s="56">
        <v>18</v>
      </c>
      <c r="O12" s="56">
        <v>0</v>
      </c>
      <c r="P12" s="56">
        <v>0.37</v>
      </c>
      <c r="Q12" s="56">
        <v>9.42</v>
      </c>
      <c r="R12" s="43"/>
      <c r="S12" s="43"/>
      <c r="T12" s="43"/>
      <c r="U12" s="43"/>
    </row>
    <row r="13" spans="1:21" s="11" customFormat="1" ht="15">
      <c r="A13" s="55" t="s">
        <v>546</v>
      </c>
      <c r="B13" s="56">
        <v>1.41</v>
      </c>
      <c r="C13" s="56">
        <v>2.3199999999999998</v>
      </c>
      <c r="D13" s="56">
        <v>2.23</v>
      </c>
      <c r="E13" s="56">
        <v>1.49</v>
      </c>
      <c r="F13" s="56">
        <v>4.96</v>
      </c>
      <c r="G13" s="56">
        <v>19.760000000000002</v>
      </c>
      <c r="H13" s="56">
        <v>12.68</v>
      </c>
      <c r="I13" s="56">
        <v>4.9000000000000004</v>
      </c>
      <c r="J13" s="56">
        <v>1.48</v>
      </c>
      <c r="K13" s="56">
        <v>199.65</v>
      </c>
      <c r="L13" s="56">
        <v>24.32</v>
      </c>
      <c r="M13" s="56">
        <v>67.41</v>
      </c>
      <c r="N13" s="56">
        <v>17.899999999999999</v>
      </c>
      <c r="O13" s="56">
        <v>0</v>
      </c>
      <c r="P13" s="56">
        <v>0.31</v>
      </c>
      <c r="Q13" s="56">
        <v>9.4600000000000009</v>
      </c>
      <c r="R13" s="43"/>
      <c r="S13" s="43"/>
      <c r="T13" s="43"/>
      <c r="U13" s="43"/>
    </row>
    <row r="14" spans="1:21" s="11" customFormat="1" ht="15">
      <c r="A14" s="55" t="s">
        <v>547</v>
      </c>
      <c r="B14" s="56">
        <v>1.44</v>
      </c>
      <c r="C14" s="56">
        <v>2.4900000000000002</v>
      </c>
      <c r="D14" s="56">
        <v>2.35</v>
      </c>
      <c r="E14" s="56">
        <v>1.53</v>
      </c>
      <c r="F14" s="56">
        <v>4.49</v>
      </c>
      <c r="G14" s="56">
        <v>19.82</v>
      </c>
      <c r="H14" s="56">
        <v>10.199999999999999</v>
      </c>
      <c r="I14" s="56">
        <v>5.36</v>
      </c>
      <c r="J14" s="56">
        <v>1.62</v>
      </c>
      <c r="K14" s="56">
        <v>168.27</v>
      </c>
      <c r="L14" s="56">
        <v>24.55</v>
      </c>
      <c r="M14" s="56">
        <v>64.30</v>
      </c>
      <c r="N14" s="56">
        <v>56.40</v>
      </c>
      <c r="O14" s="56">
        <v>0</v>
      </c>
      <c r="P14" s="56">
        <v>0.28000000000000003</v>
      </c>
      <c r="Q14" s="56">
        <v>9.42</v>
      </c>
      <c r="R14" s="43"/>
      <c r="S14" s="43"/>
      <c r="T14" s="43"/>
      <c r="U14" s="43"/>
    </row>
    <row r="15" spans="1:21" s="11" customFormat="1" ht="15">
      <c r="A15" s="55" t="s">
        <v>548</v>
      </c>
      <c r="B15" s="56">
        <v>1.47</v>
      </c>
      <c r="C15" s="56">
        <v>3.75</v>
      </c>
      <c r="D15" s="56">
        <v>3.06</v>
      </c>
      <c r="E15" s="56">
        <v>1.63</v>
      </c>
      <c r="F15" s="56">
        <v>4.78</v>
      </c>
      <c r="G15" s="56">
        <v>19.12</v>
      </c>
      <c r="H15" s="56">
        <v>10.27</v>
      </c>
      <c r="I15" s="56">
        <v>5.25</v>
      </c>
      <c r="J15" s="56">
        <v>0.56999999999999995</v>
      </c>
      <c r="K15" s="56">
        <v>173.15</v>
      </c>
      <c r="L15" s="56">
        <v>26.14</v>
      </c>
      <c r="M15" s="56">
        <v>64.22</v>
      </c>
      <c r="N15" s="56">
        <v>225.80</v>
      </c>
      <c r="O15" s="56">
        <v>0</v>
      </c>
      <c r="P15" s="56">
        <v>0.26</v>
      </c>
      <c r="Q15" s="56">
        <v>9.3800000000000008</v>
      </c>
      <c r="R15" s="43"/>
      <c r="S15" s="43"/>
      <c r="T15" s="43"/>
      <c r="U15" s="43"/>
    </row>
    <row r="16" spans="1:21" s="11" customFormat="1" ht="15">
      <c r="A16" s="55" t="s">
        <v>549</v>
      </c>
      <c r="B16" s="56">
        <v>1.48</v>
      </c>
      <c r="C16" s="56">
        <v>3.68</v>
      </c>
      <c r="D16" s="56">
        <v>3.03</v>
      </c>
      <c r="E16" s="56">
        <v>3.09</v>
      </c>
      <c r="F16" s="56">
        <v>5.16</v>
      </c>
      <c r="G16" s="56">
        <v>21.34</v>
      </c>
      <c r="H16" s="56">
        <v>9.0299999999999994</v>
      </c>
      <c r="I16" s="56">
        <v>5.07</v>
      </c>
      <c r="J16" s="56">
        <v>0.15</v>
      </c>
      <c r="K16" s="56">
        <v>356.64</v>
      </c>
      <c r="L16" s="56">
        <v>26.93</v>
      </c>
      <c r="M16" s="56">
        <v>58.51</v>
      </c>
      <c r="N16" s="56">
        <v>341</v>
      </c>
      <c r="O16" s="56">
        <v>0</v>
      </c>
      <c r="P16" s="56">
        <v>0.28999999999999998</v>
      </c>
      <c r="Q16" s="56">
        <v>9.32</v>
      </c>
      <c r="R16" s="43"/>
      <c r="S16" s="43"/>
      <c r="T16" s="43"/>
      <c r="U16" s="43"/>
    </row>
    <row r="17" spans="1:21" s="11" customFormat="1" ht="15">
      <c r="A17" s="55" t="s">
        <v>550</v>
      </c>
      <c r="B17" s="56">
        <v>1.38</v>
      </c>
      <c r="C17" s="56">
        <v>3.11</v>
      </c>
      <c r="D17" s="56">
        <v>2.64</v>
      </c>
      <c r="E17" s="56">
        <v>1.66</v>
      </c>
      <c r="F17" s="56">
        <v>5.0599999999999996</v>
      </c>
      <c r="G17" s="56">
        <v>22.90</v>
      </c>
      <c r="H17" s="56">
        <v>8.31</v>
      </c>
      <c r="I17" s="56">
        <v>4.2300000000000004</v>
      </c>
      <c r="J17" s="56">
        <v>0.35</v>
      </c>
      <c r="K17" s="56">
        <v>349.80</v>
      </c>
      <c r="L17" s="56">
        <v>32.14</v>
      </c>
      <c r="M17" s="56">
        <v>50.10</v>
      </c>
      <c r="N17" s="56">
        <v>626.20000000000005</v>
      </c>
      <c r="O17" s="56">
        <v>0</v>
      </c>
      <c r="P17" s="56">
        <v>0.28000000000000003</v>
      </c>
      <c r="Q17" s="56">
        <v>9.39</v>
      </c>
      <c r="R17" s="43"/>
      <c r="S17" s="43"/>
      <c r="T17" s="43"/>
      <c r="U17" s="43"/>
    </row>
    <row r="18" spans="1:21" s="11" customFormat="1" ht="15">
      <c r="A18" s="55" t="s">
        <v>551</v>
      </c>
      <c r="B18" s="56">
        <v>1.47</v>
      </c>
      <c r="C18" s="56">
        <v>3.55</v>
      </c>
      <c r="D18" s="56">
        <v>2.96</v>
      </c>
      <c r="E18" s="56">
        <v>1.54</v>
      </c>
      <c r="F18" s="56">
        <v>5.05</v>
      </c>
      <c r="G18" s="56">
        <v>28.51</v>
      </c>
      <c r="H18" s="56">
        <v>11.67</v>
      </c>
      <c r="I18" s="56">
        <v>4.5199999999999996</v>
      </c>
      <c r="J18" s="56">
        <v>0.85</v>
      </c>
      <c r="K18" s="56">
        <v>330.72</v>
      </c>
      <c r="L18" s="56">
        <v>34.10</v>
      </c>
      <c r="M18" s="56">
        <v>45.15</v>
      </c>
      <c r="N18" s="56">
        <v>721.40</v>
      </c>
      <c r="O18" s="56">
        <v>0</v>
      </c>
      <c r="P18" s="56">
        <v>0.37</v>
      </c>
      <c r="Q18" s="56">
        <v>9.40</v>
      </c>
      <c r="R18" s="43"/>
      <c r="S18" s="43"/>
      <c r="T18" s="43"/>
      <c r="U18" s="43"/>
    </row>
    <row r="19" spans="1:21" s="11" customFormat="1" ht="15">
      <c r="A19" s="55" t="s">
        <v>552</v>
      </c>
      <c r="B19" s="56">
        <v>1.5</v>
      </c>
      <c r="C19" s="56">
        <v>6.21</v>
      </c>
      <c r="D19" s="56">
        <v>4.34</v>
      </c>
      <c r="E19" s="56">
        <v>2.0099999999999998</v>
      </c>
      <c r="F19" s="56">
        <v>5.79</v>
      </c>
      <c r="G19" s="56">
        <v>38.83</v>
      </c>
      <c r="H19" s="56">
        <v>15.92</v>
      </c>
      <c r="I19" s="56">
        <v>5.47</v>
      </c>
      <c r="J19" s="56">
        <v>0.81</v>
      </c>
      <c r="K19" s="56">
        <v>332.26</v>
      </c>
      <c r="L19" s="56">
        <v>38.119999999999997</v>
      </c>
      <c r="M19" s="56">
        <v>36.119999999999997</v>
      </c>
      <c r="N19" s="56">
        <v>842.70</v>
      </c>
      <c r="O19" s="56">
        <v>0</v>
      </c>
      <c r="P19" s="56">
        <v>0.56000000000000005</v>
      </c>
      <c r="Q19" s="56">
        <v>9.42</v>
      </c>
      <c r="R19" s="43"/>
      <c r="S19" s="43"/>
      <c r="T19" s="43"/>
      <c r="U19" s="43"/>
    </row>
    <row r="20" spans="1:21" s="11" customFormat="1" ht="15">
      <c r="A20" s="55" t="s">
        <v>553</v>
      </c>
      <c r="B20" s="56">
        <v>1.37</v>
      </c>
      <c r="C20" s="56">
        <v>5.87</v>
      </c>
      <c r="D20" s="56">
        <v>4.08</v>
      </c>
      <c r="E20" s="56">
        <v>1.97</v>
      </c>
      <c r="F20" s="56">
        <v>6.62</v>
      </c>
      <c r="G20" s="56">
        <v>39.42</v>
      </c>
      <c r="H20" s="56">
        <v>16.16</v>
      </c>
      <c r="I20" s="56">
        <v>5.40</v>
      </c>
      <c r="J20" s="56">
        <v>1.05</v>
      </c>
      <c r="K20" s="56">
        <v>339.33</v>
      </c>
      <c r="L20" s="56">
        <v>38.99</v>
      </c>
      <c r="M20" s="56">
        <v>32.799999999999997</v>
      </c>
      <c r="N20" s="56">
        <v>868.30</v>
      </c>
      <c r="O20" s="56">
        <v>0</v>
      </c>
      <c r="P20" s="56">
        <v>0.56999999999999995</v>
      </c>
      <c r="Q20" s="56">
        <v>9.3699999999999992</v>
      </c>
      <c r="R20" s="43"/>
      <c r="S20" s="43"/>
      <c r="T20" s="43"/>
      <c r="U20" s="43"/>
    </row>
    <row r="21" spans="1:21" s="11" customFormat="1" ht="15">
      <c r="A21" s="55" t="s">
        <v>554</v>
      </c>
      <c r="B21" s="56">
        <v>1.34</v>
      </c>
      <c r="C21" s="56">
        <v>5.0199999999999996</v>
      </c>
      <c r="D21" s="56">
        <v>3.55</v>
      </c>
      <c r="E21" s="56">
        <v>1.84</v>
      </c>
      <c r="F21" s="56">
        <v>7.19</v>
      </c>
      <c r="G21" s="56">
        <v>38.43</v>
      </c>
      <c r="H21" s="56">
        <v>13.79</v>
      </c>
      <c r="I21" s="56">
        <v>4.9400000000000004</v>
      </c>
      <c r="J21" s="56">
        <v>1.1599999999999999</v>
      </c>
      <c r="K21" s="56">
        <v>345.38</v>
      </c>
      <c r="L21" s="56">
        <v>40.049999999999997</v>
      </c>
      <c r="M21" s="56">
        <v>32.340000000000003</v>
      </c>
      <c r="N21" s="56">
        <v>857.10</v>
      </c>
      <c r="O21" s="56">
        <v>0</v>
      </c>
      <c r="P21" s="56">
        <v>0.53</v>
      </c>
      <c r="Q21" s="56">
        <v>9.39</v>
      </c>
      <c r="R21" s="43"/>
      <c r="S21" s="43"/>
      <c r="T21" s="43"/>
      <c r="U21" s="43"/>
    </row>
    <row r="22" spans="1:21" s="11" customFormat="1" ht="15">
      <c r="A22" s="55" t="s">
        <v>555</v>
      </c>
      <c r="B22" s="56">
        <v>1.37</v>
      </c>
      <c r="C22" s="56">
        <v>4.3899999999999997</v>
      </c>
      <c r="D22" s="56">
        <v>3.29</v>
      </c>
      <c r="E22" s="56">
        <v>1.79</v>
      </c>
      <c r="F22" s="56">
        <v>5.62</v>
      </c>
      <c r="G22" s="56">
        <v>38.450000000000003</v>
      </c>
      <c r="H22" s="56">
        <v>15.79</v>
      </c>
      <c r="I22" s="56">
        <v>5.79</v>
      </c>
      <c r="J22" s="56">
        <v>0.83</v>
      </c>
      <c r="K22" s="56">
        <v>337</v>
      </c>
      <c r="L22" s="56">
        <v>40.35</v>
      </c>
      <c r="M22" s="56">
        <v>31.58</v>
      </c>
      <c r="N22" s="56">
        <v>829.90</v>
      </c>
      <c r="O22" s="56">
        <v>0</v>
      </c>
      <c r="P22" s="56">
        <v>0.51</v>
      </c>
      <c r="Q22" s="56">
        <v>9.39</v>
      </c>
      <c r="R22" s="43"/>
      <c r="S22" s="43"/>
      <c r="T22" s="43"/>
      <c r="U22" s="43"/>
    </row>
    <row r="23" spans="1:21" s="11" customFormat="1" ht="15">
      <c r="A23" s="55" t="s">
        <v>556</v>
      </c>
      <c r="B23" s="56">
        <v>1.45</v>
      </c>
      <c r="C23" s="56">
        <v>5.33</v>
      </c>
      <c r="D23" s="56">
        <v>3.87</v>
      </c>
      <c r="E23" s="56">
        <v>1.73</v>
      </c>
      <c r="F23" s="56">
        <v>5.88</v>
      </c>
      <c r="G23" s="56">
        <v>35.880000000000003</v>
      </c>
      <c r="H23" s="56">
        <v>15.90</v>
      </c>
      <c r="I23" s="56">
        <v>6.25</v>
      </c>
      <c r="J23" s="56">
        <v>1.35</v>
      </c>
      <c r="K23" s="56">
        <v>337.37</v>
      </c>
      <c r="L23" s="56">
        <v>37.14</v>
      </c>
      <c r="M23" s="56">
        <v>34.090000000000003</v>
      </c>
      <c r="N23" s="56">
        <v>230.10</v>
      </c>
      <c r="O23" s="56">
        <v>0</v>
      </c>
      <c r="P23" s="56">
        <v>0.48</v>
      </c>
      <c r="Q23" s="56">
        <v>9.3699999999999992</v>
      </c>
      <c r="R23" s="43"/>
      <c r="S23" s="43"/>
      <c r="T23" s="43"/>
      <c r="U23" s="43"/>
    </row>
    <row r="24" spans="1:21" s="11" customFormat="1" ht="15">
      <c r="A24" s="55" t="s">
        <v>557</v>
      </c>
      <c r="B24" s="56">
        <v>1.52</v>
      </c>
      <c r="C24" s="56">
        <v>5.87</v>
      </c>
      <c r="D24" s="56">
        <v>4.20</v>
      </c>
      <c r="E24" s="56">
        <v>1.51</v>
      </c>
      <c r="F24" s="56">
        <v>5.19</v>
      </c>
      <c r="G24" s="56">
        <v>34.43</v>
      </c>
      <c r="H24" s="56">
        <v>14.30</v>
      </c>
      <c r="I24" s="56">
        <v>6.08</v>
      </c>
      <c r="J24" s="56">
        <v>0.74</v>
      </c>
      <c r="K24" s="56">
        <v>341.32</v>
      </c>
      <c r="L24" s="56">
        <v>36.81</v>
      </c>
      <c r="M24" s="56">
        <v>34.01</v>
      </c>
      <c r="N24" s="56">
        <v>191</v>
      </c>
      <c r="O24" s="56">
        <v>0</v>
      </c>
      <c r="P24" s="56">
        <v>0.48</v>
      </c>
      <c r="Q24" s="56">
        <v>9.39</v>
      </c>
      <c r="R24" s="43"/>
      <c r="S24" s="43"/>
      <c r="T24" s="43"/>
      <c r="U24" s="43"/>
    </row>
    <row r="25" spans="1:21" s="11" customFormat="1" ht="15">
      <c r="A25" s="55" t="s">
        <v>558</v>
      </c>
      <c r="B25" s="56">
        <v>1.51</v>
      </c>
      <c r="C25" s="56">
        <v>6.17</v>
      </c>
      <c r="D25" s="56">
        <v>4.3600000000000003</v>
      </c>
      <c r="E25" s="56">
        <v>1.81</v>
      </c>
      <c r="F25" s="56">
        <v>5.47</v>
      </c>
      <c r="G25" s="56">
        <v>32.64</v>
      </c>
      <c r="H25" s="56">
        <v>15.12</v>
      </c>
      <c r="I25" s="56">
        <v>6.31</v>
      </c>
      <c r="J25" s="56">
        <v>0.65</v>
      </c>
      <c r="K25" s="56">
        <v>348.54</v>
      </c>
      <c r="L25" s="56">
        <v>35.96</v>
      </c>
      <c r="M25" s="56">
        <v>35.729999999999997</v>
      </c>
      <c r="N25" s="56">
        <v>169.80</v>
      </c>
      <c r="O25" s="56">
        <v>0</v>
      </c>
      <c r="P25" s="56">
        <v>0.49</v>
      </c>
      <c r="Q25" s="56">
        <v>9.36</v>
      </c>
      <c r="R25" s="43"/>
      <c r="S25" s="43"/>
      <c r="T25" s="43"/>
      <c r="U25" s="43"/>
    </row>
    <row r="26" spans="1:21" s="11" customFormat="1" ht="15">
      <c r="A26" s="55" t="s">
        <v>559</v>
      </c>
      <c r="B26" s="56">
        <v>1.5</v>
      </c>
      <c r="C26" s="56">
        <v>5.77</v>
      </c>
      <c r="D26" s="56">
        <v>4.13</v>
      </c>
      <c r="E26" s="56">
        <v>1.82</v>
      </c>
      <c r="F26" s="56">
        <v>5.13</v>
      </c>
      <c r="G26" s="56">
        <v>37.24</v>
      </c>
      <c r="H26" s="56">
        <v>15.68</v>
      </c>
      <c r="I26" s="56">
        <v>6.16</v>
      </c>
      <c r="J26" s="56">
        <v>0.67</v>
      </c>
      <c r="K26" s="56">
        <v>348.83</v>
      </c>
      <c r="L26" s="56">
        <v>35.979999999999997</v>
      </c>
      <c r="M26" s="56">
        <v>40.78</v>
      </c>
      <c r="N26" s="56">
        <v>88.70</v>
      </c>
      <c r="O26" s="56">
        <v>0</v>
      </c>
      <c r="P26" s="56">
        <v>0.5</v>
      </c>
      <c r="Q26" s="56">
        <v>9.39</v>
      </c>
      <c r="R26" s="43"/>
      <c r="S26" s="43"/>
      <c r="T26" s="43"/>
      <c r="U26" s="43"/>
    </row>
    <row r="27" spans="1:21" s="11" customFormat="1" ht="15">
      <c r="A27" s="55" t="s">
        <v>560</v>
      </c>
      <c r="B27" s="56">
        <v>1.56</v>
      </c>
      <c r="C27" s="56">
        <v>5.77</v>
      </c>
      <c r="D27" s="56">
        <v>4.17</v>
      </c>
      <c r="E27" s="56">
        <v>2.0299999999999998</v>
      </c>
      <c r="F27" s="56">
        <v>5.25</v>
      </c>
      <c r="G27" s="56">
        <v>60.43</v>
      </c>
      <c r="H27" s="56">
        <v>18.16</v>
      </c>
      <c r="I27" s="56">
        <v>7.53</v>
      </c>
      <c r="J27" s="56">
        <v>2.5499999999999998</v>
      </c>
      <c r="K27" s="56">
        <v>347.73</v>
      </c>
      <c r="L27" s="56">
        <v>32.68</v>
      </c>
      <c r="M27" s="56">
        <v>43.24</v>
      </c>
      <c r="N27" s="56">
        <v>31</v>
      </c>
      <c r="O27" s="56">
        <v>0</v>
      </c>
      <c r="P27" s="56">
        <v>0.54</v>
      </c>
      <c r="Q27" s="56">
        <v>9.39</v>
      </c>
      <c r="R27" s="43"/>
      <c r="S27" s="43"/>
      <c r="T27" s="43"/>
      <c r="U27" s="43"/>
    </row>
    <row r="28" spans="1:21" s="11" customFormat="1" ht="15">
      <c r="A28" s="55" t="s">
        <v>561</v>
      </c>
      <c r="B28" s="56">
        <v>1.59</v>
      </c>
      <c r="C28" s="56">
        <v>6.44</v>
      </c>
      <c r="D28" s="56">
        <v>4.55</v>
      </c>
      <c r="E28" s="56">
        <v>2.14</v>
      </c>
      <c r="F28" s="56">
        <v>5.38</v>
      </c>
      <c r="G28" s="56">
        <v>63.06</v>
      </c>
      <c r="H28" s="56">
        <v>18.37</v>
      </c>
      <c r="I28" s="56">
        <v>7.69</v>
      </c>
      <c r="J28" s="56">
        <v>1.84</v>
      </c>
      <c r="K28" s="56">
        <v>349.95</v>
      </c>
      <c r="L28" s="56">
        <v>32.14</v>
      </c>
      <c r="M28" s="56">
        <v>38.49</v>
      </c>
      <c r="N28" s="56">
        <v>18.100000000000001</v>
      </c>
      <c r="O28" s="56">
        <v>0</v>
      </c>
      <c r="P28" s="56">
        <v>0.64</v>
      </c>
      <c r="Q28" s="56">
        <v>9.44</v>
      </c>
      <c r="R28" s="43"/>
      <c r="S28" s="43"/>
      <c r="T28" s="43"/>
      <c r="U28" s="43"/>
    </row>
    <row r="29" spans="1:21" s="11" customFormat="1" ht="15">
      <c r="A29" s="55" t="s">
        <v>562</v>
      </c>
      <c r="B29" s="56">
        <v>1.59</v>
      </c>
      <c r="C29" s="56">
        <v>6.05</v>
      </c>
      <c r="D29" s="56">
        <v>4.3099999999999996</v>
      </c>
      <c r="E29" s="56">
        <v>2.11</v>
      </c>
      <c r="F29" s="56">
        <v>4.55</v>
      </c>
      <c r="G29" s="56">
        <v>63.13</v>
      </c>
      <c r="H29" s="56">
        <v>18.38</v>
      </c>
      <c r="I29" s="56">
        <v>7.96</v>
      </c>
      <c r="J29" s="56">
        <v>1.86</v>
      </c>
      <c r="K29" s="56">
        <v>356</v>
      </c>
      <c r="L29" s="56">
        <v>31.13</v>
      </c>
      <c r="M29" s="56">
        <v>40.31</v>
      </c>
      <c r="N29" s="56">
        <v>17.80</v>
      </c>
      <c r="O29" s="56">
        <v>0</v>
      </c>
      <c r="P29" s="56">
        <v>0.66</v>
      </c>
      <c r="Q29" s="56">
        <v>9.43</v>
      </c>
      <c r="R29" s="43"/>
      <c r="S29" s="43"/>
      <c r="T29" s="43"/>
      <c r="U29" s="43"/>
    </row>
    <row r="30" spans="1:21" s="11" customFormat="1" ht="15">
      <c r="A30" s="55" t="s">
        <v>563</v>
      </c>
      <c r="B30" s="56">
        <v>1.48</v>
      </c>
      <c r="C30" s="56">
        <v>6.38</v>
      </c>
      <c r="D30" s="56">
        <v>4.3899999999999997</v>
      </c>
      <c r="E30" s="56">
        <v>2.5299999999999998</v>
      </c>
      <c r="F30" s="56">
        <v>5.55</v>
      </c>
      <c r="G30" s="56">
        <v>73.45</v>
      </c>
      <c r="H30" s="56">
        <v>19.16</v>
      </c>
      <c r="I30" s="56">
        <v>8.2100000000000009</v>
      </c>
      <c r="J30" s="56">
        <v>2.99</v>
      </c>
      <c r="K30" s="56">
        <v>109.40</v>
      </c>
      <c r="L30" s="56">
        <v>30.44</v>
      </c>
      <c r="M30" s="56">
        <v>47.34</v>
      </c>
      <c r="N30" s="56">
        <v>20.20</v>
      </c>
      <c r="O30" s="56">
        <v>0</v>
      </c>
      <c r="P30" s="56">
        <v>0.65</v>
      </c>
      <c r="Q30" s="56">
        <v>9.48</v>
      </c>
      <c r="R30" s="43"/>
      <c r="S30" s="43"/>
      <c r="T30" s="43"/>
      <c r="U30" s="43"/>
    </row>
    <row r="31" spans="1:21" s="11" customFormat="1" ht="15">
      <c r="A31" s="55" t="s">
        <v>564</v>
      </c>
      <c r="B31" s="56">
        <v>1.33</v>
      </c>
      <c r="C31" s="56">
        <v>3.49</v>
      </c>
      <c r="D31" s="56">
        <v>2.81</v>
      </c>
      <c r="E31" s="56">
        <v>2.11</v>
      </c>
      <c r="F31" s="56">
        <v>5.70</v>
      </c>
      <c r="G31" s="56">
        <v>74.14</v>
      </c>
      <c r="H31" s="56">
        <v>19.21</v>
      </c>
      <c r="I31" s="56">
        <v>8.24</v>
      </c>
      <c r="J31" s="56">
        <v>2.80</v>
      </c>
      <c r="K31" s="56">
        <v>109.15</v>
      </c>
      <c r="L31" s="56">
        <v>28.07</v>
      </c>
      <c r="M31" s="56">
        <v>58.48</v>
      </c>
      <c r="N31" s="56">
        <v>18.70</v>
      </c>
      <c r="O31" s="56">
        <v>0</v>
      </c>
      <c r="P31" s="56">
        <v>0.52</v>
      </c>
      <c r="Q31" s="56">
        <v>9.43</v>
      </c>
      <c r="R31" s="43"/>
      <c r="S31" s="43"/>
      <c r="T31" s="43"/>
      <c r="U31" s="43"/>
    </row>
    <row r="32" spans="1:21" s="11" customFormat="1" ht="15">
      <c r="A32" s="55" t="s">
        <v>565</v>
      </c>
      <c r="B32" s="56">
        <v>1.31</v>
      </c>
      <c r="C32" s="56">
        <v>2.5</v>
      </c>
      <c r="D32" s="56">
        <v>2.27</v>
      </c>
      <c r="E32" s="56">
        <v>2.39</v>
      </c>
      <c r="F32" s="56">
        <v>4.79</v>
      </c>
      <c r="G32" s="56">
        <v>56.35</v>
      </c>
      <c r="H32" s="56">
        <v>17</v>
      </c>
      <c r="I32" s="56">
        <v>8.1199999999999992</v>
      </c>
      <c r="J32" s="56">
        <v>2.3199999999999998</v>
      </c>
      <c r="K32" s="56">
        <v>159.22999999999999</v>
      </c>
      <c r="L32" s="56">
        <v>26.18</v>
      </c>
      <c r="M32" s="56">
        <v>61.55</v>
      </c>
      <c r="N32" s="56">
        <v>17.70</v>
      </c>
      <c r="O32" s="56">
        <v>0</v>
      </c>
      <c r="P32" s="56">
        <v>0.42</v>
      </c>
      <c r="Q32" s="56">
        <v>9.4499999999999993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1.3100000000000001</v>
      </c>
      <c r="C34" s="28">
        <f t="shared" si="0"/>
        <v>2.3199999999999998</v>
      </c>
      <c r="D34" s="28">
        <f t="shared" si="0"/>
        <v>2.23</v>
      </c>
      <c r="E34" s="28">
        <f t="shared" si="0"/>
        <v>1.49</v>
      </c>
      <c r="F34" s="28">
        <f t="shared" si="0"/>
        <v>4.0599999999999996</v>
      </c>
      <c r="G34" s="28">
        <f t="shared" si="0"/>
        <v>19.120000000000001</v>
      </c>
      <c r="H34" s="28">
        <f t="shared" si="0"/>
        <v>8.3100000000000005</v>
      </c>
      <c r="I34" s="28">
        <f t="shared" si="0"/>
        <v>4.2300000000000004</v>
      </c>
      <c r="J34" s="28">
        <f t="shared" si="0"/>
        <v>0.14999999999999999</v>
      </c>
      <c r="K34" s="28">
        <f t="shared" si="0"/>
        <v>109.15000000000001</v>
      </c>
      <c r="L34" s="28">
        <f t="shared" si="0"/>
        <v>24.32</v>
      </c>
      <c r="M34" s="28">
        <f t="shared" si="0"/>
        <v>31.579999999999998</v>
      </c>
      <c r="N34" s="28">
        <f t="shared" si="0"/>
        <v>17.699999999999999</v>
      </c>
      <c r="O34" s="28">
        <f t="shared" si="0"/>
        <v>0</v>
      </c>
      <c r="P34" s="28">
        <f t="shared" si="0"/>
        <v>0.26000000000000001</v>
      </c>
      <c r="Q34" s="28">
        <f t="shared" si="0"/>
        <v>9.3200000000000003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2.0899999999999999</v>
      </c>
      <c r="C35" s="29">
        <f t="shared" si="1"/>
        <v>6.4400000000000004</v>
      </c>
      <c r="D35" s="29">
        <f t="shared" si="1"/>
        <v>4.8399999999999999</v>
      </c>
      <c r="E35" s="29">
        <f t="shared" si="1"/>
        <v>3.0899999999999999</v>
      </c>
      <c r="F35" s="29">
        <f t="shared" si="1"/>
        <v>7.1900000000000004</v>
      </c>
      <c r="G35" s="29">
        <f t="shared" si="1"/>
        <v>74.140000000000001</v>
      </c>
      <c r="H35" s="29">
        <f t="shared" si="1"/>
        <v>19.210000000000001</v>
      </c>
      <c r="I35" s="29">
        <f t="shared" si="1"/>
        <v>8.2400000000000002</v>
      </c>
      <c r="J35" s="29">
        <f t="shared" si="1"/>
        <v>2.9900000000000002</v>
      </c>
      <c r="K35" s="29">
        <f t="shared" si="1"/>
        <v>356.63999999999999</v>
      </c>
      <c r="L35" s="29">
        <f t="shared" si="1"/>
        <v>40.350000000000001</v>
      </c>
      <c r="M35" s="29">
        <f t="shared" si="1"/>
        <v>67.409999999999997</v>
      </c>
      <c r="N35" s="29">
        <f t="shared" si="1"/>
        <v>868.29999999999995</v>
      </c>
      <c r="O35" s="29">
        <f t="shared" si="1"/>
        <v>0</v>
      </c>
      <c r="P35" s="29">
        <f t="shared" si="1"/>
        <v>0.70999999999999996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1.4979166666666668</v>
      </c>
      <c r="C36" s="28">
        <f t="shared" si="2"/>
        <v>4.7474999999999996</v>
      </c>
      <c r="D36" s="28">
        <f t="shared" si="2"/>
        <v>3.5862499999999997</v>
      </c>
      <c r="E36" s="28">
        <f t="shared" si="2"/>
        <v>2.0029166666666667</v>
      </c>
      <c r="F36" s="28">
        <f t="shared" si="2"/>
        <v>5.3374999999999986</v>
      </c>
      <c r="G36" s="28">
        <f t="shared" si="2"/>
        <v>41.1325</v>
      </c>
      <c r="H36" s="28">
        <f t="shared" si="2"/>
        <v>14.925833333333335</v>
      </c>
      <c r="I36" s="28">
        <f t="shared" si="2"/>
        <v>6.3825000000000012</v>
      </c>
      <c r="J36" s="28">
        <f t="shared" si="2"/>
        <v>1.3654166666666665</v>
      </c>
      <c r="K36" s="28">
        <f t="shared" si="2"/>
        <v>273.33416666666665</v>
      </c>
      <c r="L36" s="28">
        <f t="shared" si="2"/>
        <v>31.53166666666667</v>
      </c>
      <c r="M36" s="28">
        <f t="shared" si="2"/>
        <v>48.667916666666663</v>
      </c>
      <c r="N36" s="28">
        <f t="shared" si="2"/>
        <v>260.92083333333335</v>
      </c>
      <c r="O36" s="28">
        <f t="shared" si="2"/>
        <v>0</v>
      </c>
      <c r="P36" s="28">
        <f t="shared" si="2"/>
        <v>0.47833333333333333</v>
      </c>
      <c r="Q36" s="28">
        <f t="shared" si="2"/>
        <v>9.4100000000000001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0.17795893924714842</v>
      </c>
      <c r="C37" s="28">
        <f t="shared" si="3" ref="C37:Q37">STDEV(C9:C32)</f>
        <v>1.4604503474583823</v>
      </c>
      <c r="D37" s="28">
        <f t="shared" si="3"/>
        <v>0.84556547839943941</v>
      </c>
      <c r="E37" s="28">
        <f t="shared" si="3"/>
        <v>0.39689533355420009</v>
      </c>
      <c r="F37" s="28">
        <f t="shared" si="3"/>
        <v>0.66824396742508774</v>
      </c>
      <c r="G37" s="28">
        <f t="shared" si="3"/>
        <v>17.005656411911911</v>
      </c>
      <c r="H37" s="28">
        <f t="shared" si="3"/>
        <v>3.1577742803748623</v>
      </c>
      <c r="I37" s="28">
        <f t="shared" si="3"/>
        <v>1.331955900823717</v>
      </c>
      <c r="J37" s="28">
        <f t="shared" si="3"/>
        <v>0.79571668088075442</v>
      </c>
      <c r="K37" s="28">
        <f t="shared" si="3"/>
        <v>93.014626662629837</v>
      </c>
      <c r="L37" s="28">
        <f t="shared" si="3"/>
        <v>5.3979856683175704</v>
      </c>
      <c r="M37" s="28">
        <f t="shared" si="3"/>
        <v>12.949294081537589</v>
      </c>
      <c r="N37" s="28">
        <f t="shared" si="3"/>
        <v>327.50393423347725</v>
      </c>
      <c r="O37" s="28">
        <f t="shared" si="3"/>
        <v>0</v>
      </c>
      <c r="P37" s="28">
        <f t="shared" si="3"/>
        <v>0.13176615210508247</v>
      </c>
      <c r="Q37" s="28">
        <f t="shared" si="3"/>
        <v>0.048274576980111276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579de8-ac8a-49f7-80e0-1ca6ad25863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566</v>
      </c>
      <c r="B9" s="56">
        <v>1.26</v>
      </c>
      <c r="C9" s="56">
        <v>3.15</v>
      </c>
      <c r="D9" s="56">
        <v>2.57</v>
      </c>
      <c r="E9" s="56">
        <v>1.78</v>
      </c>
      <c r="F9" s="56">
        <v>5.60</v>
      </c>
      <c r="G9" s="56">
        <v>37.22</v>
      </c>
      <c r="H9" s="56">
        <v>11.27</v>
      </c>
      <c r="I9" s="56">
        <v>7.66</v>
      </c>
      <c r="J9" s="56">
        <v>1.29</v>
      </c>
      <c r="K9" s="56">
        <v>168.54</v>
      </c>
      <c r="L9" s="56">
        <v>25.92</v>
      </c>
      <c r="M9" s="56">
        <v>64.92</v>
      </c>
      <c r="N9" s="56">
        <v>18</v>
      </c>
      <c r="O9" s="56">
        <v>0</v>
      </c>
      <c r="P9" s="56">
        <v>0.37</v>
      </c>
      <c r="Q9" s="56">
        <v>9.4499999999999993</v>
      </c>
      <c r="R9" s="43"/>
      <c r="S9" s="43"/>
      <c r="T9" s="43"/>
      <c r="U9" s="43"/>
    </row>
    <row r="10" spans="1:21" s="11" customFormat="1" ht="15">
      <c r="A10" s="55" t="s">
        <v>567</v>
      </c>
      <c r="B10" s="56">
        <v>1.25</v>
      </c>
      <c r="C10" s="56">
        <v>3.33</v>
      </c>
      <c r="D10" s="56">
        <v>2.66</v>
      </c>
      <c r="E10" s="56">
        <v>1.90</v>
      </c>
      <c r="F10" s="56">
        <v>5.72</v>
      </c>
      <c r="G10" s="56">
        <v>25.20</v>
      </c>
      <c r="H10" s="56">
        <v>10.59</v>
      </c>
      <c r="I10" s="56">
        <v>6.73</v>
      </c>
      <c r="J10" s="56">
        <v>1.99</v>
      </c>
      <c r="K10" s="56">
        <v>178.61</v>
      </c>
      <c r="L10" s="56">
        <v>25.96</v>
      </c>
      <c r="M10" s="56">
        <v>64.86</v>
      </c>
      <c r="N10" s="56">
        <v>18</v>
      </c>
      <c r="O10" s="56">
        <v>0</v>
      </c>
      <c r="P10" s="56">
        <v>0.31</v>
      </c>
      <c r="Q10" s="56">
        <v>9.40</v>
      </c>
      <c r="R10" s="43"/>
      <c r="S10" s="43"/>
      <c r="T10" s="43"/>
      <c r="U10" s="43"/>
    </row>
    <row r="11" spans="1:21" s="11" customFormat="1" ht="15">
      <c r="A11" s="55" t="s">
        <v>568</v>
      </c>
      <c r="B11" s="56">
        <v>1.26</v>
      </c>
      <c r="C11" s="56">
        <v>2.71</v>
      </c>
      <c r="D11" s="56">
        <v>2.3199999999999998</v>
      </c>
      <c r="E11" s="56">
        <v>1.82</v>
      </c>
      <c r="F11" s="56">
        <v>5.89</v>
      </c>
      <c r="G11" s="56">
        <v>21.10</v>
      </c>
      <c r="H11" s="56">
        <v>9.94</v>
      </c>
      <c r="I11" s="56">
        <v>6.18</v>
      </c>
      <c r="J11" s="56">
        <v>0.41</v>
      </c>
      <c r="K11" s="56">
        <v>355.06</v>
      </c>
      <c r="L11" s="56">
        <v>25.21</v>
      </c>
      <c r="M11" s="56">
        <v>73.900000000000006</v>
      </c>
      <c r="N11" s="56">
        <v>18.20</v>
      </c>
      <c r="O11" s="56">
        <v>0</v>
      </c>
      <c r="P11" s="56">
        <v>0.28000000000000003</v>
      </c>
      <c r="Q11" s="56">
        <v>9.3800000000000008</v>
      </c>
      <c r="R11" s="43"/>
      <c r="S11" s="43"/>
      <c r="T11" s="43"/>
      <c r="U11" s="43"/>
    </row>
    <row r="12" spans="1:21" s="11" customFormat="1" ht="15">
      <c r="A12" s="55" t="s">
        <v>569</v>
      </c>
      <c r="B12" s="56">
        <v>1.26</v>
      </c>
      <c r="C12" s="56">
        <v>1.36</v>
      </c>
      <c r="D12" s="56">
        <v>1.64</v>
      </c>
      <c r="E12" s="56">
        <v>1.80</v>
      </c>
      <c r="F12" s="56">
        <v>6.04</v>
      </c>
      <c r="G12" s="56">
        <v>21.46</v>
      </c>
      <c r="H12" s="56">
        <v>7.98</v>
      </c>
      <c r="I12" s="56">
        <v>5.0199999999999996</v>
      </c>
      <c r="J12" s="56">
        <v>0.18</v>
      </c>
      <c r="K12" s="56">
        <v>357.33</v>
      </c>
      <c r="L12" s="56">
        <v>25.02</v>
      </c>
      <c r="M12" s="56">
        <v>74.5</v>
      </c>
      <c r="N12" s="56">
        <v>17.5</v>
      </c>
      <c r="O12" s="56">
        <v>0</v>
      </c>
      <c r="P12" s="56">
        <v>0.24</v>
      </c>
      <c r="Q12" s="56">
        <v>9.44</v>
      </c>
      <c r="R12" s="43"/>
      <c r="S12" s="43"/>
      <c r="T12" s="43"/>
      <c r="U12" s="43"/>
    </row>
    <row r="13" spans="1:21" s="11" customFormat="1" ht="15">
      <c r="A13" s="55" t="s">
        <v>570</v>
      </c>
      <c r="B13" s="56">
        <v>1.26</v>
      </c>
      <c r="C13" s="56">
        <v>1.75</v>
      </c>
      <c r="D13" s="56">
        <v>1.84</v>
      </c>
      <c r="E13" s="56">
        <v>1.47</v>
      </c>
      <c r="F13" s="56">
        <v>5.24</v>
      </c>
      <c r="G13" s="56">
        <v>21.96</v>
      </c>
      <c r="H13" s="56">
        <v>6.84</v>
      </c>
      <c r="I13" s="56">
        <v>4.43</v>
      </c>
      <c r="J13" s="56">
        <v>0.38</v>
      </c>
      <c r="K13" s="56">
        <v>355.5</v>
      </c>
      <c r="L13" s="56">
        <v>25.12</v>
      </c>
      <c r="M13" s="56">
        <v>71.510000000000005</v>
      </c>
      <c r="N13" s="56">
        <v>17.600000000000001</v>
      </c>
      <c r="O13" s="56">
        <v>0</v>
      </c>
      <c r="P13" s="56">
        <v>0.23</v>
      </c>
      <c r="Q13" s="56">
        <v>9.44</v>
      </c>
      <c r="R13" s="43"/>
      <c r="S13" s="43"/>
      <c r="T13" s="43"/>
      <c r="U13" s="43"/>
    </row>
    <row r="14" spans="1:21" s="11" customFormat="1" ht="15">
      <c r="A14" s="55" t="s">
        <v>571</v>
      </c>
      <c r="B14" s="56">
        <v>1.25</v>
      </c>
      <c r="C14" s="56">
        <v>1.82</v>
      </c>
      <c r="D14" s="56">
        <v>1.87</v>
      </c>
      <c r="E14" s="56">
        <v>1.47</v>
      </c>
      <c r="F14" s="56">
        <v>5.31</v>
      </c>
      <c r="G14" s="56">
        <v>23.94</v>
      </c>
      <c r="H14" s="56">
        <v>7.67</v>
      </c>
      <c r="I14" s="56">
        <v>4.03</v>
      </c>
      <c r="J14" s="56">
        <v>0.33</v>
      </c>
      <c r="K14" s="56">
        <v>356.97</v>
      </c>
      <c r="L14" s="56">
        <v>25.69</v>
      </c>
      <c r="M14" s="56">
        <v>69.75</v>
      </c>
      <c r="N14" s="56">
        <v>63.60</v>
      </c>
      <c r="O14" s="56">
        <v>0</v>
      </c>
      <c r="P14" s="56">
        <v>0.26</v>
      </c>
      <c r="Q14" s="56">
        <v>9.41</v>
      </c>
      <c r="R14" s="43"/>
      <c r="S14" s="43"/>
      <c r="T14" s="43"/>
      <c r="U14" s="43"/>
    </row>
    <row r="15" spans="1:21" s="11" customFormat="1" ht="15">
      <c r="A15" s="55" t="s">
        <v>572</v>
      </c>
      <c r="B15" s="56">
        <v>1.28</v>
      </c>
      <c r="C15" s="56">
        <v>2.10</v>
      </c>
      <c r="D15" s="56">
        <v>2.0299999999999998</v>
      </c>
      <c r="E15" s="56">
        <v>1.29</v>
      </c>
      <c r="F15" s="56">
        <v>5.21</v>
      </c>
      <c r="G15" s="56">
        <v>28.29</v>
      </c>
      <c r="H15" s="56">
        <v>9.3000000000000007</v>
      </c>
      <c r="I15" s="56">
        <v>3.92</v>
      </c>
      <c r="J15" s="56">
        <v>0.33</v>
      </c>
      <c r="K15" s="56">
        <v>349.14</v>
      </c>
      <c r="L15" s="56">
        <v>29.21</v>
      </c>
      <c r="M15" s="56">
        <v>62.54</v>
      </c>
      <c r="N15" s="56">
        <v>228.20</v>
      </c>
      <c r="O15" s="56">
        <v>0</v>
      </c>
      <c r="P15" s="56">
        <v>0.35</v>
      </c>
      <c r="Q15" s="56">
        <v>9.41</v>
      </c>
      <c r="R15" s="43"/>
      <c r="S15" s="43"/>
      <c r="T15" s="43"/>
      <c r="U15" s="43"/>
    </row>
    <row r="16" spans="1:21" s="11" customFormat="1" ht="15">
      <c r="A16" s="55" t="s">
        <v>573</v>
      </c>
      <c r="B16" s="56">
        <v>1.45</v>
      </c>
      <c r="C16" s="56">
        <v>2.40</v>
      </c>
      <c r="D16" s="56">
        <v>2.34</v>
      </c>
      <c r="E16" s="56">
        <v>1.73</v>
      </c>
      <c r="F16" s="56">
        <v>4.76</v>
      </c>
      <c r="G16" s="56">
        <v>36.979999999999997</v>
      </c>
      <c r="H16" s="56">
        <v>11.68</v>
      </c>
      <c r="I16" s="56">
        <v>5.69</v>
      </c>
      <c r="J16" s="56">
        <v>0.59</v>
      </c>
      <c r="K16" s="56">
        <v>351.88</v>
      </c>
      <c r="L16" s="56">
        <v>30.51</v>
      </c>
      <c r="M16" s="56">
        <v>51.19</v>
      </c>
      <c r="N16" s="56">
        <v>447.60</v>
      </c>
      <c r="O16" s="56">
        <v>0</v>
      </c>
      <c r="P16" s="56">
        <v>0.52</v>
      </c>
      <c r="Q16" s="56">
        <v>9.43</v>
      </c>
      <c r="R16" s="43"/>
      <c r="S16" s="43"/>
      <c r="T16" s="43"/>
      <c r="U16" s="43"/>
    </row>
    <row r="17" spans="1:21" s="11" customFormat="1" ht="15">
      <c r="A17" s="55" t="s">
        <v>574</v>
      </c>
      <c r="B17" s="56">
        <v>1.47</v>
      </c>
      <c r="C17" s="56">
        <v>2.64</v>
      </c>
      <c r="D17" s="56">
        <v>2.41</v>
      </c>
      <c r="E17" s="56">
        <v>2.2400000000000002</v>
      </c>
      <c r="F17" s="56">
        <v>4.55</v>
      </c>
      <c r="G17" s="56">
        <v>46.05</v>
      </c>
      <c r="H17" s="56">
        <v>12.86</v>
      </c>
      <c r="I17" s="56">
        <v>7.41</v>
      </c>
      <c r="J17" s="56">
        <v>0.46</v>
      </c>
      <c r="K17" s="56">
        <v>345.80</v>
      </c>
      <c r="L17" s="56">
        <v>32.49</v>
      </c>
      <c r="M17" s="56">
        <v>48.01</v>
      </c>
      <c r="N17" s="56">
        <v>569.40</v>
      </c>
      <c r="O17" s="56">
        <v>0</v>
      </c>
      <c r="P17" s="56">
        <v>0.70</v>
      </c>
      <c r="Q17" s="56">
        <v>9.4499999999999993</v>
      </c>
      <c r="R17" s="43"/>
      <c r="S17" s="43"/>
      <c r="T17" s="43"/>
      <c r="U17" s="43"/>
    </row>
    <row r="18" spans="1:21" s="11" customFormat="1" ht="15">
      <c r="A18" s="55" t="s">
        <v>575</v>
      </c>
      <c r="B18" s="56">
        <v>1.36</v>
      </c>
      <c r="C18" s="56">
        <v>3.09</v>
      </c>
      <c r="D18" s="56">
        <v>2.58</v>
      </c>
      <c r="E18" s="56">
        <v>1.91</v>
      </c>
      <c r="F18" s="56">
        <v>5.59</v>
      </c>
      <c r="G18" s="56">
        <v>50.21</v>
      </c>
      <c r="H18" s="56">
        <v>19.16</v>
      </c>
      <c r="I18" s="56">
        <v>9.01</v>
      </c>
      <c r="J18" s="56">
        <v>0.57999999999999996</v>
      </c>
      <c r="K18" s="56">
        <v>355.43</v>
      </c>
      <c r="L18" s="56">
        <v>31.70</v>
      </c>
      <c r="M18" s="56">
        <v>50.89</v>
      </c>
      <c r="N18" s="56">
        <v>675.10</v>
      </c>
      <c r="O18" s="56">
        <v>0</v>
      </c>
      <c r="P18" s="56">
        <v>0.85</v>
      </c>
      <c r="Q18" s="56">
        <v>9.39</v>
      </c>
      <c r="R18" s="43"/>
      <c r="S18" s="43"/>
      <c r="T18" s="43"/>
      <c r="U18" s="43"/>
    </row>
    <row r="19" spans="1:21" s="11" customFormat="1" ht="15">
      <c r="A19" s="55" t="s">
        <v>576</v>
      </c>
      <c r="B19" s="56">
        <v>1.23</v>
      </c>
      <c r="C19" s="56">
        <v>2.83</v>
      </c>
      <c r="D19" s="56">
        <v>2.38</v>
      </c>
      <c r="E19" s="56">
        <v>2</v>
      </c>
      <c r="F19" s="56">
        <v>5.74</v>
      </c>
      <c r="G19" s="56">
        <v>50.43</v>
      </c>
      <c r="H19" s="56">
        <v>19.53</v>
      </c>
      <c r="I19" s="56">
        <v>9.94</v>
      </c>
      <c r="J19" s="56">
        <v>0.51</v>
      </c>
      <c r="K19" s="56">
        <v>350.60</v>
      </c>
      <c r="L19" s="56">
        <v>32.21</v>
      </c>
      <c r="M19" s="56">
        <v>50.19</v>
      </c>
      <c r="N19" s="56">
        <v>397.30</v>
      </c>
      <c r="O19" s="56">
        <v>0</v>
      </c>
      <c r="P19" s="56">
        <v>0.88</v>
      </c>
      <c r="Q19" s="56">
        <v>9.36</v>
      </c>
      <c r="R19" s="43"/>
      <c r="S19" s="43"/>
      <c r="T19" s="43"/>
      <c r="U19" s="43"/>
    </row>
    <row r="20" spans="1:21" s="11" customFormat="1" ht="15">
      <c r="A20" s="55" t="s">
        <v>577</v>
      </c>
      <c r="B20" s="56">
        <v>1.25</v>
      </c>
      <c r="C20" s="56">
        <v>2.87</v>
      </c>
      <c r="D20" s="56">
        <v>2.40</v>
      </c>
      <c r="E20" s="56">
        <v>1.88</v>
      </c>
      <c r="F20" s="56">
        <v>6.02</v>
      </c>
      <c r="G20" s="56">
        <v>52.5</v>
      </c>
      <c r="H20" s="56">
        <v>18.88</v>
      </c>
      <c r="I20" s="56">
        <v>9.7200000000000006</v>
      </c>
      <c r="J20" s="56">
        <v>0.52</v>
      </c>
      <c r="K20" s="56">
        <v>323.27</v>
      </c>
      <c r="L20" s="56">
        <v>35.60</v>
      </c>
      <c r="M20" s="56">
        <v>40.78</v>
      </c>
      <c r="N20" s="56">
        <v>648.60</v>
      </c>
      <c r="O20" s="56">
        <v>0</v>
      </c>
      <c r="P20" s="56">
        <v>0.91</v>
      </c>
      <c r="Q20" s="56">
        <v>9.34</v>
      </c>
      <c r="R20" s="43"/>
      <c r="S20" s="43"/>
      <c r="T20" s="43"/>
      <c r="U20" s="43"/>
    </row>
    <row r="21" spans="1:21" s="11" customFormat="1" ht="15">
      <c r="A21" s="55" t="s">
        <v>578</v>
      </c>
      <c r="B21" s="56">
        <v>1.27</v>
      </c>
      <c r="C21" s="56">
        <v>3.24</v>
      </c>
      <c r="D21" s="56">
        <v>2.62</v>
      </c>
      <c r="E21" s="56">
        <v>1.21</v>
      </c>
      <c r="F21" s="56">
        <v>6.51</v>
      </c>
      <c r="G21" s="56">
        <v>56.22</v>
      </c>
      <c r="H21" s="56">
        <v>20.420000000000002</v>
      </c>
      <c r="I21" s="56">
        <v>9.84</v>
      </c>
      <c r="J21" s="56">
        <v>0.73</v>
      </c>
      <c r="K21" s="56">
        <v>346.72</v>
      </c>
      <c r="L21" s="56">
        <v>37.21</v>
      </c>
      <c r="M21" s="56">
        <v>36.29</v>
      </c>
      <c r="N21" s="56">
        <v>855.80</v>
      </c>
      <c r="O21" s="56">
        <v>0</v>
      </c>
      <c r="P21" s="56">
        <v>0.92</v>
      </c>
      <c r="Q21" s="56">
        <v>9.3800000000000008</v>
      </c>
      <c r="R21" s="43"/>
      <c r="S21" s="43"/>
      <c r="T21" s="43"/>
      <c r="U21" s="43"/>
    </row>
    <row r="22" spans="1:21" s="11" customFormat="1" ht="15">
      <c r="A22" s="55" t="s">
        <v>579</v>
      </c>
      <c r="B22" s="56">
        <v>1.23</v>
      </c>
      <c r="C22" s="56">
        <v>3.43</v>
      </c>
      <c r="D22" s="56">
        <v>2.68</v>
      </c>
      <c r="E22" s="56">
        <v>2.2200000000000002</v>
      </c>
      <c r="F22" s="56">
        <v>24.68</v>
      </c>
      <c r="G22" s="56">
        <v>56.43</v>
      </c>
      <c r="H22" s="56">
        <v>22.05</v>
      </c>
      <c r="I22" s="56">
        <v>10.41</v>
      </c>
      <c r="J22" s="56">
        <v>0.57999999999999996</v>
      </c>
      <c r="K22" s="56">
        <v>123.97</v>
      </c>
      <c r="L22" s="56">
        <v>36.51</v>
      </c>
      <c r="M22" s="56">
        <v>32.67</v>
      </c>
      <c r="N22" s="56">
        <v>545</v>
      </c>
      <c r="O22" s="56">
        <v>0</v>
      </c>
      <c r="P22" s="56">
        <v>0.82</v>
      </c>
      <c r="Q22" s="56">
        <v>9.3699999999999992</v>
      </c>
      <c r="R22" s="43"/>
      <c r="S22" s="43"/>
      <c r="T22" s="43"/>
      <c r="U22" s="43"/>
    </row>
    <row r="23" spans="1:21" s="11" customFormat="1" ht="15">
      <c r="A23" s="55" t="s">
        <v>580</v>
      </c>
      <c r="B23" s="56">
        <v>1.21</v>
      </c>
      <c r="C23" s="56">
        <v>3.06</v>
      </c>
      <c r="D23" s="56">
        <v>2.46</v>
      </c>
      <c r="E23" s="56">
        <v>1.45</v>
      </c>
      <c r="F23" s="56">
        <v>13.89</v>
      </c>
      <c r="G23" s="56">
        <v>62.41</v>
      </c>
      <c r="H23" s="56">
        <v>24.37</v>
      </c>
      <c r="I23" s="56">
        <v>8.61</v>
      </c>
      <c r="J23" s="56">
        <v>0.76</v>
      </c>
      <c r="K23" s="56">
        <v>143.93</v>
      </c>
      <c r="L23" s="56">
        <v>36.06</v>
      </c>
      <c r="M23" s="56">
        <v>34.81</v>
      </c>
      <c r="N23" s="56">
        <v>383.40</v>
      </c>
      <c r="O23" s="56">
        <v>0</v>
      </c>
      <c r="P23" s="56">
        <v>0.62</v>
      </c>
      <c r="Q23" s="56">
        <v>9.2899999999999991</v>
      </c>
      <c r="R23" s="43"/>
      <c r="S23" s="43"/>
      <c r="T23" s="43"/>
      <c r="U23" s="43"/>
    </row>
    <row r="24" spans="1:21" s="11" customFormat="1" ht="15">
      <c r="A24" s="55" t="s">
        <v>581</v>
      </c>
      <c r="B24" s="56">
        <v>1.27</v>
      </c>
      <c r="C24" s="56">
        <v>3.41</v>
      </c>
      <c r="D24" s="56">
        <v>2.72</v>
      </c>
      <c r="E24" s="56">
        <v>1.90</v>
      </c>
      <c r="F24" s="56">
        <v>6.78</v>
      </c>
      <c r="G24" s="56">
        <v>62.91</v>
      </c>
      <c r="H24" s="56">
        <v>24.5</v>
      </c>
      <c r="I24" s="56">
        <v>7.99</v>
      </c>
      <c r="J24" s="56">
        <v>0.80</v>
      </c>
      <c r="K24" s="56">
        <v>333.61</v>
      </c>
      <c r="L24" s="56">
        <v>37.08</v>
      </c>
      <c r="M24" s="56">
        <v>30.94</v>
      </c>
      <c r="N24" s="56">
        <v>199.5</v>
      </c>
      <c r="O24" s="56">
        <v>0</v>
      </c>
      <c r="P24" s="56">
        <v>0.56999999999999995</v>
      </c>
      <c r="Q24" s="56">
        <v>9.27</v>
      </c>
      <c r="R24" s="43"/>
      <c r="S24" s="43"/>
      <c r="T24" s="43"/>
      <c r="U24" s="43"/>
    </row>
    <row r="25" spans="1:21" s="11" customFormat="1" ht="15">
      <c r="A25" s="55" t="s">
        <v>582</v>
      </c>
      <c r="B25" s="56">
        <v>1.30</v>
      </c>
      <c r="C25" s="56">
        <v>3.60</v>
      </c>
      <c r="D25" s="56">
        <v>2.83</v>
      </c>
      <c r="E25" s="56">
        <v>2.36</v>
      </c>
      <c r="F25" s="56">
        <v>5.79</v>
      </c>
      <c r="G25" s="56">
        <v>59.38</v>
      </c>
      <c r="H25" s="56">
        <v>21.79</v>
      </c>
      <c r="I25" s="56">
        <v>8.49</v>
      </c>
      <c r="J25" s="56">
        <v>1.33</v>
      </c>
      <c r="K25" s="56">
        <v>153.57</v>
      </c>
      <c r="L25" s="56">
        <v>35.83</v>
      </c>
      <c r="M25" s="56">
        <v>30.33</v>
      </c>
      <c r="N25" s="56">
        <v>139.5</v>
      </c>
      <c r="O25" s="56">
        <v>0</v>
      </c>
      <c r="P25" s="56">
        <v>0.52</v>
      </c>
      <c r="Q25" s="56">
        <v>9.3699999999999992</v>
      </c>
      <c r="R25" s="43"/>
      <c r="S25" s="43"/>
      <c r="T25" s="43"/>
      <c r="U25" s="43"/>
    </row>
    <row r="26" spans="1:21" s="11" customFormat="1" ht="15">
      <c r="A26" s="55" t="s">
        <v>583</v>
      </c>
      <c r="B26" s="56">
        <v>1.30</v>
      </c>
      <c r="C26" s="56">
        <v>3.93</v>
      </c>
      <c r="D26" s="56">
        <v>2.98</v>
      </c>
      <c r="E26" s="56">
        <v>2.71</v>
      </c>
      <c r="F26" s="56">
        <v>15.44</v>
      </c>
      <c r="G26" s="56">
        <v>67.44</v>
      </c>
      <c r="H26" s="56">
        <v>21.30</v>
      </c>
      <c r="I26" s="56">
        <v>8.26</v>
      </c>
      <c r="J26" s="56">
        <v>4.88</v>
      </c>
      <c r="K26" s="56">
        <v>327.51</v>
      </c>
      <c r="L26" s="56">
        <v>34.700000000000003</v>
      </c>
      <c r="M26" s="56">
        <v>98.08</v>
      </c>
      <c r="N26" s="56">
        <v>43.5</v>
      </c>
      <c r="O26" s="56">
        <v>4</v>
      </c>
      <c r="P26" s="56">
        <v>0.47</v>
      </c>
      <c r="Q26" s="56">
        <v>9.39</v>
      </c>
      <c r="R26" s="43"/>
      <c r="S26" s="43"/>
      <c r="T26" s="43"/>
      <c r="U26" s="43"/>
    </row>
    <row r="27" spans="1:21" s="11" customFormat="1" ht="15">
      <c r="A27" s="55" t="s">
        <v>584</v>
      </c>
      <c r="B27" s="56">
        <v>1.22</v>
      </c>
      <c r="C27" s="56">
        <v>3.16</v>
      </c>
      <c r="D27" s="56">
        <v>2.5</v>
      </c>
      <c r="E27" s="56">
        <v>2.5499999999999998</v>
      </c>
      <c r="F27" s="56">
        <v>9.15</v>
      </c>
      <c r="G27" s="56">
        <v>68.209999999999994</v>
      </c>
      <c r="H27" s="56">
        <v>21.37</v>
      </c>
      <c r="I27" s="56">
        <v>6.93</v>
      </c>
      <c r="J27" s="56">
        <v>0.28999999999999998</v>
      </c>
      <c r="K27" s="56">
        <v>233.90</v>
      </c>
      <c r="L27" s="56">
        <v>22.98</v>
      </c>
      <c r="M27" s="56">
        <v>98.10</v>
      </c>
      <c r="N27" s="56">
        <v>19.899999999999999</v>
      </c>
      <c r="O27" s="56">
        <v>0.80</v>
      </c>
      <c r="P27" s="56">
        <v>0.37</v>
      </c>
      <c r="Q27" s="56">
        <v>9.42</v>
      </c>
      <c r="R27" s="43"/>
      <c r="S27" s="43"/>
      <c r="T27" s="43"/>
      <c r="U27" s="43"/>
    </row>
    <row r="28" spans="1:21" s="11" customFormat="1" ht="15">
      <c r="A28" s="55" t="s">
        <v>585</v>
      </c>
      <c r="B28" s="56">
        <v>1.22</v>
      </c>
      <c r="C28" s="56">
        <v>2.76</v>
      </c>
      <c r="D28" s="56">
        <v>2.34</v>
      </c>
      <c r="E28" s="56">
        <v>2.4700000000000002</v>
      </c>
      <c r="F28" s="56">
        <v>5.56</v>
      </c>
      <c r="G28" s="56">
        <v>56.11</v>
      </c>
      <c r="H28" s="56">
        <v>19.16</v>
      </c>
      <c r="I28" s="56">
        <v>4.87</v>
      </c>
      <c r="J28" s="56">
        <v>1.38</v>
      </c>
      <c r="K28" s="56">
        <v>201.37</v>
      </c>
      <c r="L28" s="56">
        <v>25.30</v>
      </c>
      <c r="M28" s="56">
        <v>80.72</v>
      </c>
      <c r="N28" s="56">
        <v>20.100000000000001</v>
      </c>
      <c r="O28" s="56">
        <v>0</v>
      </c>
      <c r="P28" s="56">
        <v>0.41</v>
      </c>
      <c r="Q28" s="56">
        <v>9.3800000000000008</v>
      </c>
      <c r="R28" s="43"/>
      <c r="S28" s="43"/>
      <c r="T28" s="43"/>
      <c r="U28" s="43"/>
    </row>
    <row r="29" spans="1:21" s="11" customFormat="1" ht="15">
      <c r="A29" s="55" t="s">
        <v>586</v>
      </c>
      <c r="B29" s="56">
        <v>1.70</v>
      </c>
      <c r="C29" s="56">
        <v>3.34</v>
      </c>
      <c r="D29" s="56">
        <v>2.94</v>
      </c>
      <c r="E29" s="56">
        <v>1.72</v>
      </c>
      <c r="F29" s="56">
        <v>5.41</v>
      </c>
      <c r="G29" s="56">
        <v>34.71</v>
      </c>
      <c r="H29" s="56">
        <v>15.49</v>
      </c>
      <c r="I29" s="56">
        <v>4.25</v>
      </c>
      <c r="J29" s="56">
        <v>0.79</v>
      </c>
      <c r="K29" s="56">
        <v>350</v>
      </c>
      <c r="L29" s="56">
        <v>25.60</v>
      </c>
      <c r="M29" s="56">
        <v>75.88</v>
      </c>
      <c r="N29" s="56">
        <v>18.80</v>
      </c>
      <c r="O29" s="56">
        <v>0</v>
      </c>
      <c r="P29" s="56">
        <v>0.52</v>
      </c>
      <c r="Q29" s="56">
        <v>9.36</v>
      </c>
      <c r="R29" s="43"/>
      <c r="S29" s="43"/>
      <c r="T29" s="43"/>
      <c r="U29" s="43"/>
    </row>
    <row r="30" spans="1:21" s="11" customFormat="1" ht="15">
      <c r="A30" s="55" t="s">
        <v>587</v>
      </c>
      <c r="B30" s="56">
        <v>1.88</v>
      </c>
      <c r="C30" s="56">
        <v>3.40</v>
      </c>
      <c r="D30" s="56">
        <v>3.20</v>
      </c>
      <c r="E30" s="56">
        <v>1.55</v>
      </c>
      <c r="F30" s="56">
        <v>3.71</v>
      </c>
      <c r="G30" s="56">
        <v>50.66</v>
      </c>
      <c r="H30" s="56">
        <v>15.17</v>
      </c>
      <c r="I30" s="56">
        <v>5.34</v>
      </c>
      <c r="J30" s="56">
        <v>1.20</v>
      </c>
      <c r="K30" s="56">
        <v>350.57</v>
      </c>
      <c r="L30" s="56">
        <v>26.22</v>
      </c>
      <c r="M30" s="56">
        <v>69.19</v>
      </c>
      <c r="N30" s="56">
        <v>18.899999999999999</v>
      </c>
      <c r="O30" s="56">
        <v>0</v>
      </c>
      <c r="P30" s="56">
        <v>0.60</v>
      </c>
      <c r="Q30" s="56">
        <v>9.52</v>
      </c>
      <c r="R30" s="43"/>
      <c r="S30" s="43"/>
      <c r="T30" s="43"/>
      <c r="U30" s="43"/>
    </row>
    <row r="31" spans="1:21" s="11" customFormat="1" ht="15">
      <c r="A31" s="55" t="s">
        <v>588</v>
      </c>
      <c r="B31" s="56">
        <v>2.0499999999999998</v>
      </c>
      <c r="C31" s="56">
        <v>3.64</v>
      </c>
      <c r="D31" s="56">
        <v>3.46</v>
      </c>
      <c r="E31" s="56">
        <v>1.79</v>
      </c>
      <c r="F31" s="56">
        <v>3.65</v>
      </c>
      <c r="G31" s="56">
        <v>61.03</v>
      </c>
      <c r="H31" s="56">
        <v>17.96</v>
      </c>
      <c r="I31" s="56">
        <v>5.58</v>
      </c>
      <c r="J31" s="56">
        <v>0.41</v>
      </c>
      <c r="K31" s="56">
        <v>239.70</v>
      </c>
      <c r="L31" s="56">
        <v>26.45</v>
      </c>
      <c r="M31" s="56">
        <v>75.180000000000007</v>
      </c>
      <c r="N31" s="56">
        <v>19.399999999999999</v>
      </c>
      <c r="O31" s="56">
        <v>0</v>
      </c>
      <c r="P31" s="56">
        <v>0.64</v>
      </c>
      <c r="Q31" s="56">
        <v>9.5</v>
      </c>
      <c r="R31" s="43"/>
      <c r="S31" s="43"/>
      <c r="T31" s="43"/>
      <c r="U31" s="43"/>
    </row>
    <row r="32" spans="1:21" s="11" customFormat="1" ht="15">
      <c r="A32" s="55" t="s">
        <v>589</v>
      </c>
      <c r="B32" s="56">
        <v>1.99</v>
      </c>
      <c r="C32" s="56">
        <v>3.64</v>
      </c>
      <c r="D32" s="56">
        <v>3.40</v>
      </c>
      <c r="E32" s="56">
        <v>1.91</v>
      </c>
      <c r="F32" s="56">
        <v>3.94</v>
      </c>
      <c r="G32" s="56">
        <v>61.58</v>
      </c>
      <c r="H32" s="56">
        <v>18.149999999999999</v>
      </c>
      <c r="I32" s="56">
        <v>6.04</v>
      </c>
      <c r="J32" s="56">
        <v>0.17</v>
      </c>
      <c r="K32" s="56">
        <v>342.48</v>
      </c>
      <c r="L32" s="56">
        <v>25.34</v>
      </c>
      <c r="M32" s="56">
        <v>78.86</v>
      </c>
      <c r="N32" s="56">
        <v>19.100000000000001</v>
      </c>
      <c r="O32" s="56">
        <v>0</v>
      </c>
      <c r="P32" s="56">
        <v>0.62</v>
      </c>
      <c r="Q32" s="56">
        <v>9.5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1.21</v>
      </c>
      <c r="C34" s="28">
        <f t="shared" si="0"/>
        <v>1.3600000000000001</v>
      </c>
      <c r="D34" s="28">
        <f t="shared" si="0"/>
        <v>1.6399999999999999</v>
      </c>
      <c r="E34" s="28">
        <f t="shared" si="0"/>
        <v>1.21</v>
      </c>
      <c r="F34" s="28">
        <f t="shared" si="0"/>
        <v>3.6499999999999999</v>
      </c>
      <c r="G34" s="28">
        <f t="shared" si="0"/>
        <v>21.100000000000001</v>
      </c>
      <c r="H34" s="28">
        <f t="shared" si="0"/>
        <v>6.8399999999999999</v>
      </c>
      <c r="I34" s="28">
        <f t="shared" si="0"/>
        <v>3.9199999999999999</v>
      </c>
      <c r="J34" s="28">
        <f t="shared" si="0"/>
        <v>0.17000000000000001</v>
      </c>
      <c r="K34" s="28">
        <f t="shared" si="0"/>
        <v>123.97</v>
      </c>
      <c r="L34" s="28">
        <f t="shared" si="0"/>
        <v>22.98</v>
      </c>
      <c r="M34" s="28">
        <f t="shared" si="0"/>
        <v>30.329999999999998</v>
      </c>
      <c r="N34" s="28">
        <f t="shared" si="0"/>
        <v>17.5</v>
      </c>
      <c r="O34" s="28">
        <f t="shared" si="0"/>
        <v>0</v>
      </c>
      <c r="P34" s="28">
        <f t="shared" si="0"/>
        <v>0.23000000000000001</v>
      </c>
      <c r="Q34" s="28">
        <f t="shared" si="0"/>
        <v>9.2699999999999996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2.0499999999999998</v>
      </c>
      <c r="C35" s="29">
        <f t="shared" si="1"/>
        <v>3.9300000000000002</v>
      </c>
      <c r="D35" s="29">
        <f t="shared" si="1"/>
        <v>3.46</v>
      </c>
      <c r="E35" s="29">
        <f t="shared" si="1"/>
        <v>2.71</v>
      </c>
      <c r="F35" s="29">
        <f t="shared" si="1"/>
        <v>24.68</v>
      </c>
      <c r="G35" s="29">
        <f t="shared" si="1"/>
        <v>68.209999999999994</v>
      </c>
      <c r="H35" s="29">
        <f t="shared" si="1"/>
        <v>24.5</v>
      </c>
      <c r="I35" s="29">
        <f t="shared" si="1"/>
        <v>10.41</v>
      </c>
      <c r="J35" s="29">
        <f t="shared" si="1"/>
        <v>4.8799999999999999</v>
      </c>
      <c r="K35" s="29">
        <f t="shared" si="1"/>
        <v>357.32999999999998</v>
      </c>
      <c r="L35" s="29">
        <f t="shared" si="1"/>
        <v>37.210000000000001</v>
      </c>
      <c r="M35" s="29">
        <f t="shared" si="1"/>
        <v>98.099999999999994</v>
      </c>
      <c r="N35" s="29">
        <f t="shared" si="1"/>
        <v>855.79999999999995</v>
      </c>
      <c r="O35" s="29">
        <f t="shared" si="1"/>
        <v>4</v>
      </c>
      <c r="P35" s="29">
        <f t="shared" si="1"/>
        <v>0.92000000000000004</v>
      </c>
      <c r="Q35" s="29">
        <f t="shared" si="1"/>
        <v>9.5199999999999996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1.3841666666666665</v>
      </c>
      <c r="C36" s="28">
        <f t="shared" si="2"/>
        <v>2.9441666666666659</v>
      </c>
      <c r="D36" s="28">
        <f t="shared" si="2"/>
        <v>2.5487500000000001</v>
      </c>
      <c r="E36" s="28">
        <f t="shared" si="2"/>
        <v>1.880416666666666</v>
      </c>
      <c r="F36" s="28">
        <f t="shared" si="2"/>
        <v>7.0908333333333351</v>
      </c>
      <c r="G36" s="28">
        <f t="shared" si="2"/>
        <v>46.351249999999993</v>
      </c>
      <c r="H36" s="28">
        <f t="shared" si="2"/>
        <v>16.142916666666668</v>
      </c>
      <c r="I36" s="28">
        <f t="shared" si="2"/>
        <v>6.9312499999999995</v>
      </c>
      <c r="J36" s="28">
        <f t="shared" si="2"/>
        <v>0.87041666666666673</v>
      </c>
      <c r="K36" s="28">
        <f t="shared" si="2"/>
        <v>291.47749999999996</v>
      </c>
      <c r="L36" s="28">
        <f t="shared" si="2"/>
        <v>29.746666666666673</v>
      </c>
      <c r="M36" s="28">
        <f t="shared" si="2"/>
        <v>61.003750000000004</v>
      </c>
      <c r="N36" s="28">
        <f t="shared" si="2"/>
        <v>225.08333333333329</v>
      </c>
      <c r="O36" s="28">
        <f t="shared" si="2"/>
        <v>0.19999999999999998</v>
      </c>
      <c r="P36" s="28">
        <f t="shared" si="2"/>
        <v>0.54083333333333328</v>
      </c>
      <c r="Q36" s="28">
        <f t="shared" si="2"/>
        <v>9.4020833333333318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0.25253353917014082</v>
      </c>
      <c r="C37" s="28">
        <f t="shared" si="3" ref="C37:Q37">STDEV(C9:C32)</f>
        <v>0.6579210780386503</v>
      </c>
      <c r="D37" s="28">
        <f t="shared" si="3"/>
        <v>0.45398058280637527</v>
      </c>
      <c r="E37" s="28">
        <f t="shared" si="3"/>
        <v>0.38907336031929507</v>
      </c>
      <c r="F37" s="28">
        <f t="shared" si="3"/>
        <v>4.6808731224426268</v>
      </c>
      <c r="G37" s="28">
        <f t="shared" si="3"/>
        <v>16.000870713400474</v>
      </c>
      <c r="H37" s="28">
        <f t="shared" si="3"/>
        <v>5.5870101510142351</v>
      </c>
      <c r="I37" s="28">
        <f t="shared" si="3"/>
        <v>2.0508520233647101</v>
      </c>
      <c r="J37" s="28">
        <f t="shared" si="3"/>
        <v>0.96346963205077607</v>
      </c>
      <c r="K37" s="28">
        <f t="shared" si="3"/>
        <v>83.859841726226875</v>
      </c>
      <c r="L37" s="28">
        <f t="shared" si="3"/>
        <v>4.8651874861470565</v>
      </c>
      <c r="M37" s="28">
        <f t="shared" si="3"/>
        <v>20.165954480477602</v>
      </c>
      <c r="N37" s="28">
        <f t="shared" si="3"/>
        <v>267.06825811532451</v>
      </c>
      <c r="O37" s="28">
        <f t="shared" si="3"/>
        <v>0.825674954467424</v>
      </c>
      <c r="P37" s="28">
        <f t="shared" si="3"/>
        <v>0.22127921898276676</v>
      </c>
      <c r="Q37" s="28">
        <f t="shared" si="3"/>
        <v>0.06007091220177721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4276b5-61e5-414f-9c42-7c68d2b2bd1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590</v>
      </c>
      <c r="B9" s="56">
        <v>1.92</v>
      </c>
      <c r="C9" s="56">
        <v>3.51</v>
      </c>
      <c r="D9" s="56">
        <v>3.22</v>
      </c>
      <c r="E9" s="56">
        <v>1.69</v>
      </c>
      <c r="F9" s="56">
        <v>3.27</v>
      </c>
      <c r="G9" s="56">
        <v>57.09</v>
      </c>
      <c r="H9" s="56">
        <v>15.58</v>
      </c>
      <c r="I9" s="56">
        <v>5.82</v>
      </c>
      <c r="J9" s="56">
        <v>0.22</v>
      </c>
      <c r="K9" s="56">
        <v>310.29000000000002</v>
      </c>
      <c r="L9" s="56">
        <v>25.14</v>
      </c>
      <c r="M9" s="56">
        <v>78.760000000000005</v>
      </c>
      <c r="N9" s="56">
        <v>18.899999999999999</v>
      </c>
      <c r="O9" s="56">
        <v>0</v>
      </c>
      <c r="P9" s="56">
        <v>0.60</v>
      </c>
      <c r="Q9" s="56">
        <v>9.40</v>
      </c>
      <c r="R9" s="43"/>
      <c r="S9" s="43"/>
      <c r="T9" s="43"/>
      <c r="U9" s="43"/>
    </row>
    <row r="10" spans="1:21" s="11" customFormat="1" ht="15">
      <c r="A10" s="55" t="s">
        <v>591</v>
      </c>
      <c r="B10" s="56">
        <v>1.78</v>
      </c>
      <c r="C10" s="56">
        <v>3.05</v>
      </c>
      <c r="D10" s="56">
        <v>2.93</v>
      </c>
      <c r="E10" s="56">
        <v>1.80</v>
      </c>
      <c r="F10" s="56">
        <v>3.51</v>
      </c>
      <c r="G10" s="56">
        <v>54.08</v>
      </c>
      <c r="H10" s="56">
        <v>18.75</v>
      </c>
      <c r="I10" s="56">
        <v>5.35</v>
      </c>
      <c r="J10" s="56">
        <v>0.19</v>
      </c>
      <c r="K10" s="56">
        <v>336.77</v>
      </c>
      <c r="L10" s="56">
        <v>24.42</v>
      </c>
      <c r="M10" s="56">
        <v>86.58</v>
      </c>
      <c r="N10" s="56">
        <v>18.80</v>
      </c>
      <c r="O10" s="56">
        <v>0</v>
      </c>
      <c r="P10" s="56">
        <v>0.54</v>
      </c>
      <c r="Q10" s="56">
        <v>9.39</v>
      </c>
      <c r="R10" s="43"/>
      <c r="S10" s="43"/>
      <c r="T10" s="43"/>
      <c r="U10" s="43"/>
    </row>
    <row r="11" spans="1:21" s="11" customFormat="1" ht="15">
      <c r="A11" s="55" t="s">
        <v>592</v>
      </c>
      <c r="B11" s="56">
        <v>1.96</v>
      </c>
      <c r="C11" s="56">
        <v>2.0499999999999998</v>
      </c>
      <c r="D11" s="56">
        <v>2.56</v>
      </c>
      <c r="E11" s="56">
        <v>1.51</v>
      </c>
      <c r="F11" s="56">
        <v>3.5</v>
      </c>
      <c r="G11" s="56">
        <v>52.60</v>
      </c>
      <c r="H11" s="56">
        <v>19.38</v>
      </c>
      <c r="I11" s="56">
        <v>5.29</v>
      </c>
      <c r="J11" s="56">
        <v>0.37</v>
      </c>
      <c r="K11" s="56">
        <v>355.72</v>
      </c>
      <c r="L11" s="56">
        <v>23.88</v>
      </c>
      <c r="M11" s="56">
        <v>90.27</v>
      </c>
      <c r="N11" s="56">
        <v>18.600000000000001</v>
      </c>
      <c r="O11" s="56">
        <v>0</v>
      </c>
      <c r="P11" s="56">
        <v>0.53</v>
      </c>
      <c r="Q11" s="56">
        <v>9.4600000000000009</v>
      </c>
      <c r="R11" s="43"/>
      <c r="S11" s="43"/>
      <c r="T11" s="43"/>
      <c r="U11" s="43"/>
    </row>
    <row r="12" spans="1:21" s="11" customFormat="1" ht="15">
      <c r="A12" s="55" t="s">
        <v>593</v>
      </c>
      <c r="B12" s="56">
        <v>2.16</v>
      </c>
      <c r="C12" s="56">
        <v>2.4300000000000002</v>
      </c>
      <c r="D12" s="56">
        <v>2.92</v>
      </c>
      <c r="E12" s="56">
        <v>1.45</v>
      </c>
      <c r="F12" s="56">
        <v>3.5</v>
      </c>
      <c r="G12" s="56">
        <v>74.069999999999993</v>
      </c>
      <c r="H12" s="56">
        <v>28.60</v>
      </c>
      <c r="I12" s="56">
        <v>7.07</v>
      </c>
      <c r="J12" s="56">
        <v>0.90</v>
      </c>
      <c r="K12" s="56">
        <v>355.61</v>
      </c>
      <c r="L12" s="56">
        <v>24.24</v>
      </c>
      <c r="M12" s="56">
        <v>82.78</v>
      </c>
      <c r="N12" s="56">
        <v>18.80</v>
      </c>
      <c r="O12" s="56">
        <v>0</v>
      </c>
      <c r="P12" s="56">
        <v>0.56999999999999995</v>
      </c>
      <c r="Q12" s="56">
        <v>9.4499999999999993</v>
      </c>
      <c r="R12" s="43"/>
      <c r="S12" s="43"/>
      <c r="T12" s="43"/>
      <c r="U12" s="43"/>
    </row>
    <row r="13" spans="1:21" s="11" customFormat="1" ht="15">
      <c r="A13" s="55" t="s">
        <v>594</v>
      </c>
      <c r="B13" s="56">
        <v>3.02</v>
      </c>
      <c r="C13" s="56">
        <v>2.75</v>
      </c>
      <c r="D13" s="56">
        <v>3.78</v>
      </c>
      <c r="E13" s="56">
        <v>1.59</v>
      </c>
      <c r="F13" s="56">
        <v>3.26</v>
      </c>
      <c r="G13" s="56">
        <v>111.58</v>
      </c>
      <c r="H13" s="56">
        <v>35.21</v>
      </c>
      <c r="I13" s="56">
        <v>7.65</v>
      </c>
      <c r="J13" s="56">
        <v>0.24</v>
      </c>
      <c r="K13" s="56">
        <v>272.37</v>
      </c>
      <c r="L13" s="56">
        <v>23.76</v>
      </c>
      <c r="M13" s="56">
        <v>89.74</v>
      </c>
      <c r="N13" s="56">
        <v>18.80</v>
      </c>
      <c r="O13" s="56">
        <v>0</v>
      </c>
      <c r="P13" s="56">
        <v>0.66</v>
      </c>
      <c r="Q13" s="56">
        <v>9.51</v>
      </c>
      <c r="R13" s="43"/>
      <c r="S13" s="43"/>
      <c r="T13" s="43"/>
      <c r="U13" s="43"/>
    </row>
    <row r="14" spans="1:21" s="11" customFormat="1" ht="15">
      <c r="A14" s="55" t="s">
        <v>595</v>
      </c>
      <c r="B14" s="56">
        <v>4.03</v>
      </c>
      <c r="C14" s="56">
        <v>3.66</v>
      </c>
      <c r="D14" s="56">
        <v>5.07</v>
      </c>
      <c r="E14" s="56">
        <v>1.68</v>
      </c>
      <c r="F14" s="56">
        <v>3.28</v>
      </c>
      <c r="G14" s="56">
        <v>130.68</v>
      </c>
      <c r="H14" s="56">
        <v>40.93</v>
      </c>
      <c r="I14" s="56">
        <v>8.0500000000000007</v>
      </c>
      <c r="J14" s="56">
        <v>0.20</v>
      </c>
      <c r="K14" s="56">
        <v>316.14</v>
      </c>
      <c r="L14" s="56">
        <v>23.87</v>
      </c>
      <c r="M14" s="56">
        <v>93.20</v>
      </c>
      <c r="N14" s="56">
        <v>60.30</v>
      </c>
      <c r="O14" s="56">
        <v>0</v>
      </c>
      <c r="P14" s="56">
        <v>0.74</v>
      </c>
      <c r="Q14" s="56">
        <v>9.67</v>
      </c>
      <c r="R14" s="43"/>
      <c r="S14" s="43"/>
      <c r="T14" s="43"/>
      <c r="U14" s="43"/>
    </row>
    <row r="15" spans="1:21" s="11" customFormat="1" ht="15">
      <c r="A15" s="55" t="s">
        <v>596</v>
      </c>
      <c r="B15" s="56">
        <v>4.5</v>
      </c>
      <c r="C15" s="56">
        <v>4.20</v>
      </c>
      <c r="D15" s="56">
        <v>5.72</v>
      </c>
      <c r="E15" s="56">
        <v>1.71</v>
      </c>
      <c r="F15" s="56">
        <v>3.30</v>
      </c>
      <c r="G15" s="56">
        <v>139.11000000000001</v>
      </c>
      <c r="H15" s="56">
        <v>46.63</v>
      </c>
      <c r="I15" s="56">
        <v>8.59</v>
      </c>
      <c r="J15" s="56">
        <v>0.23</v>
      </c>
      <c r="K15" s="56">
        <v>336.25</v>
      </c>
      <c r="L15" s="56">
        <v>28.28</v>
      </c>
      <c r="M15" s="56">
        <v>85.60</v>
      </c>
      <c r="N15" s="56">
        <v>219.80</v>
      </c>
      <c r="O15" s="56">
        <v>0</v>
      </c>
      <c r="P15" s="56">
        <v>0.83</v>
      </c>
      <c r="Q15" s="56">
        <v>9.7799999999999994</v>
      </c>
      <c r="R15" s="43"/>
      <c r="S15" s="43"/>
      <c r="T15" s="43"/>
      <c r="U15" s="43"/>
    </row>
    <row r="16" spans="1:21" s="11" customFormat="1" ht="15">
      <c r="A16" s="55" t="s">
        <v>597</v>
      </c>
      <c r="B16" s="56">
        <v>4.5199999999999996</v>
      </c>
      <c r="C16" s="56">
        <v>4.7300000000000004</v>
      </c>
      <c r="D16" s="56">
        <v>5.98</v>
      </c>
      <c r="E16" s="56">
        <v>1.87</v>
      </c>
      <c r="F16" s="56">
        <v>3.53</v>
      </c>
      <c r="G16" s="56">
        <v>139.55000000000001</v>
      </c>
      <c r="H16" s="56">
        <v>46.95</v>
      </c>
      <c r="I16" s="56">
        <v>9.52</v>
      </c>
      <c r="J16" s="56">
        <v>0.22</v>
      </c>
      <c r="K16" s="56">
        <v>355.68</v>
      </c>
      <c r="L16" s="56">
        <v>29.62</v>
      </c>
      <c r="M16" s="56">
        <v>62.34</v>
      </c>
      <c r="N16" s="56">
        <v>449.40</v>
      </c>
      <c r="O16" s="56">
        <v>0</v>
      </c>
      <c r="P16" s="56">
        <v>0.83</v>
      </c>
      <c r="Q16" s="56">
        <v>9.7899999999999991</v>
      </c>
      <c r="R16" s="43"/>
      <c r="S16" s="43"/>
      <c r="T16" s="43"/>
      <c r="U16" s="43"/>
    </row>
    <row r="17" spans="1:21" s="11" customFormat="1" ht="15">
      <c r="A17" s="55" t="s">
        <v>598</v>
      </c>
      <c r="B17" s="56">
        <v>3.61</v>
      </c>
      <c r="C17" s="56">
        <v>5.46</v>
      </c>
      <c r="D17" s="56">
        <v>5.33</v>
      </c>
      <c r="E17" s="56">
        <v>2.63</v>
      </c>
      <c r="F17" s="56">
        <v>4.96</v>
      </c>
      <c r="G17" s="56">
        <v>115.56</v>
      </c>
      <c r="H17" s="56">
        <v>43.91</v>
      </c>
      <c r="I17" s="56">
        <v>9.64</v>
      </c>
      <c r="J17" s="56">
        <v>0.36</v>
      </c>
      <c r="K17" s="56">
        <v>321.19</v>
      </c>
      <c r="L17" s="56">
        <v>33.549999999999997</v>
      </c>
      <c r="M17" s="56">
        <v>56.32</v>
      </c>
      <c r="N17" s="56">
        <v>634.10</v>
      </c>
      <c r="O17" s="56">
        <v>0</v>
      </c>
      <c r="P17" s="56">
        <v>0.84</v>
      </c>
      <c r="Q17" s="56">
        <v>9.8000000000000007</v>
      </c>
      <c r="R17" s="43"/>
      <c r="S17" s="43"/>
      <c r="T17" s="43"/>
      <c r="U17" s="43"/>
    </row>
    <row r="18" spans="1:21" s="11" customFormat="1" ht="15">
      <c r="A18" s="55" t="s">
        <v>599</v>
      </c>
      <c r="B18" s="56">
        <v>2.44</v>
      </c>
      <c r="C18" s="56">
        <v>6</v>
      </c>
      <c r="D18" s="56">
        <v>4.79</v>
      </c>
      <c r="E18" s="56">
        <v>2.63</v>
      </c>
      <c r="F18" s="56">
        <v>5.69</v>
      </c>
      <c r="G18" s="56">
        <v>88.04</v>
      </c>
      <c r="H18" s="56">
        <v>35.47</v>
      </c>
      <c r="I18" s="56">
        <v>10.210000000000001</v>
      </c>
      <c r="J18" s="56">
        <v>0.40</v>
      </c>
      <c r="K18" s="56">
        <v>341</v>
      </c>
      <c r="L18" s="56">
        <v>33.96</v>
      </c>
      <c r="M18" s="56">
        <v>51.75</v>
      </c>
      <c r="N18" s="56">
        <v>760.40</v>
      </c>
      <c r="O18" s="56">
        <v>0</v>
      </c>
      <c r="P18" s="56">
        <v>1.1100000000000001</v>
      </c>
      <c r="Q18" s="56">
        <v>9.42</v>
      </c>
      <c r="R18" s="43"/>
      <c r="S18" s="43"/>
      <c r="T18" s="43"/>
      <c r="U18" s="43"/>
    </row>
    <row r="19" spans="1:21" s="11" customFormat="1" ht="15">
      <c r="A19" s="55" t="s">
        <v>600</v>
      </c>
      <c r="B19" s="56">
        <v>1.37</v>
      </c>
      <c r="C19" s="56">
        <v>6.29</v>
      </c>
      <c r="D19" s="56">
        <v>4.30</v>
      </c>
      <c r="E19" s="56">
        <v>3.39</v>
      </c>
      <c r="F19" s="56">
        <v>13.22</v>
      </c>
      <c r="G19" s="56">
        <v>88.61</v>
      </c>
      <c r="H19" s="56">
        <v>34.950000000000003</v>
      </c>
      <c r="I19" s="56">
        <v>10.40</v>
      </c>
      <c r="J19" s="56">
        <v>0.56999999999999995</v>
      </c>
      <c r="K19" s="56">
        <v>343.02</v>
      </c>
      <c r="L19" s="56">
        <v>35.22</v>
      </c>
      <c r="M19" s="56">
        <v>43.20</v>
      </c>
      <c r="N19" s="56">
        <v>886.10</v>
      </c>
      <c r="O19" s="56">
        <v>0</v>
      </c>
      <c r="P19" s="56">
        <v>1.1599999999999999</v>
      </c>
      <c r="Q19" s="56">
        <v>9.41</v>
      </c>
      <c r="R19" s="43"/>
      <c r="S19" s="43"/>
      <c r="T19" s="43"/>
      <c r="U19" s="43"/>
    </row>
    <row r="20" spans="1:21" s="11" customFormat="1" ht="15">
      <c r="A20" s="55" t="s">
        <v>601</v>
      </c>
      <c r="B20" s="56">
        <v>1.17</v>
      </c>
      <c r="C20" s="56">
        <v>3.82</v>
      </c>
      <c r="D20" s="56">
        <v>2.85</v>
      </c>
      <c r="E20" s="56">
        <v>2.71</v>
      </c>
      <c r="F20" s="56">
        <v>10.74</v>
      </c>
      <c r="G20" s="56">
        <v>73.11</v>
      </c>
      <c r="H20" s="56">
        <v>33.57</v>
      </c>
      <c r="I20" s="56">
        <v>9.3800000000000008</v>
      </c>
      <c r="J20" s="56">
        <v>0.60</v>
      </c>
      <c r="K20" s="56">
        <v>336.08</v>
      </c>
      <c r="L20" s="56">
        <v>36.93</v>
      </c>
      <c r="M20" s="56">
        <v>40.85</v>
      </c>
      <c r="N20" s="56">
        <v>916.5</v>
      </c>
      <c r="O20" s="56">
        <v>0</v>
      </c>
      <c r="P20" s="56">
        <v>1.1000000000000001</v>
      </c>
      <c r="Q20" s="56">
        <v>9.4700000000000006</v>
      </c>
      <c r="R20" s="43"/>
      <c r="S20" s="43"/>
      <c r="T20" s="43"/>
      <c r="U20" s="43"/>
    </row>
    <row r="21" spans="1:21" s="11" customFormat="1" ht="15">
      <c r="A21" s="55" t="s">
        <v>602</v>
      </c>
      <c r="B21" s="56">
        <v>1.20</v>
      </c>
      <c r="C21" s="56">
        <v>4.5999999999999996</v>
      </c>
      <c r="D21" s="56">
        <v>3.27</v>
      </c>
      <c r="E21" s="56">
        <v>2.4300000000000002</v>
      </c>
      <c r="F21" s="56">
        <v>12.20</v>
      </c>
      <c r="G21" s="56">
        <v>57</v>
      </c>
      <c r="H21" s="56">
        <v>29.61</v>
      </c>
      <c r="I21" s="56">
        <v>8.36</v>
      </c>
      <c r="J21" s="56">
        <v>0.93</v>
      </c>
      <c r="K21" s="56">
        <v>328.08</v>
      </c>
      <c r="L21" s="56">
        <v>38.32</v>
      </c>
      <c r="M21" s="56">
        <v>34.130000000000003</v>
      </c>
      <c r="N21" s="56">
        <v>895.90</v>
      </c>
      <c r="O21" s="56">
        <v>0</v>
      </c>
      <c r="P21" s="56">
        <v>0.88</v>
      </c>
      <c r="Q21" s="56">
        <v>9.4700000000000006</v>
      </c>
      <c r="R21" s="43"/>
      <c r="S21" s="43"/>
      <c r="T21" s="43"/>
      <c r="U21" s="43"/>
    </row>
    <row r="22" spans="1:21" s="11" customFormat="1" ht="15">
      <c r="A22" s="55" t="s">
        <v>603</v>
      </c>
      <c r="B22" s="56">
        <v>1.18</v>
      </c>
      <c r="C22" s="56">
        <v>3.72</v>
      </c>
      <c r="D22" s="56">
        <v>2.78</v>
      </c>
      <c r="E22" s="56">
        <v>2.73</v>
      </c>
      <c r="F22" s="56">
        <v>8.6999999999999993</v>
      </c>
      <c r="G22" s="56">
        <v>39.15</v>
      </c>
      <c r="H22" s="56">
        <v>23.71</v>
      </c>
      <c r="I22" s="56">
        <v>6.84</v>
      </c>
      <c r="J22" s="56">
        <v>0.70</v>
      </c>
      <c r="K22" s="56">
        <v>333.20</v>
      </c>
      <c r="L22" s="56">
        <v>38.33</v>
      </c>
      <c r="M22" s="56">
        <v>33.299999999999997</v>
      </c>
      <c r="N22" s="56">
        <v>833.90</v>
      </c>
      <c r="O22" s="56">
        <v>0</v>
      </c>
      <c r="P22" s="56">
        <v>0.62</v>
      </c>
      <c r="Q22" s="56">
        <v>9.42</v>
      </c>
      <c r="R22" s="43"/>
      <c r="S22" s="43"/>
      <c r="T22" s="43"/>
      <c r="U22" s="43"/>
    </row>
    <row r="23" spans="1:21" s="11" customFormat="1" ht="15">
      <c r="A23" s="55" t="s">
        <v>604</v>
      </c>
      <c r="B23" s="56">
        <v>1.20</v>
      </c>
      <c r="C23" s="56">
        <v>4</v>
      </c>
      <c r="D23" s="56">
        <v>2.97</v>
      </c>
      <c r="E23" s="56">
        <v>2.2200000000000002</v>
      </c>
      <c r="F23" s="56">
        <v>8.9499999999999993</v>
      </c>
      <c r="G23" s="56">
        <v>44.94</v>
      </c>
      <c r="H23" s="56">
        <v>22.08</v>
      </c>
      <c r="I23" s="56">
        <v>5.43</v>
      </c>
      <c r="J23" s="56">
        <v>0.57999999999999996</v>
      </c>
      <c r="K23" s="56">
        <v>321.11</v>
      </c>
      <c r="L23" s="56">
        <v>37.200000000000003</v>
      </c>
      <c r="M23" s="56">
        <v>34.81</v>
      </c>
      <c r="N23" s="56">
        <v>484.70</v>
      </c>
      <c r="O23" s="56">
        <v>0</v>
      </c>
      <c r="P23" s="56">
        <v>0.53</v>
      </c>
      <c r="Q23" s="56">
        <v>9.40</v>
      </c>
      <c r="R23" s="43"/>
      <c r="S23" s="43"/>
      <c r="T23" s="43"/>
      <c r="U23" s="43"/>
    </row>
    <row r="24" spans="1:21" s="11" customFormat="1" ht="15">
      <c r="A24" s="55" t="s">
        <v>605</v>
      </c>
      <c r="B24" s="56">
        <v>1.29</v>
      </c>
      <c r="C24" s="56">
        <v>3.88</v>
      </c>
      <c r="D24" s="56">
        <v>2.98</v>
      </c>
      <c r="E24" s="56">
        <v>2.11</v>
      </c>
      <c r="F24" s="56">
        <v>7.76</v>
      </c>
      <c r="G24" s="56">
        <v>45.27</v>
      </c>
      <c r="H24" s="56">
        <v>22.37</v>
      </c>
      <c r="I24" s="56">
        <v>4.1399999999999997</v>
      </c>
      <c r="J24" s="56">
        <v>0.64</v>
      </c>
      <c r="K24" s="56">
        <v>333.62</v>
      </c>
      <c r="L24" s="56">
        <v>36.479999999999997</v>
      </c>
      <c r="M24" s="56">
        <v>32.83</v>
      </c>
      <c r="N24" s="56">
        <v>262.30</v>
      </c>
      <c r="O24" s="56">
        <v>0</v>
      </c>
      <c r="P24" s="56">
        <v>0.45</v>
      </c>
      <c r="Q24" s="56">
        <v>9.5</v>
      </c>
      <c r="R24" s="43"/>
      <c r="S24" s="43"/>
      <c r="T24" s="43"/>
      <c r="U24" s="43"/>
    </row>
    <row r="25" spans="1:21" s="11" customFormat="1" ht="15">
      <c r="A25" s="55" t="s">
        <v>606</v>
      </c>
      <c r="B25" s="56">
        <v>1.24</v>
      </c>
      <c r="C25" s="56">
        <v>3.22</v>
      </c>
      <c r="D25" s="56">
        <v>2.57</v>
      </c>
      <c r="E25" s="56">
        <v>2.09</v>
      </c>
      <c r="F25" s="56">
        <v>7.97</v>
      </c>
      <c r="G25" s="56">
        <v>38.31</v>
      </c>
      <c r="H25" s="56">
        <v>17.13</v>
      </c>
      <c r="I25" s="56">
        <v>4.01</v>
      </c>
      <c r="J25" s="56">
        <v>0.77</v>
      </c>
      <c r="K25" s="56">
        <v>323.5</v>
      </c>
      <c r="L25" s="56">
        <v>35.700000000000003</v>
      </c>
      <c r="M25" s="56">
        <v>32.93</v>
      </c>
      <c r="N25" s="56">
        <v>156.80000000000001</v>
      </c>
      <c r="O25" s="56">
        <v>0</v>
      </c>
      <c r="P25" s="56">
        <v>0.40</v>
      </c>
      <c r="Q25" s="56">
        <v>9.49</v>
      </c>
      <c r="R25" s="43"/>
      <c r="S25" s="43"/>
      <c r="T25" s="43"/>
      <c r="U25" s="43"/>
    </row>
    <row r="26" spans="1:21" s="11" customFormat="1" ht="15">
      <c r="A26" s="55" t="s">
        <v>607</v>
      </c>
      <c r="B26" s="56">
        <v>1.34</v>
      </c>
      <c r="C26" s="56">
        <v>3.73</v>
      </c>
      <c r="D26" s="56">
        <v>2.94</v>
      </c>
      <c r="E26" s="56">
        <v>2</v>
      </c>
      <c r="F26" s="56">
        <v>5.29</v>
      </c>
      <c r="G26" s="56">
        <v>38.44</v>
      </c>
      <c r="H26" s="56">
        <v>16.91</v>
      </c>
      <c r="I26" s="56">
        <v>4.20</v>
      </c>
      <c r="J26" s="56">
        <v>0.34</v>
      </c>
      <c r="K26" s="56">
        <v>320.39999999999998</v>
      </c>
      <c r="L26" s="56">
        <v>34.71</v>
      </c>
      <c r="M26" s="56">
        <v>37.18</v>
      </c>
      <c r="N26" s="56">
        <v>78.70</v>
      </c>
      <c r="O26" s="56">
        <v>0</v>
      </c>
      <c r="P26" s="56">
        <v>0.46</v>
      </c>
      <c r="Q26" s="56">
        <v>9.4499999999999993</v>
      </c>
      <c r="R26" s="43"/>
      <c r="S26" s="43"/>
      <c r="T26" s="43"/>
      <c r="U26" s="43"/>
    </row>
    <row r="27" spans="1:21" s="11" customFormat="1" ht="15">
      <c r="A27" s="55" t="s">
        <v>608</v>
      </c>
      <c r="B27" s="56">
        <v>1.85</v>
      </c>
      <c r="C27" s="56">
        <v>6.45</v>
      </c>
      <c r="D27" s="56">
        <v>4.78</v>
      </c>
      <c r="E27" s="56">
        <v>2.04</v>
      </c>
      <c r="F27" s="56">
        <v>4.66</v>
      </c>
      <c r="G27" s="56">
        <v>61.57</v>
      </c>
      <c r="H27" s="56">
        <v>19.02</v>
      </c>
      <c r="I27" s="56">
        <v>4.88</v>
      </c>
      <c r="J27" s="56">
        <v>0.20</v>
      </c>
      <c r="K27" s="56">
        <v>330.69</v>
      </c>
      <c r="L27" s="56">
        <v>33.799999999999997</v>
      </c>
      <c r="M27" s="56">
        <v>36.770000000000003</v>
      </c>
      <c r="N27" s="56">
        <v>36.10</v>
      </c>
      <c r="O27" s="56">
        <v>0</v>
      </c>
      <c r="P27" s="56">
        <v>0.68</v>
      </c>
      <c r="Q27" s="56">
        <v>9.51</v>
      </c>
      <c r="R27" s="43"/>
      <c r="S27" s="43"/>
      <c r="T27" s="43"/>
      <c r="U27" s="43"/>
    </row>
    <row r="28" spans="1:21" s="11" customFormat="1" ht="15">
      <c r="A28" s="55" t="s">
        <v>609</v>
      </c>
      <c r="B28" s="56">
        <v>2.5499999999999998</v>
      </c>
      <c r="C28" s="56">
        <v>7.22</v>
      </c>
      <c r="D28" s="56">
        <v>5.67</v>
      </c>
      <c r="E28" s="56">
        <v>2.87</v>
      </c>
      <c r="F28" s="56">
        <v>3.88</v>
      </c>
      <c r="G28" s="56">
        <v>73.959999999999994</v>
      </c>
      <c r="H28" s="56">
        <v>23.12</v>
      </c>
      <c r="I28" s="56">
        <v>6.26</v>
      </c>
      <c r="J28" s="56">
        <v>0.21</v>
      </c>
      <c r="K28" s="56">
        <v>238.66</v>
      </c>
      <c r="L28" s="56">
        <v>33</v>
      </c>
      <c r="M28" s="56">
        <v>45.38</v>
      </c>
      <c r="N28" s="56">
        <v>19.80</v>
      </c>
      <c r="O28" s="56">
        <v>0</v>
      </c>
      <c r="P28" s="56">
        <v>0.81</v>
      </c>
      <c r="Q28" s="56">
        <v>9.56</v>
      </c>
      <c r="R28" s="43"/>
      <c r="S28" s="43"/>
      <c r="T28" s="43"/>
      <c r="U28" s="43"/>
    </row>
    <row r="29" spans="1:21" s="11" customFormat="1" ht="15">
      <c r="A29" s="55" t="s">
        <v>610</v>
      </c>
      <c r="B29" s="56">
        <v>2.70</v>
      </c>
      <c r="C29" s="56">
        <v>6.68</v>
      </c>
      <c r="D29" s="56">
        <v>5.48</v>
      </c>
      <c r="E29" s="56">
        <v>3.09</v>
      </c>
      <c r="F29" s="56">
        <v>3.60</v>
      </c>
      <c r="G29" s="56">
        <v>74.989999999999995</v>
      </c>
      <c r="H29" s="56">
        <v>23.36</v>
      </c>
      <c r="I29" s="56">
        <v>7.14</v>
      </c>
      <c r="J29" s="56">
        <v>0.85</v>
      </c>
      <c r="K29" s="56">
        <v>301.14999999999998</v>
      </c>
      <c r="L29" s="56">
        <v>31.53</v>
      </c>
      <c r="M29" s="56">
        <v>49.54</v>
      </c>
      <c r="N29" s="56">
        <v>19.70</v>
      </c>
      <c r="O29" s="56">
        <v>0</v>
      </c>
      <c r="P29" s="56">
        <v>0.94</v>
      </c>
      <c r="Q29" s="56">
        <v>9.76</v>
      </c>
      <c r="R29" s="43"/>
      <c r="S29" s="43"/>
      <c r="T29" s="43"/>
      <c r="U29" s="43"/>
    </row>
    <row r="30" spans="1:21" s="11" customFormat="1" ht="15">
      <c r="A30" s="55" t="s">
        <v>611</v>
      </c>
      <c r="B30" s="56">
        <v>2.76</v>
      </c>
      <c r="C30" s="56">
        <v>6.64</v>
      </c>
      <c r="D30" s="56">
        <v>5.60</v>
      </c>
      <c r="E30" s="56">
        <v>3.10</v>
      </c>
      <c r="F30" s="56">
        <v>3.65</v>
      </c>
      <c r="G30" s="56">
        <v>75.45</v>
      </c>
      <c r="H30" s="56">
        <v>24.27</v>
      </c>
      <c r="I30" s="56">
        <v>7.63</v>
      </c>
      <c r="J30" s="56">
        <v>0.47</v>
      </c>
      <c r="K30" s="56">
        <v>331.25</v>
      </c>
      <c r="L30" s="56">
        <v>30.98</v>
      </c>
      <c r="M30" s="56">
        <v>50.72</v>
      </c>
      <c r="N30" s="56">
        <v>19.80</v>
      </c>
      <c r="O30" s="56">
        <v>0</v>
      </c>
      <c r="P30" s="56">
        <v>0.98</v>
      </c>
      <c r="Q30" s="56">
        <v>9.81</v>
      </c>
      <c r="R30" s="43"/>
      <c r="S30" s="43"/>
      <c r="T30" s="43"/>
      <c r="U30" s="43"/>
    </row>
    <row r="31" spans="1:21" s="11" customFormat="1" ht="15">
      <c r="A31" s="55" t="s">
        <v>612</v>
      </c>
      <c r="B31" s="56">
        <v>2.68</v>
      </c>
      <c r="C31" s="56">
        <v>6.30</v>
      </c>
      <c r="D31" s="56">
        <v>5.36</v>
      </c>
      <c r="E31" s="56">
        <v>3.08</v>
      </c>
      <c r="F31" s="56">
        <v>3.51</v>
      </c>
      <c r="G31" s="56">
        <v>75.48</v>
      </c>
      <c r="H31" s="56">
        <v>24.60</v>
      </c>
      <c r="I31" s="56">
        <v>8.09</v>
      </c>
      <c r="J31" s="56">
        <v>1.1000000000000001</v>
      </c>
      <c r="K31" s="56">
        <v>155.61000000000001</v>
      </c>
      <c r="L31" s="56">
        <v>30.70</v>
      </c>
      <c r="M31" s="56">
        <v>50.85</v>
      </c>
      <c r="N31" s="56">
        <v>19.600000000000001</v>
      </c>
      <c r="O31" s="56">
        <v>0</v>
      </c>
      <c r="P31" s="56">
        <v>0.93</v>
      </c>
      <c r="Q31" s="56">
        <v>9.7100000000000009</v>
      </c>
      <c r="R31" s="43"/>
      <c r="S31" s="43"/>
      <c r="T31" s="43"/>
      <c r="U31" s="43"/>
    </row>
    <row r="32" spans="1:21" s="11" customFormat="1" ht="15">
      <c r="A32" s="55" t="s">
        <v>613</v>
      </c>
      <c r="B32" s="56">
        <v>2.1800000000000002</v>
      </c>
      <c r="C32" s="56">
        <v>4.4400000000000004</v>
      </c>
      <c r="D32" s="56">
        <v>3.97</v>
      </c>
      <c r="E32" s="56">
        <v>2.88</v>
      </c>
      <c r="F32" s="56">
        <v>3.73</v>
      </c>
      <c r="G32" s="56">
        <v>68.86</v>
      </c>
      <c r="H32" s="56">
        <v>24.62</v>
      </c>
      <c r="I32" s="56">
        <v>8.26</v>
      </c>
      <c r="J32" s="56">
        <v>0.68</v>
      </c>
      <c r="K32" s="56">
        <v>158.61000000000001</v>
      </c>
      <c r="L32" s="56">
        <v>29.73</v>
      </c>
      <c r="M32" s="56">
        <v>52.11</v>
      </c>
      <c r="N32" s="56">
        <v>19.600000000000001</v>
      </c>
      <c r="O32" s="56">
        <v>0</v>
      </c>
      <c r="P32" s="56">
        <v>0.84</v>
      </c>
      <c r="Q32" s="56">
        <v>9.56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1.1699999999999999</v>
      </c>
      <c r="C34" s="28">
        <f t="shared" si="0"/>
        <v>2.0499999999999998</v>
      </c>
      <c r="D34" s="28">
        <f t="shared" si="0"/>
        <v>2.5600000000000001</v>
      </c>
      <c r="E34" s="28">
        <f t="shared" si="0"/>
        <v>1.45</v>
      </c>
      <c r="F34" s="28">
        <f t="shared" si="0"/>
        <v>3.2599999999999998</v>
      </c>
      <c r="G34" s="28">
        <f t="shared" si="0"/>
        <v>38.310000000000002</v>
      </c>
      <c r="H34" s="28">
        <f t="shared" si="0"/>
        <v>15.58</v>
      </c>
      <c r="I34" s="28">
        <f t="shared" si="0"/>
        <v>4.0099999999999998</v>
      </c>
      <c r="J34" s="28">
        <f t="shared" si="0"/>
        <v>0.19</v>
      </c>
      <c r="K34" s="28">
        <f t="shared" si="0"/>
        <v>155.61000000000001</v>
      </c>
      <c r="L34" s="28">
        <f t="shared" si="0"/>
        <v>23.760000000000002</v>
      </c>
      <c r="M34" s="28">
        <f t="shared" si="0"/>
        <v>32.829999999999998</v>
      </c>
      <c r="N34" s="28">
        <f t="shared" si="0"/>
        <v>18.600000000000001</v>
      </c>
      <c r="O34" s="28">
        <f t="shared" si="0"/>
        <v>0</v>
      </c>
      <c r="P34" s="28">
        <f t="shared" si="0"/>
        <v>0.40000000000000002</v>
      </c>
      <c r="Q34" s="28">
        <f t="shared" si="0"/>
        <v>9.3900000000000006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4.5199999999999996</v>
      </c>
      <c r="C35" s="29">
        <f t="shared" si="1"/>
        <v>7.2199999999999998</v>
      </c>
      <c r="D35" s="29">
        <f t="shared" si="1"/>
        <v>5.9800000000000004</v>
      </c>
      <c r="E35" s="29">
        <f t="shared" si="1"/>
        <v>3.3900000000000001</v>
      </c>
      <c r="F35" s="29">
        <f t="shared" si="1"/>
        <v>13.220000000000001</v>
      </c>
      <c r="G35" s="29">
        <f t="shared" si="1"/>
        <v>139.55000000000001</v>
      </c>
      <c r="H35" s="29">
        <f t="shared" si="1"/>
        <v>46.950000000000003</v>
      </c>
      <c r="I35" s="29">
        <f t="shared" si="1"/>
        <v>10.4</v>
      </c>
      <c r="J35" s="29">
        <f t="shared" si="1"/>
        <v>1.1000000000000001</v>
      </c>
      <c r="K35" s="29">
        <f t="shared" si="1"/>
        <v>355.72000000000003</v>
      </c>
      <c r="L35" s="29">
        <f t="shared" si="1"/>
        <v>38.329999999999998</v>
      </c>
      <c r="M35" s="29">
        <f t="shared" si="1"/>
        <v>93.200000000000003</v>
      </c>
      <c r="N35" s="29">
        <f t="shared" si="1"/>
        <v>916.5</v>
      </c>
      <c r="O35" s="29">
        <f t="shared" si="1"/>
        <v>0</v>
      </c>
      <c r="P35" s="29">
        <f t="shared" si="1"/>
        <v>1.1599999999999999</v>
      </c>
      <c r="Q35" s="29">
        <f t="shared" si="1"/>
        <v>9.8100000000000005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2.277083333333334</v>
      </c>
      <c r="C36" s="28">
        <f t="shared" si="2"/>
        <v>4.5345833333333339</v>
      </c>
      <c r="D36" s="28">
        <f t="shared" si="2"/>
        <v>4.0758333333333328</v>
      </c>
      <c r="E36" s="28">
        <f t="shared" si="2"/>
        <v>2.3041666666666667</v>
      </c>
      <c r="F36" s="28">
        <f t="shared" si="2"/>
        <v>5.652499999999999</v>
      </c>
      <c r="G36" s="28">
        <f t="shared" si="2"/>
        <v>75.729166666666657</v>
      </c>
      <c r="H36" s="28">
        <f t="shared" si="2"/>
        <v>27.947083333333335</v>
      </c>
      <c r="I36" s="28">
        <f t="shared" si="2"/>
        <v>7.1754166666666643</v>
      </c>
      <c r="J36" s="28">
        <f t="shared" si="2"/>
        <v>0.49874999999999997</v>
      </c>
      <c r="K36" s="28">
        <f t="shared" si="2"/>
        <v>310.66666666666657</v>
      </c>
      <c r="L36" s="28">
        <f t="shared" si="2"/>
        <v>31.389583333333334</v>
      </c>
      <c r="M36" s="28">
        <f t="shared" si="2"/>
        <v>56.330833333333338</v>
      </c>
      <c r="N36" s="28">
        <f t="shared" si="2"/>
        <v>286.14166666666671</v>
      </c>
      <c r="O36" s="28">
        <f t="shared" si="2"/>
        <v>0</v>
      </c>
      <c r="P36" s="28">
        <f t="shared" si="2"/>
        <v>0.75124999999999986</v>
      </c>
      <c r="Q36" s="28">
        <f t="shared" si="2"/>
        <v>9.5495833333333326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1.0473506084886031</v>
      </c>
      <c r="C37" s="28">
        <f t="shared" si="3" ref="C37:Q37">STDEV(C9:C32)</f>
        <v>1.494206141318398</v>
      </c>
      <c r="D37" s="28">
        <f t="shared" si="3"/>
        <v>1.2162340902633999</v>
      </c>
      <c r="E37" s="28">
        <f t="shared" si="3"/>
        <v>0.58768459942880746</v>
      </c>
      <c r="F37" s="28">
        <f t="shared" si="3"/>
        <v>3.0798507163144482</v>
      </c>
      <c r="G37" s="28">
        <f t="shared" si="3"/>
        <v>31.114416890017381</v>
      </c>
      <c r="H37" s="28">
        <f t="shared" si="3"/>
        <v>9.6002425146753385</v>
      </c>
      <c r="I37" s="28">
        <f t="shared" si="3"/>
        <v>1.9642566448065522</v>
      </c>
      <c r="J37" s="28">
        <f t="shared" si="3"/>
        <v>0.27537030404135104</v>
      </c>
      <c r="K37" s="28">
        <f t="shared" si="3"/>
        <v>53.812160793592156</v>
      </c>
      <c r="L37" s="28">
        <f t="shared" si="3"/>
        <v>5.007125773784054</v>
      </c>
      <c r="M37" s="28">
        <f t="shared" si="3"/>
        <v>21.520415164224406</v>
      </c>
      <c r="N37" s="28">
        <f t="shared" si="3"/>
        <v>344.63869917787019</v>
      </c>
      <c r="O37" s="28">
        <f t="shared" si="3"/>
        <v>0</v>
      </c>
      <c r="P37" s="28">
        <f t="shared" si="3"/>
        <v>0.22002593720622693</v>
      </c>
      <c r="Q37" s="28">
        <f t="shared" si="3"/>
        <v>0.1473085837302002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4ab8ef-4a40-4022-b3f7-5d88c6da717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614</v>
      </c>
      <c r="B9" s="56">
        <v>1.74</v>
      </c>
      <c r="C9" s="56">
        <v>3.23</v>
      </c>
      <c r="D9" s="56">
        <v>3</v>
      </c>
      <c r="E9" s="56">
        <v>1.81</v>
      </c>
      <c r="F9" s="56">
        <v>3.80</v>
      </c>
      <c r="G9" s="56">
        <v>50.82</v>
      </c>
      <c r="H9" s="56">
        <v>17.27</v>
      </c>
      <c r="I9" s="56">
        <v>7.25</v>
      </c>
      <c r="J9" s="56">
        <v>1.1200000000000001</v>
      </c>
      <c r="K9" s="56">
        <v>147.84</v>
      </c>
      <c r="L9" s="56">
        <v>29.24</v>
      </c>
      <c r="M9" s="56">
        <v>55.51</v>
      </c>
      <c r="N9" s="56">
        <v>19.5</v>
      </c>
      <c r="O9" s="56">
        <v>0</v>
      </c>
      <c r="P9" s="56">
        <v>0.70</v>
      </c>
      <c r="Q9" s="56">
        <v>9.5</v>
      </c>
      <c r="R9" s="43"/>
      <c r="S9" s="43"/>
      <c r="T9" s="43"/>
      <c r="U9" s="43"/>
    </row>
    <row r="10" spans="1:21" s="11" customFormat="1" ht="15">
      <c r="A10" s="55" t="s">
        <v>615</v>
      </c>
      <c r="B10" s="56">
        <v>1.71</v>
      </c>
      <c r="C10" s="56">
        <v>2.87</v>
      </c>
      <c r="D10" s="56">
        <v>2.79</v>
      </c>
      <c r="E10" s="56">
        <v>2.11</v>
      </c>
      <c r="F10" s="56">
        <v>3.75</v>
      </c>
      <c r="G10" s="56">
        <v>46.89</v>
      </c>
      <c r="H10" s="56">
        <v>16.57</v>
      </c>
      <c r="I10" s="56">
        <v>7.83</v>
      </c>
      <c r="J10" s="56">
        <v>2.06</v>
      </c>
      <c r="K10" s="56">
        <v>108.49</v>
      </c>
      <c r="L10" s="56">
        <v>28.94</v>
      </c>
      <c r="M10" s="56">
        <v>60.37</v>
      </c>
      <c r="N10" s="56">
        <v>19.80</v>
      </c>
      <c r="O10" s="56">
        <v>0</v>
      </c>
      <c r="P10" s="56">
        <v>0.63</v>
      </c>
      <c r="Q10" s="56">
        <v>9.5</v>
      </c>
      <c r="R10" s="43"/>
      <c r="S10" s="43"/>
      <c r="T10" s="43"/>
      <c r="U10" s="43"/>
    </row>
    <row r="11" spans="1:21" s="11" customFormat="1" ht="15">
      <c r="A11" s="55" t="s">
        <v>616</v>
      </c>
      <c r="B11" s="56">
        <v>1.59</v>
      </c>
      <c r="C11" s="56">
        <v>2.89</v>
      </c>
      <c r="D11" s="56">
        <v>2.66</v>
      </c>
      <c r="E11" s="56">
        <v>2.2799999999999998</v>
      </c>
      <c r="F11" s="56">
        <v>3.94</v>
      </c>
      <c r="G11" s="56">
        <v>39.40</v>
      </c>
      <c r="H11" s="56">
        <v>16.46</v>
      </c>
      <c r="I11" s="56">
        <v>9.1300000000000008</v>
      </c>
      <c r="J11" s="56">
        <v>2.34</v>
      </c>
      <c r="K11" s="56">
        <v>107.16</v>
      </c>
      <c r="L11" s="56">
        <v>28.13</v>
      </c>
      <c r="M11" s="56">
        <v>62.30</v>
      </c>
      <c r="N11" s="56">
        <v>20</v>
      </c>
      <c r="O11" s="56">
        <v>0</v>
      </c>
      <c r="P11" s="56">
        <v>0.56999999999999995</v>
      </c>
      <c r="Q11" s="56">
        <v>9.5</v>
      </c>
      <c r="R11" s="43"/>
      <c r="S11" s="43"/>
      <c r="T11" s="43"/>
      <c r="U11" s="43"/>
    </row>
    <row r="12" spans="1:21" s="11" customFormat="1" ht="15">
      <c r="A12" s="55" t="s">
        <v>617</v>
      </c>
      <c r="B12" s="56">
        <v>1.52</v>
      </c>
      <c r="C12" s="56">
        <v>2.4900000000000002</v>
      </c>
      <c r="D12" s="56">
        <v>2.4300000000000002</v>
      </c>
      <c r="E12" s="56">
        <v>2.0499999999999998</v>
      </c>
      <c r="F12" s="56">
        <v>3.95</v>
      </c>
      <c r="G12" s="56">
        <v>39.01</v>
      </c>
      <c r="H12" s="56">
        <v>13.08</v>
      </c>
      <c r="I12" s="56">
        <v>8.86</v>
      </c>
      <c r="J12" s="56">
        <v>2.5099999999999998</v>
      </c>
      <c r="K12" s="56">
        <v>108.96</v>
      </c>
      <c r="L12" s="56">
        <v>27.23</v>
      </c>
      <c r="M12" s="56">
        <v>66.09</v>
      </c>
      <c r="N12" s="56">
        <v>19.70</v>
      </c>
      <c r="O12" s="56">
        <v>0</v>
      </c>
      <c r="P12" s="56">
        <v>0.45</v>
      </c>
      <c r="Q12" s="56">
        <v>9.34</v>
      </c>
      <c r="R12" s="43"/>
      <c r="S12" s="43"/>
      <c r="T12" s="43"/>
      <c r="U12" s="43"/>
    </row>
    <row r="13" spans="1:21" s="11" customFormat="1" ht="15">
      <c r="A13" s="55" t="s">
        <v>618</v>
      </c>
      <c r="B13" s="56">
        <v>1.5</v>
      </c>
      <c r="C13" s="56">
        <v>2.21</v>
      </c>
      <c r="D13" s="56">
        <v>2.27</v>
      </c>
      <c r="E13" s="56">
        <v>1.01</v>
      </c>
      <c r="F13" s="56">
        <v>3.68</v>
      </c>
      <c r="G13" s="56">
        <v>33.18</v>
      </c>
      <c r="H13" s="56">
        <v>9.58</v>
      </c>
      <c r="I13" s="56">
        <v>8.69</v>
      </c>
      <c r="J13" s="56">
        <v>0.93</v>
      </c>
      <c r="K13" s="56">
        <v>182.87</v>
      </c>
      <c r="L13" s="56">
        <v>26.38</v>
      </c>
      <c r="M13" s="56">
        <v>68.75</v>
      </c>
      <c r="N13" s="56">
        <v>19.70</v>
      </c>
      <c r="O13" s="56">
        <v>0</v>
      </c>
      <c r="P13" s="56">
        <v>0.37</v>
      </c>
      <c r="Q13" s="56">
        <v>9.33</v>
      </c>
      <c r="R13" s="43"/>
      <c r="S13" s="43"/>
      <c r="T13" s="43"/>
      <c r="U13" s="43"/>
    </row>
    <row r="14" spans="1:21" s="11" customFormat="1" ht="15">
      <c r="A14" s="55" t="s">
        <v>619</v>
      </c>
      <c r="B14" s="56">
        <v>1.56</v>
      </c>
      <c r="C14" s="56">
        <v>1.45</v>
      </c>
      <c r="D14" s="56">
        <v>1.92</v>
      </c>
      <c r="E14" s="56">
        <v>0.99</v>
      </c>
      <c r="F14" s="56">
        <v>3.53</v>
      </c>
      <c r="G14" s="56">
        <v>24.94</v>
      </c>
      <c r="H14" s="56">
        <v>9.56</v>
      </c>
      <c r="I14" s="56">
        <v>7.64</v>
      </c>
      <c r="J14" s="56">
        <v>0.72</v>
      </c>
      <c r="K14" s="56">
        <v>154.36000000000001</v>
      </c>
      <c r="L14" s="56">
        <v>26.06</v>
      </c>
      <c r="M14" s="56">
        <v>70.61</v>
      </c>
      <c r="N14" s="56">
        <v>61.90</v>
      </c>
      <c r="O14" s="56">
        <v>0</v>
      </c>
      <c r="P14" s="56">
        <v>0.31</v>
      </c>
      <c r="Q14" s="56">
        <v>9.42</v>
      </c>
      <c r="R14" s="43"/>
      <c r="S14" s="43"/>
      <c r="T14" s="43"/>
      <c r="U14" s="43"/>
    </row>
    <row r="15" spans="1:21" s="11" customFormat="1" ht="15">
      <c r="A15" s="55" t="s">
        <v>620</v>
      </c>
      <c r="B15" s="56">
        <v>1.74</v>
      </c>
      <c r="C15" s="56">
        <v>1.62</v>
      </c>
      <c r="D15" s="56">
        <v>2.12</v>
      </c>
      <c r="E15" s="56">
        <v>1.04</v>
      </c>
      <c r="F15" s="56">
        <v>3.38</v>
      </c>
      <c r="G15" s="56">
        <v>24.96</v>
      </c>
      <c r="H15" s="56">
        <v>9.6199999999999992</v>
      </c>
      <c r="I15" s="56">
        <v>6.43</v>
      </c>
      <c r="J15" s="56">
        <v>0.46</v>
      </c>
      <c r="K15" s="56">
        <v>357.54</v>
      </c>
      <c r="L15" s="56">
        <v>29.62</v>
      </c>
      <c r="M15" s="56">
        <v>69.14</v>
      </c>
      <c r="N15" s="56">
        <v>213.60</v>
      </c>
      <c r="O15" s="56">
        <v>0</v>
      </c>
      <c r="P15" s="56">
        <v>0.30</v>
      </c>
      <c r="Q15" s="56">
        <v>9.42</v>
      </c>
      <c r="R15" s="43"/>
      <c r="S15" s="43"/>
      <c r="T15" s="43"/>
      <c r="U15" s="43"/>
    </row>
    <row r="16" spans="1:21" s="11" customFormat="1" ht="15">
      <c r="A16" s="55" t="s">
        <v>621</v>
      </c>
      <c r="B16" s="56">
        <v>1.91</v>
      </c>
      <c r="C16" s="56">
        <v>2.2799999999999998</v>
      </c>
      <c r="D16" s="56">
        <v>2.62</v>
      </c>
      <c r="E16" s="56">
        <v>1.23</v>
      </c>
      <c r="F16" s="56">
        <v>3.88</v>
      </c>
      <c r="G16" s="56">
        <v>27.82</v>
      </c>
      <c r="H16" s="56">
        <v>9.60</v>
      </c>
      <c r="I16" s="56">
        <v>6.89</v>
      </c>
      <c r="J16" s="56">
        <v>0.35</v>
      </c>
      <c r="K16" s="56">
        <v>346.39</v>
      </c>
      <c r="L16" s="56">
        <v>32.10</v>
      </c>
      <c r="M16" s="56">
        <v>54.99</v>
      </c>
      <c r="N16" s="56">
        <v>409.70</v>
      </c>
      <c r="O16" s="56">
        <v>0</v>
      </c>
      <c r="P16" s="56">
        <v>0.38</v>
      </c>
      <c r="Q16" s="56">
        <v>9.44</v>
      </c>
      <c r="R16" s="43"/>
      <c r="S16" s="43"/>
      <c r="T16" s="43"/>
      <c r="U16" s="43"/>
    </row>
    <row r="17" spans="1:21" s="11" customFormat="1" ht="15">
      <c r="A17" s="55" t="s">
        <v>622</v>
      </c>
      <c r="B17" s="56">
        <v>1.88</v>
      </c>
      <c r="C17" s="56">
        <v>2.58</v>
      </c>
      <c r="D17" s="56">
        <v>2.72</v>
      </c>
      <c r="E17" s="56">
        <v>1.36</v>
      </c>
      <c r="F17" s="56">
        <v>3.92</v>
      </c>
      <c r="G17" s="56">
        <v>35.21</v>
      </c>
      <c r="H17" s="56">
        <v>9.84</v>
      </c>
      <c r="I17" s="56">
        <v>6.47</v>
      </c>
      <c r="J17" s="56">
        <v>0.77</v>
      </c>
      <c r="K17" s="56">
        <v>359.91</v>
      </c>
      <c r="L17" s="56">
        <v>33.90</v>
      </c>
      <c r="M17" s="56">
        <v>51.93</v>
      </c>
      <c r="N17" s="56">
        <v>598</v>
      </c>
      <c r="O17" s="56">
        <v>0</v>
      </c>
      <c r="P17" s="56">
        <v>0.42</v>
      </c>
      <c r="Q17" s="56">
        <v>9.42</v>
      </c>
      <c r="R17" s="43"/>
      <c r="S17" s="43"/>
      <c r="T17" s="43"/>
      <c r="U17" s="43"/>
    </row>
    <row r="18" spans="1:21" s="11" customFormat="1" ht="15">
      <c r="A18" s="55" t="s">
        <v>623</v>
      </c>
      <c r="B18" s="56">
        <v>1.58</v>
      </c>
      <c r="C18" s="56">
        <v>2.94</v>
      </c>
      <c r="D18" s="56">
        <v>2.70</v>
      </c>
      <c r="E18" s="56">
        <v>1.36</v>
      </c>
      <c r="F18" s="56">
        <v>4.18</v>
      </c>
      <c r="G18" s="56">
        <v>42.26</v>
      </c>
      <c r="H18" s="56">
        <v>13.79</v>
      </c>
      <c r="I18" s="56">
        <v>6.26</v>
      </c>
      <c r="J18" s="56">
        <v>0.79</v>
      </c>
      <c r="K18" s="56">
        <v>345.43</v>
      </c>
      <c r="L18" s="56">
        <v>34.56</v>
      </c>
      <c r="M18" s="56">
        <v>48.12</v>
      </c>
      <c r="N18" s="56">
        <v>746.60</v>
      </c>
      <c r="O18" s="56">
        <v>0</v>
      </c>
      <c r="P18" s="56">
        <v>0.5</v>
      </c>
      <c r="Q18" s="56">
        <v>9.43</v>
      </c>
      <c r="R18" s="43"/>
      <c r="S18" s="43"/>
      <c r="T18" s="43"/>
      <c r="U18" s="43"/>
    </row>
    <row r="19" spans="1:21" s="11" customFormat="1" ht="15">
      <c r="A19" s="55" t="s">
        <v>624</v>
      </c>
      <c r="B19" s="56">
        <v>1.35</v>
      </c>
      <c r="C19" s="56">
        <v>2.08</v>
      </c>
      <c r="D19" s="56">
        <v>2.08</v>
      </c>
      <c r="E19" s="56">
        <v>2.04</v>
      </c>
      <c r="F19" s="56">
        <v>12.56</v>
      </c>
      <c r="G19" s="56">
        <v>42.65</v>
      </c>
      <c r="H19" s="56">
        <v>14.01</v>
      </c>
      <c r="I19" s="56">
        <v>6.49</v>
      </c>
      <c r="J19" s="56">
        <v>0.68</v>
      </c>
      <c r="K19" s="56">
        <v>342.08</v>
      </c>
      <c r="L19" s="56">
        <v>35.79</v>
      </c>
      <c r="M19" s="56">
        <v>43.59</v>
      </c>
      <c r="N19" s="56">
        <v>833.90</v>
      </c>
      <c r="O19" s="56">
        <v>0</v>
      </c>
      <c r="P19" s="56">
        <v>0.57999999999999996</v>
      </c>
      <c r="Q19" s="56">
        <v>9.40</v>
      </c>
      <c r="R19" s="43"/>
      <c r="S19" s="43"/>
      <c r="T19" s="43"/>
      <c r="U19" s="43"/>
    </row>
    <row r="20" spans="1:21" s="11" customFormat="1" ht="15">
      <c r="A20" s="55" t="s">
        <v>625</v>
      </c>
      <c r="B20" s="56">
        <v>1.41</v>
      </c>
      <c r="C20" s="56">
        <v>1.26</v>
      </c>
      <c r="D20" s="56">
        <v>1.48</v>
      </c>
      <c r="E20" s="58" t="s">
        <v>12</v>
      </c>
      <c r="F20" s="56">
        <v>12.19</v>
      </c>
      <c r="G20" s="18" t="s">
        <v>12</v>
      </c>
      <c r="H20" s="18" t="s">
        <v>12</v>
      </c>
      <c r="I20" s="56">
        <v>7.94</v>
      </c>
      <c r="J20" s="56">
        <v>0.48</v>
      </c>
      <c r="K20" s="56">
        <v>354.88</v>
      </c>
      <c r="L20" s="56">
        <v>37.75</v>
      </c>
      <c r="M20" s="56">
        <v>40.29</v>
      </c>
      <c r="N20" s="56">
        <v>866.5</v>
      </c>
      <c r="O20" s="56">
        <v>0</v>
      </c>
      <c r="P20" s="56">
        <v>0.63</v>
      </c>
      <c r="Q20" s="56">
        <v>9.39</v>
      </c>
      <c r="R20" s="43"/>
      <c r="S20" s="43"/>
      <c r="T20" s="43"/>
      <c r="U20" s="43"/>
    </row>
    <row r="21" spans="1:21" s="11" customFormat="1" ht="15">
      <c r="A21" s="55" t="s">
        <v>626</v>
      </c>
      <c r="B21" s="58" t="s">
        <v>12</v>
      </c>
      <c r="C21" s="58" t="s">
        <v>12</v>
      </c>
      <c r="D21" s="58" t="s">
        <v>12</v>
      </c>
      <c r="E21" s="58" t="s">
        <v>12</v>
      </c>
      <c r="F21" s="56">
        <v>24.24</v>
      </c>
      <c r="G21" s="18" t="s">
        <v>12</v>
      </c>
      <c r="H21" s="18" t="s">
        <v>12</v>
      </c>
      <c r="I21" s="56">
        <v>11.95</v>
      </c>
      <c r="J21" s="56">
        <v>0.27</v>
      </c>
      <c r="K21" s="56">
        <v>346.09</v>
      </c>
      <c r="L21" s="56">
        <v>36.57</v>
      </c>
      <c r="M21" s="56">
        <v>38.43</v>
      </c>
      <c r="N21" s="56">
        <v>846.40</v>
      </c>
      <c r="O21" s="56">
        <v>0</v>
      </c>
      <c r="P21" s="56">
        <v>0.59</v>
      </c>
      <c r="Q21" s="56">
        <v>9.2799999999999994</v>
      </c>
      <c r="R21" s="43"/>
      <c r="S21" s="43"/>
      <c r="T21" s="43"/>
      <c r="U21" s="43"/>
    </row>
    <row r="22" spans="1:21" s="11" customFormat="1" ht="15">
      <c r="A22" s="55" t="s">
        <v>627</v>
      </c>
      <c r="B22" s="56">
        <v>1.63</v>
      </c>
      <c r="C22" s="56">
        <v>2.42</v>
      </c>
      <c r="D22" s="56">
        <v>1.84</v>
      </c>
      <c r="E22" s="56">
        <v>4.17</v>
      </c>
      <c r="F22" s="56">
        <v>49.13</v>
      </c>
      <c r="G22" s="56">
        <v>72.680000000000007</v>
      </c>
      <c r="H22" s="56">
        <v>25.97</v>
      </c>
      <c r="I22" s="56">
        <v>13.11</v>
      </c>
      <c r="J22" s="56">
        <v>0.49</v>
      </c>
      <c r="K22" s="56">
        <v>318.81</v>
      </c>
      <c r="L22" s="56">
        <v>37.76</v>
      </c>
      <c r="M22" s="56">
        <v>38.729999999999997</v>
      </c>
      <c r="N22" s="56">
        <v>774.5</v>
      </c>
      <c r="O22" s="56">
        <v>0</v>
      </c>
      <c r="P22" s="56">
        <v>0.69</v>
      </c>
      <c r="Q22" s="56">
        <v>9.3699999999999992</v>
      </c>
      <c r="R22" s="43"/>
      <c r="S22" s="43"/>
      <c r="T22" s="43"/>
      <c r="U22" s="43"/>
    </row>
    <row r="23" spans="1:21" s="11" customFormat="1" ht="15">
      <c r="A23" s="55" t="s">
        <v>628</v>
      </c>
      <c r="B23" s="56">
        <v>1.65</v>
      </c>
      <c r="C23" s="56">
        <v>1.48</v>
      </c>
      <c r="D23" s="56">
        <v>1.37</v>
      </c>
      <c r="E23" s="56">
        <v>2.94</v>
      </c>
      <c r="F23" s="56">
        <v>8.83</v>
      </c>
      <c r="G23" s="56">
        <v>72.680000000000007</v>
      </c>
      <c r="H23" s="56">
        <v>25.97</v>
      </c>
      <c r="I23" s="56">
        <v>5.72</v>
      </c>
      <c r="J23" s="56">
        <v>0.80</v>
      </c>
      <c r="K23" s="56">
        <v>332.12</v>
      </c>
      <c r="L23" s="56">
        <v>38.04</v>
      </c>
      <c r="M23" s="56">
        <v>34.630000000000003</v>
      </c>
      <c r="N23" s="56">
        <v>434.80</v>
      </c>
      <c r="O23" s="56">
        <v>0</v>
      </c>
      <c r="P23" s="56">
        <v>0.68</v>
      </c>
      <c r="Q23" s="56">
        <v>9.33</v>
      </c>
      <c r="R23" s="43"/>
      <c r="S23" s="43"/>
      <c r="T23" s="43"/>
      <c r="U23" s="43"/>
    </row>
    <row r="24" spans="1:21" s="11" customFormat="1" ht="15">
      <c r="A24" s="55" t="s">
        <v>629</v>
      </c>
      <c r="B24" s="56">
        <v>1.71</v>
      </c>
      <c r="C24" s="56">
        <v>1.80</v>
      </c>
      <c r="D24" s="56">
        <v>1.58</v>
      </c>
      <c r="E24" s="56">
        <v>2.91</v>
      </c>
      <c r="F24" s="56">
        <v>7.72</v>
      </c>
      <c r="G24" s="56">
        <v>63.85</v>
      </c>
      <c r="H24" s="56">
        <v>25.56</v>
      </c>
      <c r="I24" s="56">
        <v>5.91</v>
      </c>
      <c r="J24" s="56">
        <v>0.71</v>
      </c>
      <c r="K24" s="56">
        <v>336.34</v>
      </c>
      <c r="L24" s="56">
        <v>37.31</v>
      </c>
      <c r="M24" s="56">
        <v>33.340000000000003</v>
      </c>
      <c r="N24" s="56">
        <v>295.39999999999998</v>
      </c>
      <c r="O24" s="56">
        <v>0</v>
      </c>
      <c r="P24" s="56">
        <v>0.64</v>
      </c>
      <c r="Q24" s="56">
        <v>9.4600000000000009</v>
      </c>
      <c r="R24" s="43"/>
      <c r="S24" s="43"/>
      <c r="T24" s="43"/>
      <c r="U24" s="43"/>
    </row>
    <row r="25" spans="1:21" s="11" customFormat="1" ht="15">
      <c r="A25" s="55" t="s">
        <v>630</v>
      </c>
      <c r="B25" s="56">
        <v>1.85</v>
      </c>
      <c r="C25" s="56">
        <v>3.64</v>
      </c>
      <c r="D25" s="56">
        <v>2.66</v>
      </c>
      <c r="E25" s="56">
        <v>0.76</v>
      </c>
      <c r="F25" s="56">
        <v>5.37</v>
      </c>
      <c r="G25" s="56">
        <v>63.85</v>
      </c>
      <c r="H25" s="56">
        <v>25.56</v>
      </c>
      <c r="I25" s="56">
        <v>7.73</v>
      </c>
      <c r="J25" s="56">
        <v>2.39</v>
      </c>
      <c r="K25" s="56">
        <v>109.22</v>
      </c>
      <c r="L25" s="56">
        <v>36.200000000000003</v>
      </c>
      <c r="M25" s="56">
        <v>45.31</v>
      </c>
      <c r="N25" s="56">
        <v>195.40</v>
      </c>
      <c r="O25" s="56">
        <v>0</v>
      </c>
      <c r="P25" s="56">
        <v>0.57999999999999996</v>
      </c>
      <c r="Q25" s="56">
        <v>9.40</v>
      </c>
      <c r="R25" s="43"/>
      <c r="S25" s="43"/>
      <c r="T25" s="43"/>
      <c r="U25" s="43"/>
    </row>
    <row r="26" spans="1:21" s="11" customFormat="1" ht="15">
      <c r="A26" s="55" t="s">
        <v>631</v>
      </c>
      <c r="B26" s="56">
        <v>1.90</v>
      </c>
      <c r="C26" s="56">
        <v>5.29</v>
      </c>
      <c r="D26" s="56">
        <v>3.55</v>
      </c>
      <c r="E26" s="56">
        <v>1.17</v>
      </c>
      <c r="F26" s="56">
        <v>8.31</v>
      </c>
      <c r="G26" s="56">
        <v>61.90</v>
      </c>
      <c r="H26" s="56">
        <v>24.08</v>
      </c>
      <c r="I26" s="56">
        <v>8.6999999999999993</v>
      </c>
      <c r="J26" s="56">
        <v>1.1000000000000001</v>
      </c>
      <c r="K26" s="56">
        <v>101.36</v>
      </c>
      <c r="L26" s="56">
        <v>33.61</v>
      </c>
      <c r="M26" s="56">
        <v>42.02</v>
      </c>
      <c r="N26" s="56">
        <v>106.60</v>
      </c>
      <c r="O26" s="56">
        <v>0</v>
      </c>
      <c r="P26" s="56">
        <v>0.55000000000000004</v>
      </c>
      <c r="Q26" s="56">
        <v>9.24</v>
      </c>
      <c r="R26" s="43"/>
      <c r="S26" s="43"/>
      <c r="T26" s="43"/>
      <c r="U26" s="43"/>
    </row>
    <row r="27" spans="1:21" s="11" customFormat="1" ht="15">
      <c r="A27" s="55" t="s">
        <v>632</v>
      </c>
      <c r="B27" s="56">
        <v>1.93</v>
      </c>
      <c r="C27" s="56">
        <v>4.67</v>
      </c>
      <c r="D27" s="56">
        <v>3.24</v>
      </c>
      <c r="E27" s="56">
        <v>0.70</v>
      </c>
      <c r="F27" s="56">
        <v>5.87</v>
      </c>
      <c r="G27" s="56">
        <v>60.79</v>
      </c>
      <c r="H27" s="56">
        <v>25.51</v>
      </c>
      <c r="I27" s="56">
        <v>8.94</v>
      </c>
      <c r="J27" s="56">
        <v>2.10</v>
      </c>
      <c r="K27" s="56">
        <v>130.40</v>
      </c>
      <c r="L27" s="56">
        <v>33.01</v>
      </c>
      <c r="M27" s="56">
        <v>49.04</v>
      </c>
      <c r="N27" s="56">
        <v>34.299999999999997</v>
      </c>
      <c r="O27" s="56">
        <v>0</v>
      </c>
      <c r="P27" s="56">
        <v>0.53</v>
      </c>
      <c r="Q27" s="56">
        <v>9.51</v>
      </c>
      <c r="R27" s="43"/>
      <c r="S27" s="43"/>
      <c r="T27" s="43"/>
      <c r="U27" s="43"/>
    </row>
    <row r="28" spans="1:21" s="11" customFormat="1" ht="15">
      <c r="A28" s="55" t="s">
        <v>633</v>
      </c>
      <c r="B28" s="56">
        <v>1.92</v>
      </c>
      <c r="C28" s="56">
        <v>3.70</v>
      </c>
      <c r="D28" s="56">
        <v>2.75</v>
      </c>
      <c r="E28" s="56">
        <v>1.21</v>
      </c>
      <c r="F28" s="56">
        <v>5.48</v>
      </c>
      <c r="G28" s="56">
        <v>60.79</v>
      </c>
      <c r="H28" s="56">
        <v>26.80</v>
      </c>
      <c r="I28" s="56">
        <v>9.59</v>
      </c>
      <c r="J28" s="56">
        <v>1.02</v>
      </c>
      <c r="K28" s="56">
        <v>173.74</v>
      </c>
      <c r="L28" s="56">
        <v>29.93</v>
      </c>
      <c r="M28" s="56">
        <v>55.62</v>
      </c>
      <c r="N28" s="56">
        <v>21.90</v>
      </c>
      <c r="O28" s="56">
        <v>0</v>
      </c>
      <c r="P28" s="56">
        <v>0.47</v>
      </c>
      <c r="Q28" s="56">
        <v>9.58</v>
      </c>
      <c r="R28" s="43"/>
      <c r="S28" s="43"/>
      <c r="T28" s="43"/>
      <c r="U28" s="43"/>
    </row>
    <row r="29" spans="1:21" s="11" customFormat="1" ht="15">
      <c r="A29" s="55" t="s">
        <v>634</v>
      </c>
      <c r="B29" s="56">
        <v>1.89</v>
      </c>
      <c r="C29" s="56">
        <v>2.86</v>
      </c>
      <c r="D29" s="56">
        <v>2.23</v>
      </c>
      <c r="E29" s="56">
        <v>1.24</v>
      </c>
      <c r="F29" s="56">
        <v>4.9800000000000004</v>
      </c>
      <c r="G29" s="56">
        <v>55.39</v>
      </c>
      <c r="H29" s="56">
        <v>26.80</v>
      </c>
      <c r="I29" s="56">
        <v>8.9600000000000009</v>
      </c>
      <c r="J29" s="56">
        <v>0.84</v>
      </c>
      <c r="K29" s="56">
        <v>160.93</v>
      </c>
      <c r="L29" s="56">
        <v>29.40</v>
      </c>
      <c r="M29" s="56">
        <v>55.69</v>
      </c>
      <c r="N29" s="56">
        <v>21.30</v>
      </c>
      <c r="O29" s="56">
        <v>0</v>
      </c>
      <c r="P29" s="56">
        <v>0.47</v>
      </c>
      <c r="Q29" s="56">
        <v>9.66</v>
      </c>
      <c r="R29" s="43"/>
      <c r="S29" s="43"/>
      <c r="T29" s="43"/>
      <c r="U29" s="43"/>
    </row>
    <row r="30" spans="1:21" s="11" customFormat="1" ht="15">
      <c r="A30" s="55" t="s">
        <v>635</v>
      </c>
      <c r="B30" s="56">
        <v>1.94</v>
      </c>
      <c r="C30" s="56">
        <v>3.28</v>
      </c>
      <c r="D30" s="56">
        <v>2.54</v>
      </c>
      <c r="E30" s="56">
        <v>1.53</v>
      </c>
      <c r="F30" s="56">
        <v>4.6500000000000004</v>
      </c>
      <c r="G30" s="56">
        <v>55.01</v>
      </c>
      <c r="H30" s="56">
        <v>25.21</v>
      </c>
      <c r="I30" s="56">
        <v>8.26</v>
      </c>
      <c r="J30" s="56">
        <v>1.61</v>
      </c>
      <c r="K30" s="56">
        <v>158.35</v>
      </c>
      <c r="L30" s="56">
        <v>29.37</v>
      </c>
      <c r="M30" s="56">
        <v>54.78</v>
      </c>
      <c r="N30" s="56">
        <v>21.5</v>
      </c>
      <c r="O30" s="56">
        <v>0</v>
      </c>
      <c r="P30" s="56">
        <v>0.47</v>
      </c>
      <c r="Q30" s="56">
        <v>9.56</v>
      </c>
      <c r="R30" s="43"/>
      <c r="S30" s="43"/>
      <c r="T30" s="43"/>
      <c r="U30" s="43"/>
    </row>
    <row r="31" spans="1:21" s="11" customFormat="1" ht="15">
      <c r="A31" s="55" t="s">
        <v>636</v>
      </c>
      <c r="B31" s="56">
        <v>1.83</v>
      </c>
      <c r="C31" s="56">
        <v>2.06</v>
      </c>
      <c r="D31" s="56">
        <v>1.82</v>
      </c>
      <c r="E31" s="56">
        <v>1.1100000000000001</v>
      </c>
      <c r="F31" s="56">
        <v>5.01</v>
      </c>
      <c r="G31" s="56">
        <v>49.53</v>
      </c>
      <c r="H31" s="56">
        <v>24.23</v>
      </c>
      <c r="I31" s="56">
        <v>7.71</v>
      </c>
      <c r="J31" s="56">
        <v>1.36</v>
      </c>
      <c r="K31" s="56">
        <v>153.16</v>
      </c>
      <c r="L31" s="56">
        <v>28.68</v>
      </c>
      <c r="M31" s="56">
        <v>52.83</v>
      </c>
      <c r="N31" s="56">
        <v>21.70</v>
      </c>
      <c r="O31" s="56">
        <v>0</v>
      </c>
      <c r="P31" s="56">
        <v>0.45</v>
      </c>
      <c r="Q31" s="56">
        <v>9.43</v>
      </c>
      <c r="R31" s="43"/>
      <c r="S31" s="43"/>
      <c r="T31" s="43"/>
      <c r="U31" s="43"/>
    </row>
    <row r="32" spans="1:21" s="11" customFormat="1" ht="15">
      <c r="A32" s="55" t="s">
        <v>637</v>
      </c>
      <c r="B32" s="56">
        <v>1.84</v>
      </c>
      <c r="C32" s="56">
        <v>1.65</v>
      </c>
      <c r="D32" s="56">
        <v>1.61</v>
      </c>
      <c r="E32" s="56">
        <v>1.07</v>
      </c>
      <c r="F32" s="56">
        <v>4.88</v>
      </c>
      <c r="G32" s="56">
        <v>41.11</v>
      </c>
      <c r="H32" s="56">
        <v>21.95</v>
      </c>
      <c r="I32" s="56">
        <v>7.03</v>
      </c>
      <c r="J32" s="56">
        <v>1.18</v>
      </c>
      <c r="K32" s="56">
        <v>239.31</v>
      </c>
      <c r="L32" s="56">
        <v>27.58</v>
      </c>
      <c r="M32" s="56">
        <v>54.04</v>
      </c>
      <c r="N32" s="56">
        <v>21.40</v>
      </c>
      <c r="O32" s="56">
        <v>0</v>
      </c>
      <c r="P32" s="56">
        <v>0.39</v>
      </c>
      <c r="Q32" s="56">
        <v>9.48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1.3500000000000001</v>
      </c>
      <c r="C34" s="28">
        <f t="shared" si="0"/>
        <v>1.26</v>
      </c>
      <c r="D34" s="28">
        <f t="shared" si="0"/>
        <v>1.3700000000000001</v>
      </c>
      <c r="E34" s="28">
        <f t="shared" si="0"/>
        <v>0.69999999999999996</v>
      </c>
      <c r="F34" s="28">
        <f t="shared" si="0"/>
        <v>3.3799999999999999</v>
      </c>
      <c r="G34" s="28">
        <f t="shared" si="0"/>
        <v>24.940000000000001</v>
      </c>
      <c r="H34" s="28">
        <f t="shared" si="0"/>
        <v>9.5600000000000005</v>
      </c>
      <c r="I34" s="28">
        <f t="shared" si="0"/>
        <v>5.7199999999999998</v>
      </c>
      <c r="J34" s="28">
        <f t="shared" si="0"/>
        <v>0.27000000000000002</v>
      </c>
      <c r="K34" s="28">
        <f t="shared" si="0"/>
        <v>101.36</v>
      </c>
      <c r="L34" s="28">
        <f t="shared" si="0"/>
        <v>26.059999999999999</v>
      </c>
      <c r="M34" s="28">
        <f t="shared" si="0"/>
        <v>33.340000000000003</v>
      </c>
      <c r="N34" s="28">
        <f t="shared" si="0"/>
        <v>19.5</v>
      </c>
      <c r="O34" s="28">
        <f t="shared" si="0"/>
        <v>0</v>
      </c>
      <c r="P34" s="28">
        <f t="shared" si="0"/>
        <v>0.29999999999999999</v>
      </c>
      <c r="Q34" s="28">
        <f t="shared" si="0"/>
        <v>9.2400000000000002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1.9399999999999999</v>
      </c>
      <c r="C35" s="29">
        <f t="shared" si="1"/>
        <v>5.29</v>
      </c>
      <c r="D35" s="29">
        <f t="shared" si="1"/>
        <v>3.5499999999999998</v>
      </c>
      <c r="E35" s="29">
        <f t="shared" si="1"/>
        <v>4.1699999999999999</v>
      </c>
      <c r="F35" s="29">
        <f t="shared" si="1"/>
        <v>49.130000000000003</v>
      </c>
      <c r="G35" s="29">
        <f t="shared" si="1"/>
        <v>72.680000000000007</v>
      </c>
      <c r="H35" s="29">
        <f t="shared" si="1"/>
        <v>26.800000000000001</v>
      </c>
      <c r="I35" s="29">
        <f t="shared" si="1"/>
        <v>13.109999999999999</v>
      </c>
      <c r="J35" s="29">
        <f t="shared" si="1"/>
        <v>2.5099999999999998</v>
      </c>
      <c r="K35" s="29">
        <f t="shared" si="1"/>
        <v>359.91000000000003</v>
      </c>
      <c r="L35" s="29">
        <f t="shared" si="1"/>
        <v>38.039999999999999</v>
      </c>
      <c r="M35" s="29">
        <f t="shared" si="1"/>
        <v>70.609999999999999</v>
      </c>
      <c r="N35" s="29">
        <f t="shared" si="1"/>
        <v>866.5</v>
      </c>
      <c r="O35" s="29">
        <f t="shared" si="1"/>
        <v>0</v>
      </c>
      <c r="P35" s="29">
        <f t="shared" si="1"/>
        <v>0.69999999999999996</v>
      </c>
      <c r="Q35" s="29">
        <f t="shared" si="1"/>
        <v>9.6600000000000001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1.7208695652173915</v>
      </c>
      <c r="C36" s="28">
        <f t="shared" si="2"/>
        <v>2.6413043478260874</v>
      </c>
      <c r="D36" s="28">
        <f t="shared" si="2"/>
        <v>2.3469565217391302</v>
      </c>
      <c r="E36" s="28">
        <f t="shared" si="2"/>
        <v>1.6404545454545454</v>
      </c>
      <c r="F36" s="28">
        <f t="shared" si="2"/>
        <v>8.2179166666666656</v>
      </c>
      <c r="G36" s="28">
        <f t="shared" si="2"/>
        <v>48.396363636363624</v>
      </c>
      <c r="H36" s="28">
        <f t="shared" si="2"/>
        <v>18.955454545454543</v>
      </c>
      <c r="I36" s="28">
        <f t="shared" si="2"/>
        <v>8.0620833333333319</v>
      </c>
      <c r="J36" s="28">
        <f t="shared" si="2"/>
        <v>1.1283333333333334</v>
      </c>
      <c r="K36" s="28">
        <f t="shared" si="2"/>
        <v>228.15583333333336</v>
      </c>
      <c r="L36" s="28">
        <f t="shared" si="2"/>
        <v>31.965000000000003</v>
      </c>
      <c r="M36" s="28">
        <f t="shared" si="2"/>
        <v>51.922916666666652</v>
      </c>
      <c r="N36" s="28">
        <f t="shared" si="2"/>
        <v>276.00416666666666</v>
      </c>
      <c r="O36" s="28">
        <f t="shared" si="2"/>
        <v>0</v>
      </c>
      <c r="P36" s="28">
        <f t="shared" si="2"/>
        <v>0.51458333333333339</v>
      </c>
      <c r="Q36" s="28">
        <f t="shared" si="2"/>
        <v>9.4329166666666691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0.17791502168369708</v>
      </c>
      <c r="C37" s="28">
        <f t="shared" si="3" ref="C37:Q37">STDEV(C9:C32)</f>
        <v>1.0160006457935735</v>
      </c>
      <c r="D37" s="28">
        <f t="shared" si="3"/>
        <v>0.5762451718007866</v>
      </c>
      <c r="E37" s="28">
        <f t="shared" si="3"/>
        <v>0.84620428284882199</v>
      </c>
      <c r="F37" s="28">
        <f t="shared" si="3"/>
        <v>9.8402434483699857</v>
      </c>
      <c r="G37" s="28">
        <f t="shared" si="3"/>
        <v>14.589176857701117</v>
      </c>
      <c r="H37" s="28">
        <f t="shared" si="3"/>
        <v>6.8598602840643297</v>
      </c>
      <c r="I37" s="28">
        <f t="shared" si="3"/>
        <v>1.7661084194565684</v>
      </c>
      <c r="J37" s="28">
        <f t="shared" si="3"/>
        <v>0.68254425985914391</v>
      </c>
      <c r="K37" s="28">
        <f t="shared" si="3"/>
        <v>104.36238764898525</v>
      </c>
      <c r="L37" s="28">
        <f t="shared" si="3"/>
        <v>4.0288481469650872</v>
      </c>
      <c r="M37" s="28">
        <f t="shared" si="3"/>
        <v>10.918564358235439</v>
      </c>
      <c r="N37" s="28">
        <f t="shared" si="3"/>
        <v>322.88158884747003</v>
      </c>
      <c r="O37" s="28">
        <f t="shared" si="3"/>
        <v>0</v>
      </c>
      <c r="P37" s="28">
        <f t="shared" si="3"/>
        <v>0.11787905248386044</v>
      </c>
      <c r="Q37" s="28">
        <f t="shared" si="3"/>
        <v>0.095711485234516752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>COUNT(E9:E32)+2</f>
        <v>24</v>
      </c>
      <c r="F38" s="32">
        <f t="shared" si="4" ref="F38:Q38">COUNT(F9:F32)</f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efb64f-1ca2-4442-a8b4-1afa0e52046f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638</v>
      </c>
      <c r="B9" s="56">
        <v>1.80</v>
      </c>
      <c r="C9" s="56">
        <v>1.0900000000000001</v>
      </c>
      <c r="D9" s="56">
        <v>1.29</v>
      </c>
      <c r="E9" s="56">
        <v>1.38</v>
      </c>
      <c r="F9" s="56">
        <v>4.6399999999999997</v>
      </c>
      <c r="G9" s="56">
        <v>34.86</v>
      </c>
      <c r="H9" s="56">
        <v>19.32</v>
      </c>
      <c r="I9" s="56">
        <v>6.36</v>
      </c>
      <c r="J9" s="56">
        <v>0.36</v>
      </c>
      <c r="K9" s="56">
        <v>352.96</v>
      </c>
      <c r="L9" s="56">
        <v>27.32</v>
      </c>
      <c r="M9" s="56">
        <v>61.24</v>
      </c>
      <c r="N9" s="56">
        <v>21.60</v>
      </c>
      <c r="O9" s="56">
        <v>0</v>
      </c>
      <c r="P9" s="56">
        <v>0.36</v>
      </c>
      <c r="Q9" s="56">
        <v>9.4700000000000006</v>
      </c>
      <c r="R9" s="43"/>
      <c r="S9" s="43"/>
      <c r="T9" s="43"/>
      <c r="U9" s="43"/>
    </row>
    <row r="10" spans="1:21" s="11" customFormat="1" ht="15">
      <c r="A10" s="55" t="s">
        <v>639</v>
      </c>
      <c r="B10" s="56">
        <v>1.83</v>
      </c>
      <c r="C10" s="56">
        <v>1.42</v>
      </c>
      <c r="D10" s="56">
        <v>1.44</v>
      </c>
      <c r="E10" s="56">
        <v>1.62</v>
      </c>
      <c r="F10" s="56">
        <v>4.8600000000000003</v>
      </c>
      <c r="G10" s="56">
        <v>31.24</v>
      </c>
      <c r="H10" s="56">
        <v>18.80</v>
      </c>
      <c r="I10" s="56">
        <v>6.07</v>
      </c>
      <c r="J10" s="56">
        <v>0.85</v>
      </c>
      <c r="K10" s="56">
        <v>347.44</v>
      </c>
      <c r="L10" s="56">
        <v>27.49</v>
      </c>
      <c r="M10" s="56">
        <v>61.17</v>
      </c>
      <c r="N10" s="56">
        <v>21.30</v>
      </c>
      <c r="O10" s="56">
        <v>0</v>
      </c>
      <c r="P10" s="56">
        <v>0.35</v>
      </c>
      <c r="Q10" s="56">
        <v>9.4499999999999993</v>
      </c>
      <c r="R10" s="43"/>
      <c r="S10" s="43"/>
      <c r="T10" s="43"/>
      <c r="U10" s="43"/>
    </row>
    <row r="11" spans="1:21" s="11" customFormat="1" ht="15">
      <c r="A11" s="55" t="s">
        <v>640</v>
      </c>
      <c r="B11" s="56">
        <v>1.83</v>
      </c>
      <c r="C11" s="56">
        <v>1.65</v>
      </c>
      <c r="D11" s="56">
        <v>1.60</v>
      </c>
      <c r="E11" s="56">
        <v>1.33</v>
      </c>
      <c r="F11" s="56">
        <v>4.47</v>
      </c>
      <c r="G11" s="56">
        <v>31.24</v>
      </c>
      <c r="H11" s="56">
        <v>15.91</v>
      </c>
      <c r="I11" s="56">
        <v>6.04</v>
      </c>
      <c r="J11" s="56">
        <v>0.20</v>
      </c>
      <c r="K11" s="56">
        <v>345</v>
      </c>
      <c r="L11" s="56">
        <v>27.41</v>
      </c>
      <c r="M11" s="56">
        <v>63.24</v>
      </c>
      <c r="N11" s="56">
        <v>21.60</v>
      </c>
      <c r="O11" s="56">
        <v>0</v>
      </c>
      <c r="P11" s="56">
        <v>0.33</v>
      </c>
      <c r="Q11" s="56">
        <v>9.31</v>
      </c>
      <c r="R11" s="43"/>
      <c r="S11" s="43"/>
      <c r="T11" s="43"/>
      <c r="U11" s="43"/>
    </row>
    <row r="12" spans="1:21" s="11" customFormat="1" ht="15">
      <c r="A12" s="55" t="s">
        <v>641</v>
      </c>
      <c r="B12" s="56">
        <v>1.88</v>
      </c>
      <c r="C12" s="56">
        <v>1.77</v>
      </c>
      <c r="D12" s="56">
        <v>1.70</v>
      </c>
      <c r="E12" s="56">
        <v>2.75</v>
      </c>
      <c r="F12" s="56">
        <v>4.21</v>
      </c>
      <c r="G12" s="56">
        <v>33.29</v>
      </c>
      <c r="H12" s="56">
        <v>15</v>
      </c>
      <c r="I12" s="56">
        <v>5.59</v>
      </c>
      <c r="J12" s="56">
        <v>0.21</v>
      </c>
      <c r="K12" s="56">
        <v>325.66000000000003</v>
      </c>
      <c r="L12" s="56">
        <v>26.67</v>
      </c>
      <c r="M12" s="56">
        <v>71.33</v>
      </c>
      <c r="N12" s="56">
        <v>21.5</v>
      </c>
      <c r="O12" s="56">
        <v>0</v>
      </c>
      <c r="P12" s="56">
        <v>0.32</v>
      </c>
      <c r="Q12" s="56">
        <v>9.33</v>
      </c>
      <c r="R12" s="43"/>
      <c r="S12" s="43"/>
      <c r="T12" s="43"/>
      <c r="U12" s="43"/>
    </row>
    <row r="13" spans="1:21" s="11" customFormat="1" ht="15">
      <c r="A13" s="55" t="s">
        <v>642</v>
      </c>
      <c r="B13" s="56">
        <v>1.90</v>
      </c>
      <c r="C13" s="56">
        <v>1.48</v>
      </c>
      <c r="D13" s="56">
        <v>1.57</v>
      </c>
      <c r="E13" s="56">
        <v>1.88</v>
      </c>
      <c r="F13" s="56">
        <v>3.41</v>
      </c>
      <c r="G13" s="56">
        <v>39.409999999999997</v>
      </c>
      <c r="H13" s="56">
        <v>14.80</v>
      </c>
      <c r="I13" s="56">
        <v>5.09</v>
      </c>
      <c r="J13" s="56">
        <v>0.34</v>
      </c>
      <c r="K13" s="56">
        <v>292.25</v>
      </c>
      <c r="L13" s="56">
        <v>26.15</v>
      </c>
      <c r="M13" s="56">
        <v>72.34</v>
      </c>
      <c r="N13" s="56">
        <v>21.5</v>
      </c>
      <c r="O13" s="56">
        <v>0</v>
      </c>
      <c r="P13" s="56">
        <v>0.34</v>
      </c>
      <c r="Q13" s="56">
        <v>9.40</v>
      </c>
      <c r="R13" s="43"/>
      <c r="S13" s="43"/>
      <c r="T13" s="43"/>
      <c r="U13" s="43"/>
    </row>
    <row r="14" spans="1:21" s="11" customFormat="1" ht="15">
      <c r="A14" s="55" t="s">
        <v>643</v>
      </c>
      <c r="B14" s="56">
        <v>2</v>
      </c>
      <c r="C14" s="56">
        <v>1.57</v>
      </c>
      <c r="D14" s="56">
        <v>1.70</v>
      </c>
      <c r="E14" s="56">
        <v>1.96</v>
      </c>
      <c r="F14" s="56">
        <v>3.93</v>
      </c>
      <c r="G14" s="56">
        <v>39.409999999999997</v>
      </c>
      <c r="H14" s="56">
        <v>15.64</v>
      </c>
      <c r="I14" s="56">
        <v>5.15</v>
      </c>
      <c r="J14" s="56">
        <v>0.67</v>
      </c>
      <c r="K14" s="56">
        <v>97.33</v>
      </c>
      <c r="L14" s="56">
        <v>26.68</v>
      </c>
      <c r="M14" s="56">
        <v>67.349999999999994</v>
      </c>
      <c r="N14" s="56">
        <v>64.5</v>
      </c>
      <c r="O14" s="56">
        <v>0</v>
      </c>
      <c r="P14" s="56">
        <v>0.33</v>
      </c>
      <c r="Q14" s="56">
        <v>9.41</v>
      </c>
      <c r="R14" s="43"/>
      <c r="S14" s="43"/>
      <c r="T14" s="43"/>
      <c r="U14" s="43"/>
    </row>
    <row r="15" spans="1:21" s="11" customFormat="1" ht="15">
      <c r="A15" s="55" t="s">
        <v>644</v>
      </c>
      <c r="B15" s="56">
        <v>2.11</v>
      </c>
      <c r="C15" s="56">
        <v>2.31</v>
      </c>
      <c r="D15" s="56">
        <v>2.17</v>
      </c>
      <c r="E15" s="56">
        <v>2.38</v>
      </c>
      <c r="F15" s="56">
        <v>3.88</v>
      </c>
      <c r="G15" s="56">
        <v>39.869999999999997</v>
      </c>
      <c r="H15" s="56">
        <v>15.64</v>
      </c>
      <c r="I15" s="56">
        <v>6.72</v>
      </c>
      <c r="J15" s="56">
        <v>0.70</v>
      </c>
      <c r="K15" s="56">
        <v>106.56</v>
      </c>
      <c r="L15" s="56">
        <v>28.45</v>
      </c>
      <c r="M15" s="56">
        <v>66.88</v>
      </c>
      <c r="N15" s="56">
        <v>219.20</v>
      </c>
      <c r="O15" s="56">
        <v>0</v>
      </c>
      <c r="P15" s="56">
        <v>0.35</v>
      </c>
      <c r="Q15" s="56">
        <v>9.35</v>
      </c>
      <c r="R15" s="43"/>
      <c r="S15" s="43"/>
      <c r="T15" s="43"/>
      <c r="U15" s="43"/>
    </row>
    <row r="16" spans="1:21" s="11" customFormat="1" ht="15">
      <c r="A16" s="55" t="s">
        <v>645</v>
      </c>
      <c r="B16" s="56">
        <v>1.98</v>
      </c>
      <c r="C16" s="56">
        <v>1.66</v>
      </c>
      <c r="D16" s="56">
        <v>1.72</v>
      </c>
      <c r="E16" s="56">
        <v>2.16</v>
      </c>
      <c r="F16" s="56">
        <v>5.21</v>
      </c>
      <c r="G16" s="56">
        <v>39.869999999999997</v>
      </c>
      <c r="H16" s="56">
        <v>14.86</v>
      </c>
      <c r="I16" s="56">
        <v>7.08</v>
      </c>
      <c r="J16" s="56">
        <v>0.90</v>
      </c>
      <c r="K16" s="56">
        <v>120.79</v>
      </c>
      <c r="L16" s="56">
        <v>29.82</v>
      </c>
      <c r="M16" s="56">
        <v>62.29</v>
      </c>
      <c r="N16" s="56">
        <v>429.70</v>
      </c>
      <c r="O16" s="56">
        <v>0</v>
      </c>
      <c r="P16" s="56">
        <v>0.40</v>
      </c>
      <c r="Q16" s="56">
        <v>9.16</v>
      </c>
      <c r="R16" s="43"/>
      <c r="S16" s="43"/>
      <c r="T16" s="43"/>
      <c r="U16" s="43"/>
    </row>
    <row r="17" spans="1:21" s="11" customFormat="1" ht="15">
      <c r="A17" s="55" t="s">
        <v>646</v>
      </c>
      <c r="B17" s="56">
        <v>2.0499999999999998</v>
      </c>
      <c r="C17" s="56">
        <v>2.2000000000000002</v>
      </c>
      <c r="D17" s="56">
        <v>2.0699999999999998</v>
      </c>
      <c r="E17" s="56">
        <v>1.0900000000000001</v>
      </c>
      <c r="F17" s="56">
        <v>4.0599999999999996</v>
      </c>
      <c r="G17" s="56">
        <v>39.270000000000003</v>
      </c>
      <c r="H17" s="56">
        <v>13.86</v>
      </c>
      <c r="I17" s="56">
        <v>7.31</v>
      </c>
      <c r="J17" s="56">
        <v>0.80</v>
      </c>
      <c r="K17" s="56">
        <v>130.68</v>
      </c>
      <c r="L17" s="56">
        <v>30.84</v>
      </c>
      <c r="M17" s="56">
        <v>60.49</v>
      </c>
      <c r="N17" s="56">
        <v>486.30</v>
      </c>
      <c r="O17" s="56">
        <v>0</v>
      </c>
      <c r="P17" s="56">
        <v>0.38</v>
      </c>
      <c r="Q17" s="56">
        <v>9.31</v>
      </c>
      <c r="R17" s="43"/>
      <c r="S17" s="43"/>
      <c r="T17" s="43"/>
      <c r="U17" s="43"/>
    </row>
    <row r="18" spans="1:21" s="11" customFormat="1" ht="15">
      <c r="A18" s="55" t="s">
        <v>647</v>
      </c>
      <c r="B18" s="56">
        <v>1.87</v>
      </c>
      <c r="C18" s="56">
        <v>1.24</v>
      </c>
      <c r="D18" s="56">
        <v>1.42</v>
      </c>
      <c r="E18" s="56">
        <v>0.89</v>
      </c>
      <c r="F18" s="56">
        <v>4.05</v>
      </c>
      <c r="G18" s="56">
        <v>33.43</v>
      </c>
      <c r="H18" s="56">
        <v>9.91</v>
      </c>
      <c r="I18" s="56">
        <v>8.39</v>
      </c>
      <c r="J18" s="56">
        <v>0.61</v>
      </c>
      <c r="K18" s="56">
        <v>340.49</v>
      </c>
      <c r="L18" s="56">
        <v>31.84</v>
      </c>
      <c r="M18" s="56">
        <v>61.69</v>
      </c>
      <c r="N18" s="56">
        <v>771.60</v>
      </c>
      <c r="O18" s="56">
        <v>0</v>
      </c>
      <c r="P18" s="56">
        <v>0.34</v>
      </c>
      <c r="Q18" s="56">
        <v>9.35</v>
      </c>
      <c r="R18" s="43"/>
      <c r="S18" s="43"/>
      <c r="T18" s="43"/>
      <c r="U18" s="43"/>
    </row>
    <row r="19" spans="1:21" s="11" customFormat="1" ht="15">
      <c r="A19" s="55" t="s">
        <v>648</v>
      </c>
      <c r="B19" s="56">
        <v>1.74</v>
      </c>
      <c r="C19" s="56">
        <v>0.79</v>
      </c>
      <c r="D19" s="56">
        <v>1.0900000000000001</v>
      </c>
      <c r="E19" s="56">
        <v>1.18</v>
      </c>
      <c r="F19" s="56">
        <v>4.9000000000000004</v>
      </c>
      <c r="G19" s="56">
        <v>30.16</v>
      </c>
      <c r="H19" s="56">
        <v>8.77</v>
      </c>
      <c r="I19" s="56">
        <v>8.81</v>
      </c>
      <c r="J19" s="56">
        <v>0.81</v>
      </c>
      <c r="K19" s="56">
        <v>89.36</v>
      </c>
      <c r="L19" s="56">
        <v>34.130000000000003</v>
      </c>
      <c r="M19" s="56">
        <v>54.68</v>
      </c>
      <c r="N19" s="56">
        <v>857.40</v>
      </c>
      <c r="O19" s="56">
        <v>0</v>
      </c>
      <c r="P19" s="56">
        <v>0.34</v>
      </c>
      <c r="Q19" s="56">
        <v>9.35</v>
      </c>
      <c r="R19" s="43"/>
      <c r="S19" s="43"/>
      <c r="T19" s="43"/>
      <c r="U19" s="43"/>
    </row>
    <row r="20" spans="1:21" s="11" customFormat="1" ht="15">
      <c r="A20" s="55" t="s">
        <v>649</v>
      </c>
      <c r="B20" s="56">
        <v>1.89</v>
      </c>
      <c r="C20" s="56">
        <v>2.36</v>
      </c>
      <c r="D20" s="56">
        <v>2.02</v>
      </c>
      <c r="E20" s="56">
        <v>2.09</v>
      </c>
      <c r="F20" s="56">
        <v>5.22</v>
      </c>
      <c r="G20" s="56">
        <v>30.02</v>
      </c>
      <c r="H20" s="56">
        <v>11.87</v>
      </c>
      <c r="I20" s="56">
        <v>8.6199999999999992</v>
      </c>
      <c r="J20" s="56">
        <v>0.62</v>
      </c>
      <c r="K20" s="56">
        <v>90.63</v>
      </c>
      <c r="L20" s="56">
        <v>35.950000000000003</v>
      </c>
      <c r="M20" s="56">
        <v>41.84</v>
      </c>
      <c r="N20" s="56">
        <v>873.20</v>
      </c>
      <c r="O20" s="56">
        <v>0</v>
      </c>
      <c r="P20" s="56">
        <v>0.36</v>
      </c>
      <c r="Q20" s="56">
        <v>9.31</v>
      </c>
      <c r="R20" s="43"/>
      <c r="S20" s="43"/>
      <c r="T20" s="43"/>
      <c r="U20" s="43"/>
    </row>
    <row r="21" spans="1:21" s="11" customFormat="1" ht="15">
      <c r="A21" s="55" t="s">
        <v>650</v>
      </c>
      <c r="B21" s="56">
        <v>1.90</v>
      </c>
      <c r="C21" s="56">
        <v>2.79</v>
      </c>
      <c r="D21" s="56">
        <v>2.25</v>
      </c>
      <c r="E21" s="56">
        <v>2.2400000000000002</v>
      </c>
      <c r="F21" s="56">
        <v>5.37</v>
      </c>
      <c r="G21" s="56">
        <v>30.02</v>
      </c>
      <c r="H21" s="56">
        <v>11.87</v>
      </c>
      <c r="I21" s="56">
        <v>8.07</v>
      </c>
      <c r="J21" s="56">
        <v>1.57</v>
      </c>
      <c r="K21" s="56">
        <v>146.12</v>
      </c>
      <c r="L21" s="56">
        <v>34.97</v>
      </c>
      <c r="M21" s="56">
        <v>42.15</v>
      </c>
      <c r="N21" s="56">
        <v>819.20</v>
      </c>
      <c r="O21" s="56">
        <v>0</v>
      </c>
      <c r="P21" s="56">
        <v>0.36</v>
      </c>
      <c r="Q21" s="56">
        <v>9.23</v>
      </c>
      <c r="R21" s="43"/>
      <c r="S21" s="43"/>
      <c r="T21" s="43"/>
      <c r="U21" s="43"/>
    </row>
    <row r="22" spans="1:21" s="11" customFormat="1" ht="15">
      <c r="A22" s="55" t="s">
        <v>651</v>
      </c>
      <c r="B22" s="56">
        <v>1.93</v>
      </c>
      <c r="C22" s="56">
        <v>3.03</v>
      </c>
      <c r="D22" s="56">
        <v>2.40</v>
      </c>
      <c r="E22" s="56">
        <v>2.14</v>
      </c>
      <c r="F22" s="56">
        <v>5.69</v>
      </c>
      <c r="G22" s="56">
        <v>29.63</v>
      </c>
      <c r="H22" s="56">
        <v>12.08</v>
      </c>
      <c r="I22" s="56">
        <v>8.5</v>
      </c>
      <c r="J22" s="56">
        <v>0.79</v>
      </c>
      <c r="K22" s="56">
        <v>132</v>
      </c>
      <c r="L22" s="56">
        <v>35.340000000000003</v>
      </c>
      <c r="M22" s="56">
        <v>39.21</v>
      </c>
      <c r="N22" s="56">
        <v>818.60</v>
      </c>
      <c r="O22" s="56">
        <v>0</v>
      </c>
      <c r="P22" s="56">
        <v>0.33</v>
      </c>
      <c r="Q22" s="56">
        <v>9.26</v>
      </c>
      <c r="R22" s="43"/>
      <c r="S22" s="43"/>
      <c r="T22" s="43"/>
      <c r="U22" s="43"/>
    </row>
    <row r="23" spans="1:21" s="11" customFormat="1" ht="15">
      <c r="A23" s="55" t="s">
        <v>652</v>
      </c>
      <c r="B23" s="56">
        <v>1.93</v>
      </c>
      <c r="C23" s="56">
        <v>2.80</v>
      </c>
      <c r="D23" s="56">
        <v>2.2799999999999998</v>
      </c>
      <c r="E23" s="56">
        <v>2.16</v>
      </c>
      <c r="F23" s="56">
        <v>5.58</v>
      </c>
      <c r="G23" s="56">
        <v>28.97</v>
      </c>
      <c r="H23" s="56">
        <v>12.08</v>
      </c>
      <c r="I23" s="56">
        <v>8.69</v>
      </c>
      <c r="J23" s="56">
        <v>0.81</v>
      </c>
      <c r="K23" s="56">
        <v>150.78</v>
      </c>
      <c r="L23" s="56">
        <v>36.19</v>
      </c>
      <c r="M23" s="56">
        <v>37.99</v>
      </c>
      <c r="N23" s="56">
        <v>470.30</v>
      </c>
      <c r="O23" s="56">
        <v>0</v>
      </c>
      <c r="P23" s="56">
        <v>0.32</v>
      </c>
      <c r="Q23" s="56">
        <v>9.2899999999999991</v>
      </c>
      <c r="R23" s="43"/>
      <c r="S23" s="43"/>
      <c r="T23" s="43"/>
      <c r="U23" s="43"/>
    </row>
    <row r="24" spans="1:21" s="11" customFormat="1" ht="15">
      <c r="A24" s="55" t="s">
        <v>653</v>
      </c>
      <c r="B24" s="56">
        <v>1.88</v>
      </c>
      <c r="C24" s="56">
        <v>2.60</v>
      </c>
      <c r="D24" s="56">
        <v>2.13</v>
      </c>
      <c r="E24" s="56">
        <v>1.99</v>
      </c>
      <c r="F24" s="56">
        <v>5.52</v>
      </c>
      <c r="G24" s="56">
        <v>28.97</v>
      </c>
      <c r="H24" s="56">
        <v>12.74</v>
      </c>
      <c r="I24" s="56">
        <v>8.60</v>
      </c>
      <c r="J24" s="56">
        <v>0.71</v>
      </c>
      <c r="K24" s="56">
        <v>114.10</v>
      </c>
      <c r="L24" s="56">
        <v>35.53</v>
      </c>
      <c r="M24" s="56">
        <v>37.380000000000003</v>
      </c>
      <c r="N24" s="56">
        <v>322.10000000000002</v>
      </c>
      <c r="O24" s="56">
        <v>0</v>
      </c>
      <c r="P24" s="56">
        <v>0.31</v>
      </c>
      <c r="Q24" s="56">
        <v>9.26</v>
      </c>
      <c r="R24" s="43"/>
      <c r="S24" s="43"/>
      <c r="T24" s="43"/>
      <c r="U24" s="43"/>
    </row>
    <row r="25" spans="1:21" s="11" customFormat="1" ht="15">
      <c r="A25" s="55" t="s">
        <v>654</v>
      </c>
      <c r="B25" s="56">
        <v>1.95</v>
      </c>
      <c r="C25" s="56">
        <v>3.25</v>
      </c>
      <c r="D25" s="56">
        <v>2.5299999999999998</v>
      </c>
      <c r="E25" s="56">
        <v>2.19</v>
      </c>
      <c r="F25" s="56">
        <v>5.54</v>
      </c>
      <c r="G25" s="56">
        <v>26.93</v>
      </c>
      <c r="H25" s="56">
        <v>12.74</v>
      </c>
      <c r="I25" s="56">
        <v>8.36</v>
      </c>
      <c r="J25" s="56">
        <v>0.47</v>
      </c>
      <c r="K25" s="56">
        <v>341.39</v>
      </c>
      <c r="L25" s="56">
        <v>35.950000000000003</v>
      </c>
      <c r="M25" s="56">
        <v>36.299999999999997</v>
      </c>
      <c r="N25" s="56">
        <v>170.5</v>
      </c>
      <c r="O25" s="56">
        <v>0</v>
      </c>
      <c r="P25" s="56">
        <v>0.34</v>
      </c>
      <c r="Q25" s="56">
        <v>9.2200000000000006</v>
      </c>
      <c r="R25" s="43"/>
      <c r="S25" s="43"/>
      <c r="T25" s="43"/>
      <c r="U25" s="43"/>
    </row>
    <row r="26" spans="1:21" s="11" customFormat="1" ht="15">
      <c r="A26" s="55" t="s">
        <v>655</v>
      </c>
      <c r="B26" s="56">
        <v>1.94</v>
      </c>
      <c r="C26" s="56">
        <v>3.76</v>
      </c>
      <c r="D26" s="56">
        <v>2.78</v>
      </c>
      <c r="E26" s="56">
        <v>2.11</v>
      </c>
      <c r="F26" s="56">
        <v>5.05</v>
      </c>
      <c r="G26" s="56">
        <v>28.72</v>
      </c>
      <c r="H26" s="56">
        <v>12.67</v>
      </c>
      <c r="I26" s="56">
        <v>7.47</v>
      </c>
      <c r="J26" s="56">
        <v>0.84</v>
      </c>
      <c r="K26" s="56">
        <v>309.52</v>
      </c>
      <c r="L26" s="56">
        <v>35.17</v>
      </c>
      <c r="M26" s="56">
        <v>38.43</v>
      </c>
      <c r="N26" s="56">
        <v>96.90</v>
      </c>
      <c r="O26" s="56">
        <v>0</v>
      </c>
      <c r="P26" s="56">
        <v>0.40</v>
      </c>
      <c r="Q26" s="56">
        <v>9.2200000000000006</v>
      </c>
      <c r="R26" s="43"/>
      <c r="S26" s="43"/>
      <c r="T26" s="43"/>
      <c r="U26" s="43"/>
    </row>
    <row r="27" spans="1:21" s="11" customFormat="1" ht="15">
      <c r="A27" s="55" t="s">
        <v>656</v>
      </c>
      <c r="B27" s="56">
        <v>1.95</v>
      </c>
      <c r="C27" s="56">
        <v>3.22</v>
      </c>
      <c r="D27" s="56">
        <v>2.5099999999999998</v>
      </c>
      <c r="E27" s="56">
        <v>2.09</v>
      </c>
      <c r="F27" s="56">
        <v>4.87</v>
      </c>
      <c r="G27" s="56">
        <v>32.78</v>
      </c>
      <c r="H27" s="56">
        <v>14.91</v>
      </c>
      <c r="I27" s="56">
        <v>5.82</v>
      </c>
      <c r="J27" s="56">
        <v>0.91</v>
      </c>
      <c r="K27" s="56">
        <v>146.57</v>
      </c>
      <c r="L27" s="56">
        <v>34.29</v>
      </c>
      <c r="M27" s="56">
        <v>38.97</v>
      </c>
      <c r="N27" s="56">
        <v>39</v>
      </c>
      <c r="O27" s="56">
        <v>0</v>
      </c>
      <c r="P27" s="56">
        <v>0.42</v>
      </c>
      <c r="Q27" s="56">
        <v>9.2899999999999991</v>
      </c>
      <c r="R27" s="43"/>
      <c r="S27" s="43"/>
      <c r="T27" s="43"/>
      <c r="U27" s="43"/>
    </row>
    <row r="28" spans="1:21" s="11" customFormat="1" ht="15">
      <c r="A28" s="55" t="s">
        <v>657</v>
      </c>
      <c r="B28" s="56">
        <v>1.93</v>
      </c>
      <c r="C28" s="56">
        <v>2.84</v>
      </c>
      <c r="D28" s="56">
        <v>2.31</v>
      </c>
      <c r="E28" s="56">
        <v>2.4700000000000002</v>
      </c>
      <c r="F28" s="56">
        <v>4.67</v>
      </c>
      <c r="G28" s="56">
        <v>32.78</v>
      </c>
      <c r="H28" s="56">
        <v>14.91</v>
      </c>
      <c r="I28" s="56">
        <v>6.47</v>
      </c>
      <c r="J28" s="56">
        <v>0.51</v>
      </c>
      <c r="K28" s="56">
        <v>158.09</v>
      </c>
      <c r="L28" s="56">
        <v>33.380000000000003</v>
      </c>
      <c r="M28" s="56">
        <v>41.18</v>
      </c>
      <c r="N28" s="56">
        <v>26.5</v>
      </c>
      <c r="O28" s="56">
        <v>0</v>
      </c>
      <c r="P28" s="56">
        <v>0.40</v>
      </c>
      <c r="Q28" s="56">
        <v>9.2899999999999991</v>
      </c>
      <c r="R28" s="43"/>
      <c r="S28" s="43"/>
      <c r="T28" s="43"/>
      <c r="U28" s="43"/>
    </row>
    <row r="29" spans="1:21" s="11" customFormat="1" ht="15">
      <c r="A29" s="55" t="s">
        <v>658</v>
      </c>
      <c r="B29" s="56">
        <v>1.93</v>
      </c>
      <c r="C29" s="56">
        <v>2.5499999999999998</v>
      </c>
      <c r="D29" s="56">
        <v>2.15</v>
      </c>
      <c r="E29" s="56">
        <v>1.1000000000000001</v>
      </c>
      <c r="F29" s="56">
        <v>4.3099999999999996</v>
      </c>
      <c r="G29" s="56">
        <v>30.48</v>
      </c>
      <c r="H29" s="56">
        <v>13.01</v>
      </c>
      <c r="I29" s="56">
        <v>6.91</v>
      </c>
      <c r="J29" s="56">
        <v>0.32</v>
      </c>
      <c r="K29" s="56">
        <v>190</v>
      </c>
      <c r="L29" s="56">
        <v>32.67</v>
      </c>
      <c r="M29" s="56">
        <v>43.14</v>
      </c>
      <c r="N29" s="56">
        <v>26.70</v>
      </c>
      <c r="O29" s="56">
        <v>0</v>
      </c>
      <c r="P29" s="56">
        <v>0.46</v>
      </c>
      <c r="Q29" s="56">
        <v>9.33</v>
      </c>
      <c r="R29" s="43"/>
      <c r="S29" s="43"/>
      <c r="T29" s="43"/>
      <c r="U29" s="43"/>
    </row>
    <row r="30" spans="1:21" s="11" customFormat="1" ht="15">
      <c r="A30" s="55" t="s">
        <v>659</v>
      </c>
      <c r="B30" s="56">
        <v>1.99</v>
      </c>
      <c r="C30" s="56">
        <v>3.20</v>
      </c>
      <c r="D30" s="56">
        <v>2.54</v>
      </c>
      <c r="E30" s="56">
        <v>1.20</v>
      </c>
      <c r="F30" s="56">
        <v>3.83</v>
      </c>
      <c r="G30" s="56">
        <v>36.39</v>
      </c>
      <c r="H30" s="56">
        <v>15.32</v>
      </c>
      <c r="I30" s="56">
        <v>6.61</v>
      </c>
      <c r="J30" s="56">
        <v>0.25</v>
      </c>
      <c r="K30" s="56">
        <v>214.86</v>
      </c>
      <c r="L30" s="56">
        <v>32.17</v>
      </c>
      <c r="M30" s="56">
        <v>45.77</v>
      </c>
      <c r="N30" s="56">
        <v>26.40</v>
      </c>
      <c r="O30" s="56">
        <v>0</v>
      </c>
      <c r="P30" s="56">
        <v>0.54</v>
      </c>
      <c r="Q30" s="56">
        <v>9.36</v>
      </c>
      <c r="R30" s="43"/>
      <c r="S30" s="43"/>
      <c r="T30" s="43"/>
      <c r="U30" s="43"/>
    </row>
    <row r="31" spans="1:21" s="11" customFormat="1" ht="15">
      <c r="A31" s="55" t="s">
        <v>660</v>
      </c>
      <c r="B31" s="56">
        <v>2.10</v>
      </c>
      <c r="C31" s="56">
        <v>3.99</v>
      </c>
      <c r="D31" s="56">
        <v>3.04</v>
      </c>
      <c r="E31" s="56">
        <v>0.99</v>
      </c>
      <c r="F31" s="56">
        <v>3.74</v>
      </c>
      <c r="G31" s="56">
        <v>40.98</v>
      </c>
      <c r="H31" s="56">
        <v>17.920000000000002</v>
      </c>
      <c r="I31" s="56">
        <v>6.18</v>
      </c>
      <c r="J31" s="56">
        <v>0.24</v>
      </c>
      <c r="K31" s="56">
        <v>332.69</v>
      </c>
      <c r="L31" s="56">
        <v>31.54</v>
      </c>
      <c r="M31" s="56">
        <v>47.88</v>
      </c>
      <c r="N31" s="56">
        <v>26.40</v>
      </c>
      <c r="O31" s="56">
        <v>0</v>
      </c>
      <c r="P31" s="56">
        <v>0.54</v>
      </c>
      <c r="Q31" s="56">
        <v>9.36</v>
      </c>
      <c r="R31" s="43"/>
      <c r="S31" s="43"/>
      <c r="T31" s="43"/>
      <c r="U31" s="43"/>
    </row>
    <row r="32" spans="1:21" s="11" customFormat="1" ht="15">
      <c r="A32" s="55" t="s">
        <v>661</v>
      </c>
      <c r="B32" s="56">
        <v>1.82</v>
      </c>
      <c r="C32" s="56">
        <v>1.04</v>
      </c>
      <c r="D32" s="56">
        <v>1.27</v>
      </c>
      <c r="E32" s="56">
        <v>0.93</v>
      </c>
      <c r="F32" s="56">
        <v>3.65</v>
      </c>
      <c r="G32" s="56">
        <v>43.76</v>
      </c>
      <c r="H32" s="56">
        <v>18.34</v>
      </c>
      <c r="I32" s="56">
        <v>5.68</v>
      </c>
      <c r="J32" s="56">
        <v>0.22</v>
      </c>
      <c r="K32" s="56">
        <v>346</v>
      </c>
      <c r="L32" s="56">
        <v>30.69</v>
      </c>
      <c r="M32" s="56">
        <v>54.64</v>
      </c>
      <c r="N32" s="56">
        <v>26.40</v>
      </c>
      <c r="O32" s="56">
        <v>0</v>
      </c>
      <c r="P32" s="56">
        <v>0.56999999999999995</v>
      </c>
      <c r="Q32" s="56">
        <v>9.3800000000000008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1.74</v>
      </c>
      <c r="C34" s="28">
        <f t="shared" si="0"/>
        <v>0.79000000000000004</v>
      </c>
      <c r="D34" s="28">
        <f t="shared" si="0"/>
        <v>1.0900000000000001</v>
      </c>
      <c r="E34" s="28">
        <f t="shared" si="0"/>
        <v>0.89000000000000001</v>
      </c>
      <c r="F34" s="28">
        <f t="shared" si="0"/>
        <v>3.4100000000000001</v>
      </c>
      <c r="G34" s="28">
        <f t="shared" si="0"/>
        <v>26.93</v>
      </c>
      <c r="H34" s="28">
        <f t="shared" si="0"/>
        <v>8.7699999999999996</v>
      </c>
      <c r="I34" s="28">
        <f t="shared" si="0"/>
        <v>5.0899999999999999</v>
      </c>
      <c r="J34" s="28">
        <f t="shared" si="0"/>
        <v>0.20000000000000001</v>
      </c>
      <c r="K34" s="28">
        <f t="shared" si="0"/>
        <v>89.359999999999999</v>
      </c>
      <c r="L34" s="28">
        <f t="shared" si="0"/>
        <v>26.149999999999999</v>
      </c>
      <c r="M34" s="28">
        <f t="shared" si="0"/>
        <v>36.299999999999997</v>
      </c>
      <c r="N34" s="28">
        <f t="shared" si="0"/>
        <v>21.300000000000001</v>
      </c>
      <c r="O34" s="28">
        <f t="shared" si="0"/>
        <v>0</v>
      </c>
      <c r="P34" s="28">
        <f t="shared" si="0"/>
        <v>0.31</v>
      </c>
      <c r="Q34" s="28">
        <f t="shared" si="0"/>
        <v>9.1600000000000001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2.1099999999999999</v>
      </c>
      <c r="C35" s="29">
        <f t="shared" si="1"/>
        <v>3.9900000000000002</v>
      </c>
      <c r="D35" s="29">
        <f t="shared" si="1"/>
        <v>3.04</v>
      </c>
      <c r="E35" s="29">
        <f t="shared" si="1"/>
        <v>2.75</v>
      </c>
      <c r="F35" s="29">
        <f t="shared" si="1"/>
        <v>5.6900000000000004</v>
      </c>
      <c r="G35" s="29">
        <f t="shared" si="1"/>
        <v>43.759999999999998</v>
      </c>
      <c r="H35" s="29">
        <f t="shared" si="1"/>
        <v>19.32</v>
      </c>
      <c r="I35" s="29">
        <f t="shared" si="1"/>
        <v>8.8100000000000005</v>
      </c>
      <c r="J35" s="29">
        <f t="shared" si="1"/>
        <v>1.5700000000000001</v>
      </c>
      <c r="K35" s="29">
        <f t="shared" si="1"/>
        <v>352.95999999999998</v>
      </c>
      <c r="L35" s="29">
        <f t="shared" si="1"/>
        <v>36.189999999999998</v>
      </c>
      <c r="M35" s="29">
        <f t="shared" si="1"/>
        <v>72.340000000000003</v>
      </c>
      <c r="N35" s="29">
        <f t="shared" si="1"/>
        <v>873.20000000000005</v>
      </c>
      <c r="O35" s="29">
        <f t="shared" si="1"/>
        <v>0</v>
      </c>
      <c r="P35" s="29">
        <f t="shared" si="1"/>
        <v>0.56999999999999995</v>
      </c>
      <c r="Q35" s="29">
        <f t="shared" si="1"/>
        <v>9.4700000000000006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1.9220833333333334</v>
      </c>
      <c r="C36" s="28">
        <f t="shared" si="2"/>
        <v>2.2754166666666666</v>
      </c>
      <c r="D36" s="28">
        <f t="shared" si="2"/>
        <v>1.9991666666666665</v>
      </c>
      <c r="E36" s="28">
        <f t="shared" si="2"/>
        <v>1.7633333333333339</v>
      </c>
      <c r="F36" s="28">
        <f t="shared" si="2"/>
        <v>4.6108333333333329</v>
      </c>
      <c r="G36" s="28">
        <f t="shared" si="2"/>
        <v>33.853333333333332</v>
      </c>
      <c r="H36" s="28">
        <f t="shared" si="2"/>
        <v>14.290416666666667</v>
      </c>
      <c r="I36" s="28">
        <f t="shared" si="2"/>
        <v>7.024583333333335</v>
      </c>
      <c r="J36" s="28">
        <f t="shared" si="2"/>
        <v>0.61291666666666667</v>
      </c>
      <c r="K36" s="28">
        <f t="shared" si="2"/>
        <v>217.55291666666665</v>
      </c>
      <c r="L36" s="28">
        <f t="shared" si="2"/>
        <v>31.693333333333328</v>
      </c>
      <c r="M36" s="28">
        <f t="shared" si="2"/>
        <v>51.982500000000009</v>
      </c>
      <c r="N36" s="28">
        <f t="shared" si="2"/>
        <v>278.26666666666665</v>
      </c>
      <c r="O36" s="28">
        <f t="shared" si="2"/>
        <v>0</v>
      </c>
      <c r="P36" s="28">
        <f t="shared" si="2"/>
        <v>0.38291666666666674</v>
      </c>
      <c r="Q36" s="28">
        <f t="shared" si="2"/>
        <v>9.3204166666666666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0.089247051670539063</v>
      </c>
      <c r="C37" s="28">
        <f t="shared" si="3" ref="C37:Q37">STDEV(C9:C32)</f>
        <v>0.89833168642800298</v>
      </c>
      <c r="D37" s="28">
        <f t="shared" si="3"/>
        <v>0.51548134252633626</v>
      </c>
      <c r="E37" s="28">
        <f t="shared" si="3"/>
        <v>0.55629728263462119</v>
      </c>
      <c r="F37" s="28">
        <f t="shared" si="3"/>
        <v>0.69564431607881017</v>
      </c>
      <c r="G37" s="28">
        <f t="shared" si="3"/>
        <v>4.8028801745426399</v>
      </c>
      <c r="H37" s="28">
        <f t="shared" si="3"/>
        <v>2.6767687840357848</v>
      </c>
      <c r="I37" s="28">
        <f t="shared" si="3"/>
        <v>1.2226769603109955</v>
      </c>
      <c r="J37" s="28">
        <f t="shared" si="3"/>
        <v>0.32114576355492441</v>
      </c>
      <c r="K37" s="28">
        <f t="shared" si="3"/>
        <v>104.36709786714469</v>
      </c>
      <c r="L37" s="28">
        <f t="shared" si="3"/>
        <v>3.4644262548599083</v>
      </c>
      <c r="M37" s="28">
        <f t="shared" si="3"/>
        <v>12.250718257558889</v>
      </c>
      <c r="N37" s="28">
        <f t="shared" si="3"/>
        <v>324.36328354199543</v>
      </c>
      <c r="O37" s="28">
        <f t="shared" si="3"/>
        <v>0</v>
      </c>
      <c r="P37" s="28">
        <f t="shared" si="3"/>
        <v>0.07380816301423708</v>
      </c>
      <c r="Q37" s="28">
        <f t="shared" si="3"/>
        <v>0.074453321628046049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24b26b-02f9-430c-a847-77a62a9cced8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3" t="s">
        <v>21</v>
      </c>
      <c r="B7" s="54" t="s">
        <v>58</v>
      </c>
      <c r="C7" s="54" t="s">
        <v>43</v>
      </c>
      <c r="D7" s="54" t="s">
        <v>44</v>
      </c>
      <c r="E7" s="54" t="s">
        <v>45</v>
      </c>
      <c r="F7" s="54" t="s">
        <v>46</v>
      </c>
      <c r="G7" s="54" t="s">
        <v>47</v>
      </c>
      <c r="H7" s="54" t="s">
        <v>48</v>
      </c>
      <c r="I7" s="54" t="s">
        <v>49</v>
      </c>
      <c r="J7" s="54" t="s">
        <v>50</v>
      </c>
      <c r="K7" s="54" t="s">
        <v>51</v>
      </c>
      <c r="L7" s="54" t="s">
        <v>52</v>
      </c>
      <c r="M7" s="54" t="s">
        <v>53</v>
      </c>
      <c r="N7" s="54" t="s">
        <v>54</v>
      </c>
      <c r="O7" s="54" t="s">
        <v>55</v>
      </c>
      <c r="P7" s="5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2"/>
      <c r="B8" s="63" t="s">
        <v>22</v>
      </c>
      <c r="C8" s="63" t="s">
        <v>22</v>
      </c>
      <c r="D8" s="29" t="s">
        <v>61</v>
      </c>
      <c r="E8" s="63" t="s">
        <v>22</v>
      </c>
      <c r="F8" s="63" t="s">
        <v>22</v>
      </c>
      <c r="G8" s="63" t="s">
        <v>23</v>
      </c>
      <c r="H8" s="63" t="s">
        <v>22</v>
      </c>
      <c r="I8" s="63" t="s">
        <v>22</v>
      </c>
      <c r="J8" s="63" t="s">
        <v>24</v>
      </c>
      <c r="K8" s="63" t="s">
        <v>25</v>
      </c>
      <c r="L8" s="62" t="s">
        <v>27</v>
      </c>
      <c r="M8" s="63" t="s">
        <v>26</v>
      </c>
      <c r="N8" s="63" t="s">
        <v>28</v>
      </c>
      <c r="O8" s="62" t="s">
        <v>29</v>
      </c>
      <c r="P8" s="63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662</v>
      </c>
      <c r="B9" s="56">
        <v>1.91</v>
      </c>
      <c r="C9" s="56">
        <v>1.76</v>
      </c>
      <c r="D9" s="56">
        <v>1.73</v>
      </c>
      <c r="E9" s="56">
        <v>1.05</v>
      </c>
      <c r="F9" s="56">
        <v>3.92</v>
      </c>
      <c r="G9" s="56">
        <v>44.13</v>
      </c>
      <c r="H9" s="56">
        <v>18.34</v>
      </c>
      <c r="I9" s="56">
        <v>6.52</v>
      </c>
      <c r="J9" s="56">
        <v>0.30</v>
      </c>
      <c r="K9" s="56">
        <v>325.52</v>
      </c>
      <c r="L9" s="56">
        <v>29.94</v>
      </c>
      <c r="M9" s="56">
        <v>60.10</v>
      </c>
      <c r="N9" s="56">
        <v>26.20</v>
      </c>
      <c r="O9" s="56">
        <v>0</v>
      </c>
      <c r="P9" s="56">
        <v>0.60</v>
      </c>
      <c r="Q9" s="56">
        <v>9.3699999999999992</v>
      </c>
      <c r="R9" s="43"/>
      <c r="S9" s="43"/>
      <c r="T9" s="43"/>
      <c r="U9" s="43"/>
    </row>
    <row r="10" spans="1:21" s="11" customFormat="1" ht="15">
      <c r="A10" s="55" t="s">
        <v>663</v>
      </c>
      <c r="B10" s="56">
        <v>1.84</v>
      </c>
      <c r="C10" s="56">
        <v>1.39</v>
      </c>
      <c r="D10" s="56">
        <v>1.48</v>
      </c>
      <c r="E10" s="56">
        <v>1.21</v>
      </c>
      <c r="F10" s="56">
        <v>3.92</v>
      </c>
      <c r="G10" s="56">
        <v>45.80</v>
      </c>
      <c r="H10" s="56">
        <v>18.21</v>
      </c>
      <c r="I10" s="56">
        <v>6.28</v>
      </c>
      <c r="J10" s="56">
        <v>0.77</v>
      </c>
      <c r="K10" s="56">
        <v>225.17</v>
      </c>
      <c r="L10" s="56">
        <v>29.70</v>
      </c>
      <c r="M10" s="56">
        <v>54.83</v>
      </c>
      <c r="N10" s="56">
        <v>26.30</v>
      </c>
      <c r="O10" s="56">
        <v>0</v>
      </c>
      <c r="P10" s="56">
        <v>0.56999999999999995</v>
      </c>
      <c r="Q10" s="56">
        <v>9.34</v>
      </c>
      <c r="R10" s="43"/>
      <c r="S10" s="43"/>
      <c r="T10" s="43"/>
      <c r="U10" s="43"/>
    </row>
    <row r="11" spans="1:21" s="11" customFormat="1" ht="15">
      <c r="A11" s="55" t="s">
        <v>664</v>
      </c>
      <c r="B11" s="56">
        <v>1.81</v>
      </c>
      <c r="C11" s="56">
        <v>1.08</v>
      </c>
      <c r="D11" s="56">
        <v>1.29</v>
      </c>
      <c r="E11" s="56">
        <v>0.96</v>
      </c>
      <c r="F11" s="56">
        <v>4.17</v>
      </c>
      <c r="G11" s="56">
        <v>45.80</v>
      </c>
      <c r="H11" s="56">
        <v>18.97</v>
      </c>
      <c r="I11" s="56">
        <v>6.47</v>
      </c>
      <c r="J11" s="56">
        <v>0.28000000000000003</v>
      </c>
      <c r="K11" s="56">
        <v>316.76</v>
      </c>
      <c r="L11" s="56">
        <v>29.49</v>
      </c>
      <c r="M11" s="56">
        <v>59.27</v>
      </c>
      <c r="N11" s="56">
        <v>26.10</v>
      </c>
      <c r="O11" s="56">
        <v>0</v>
      </c>
      <c r="P11" s="56">
        <v>0.56000000000000005</v>
      </c>
      <c r="Q11" s="56">
        <v>9.32</v>
      </c>
      <c r="R11" s="43"/>
      <c r="S11" s="43"/>
      <c r="T11" s="43"/>
      <c r="U11" s="43"/>
    </row>
    <row r="12" spans="1:21" s="11" customFormat="1" ht="15">
      <c r="A12" s="55" t="s">
        <v>665</v>
      </c>
      <c r="B12" s="56">
        <v>1.85</v>
      </c>
      <c r="C12" s="56">
        <v>0.98</v>
      </c>
      <c r="D12" s="56">
        <v>1.27</v>
      </c>
      <c r="E12" s="56">
        <v>1.24</v>
      </c>
      <c r="F12" s="56">
        <v>4.05</v>
      </c>
      <c r="G12" s="56">
        <v>45.26</v>
      </c>
      <c r="H12" s="56">
        <v>20.59</v>
      </c>
      <c r="I12" s="56">
        <v>6.19</v>
      </c>
      <c r="J12" s="56">
        <v>0.35</v>
      </c>
      <c r="K12" s="56">
        <v>324.55</v>
      </c>
      <c r="L12" s="56">
        <v>28.89</v>
      </c>
      <c r="M12" s="56">
        <v>62.67</v>
      </c>
      <c r="N12" s="56">
        <v>26</v>
      </c>
      <c r="O12" s="56">
        <v>0</v>
      </c>
      <c r="P12" s="56">
        <v>0.56000000000000005</v>
      </c>
      <c r="Q12" s="56">
        <v>9.3800000000000008</v>
      </c>
      <c r="R12" s="43"/>
      <c r="S12" s="43"/>
      <c r="T12" s="43"/>
      <c r="U12" s="43"/>
    </row>
    <row r="13" spans="1:21" s="11" customFormat="1" ht="15">
      <c r="A13" s="55" t="s">
        <v>666</v>
      </c>
      <c r="B13" s="56">
        <v>1.78</v>
      </c>
      <c r="C13" s="56">
        <v>0.75</v>
      </c>
      <c r="D13" s="56">
        <v>1.0900000000000001</v>
      </c>
      <c r="E13" s="56">
        <v>1.31</v>
      </c>
      <c r="F13" s="56">
        <v>4.3899999999999997</v>
      </c>
      <c r="G13" s="56">
        <v>48.02</v>
      </c>
      <c r="H13" s="56">
        <v>20.59</v>
      </c>
      <c r="I13" s="56">
        <v>6.53</v>
      </c>
      <c r="J13" s="56">
        <v>0.36</v>
      </c>
      <c r="K13" s="56">
        <v>339.09</v>
      </c>
      <c r="L13" s="56">
        <v>28.67</v>
      </c>
      <c r="M13" s="56">
        <v>67.03</v>
      </c>
      <c r="N13" s="56">
        <v>26</v>
      </c>
      <c r="O13" s="56">
        <v>0</v>
      </c>
      <c r="P13" s="56">
        <v>0.56000000000000005</v>
      </c>
      <c r="Q13" s="56">
        <v>9.3800000000000008</v>
      </c>
      <c r="R13" s="43"/>
      <c r="S13" s="43"/>
      <c r="T13" s="43"/>
      <c r="U13" s="43"/>
    </row>
    <row r="14" spans="1:21" s="11" customFormat="1" ht="15">
      <c r="A14" s="55" t="s">
        <v>667</v>
      </c>
      <c r="B14" s="56">
        <v>1.79</v>
      </c>
      <c r="C14" s="56">
        <v>1.03</v>
      </c>
      <c r="D14" s="56">
        <v>1.25</v>
      </c>
      <c r="E14" s="56">
        <v>1.54</v>
      </c>
      <c r="F14" s="56">
        <v>4.4800000000000004</v>
      </c>
      <c r="G14" s="56">
        <v>49.78</v>
      </c>
      <c r="H14" s="56">
        <v>20.46</v>
      </c>
      <c r="I14" s="56">
        <v>6.24</v>
      </c>
      <c r="J14" s="56">
        <v>0.19</v>
      </c>
      <c r="K14" s="56">
        <v>350.91</v>
      </c>
      <c r="L14" s="56">
        <v>28.39</v>
      </c>
      <c r="M14" s="56">
        <v>70.94</v>
      </c>
      <c r="N14" s="56">
        <v>81.599999999999994</v>
      </c>
      <c r="O14" s="56">
        <v>0</v>
      </c>
      <c r="P14" s="56">
        <v>0.55000000000000004</v>
      </c>
      <c r="Q14" s="56">
        <v>9.34</v>
      </c>
      <c r="R14" s="43"/>
      <c r="S14" s="43"/>
      <c r="T14" s="43"/>
      <c r="U14" s="43"/>
    </row>
    <row r="15" spans="1:21" s="11" customFormat="1" ht="15">
      <c r="A15" s="55" t="s">
        <v>668</v>
      </c>
      <c r="B15" s="56">
        <v>1.79</v>
      </c>
      <c r="C15" s="56">
        <v>1.1599999999999999</v>
      </c>
      <c r="D15" s="56">
        <v>1.31</v>
      </c>
      <c r="E15" s="56">
        <v>1.51</v>
      </c>
      <c r="F15" s="56">
        <v>4.42</v>
      </c>
      <c r="G15" s="56">
        <v>50.53</v>
      </c>
      <c r="H15" s="56">
        <v>20.57</v>
      </c>
      <c r="I15" s="56">
        <v>5.78</v>
      </c>
      <c r="J15" s="56">
        <v>0.44</v>
      </c>
      <c r="K15" s="56">
        <v>335.38</v>
      </c>
      <c r="L15" s="56">
        <v>30.55</v>
      </c>
      <c r="M15" s="56">
        <v>69.88</v>
      </c>
      <c r="N15" s="56">
        <v>232.90</v>
      </c>
      <c r="O15" s="56">
        <v>0</v>
      </c>
      <c r="P15" s="56">
        <v>0.75</v>
      </c>
      <c r="Q15" s="56">
        <v>9.25</v>
      </c>
      <c r="R15" s="43"/>
      <c r="S15" s="43"/>
      <c r="T15" s="43"/>
      <c r="U15" s="43"/>
    </row>
    <row r="16" spans="1:21" s="11" customFormat="1" ht="15">
      <c r="A16" s="55" t="s">
        <v>669</v>
      </c>
      <c r="B16" s="56">
        <v>1.71</v>
      </c>
      <c r="C16" s="56">
        <v>1.1499999999999999</v>
      </c>
      <c r="D16" s="56">
        <v>1.25</v>
      </c>
      <c r="E16" s="56">
        <v>2.21</v>
      </c>
      <c r="F16" s="56">
        <v>6.31</v>
      </c>
      <c r="G16" s="56">
        <v>50.53</v>
      </c>
      <c r="H16" s="56">
        <v>21.30</v>
      </c>
      <c r="I16" s="56">
        <v>6.58</v>
      </c>
      <c r="J16" s="56">
        <v>0.68</v>
      </c>
      <c r="K16" s="56">
        <v>318.77</v>
      </c>
      <c r="L16" s="56">
        <v>33.17</v>
      </c>
      <c r="M16" s="56">
        <v>57.77</v>
      </c>
      <c r="N16" s="56">
        <v>354.30</v>
      </c>
      <c r="O16" s="56">
        <v>0</v>
      </c>
      <c r="P16" s="56">
        <v>0.60</v>
      </c>
      <c r="Q16" s="56">
        <v>9.3000000000000007</v>
      </c>
      <c r="R16" s="43"/>
      <c r="S16" s="43"/>
      <c r="T16" s="43"/>
      <c r="U16" s="43"/>
    </row>
    <row r="17" spans="1:21" s="11" customFormat="1" ht="15">
      <c r="A17" s="55" t="s">
        <v>670</v>
      </c>
      <c r="B17" s="56">
        <v>1.75</v>
      </c>
      <c r="C17" s="56">
        <v>0.95</v>
      </c>
      <c r="D17" s="56">
        <v>1.1599999999999999</v>
      </c>
      <c r="E17" s="56">
        <v>2.57</v>
      </c>
      <c r="F17" s="56">
        <v>7.12</v>
      </c>
      <c r="G17" s="56">
        <v>50.14</v>
      </c>
      <c r="H17" s="56">
        <v>21.30</v>
      </c>
      <c r="I17" s="56">
        <v>5.73</v>
      </c>
      <c r="J17" s="56">
        <v>0.38</v>
      </c>
      <c r="K17" s="56">
        <v>355.87</v>
      </c>
      <c r="L17" s="56">
        <v>34.53</v>
      </c>
      <c r="M17" s="56">
        <v>50.17</v>
      </c>
      <c r="N17" s="56">
        <v>541.60</v>
      </c>
      <c r="O17" s="56">
        <v>0</v>
      </c>
      <c r="P17" s="56">
        <v>0.52</v>
      </c>
      <c r="Q17" s="56">
        <v>9.31</v>
      </c>
      <c r="R17" s="43"/>
      <c r="S17" s="43"/>
      <c r="T17" s="43"/>
      <c r="U17" s="43"/>
    </row>
    <row r="18" spans="1:21" s="11" customFormat="1" ht="15">
      <c r="A18" s="55" t="s">
        <v>671</v>
      </c>
      <c r="B18" s="56">
        <v>1.72</v>
      </c>
      <c r="C18" s="56">
        <v>0.87</v>
      </c>
      <c r="D18" s="56">
        <v>1.06</v>
      </c>
      <c r="E18" s="56">
        <v>2.2599999999999998</v>
      </c>
      <c r="F18" s="56">
        <v>7.49</v>
      </c>
      <c r="G18" s="56">
        <v>46.26</v>
      </c>
      <c r="H18" s="56">
        <v>20.54</v>
      </c>
      <c r="I18" s="56">
        <v>4.6900000000000004</v>
      </c>
      <c r="J18" s="56">
        <v>0.79</v>
      </c>
      <c r="K18" s="56">
        <v>349.86</v>
      </c>
      <c r="L18" s="56">
        <v>37.72</v>
      </c>
      <c r="M18" s="56">
        <v>46.27</v>
      </c>
      <c r="N18" s="56">
        <v>771.40</v>
      </c>
      <c r="O18" s="56">
        <v>0</v>
      </c>
      <c r="P18" s="56">
        <v>0.5</v>
      </c>
      <c r="Q18" s="56">
        <v>9.31</v>
      </c>
      <c r="R18" s="43"/>
      <c r="S18" s="43"/>
      <c r="T18" s="43"/>
      <c r="U18" s="43"/>
    </row>
    <row r="19" spans="1:21" s="11" customFormat="1" ht="15">
      <c r="A19" s="55" t="s">
        <v>672</v>
      </c>
      <c r="B19" s="56">
        <v>1.67</v>
      </c>
      <c r="C19" s="56">
        <v>0.96</v>
      </c>
      <c r="D19" s="56">
        <v>1.07</v>
      </c>
      <c r="E19" s="56">
        <v>2.48</v>
      </c>
      <c r="F19" s="56">
        <v>7.75</v>
      </c>
      <c r="G19" s="56">
        <v>47.04</v>
      </c>
      <c r="H19" s="56">
        <v>19.48</v>
      </c>
      <c r="I19" s="56">
        <v>3.95</v>
      </c>
      <c r="J19" s="56">
        <v>0.88</v>
      </c>
      <c r="K19" s="56">
        <v>332.46</v>
      </c>
      <c r="L19" s="56">
        <v>39.090000000000003</v>
      </c>
      <c r="M19" s="56">
        <v>39.44</v>
      </c>
      <c r="N19" s="56">
        <v>820.5</v>
      </c>
      <c r="O19" s="56">
        <v>0</v>
      </c>
      <c r="P19" s="56">
        <v>0.5</v>
      </c>
      <c r="Q19" s="56">
        <v>9.24</v>
      </c>
      <c r="R19" s="43"/>
      <c r="S19" s="43"/>
      <c r="T19" s="43"/>
      <c r="U19" s="43"/>
    </row>
    <row r="20" spans="1:21" s="11" customFormat="1" ht="15">
      <c r="A20" s="55" t="s">
        <v>673</v>
      </c>
      <c r="B20" s="56">
        <v>1.60</v>
      </c>
      <c r="C20" s="56">
        <v>0.46</v>
      </c>
      <c r="D20" s="56">
        <v>0.79</v>
      </c>
      <c r="E20" s="56">
        <v>2.36</v>
      </c>
      <c r="F20" s="56">
        <v>8.93</v>
      </c>
      <c r="G20" s="56">
        <v>47.04</v>
      </c>
      <c r="H20" s="56">
        <v>22</v>
      </c>
      <c r="I20" s="56">
        <v>3.70</v>
      </c>
      <c r="J20" s="56">
        <v>1.21</v>
      </c>
      <c r="K20" s="56">
        <v>330.28</v>
      </c>
      <c r="L20" s="56">
        <v>40.119999999999997</v>
      </c>
      <c r="M20" s="56">
        <v>37.93</v>
      </c>
      <c r="N20" s="56">
        <v>816.40</v>
      </c>
      <c r="O20" s="56">
        <v>0</v>
      </c>
      <c r="P20" s="56">
        <v>0.5</v>
      </c>
      <c r="Q20" s="56">
        <v>9.23</v>
      </c>
      <c r="R20" s="43"/>
      <c r="S20" s="43"/>
      <c r="T20" s="43"/>
      <c r="U20" s="43"/>
    </row>
    <row r="21" spans="1:21" s="11" customFormat="1" ht="15">
      <c r="A21" s="55" t="s">
        <v>674</v>
      </c>
      <c r="B21" s="56">
        <v>1.69</v>
      </c>
      <c r="C21" s="56">
        <v>1.22</v>
      </c>
      <c r="D21" s="56">
        <v>1.26</v>
      </c>
      <c r="E21" s="56">
        <v>1.69</v>
      </c>
      <c r="F21" s="56">
        <v>7.05</v>
      </c>
      <c r="G21" s="56">
        <v>46.49</v>
      </c>
      <c r="H21" s="56">
        <v>22</v>
      </c>
      <c r="I21" s="56">
        <v>3.58</v>
      </c>
      <c r="J21" s="56">
        <v>1.91</v>
      </c>
      <c r="K21" s="56">
        <v>341.77</v>
      </c>
      <c r="L21" s="56">
        <v>40.75</v>
      </c>
      <c r="M21" s="56">
        <v>31.13</v>
      </c>
      <c r="N21" s="56">
        <v>815.20</v>
      </c>
      <c r="O21" s="56">
        <v>0</v>
      </c>
      <c r="P21" s="56">
        <v>0.5</v>
      </c>
      <c r="Q21" s="56">
        <v>9.2799999999999994</v>
      </c>
      <c r="R21" s="43"/>
      <c r="S21" s="43"/>
      <c r="T21" s="43"/>
      <c r="U21" s="43"/>
    </row>
    <row r="22" spans="1:21" s="11" customFormat="1" ht="15">
      <c r="A22" s="55" t="s">
        <v>675</v>
      </c>
      <c r="B22" s="56">
        <v>1.77</v>
      </c>
      <c r="C22" s="56">
        <v>1.41</v>
      </c>
      <c r="D22" s="56">
        <v>1.41</v>
      </c>
      <c r="E22" s="56">
        <v>2.60</v>
      </c>
      <c r="F22" s="56">
        <v>7.01</v>
      </c>
      <c r="G22" s="56">
        <v>45.88</v>
      </c>
      <c r="H22" s="56">
        <v>24.95</v>
      </c>
      <c r="I22" s="56">
        <v>4.4400000000000004</v>
      </c>
      <c r="J22" s="56">
        <v>1.74</v>
      </c>
      <c r="K22" s="56">
        <v>343.15</v>
      </c>
      <c r="L22" s="56">
        <v>40.43</v>
      </c>
      <c r="M22" s="56">
        <v>27.75</v>
      </c>
      <c r="N22" s="56">
        <v>733.20</v>
      </c>
      <c r="O22" s="56">
        <v>0</v>
      </c>
      <c r="P22" s="56">
        <v>0.52</v>
      </c>
      <c r="Q22" s="56">
        <v>9.2799999999999994</v>
      </c>
      <c r="R22" s="43"/>
      <c r="S22" s="43"/>
      <c r="T22" s="43"/>
      <c r="U22" s="43"/>
    </row>
    <row r="23" spans="1:21" s="11" customFormat="1" ht="15">
      <c r="A23" s="55" t="s">
        <v>676</v>
      </c>
      <c r="B23" s="56">
        <v>1.76</v>
      </c>
      <c r="C23" s="56">
        <v>1.74</v>
      </c>
      <c r="D23" s="56">
        <v>1.59</v>
      </c>
      <c r="E23" s="56">
        <v>1.69</v>
      </c>
      <c r="F23" s="56">
        <v>8.15</v>
      </c>
      <c r="G23" s="56">
        <v>45.37</v>
      </c>
      <c r="H23" s="56">
        <v>24.95</v>
      </c>
      <c r="I23" s="56">
        <v>4.5599999999999996</v>
      </c>
      <c r="J23" s="56">
        <v>2.2799999999999998</v>
      </c>
      <c r="K23" s="56">
        <v>346.55</v>
      </c>
      <c r="L23" s="56">
        <v>40.22</v>
      </c>
      <c r="M23" s="56">
        <v>24.02</v>
      </c>
      <c r="N23" s="56">
        <v>651</v>
      </c>
      <c r="O23" s="56">
        <v>0</v>
      </c>
      <c r="P23" s="56">
        <v>0.5</v>
      </c>
      <c r="Q23" s="56">
        <v>9.24</v>
      </c>
      <c r="R23" s="43"/>
      <c r="S23" s="43"/>
      <c r="T23" s="43"/>
      <c r="U23" s="43"/>
    </row>
    <row r="24" spans="1:21" s="11" customFormat="1" ht="15">
      <c r="A24" s="55" t="s">
        <v>677</v>
      </c>
      <c r="B24" s="56">
        <v>1.69</v>
      </c>
      <c r="C24" s="56">
        <v>1.1599999999999999</v>
      </c>
      <c r="D24" s="56">
        <v>1.23</v>
      </c>
      <c r="E24" s="56">
        <v>1.70</v>
      </c>
      <c r="F24" s="56">
        <v>7.80</v>
      </c>
      <c r="G24" s="56">
        <v>45.24</v>
      </c>
      <c r="H24" s="56">
        <v>21.76</v>
      </c>
      <c r="I24" s="56">
        <v>3.96</v>
      </c>
      <c r="J24" s="56">
        <v>1.47</v>
      </c>
      <c r="K24" s="56">
        <v>344.21</v>
      </c>
      <c r="L24" s="56">
        <v>38.229999999999997</v>
      </c>
      <c r="M24" s="56">
        <v>28.99</v>
      </c>
      <c r="N24" s="56">
        <v>189.10</v>
      </c>
      <c r="O24" s="56">
        <v>0</v>
      </c>
      <c r="P24" s="56">
        <v>0.46</v>
      </c>
      <c r="Q24" s="56">
        <v>9.23</v>
      </c>
      <c r="R24" s="43"/>
      <c r="S24" s="43"/>
      <c r="T24" s="43"/>
      <c r="U24" s="43"/>
    </row>
    <row r="25" spans="1:21" s="11" customFormat="1" ht="15">
      <c r="A25" s="55" t="s">
        <v>678</v>
      </c>
      <c r="B25" s="56">
        <v>1.75</v>
      </c>
      <c r="C25" s="56">
        <v>1.47</v>
      </c>
      <c r="D25" s="56">
        <v>1.42</v>
      </c>
      <c r="E25" s="56">
        <v>1.34</v>
      </c>
      <c r="F25" s="56">
        <v>5.62</v>
      </c>
      <c r="G25" s="56">
        <v>48.34</v>
      </c>
      <c r="H25" s="56">
        <v>22.61</v>
      </c>
      <c r="I25" s="56">
        <v>3.91</v>
      </c>
      <c r="J25" s="56">
        <v>1.0900000000000001</v>
      </c>
      <c r="K25" s="56">
        <v>348.28</v>
      </c>
      <c r="L25" s="56">
        <v>37.21</v>
      </c>
      <c r="M25" s="56">
        <v>28.16</v>
      </c>
      <c r="N25" s="56">
        <v>201.70</v>
      </c>
      <c r="O25" s="56">
        <v>0</v>
      </c>
      <c r="P25" s="56">
        <v>0.54</v>
      </c>
      <c r="Q25" s="56">
        <v>9.33</v>
      </c>
      <c r="R25" s="43"/>
      <c r="S25" s="43"/>
      <c r="T25" s="43"/>
      <c r="U25" s="43"/>
    </row>
    <row r="26" spans="1:21" s="11" customFormat="1" ht="15">
      <c r="A26" s="55" t="s">
        <v>679</v>
      </c>
      <c r="B26" s="56">
        <v>1.94</v>
      </c>
      <c r="C26" s="56">
        <v>2.69</v>
      </c>
      <c r="D26" s="56">
        <v>2.23</v>
      </c>
      <c r="E26" s="56">
        <v>1.67</v>
      </c>
      <c r="F26" s="56">
        <v>4.20</v>
      </c>
      <c r="G26" s="56">
        <v>50.57</v>
      </c>
      <c r="H26" s="56">
        <v>22.61</v>
      </c>
      <c r="I26" s="56">
        <v>5.25</v>
      </c>
      <c r="J26" s="56">
        <v>0.46</v>
      </c>
      <c r="K26" s="56">
        <v>344.73</v>
      </c>
      <c r="L26" s="56">
        <v>36.90</v>
      </c>
      <c r="M26" s="56">
        <v>32.28</v>
      </c>
      <c r="N26" s="56">
        <v>129.10</v>
      </c>
      <c r="O26" s="56">
        <v>0</v>
      </c>
      <c r="P26" s="56">
        <v>0.67</v>
      </c>
      <c r="Q26" s="56">
        <v>9.40</v>
      </c>
      <c r="R26" s="43"/>
      <c r="S26" s="43"/>
      <c r="T26" s="43"/>
      <c r="U26" s="43"/>
    </row>
    <row r="27" spans="1:21" s="11" customFormat="1" ht="15">
      <c r="A27" s="55" t="s">
        <v>680</v>
      </c>
      <c r="B27" s="56">
        <v>1.89</v>
      </c>
      <c r="C27" s="56">
        <v>2.23</v>
      </c>
      <c r="D27" s="56">
        <v>1.95</v>
      </c>
      <c r="E27" s="56">
        <v>1.54</v>
      </c>
      <c r="F27" s="56">
        <v>4.12</v>
      </c>
      <c r="G27" s="56">
        <v>54.82</v>
      </c>
      <c r="H27" s="56">
        <v>22.08</v>
      </c>
      <c r="I27" s="56">
        <v>6.22</v>
      </c>
      <c r="J27" s="56">
        <v>0.24</v>
      </c>
      <c r="K27" s="56">
        <v>350.80</v>
      </c>
      <c r="L27" s="56">
        <v>35.119999999999997</v>
      </c>
      <c r="M27" s="56">
        <v>40.880000000000003</v>
      </c>
      <c r="N27" s="56">
        <v>75</v>
      </c>
      <c r="O27" s="56">
        <v>0</v>
      </c>
      <c r="P27" s="56">
        <v>0.92</v>
      </c>
      <c r="Q27" s="56">
        <v>9.40</v>
      </c>
      <c r="R27" s="43"/>
      <c r="S27" s="43"/>
      <c r="T27" s="43"/>
      <c r="U27" s="43"/>
    </row>
    <row r="28" spans="1:21" s="11" customFormat="1" ht="15">
      <c r="A28" s="55" t="s">
        <v>681</v>
      </c>
      <c r="B28" s="56">
        <v>3.46</v>
      </c>
      <c r="C28" s="56">
        <v>6.11</v>
      </c>
      <c r="D28" s="56">
        <v>5.24</v>
      </c>
      <c r="E28" s="56">
        <v>1.94</v>
      </c>
      <c r="F28" s="56">
        <v>3.71</v>
      </c>
      <c r="G28" s="56">
        <v>73.94</v>
      </c>
      <c r="H28" s="56">
        <v>27.47</v>
      </c>
      <c r="I28" s="56">
        <v>9.4700000000000006</v>
      </c>
      <c r="J28" s="56">
        <v>0.30</v>
      </c>
      <c r="K28" s="56">
        <v>317.81</v>
      </c>
      <c r="L28" s="56">
        <v>32.880000000000003</v>
      </c>
      <c r="M28" s="56">
        <v>43.41</v>
      </c>
      <c r="N28" s="56">
        <v>55.60</v>
      </c>
      <c r="O28" s="56">
        <v>0</v>
      </c>
      <c r="P28" s="56">
        <v>1.32</v>
      </c>
      <c r="Q28" s="56">
        <v>9.5500000000000007</v>
      </c>
      <c r="R28" s="43"/>
      <c r="S28" s="43"/>
      <c r="T28" s="43"/>
      <c r="U28" s="43"/>
    </row>
    <row r="29" spans="1:21" s="11" customFormat="1" ht="15">
      <c r="A29" s="55" t="s">
        <v>682</v>
      </c>
      <c r="B29" s="56">
        <v>5.39</v>
      </c>
      <c r="C29" s="56">
        <v>8.27</v>
      </c>
      <c r="D29" s="56">
        <v>7.91</v>
      </c>
      <c r="E29" s="56">
        <v>2.71</v>
      </c>
      <c r="F29" s="56">
        <v>3.58</v>
      </c>
      <c r="G29" s="56">
        <v>93.14</v>
      </c>
      <c r="H29" s="56">
        <v>27.92</v>
      </c>
      <c r="I29" s="56">
        <v>11.08</v>
      </c>
      <c r="J29" s="56">
        <v>0.36</v>
      </c>
      <c r="K29" s="56">
        <v>263.52</v>
      </c>
      <c r="L29" s="56">
        <v>32.15</v>
      </c>
      <c r="M29" s="56">
        <v>49.03</v>
      </c>
      <c r="N29" s="56">
        <v>56</v>
      </c>
      <c r="O29" s="56">
        <v>0</v>
      </c>
      <c r="P29" s="56">
        <v>1.79</v>
      </c>
      <c r="Q29" s="56">
        <v>9.7799999999999994</v>
      </c>
      <c r="R29" s="43"/>
      <c r="S29" s="43"/>
      <c r="T29" s="43"/>
      <c r="U29" s="43"/>
    </row>
    <row r="30" spans="1:21" s="11" customFormat="1" ht="15">
      <c r="A30" s="55" t="s">
        <v>683</v>
      </c>
      <c r="B30" s="56">
        <v>5.83</v>
      </c>
      <c r="C30" s="56">
        <v>8.91</v>
      </c>
      <c r="D30" s="56">
        <v>8.60</v>
      </c>
      <c r="E30" s="56">
        <v>2.95</v>
      </c>
      <c r="F30" s="56">
        <v>3.54</v>
      </c>
      <c r="G30" s="56">
        <v>95.57</v>
      </c>
      <c r="H30" s="56">
        <v>31.87</v>
      </c>
      <c r="I30" s="56">
        <v>11.45</v>
      </c>
      <c r="J30" s="56">
        <v>0.73</v>
      </c>
      <c r="K30" s="56">
        <v>186.69</v>
      </c>
      <c r="L30" s="56">
        <v>32.03</v>
      </c>
      <c r="M30" s="56">
        <v>47.5</v>
      </c>
      <c r="N30" s="56">
        <v>65.70</v>
      </c>
      <c r="O30" s="56">
        <v>0</v>
      </c>
      <c r="P30" s="56">
        <v>1.72</v>
      </c>
      <c r="Q30" s="56">
        <v>10.039999999999999</v>
      </c>
      <c r="R30" s="43"/>
      <c r="S30" s="43"/>
      <c r="T30" s="43"/>
      <c r="U30" s="43"/>
    </row>
    <row r="31" spans="1:21" s="11" customFormat="1" ht="15">
      <c r="A31" s="55" t="s">
        <v>684</v>
      </c>
      <c r="B31" s="56">
        <v>4.30</v>
      </c>
      <c r="C31" s="56">
        <v>5.84</v>
      </c>
      <c r="D31" s="56">
        <v>5.77</v>
      </c>
      <c r="E31" s="56">
        <v>2.76</v>
      </c>
      <c r="F31" s="56">
        <v>3.73</v>
      </c>
      <c r="G31" s="56">
        <v>95.57</v>
      </c>
      <c r="H31" s="56">
        <v>34.32</v>
      </c>
      <c r="I31" s="56">
        <v>10.55</v>
      </c>
      <c r="J31" s="56">
        <v>0.28999999999999998</v>
      </c>
      <c r="K31" s="56">
        <v>344.67</v>
      </c>
      <c r="L31" s="56">
        <v>30.28</v>
      </c>
      <c r="M31" s="56">
        <v>48.32</v>
      </c>
      <c r="N31" s="56">
        <v>57.60</v>
      </c>
      <c r="O31" s="56">
        <v>0</v>
      </c>
      <c r="P31" s="56">
        <v>1.5</v>
      </c>
      <c r="Q31" s="56">
        <v>10.050000000000001</v>
      </c>
      <c r="R31" s="43"/>
      <c r="S31" s="43"/>
      <c r="T31" s="43"/>
      <c r="U31" s="43"/>
    </row>
    <row r="32" spans="1:21" s="11" customFormat="1" ht="15">
      <c r="A32" s="55" t="s">
        <v>685</v>
      </c>
      <c r="B32" s="56">
        <v>3.67</v>
      </c>
      <c r="C32" s="56">
        <v>4.7300000000000004</v>
      </c>
      <c r="D32" s="56">
        <v>4.6900000000000004</v>
      </c>
      <c r="E32" s="56">
        <v>2.73</v>
      </c>
      <c r="F32" s="56">
        <v>3.80</v>
      </c>
      <c r="G32" s="56">
        <v>87.25</v>
      </c>
      <c r="H32" s="56">
        <v>35.67</v>
      </c>
      <c r="I32" s="56">
        <v>10.220000000000001</v>
      </c>
      <c r="J32" s="56">
        <v>0.34</v>
      </c>
      <c r="K32" s="56">
        <v>312.42</v>
      </c>
      <c r="L32" s="56">
        <v>30.06</v>
      </c>
      <c r="M32" s="56">
        <v>49</v>
      </c>
      <c r="N32" s="56">
        <v>61.70</v>
      </c>
      <c r="O32" s="56">
        <v>0</v>
      </c>
      <c r="P32" s="56">
        <v>1.43</v>
      </c>
      <c r="Q32" s="56">
        <v>9.9600000000000009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1.6000000000000001</v>
      </c>
      <c r="C34" s="28">
        <f t="shared" si="0"/>
        <v>0.46000000000000002</v>
      </c>
      <c r="D34" s="28">
        <f t="shared" si="0"/>
        <v>0.79000000000000004</v>
      </c>
      <c r="E34" s="28">
        <f t="shared" si="0"/>
        <v>0.95999999999999996</v>
      </c>
      <c r="F34" s="28">
        <f t="shared" si="0"/>
        <v>3.54</v>
      </c>
      <c r="G34" s="28">
        <f t="shared" si="0"/>
        <v>44.130000000000003</v>
      </c>
      <c r="H34" s="28">
        <f t="shared" si="0"/>
        <v>18.210000000000001</v>
      </c>
      <c r="I34" s="28">
        <f t="shared" si="0"/>
        <v>3.5800000000000001</v>
      </c>
      <c r="J34" s="28">
        <f t="shared" si="0"/>
        <v>0.19</v>
      </c>
      <c r="K34" s="28">
        <f t="shared" si="0"/>
        <v>186.69</v>
      </c>
      <c r="L34" s="28">
        <f t="shared" si="0"/>
        <v>28.390000000000001</v>
      </c>
      <c r="M34" s="28">
        <f t="shared" si="0"/>
        <v>24.02</v>
      </c>
      <c r="N34" s="28">
        <f t="shared" si="0"/>
        <v>26</v>
      </c>
      <c r="O34" s="28">
        <f t="shared" si="0"/>
        <v>0</v>
      </c>
      <c r="P34" s="28">
        <f t="shared" si="0"/>
        <v>0.46000000000000002</v>
      </c>
      <c r="Q34" s="28">
        <f t="shared" si="0"/>
        <v>9.2300000000000004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5.8300000000000001</v>
      </c>
      <c r="C35" s="29">
        <f t="shared" si="1"/>
        <v>8.9100000000000001</v>
      </c>
      <c r="D35" s="29">
        <f t="shared" si="1"/>
        <v>8.5999999999999996</v>
      </c>
      <c r="E35" s="29">
        <f t="shared" si="1"/>
        <v>2.9500000000000002</v>
      </c>
      <c r="F35" s="29">
        <f t="shared" si="1"/>
        <v>8.9299999999999997</v>
      </c>
      <c r="G35" s="29">
        <f t="shared" si="1"/>
        <v>95.569999999999993</v>
      </c>
      <c r="H35" s="29">
        <f t="shared" si="1"/>
        <v>35.670000000000002</v>
      </c>
      <c r="I35" s="29">
        <f t="shared" si="1"/>
        <v>11.449999999999999</v>
      </c>
      <c r="J35" s="29">
        <f t="shared" si="1"/>
        <v>2.2799999999999998</v>
      </c>
      <c r="K35" s="29">
        <f t="shared" si="1"/>
        <v>355.87</v>
      </c>
      <c r="L35" s="29">
        <f t="shared" si="1"/>
        <v>40.75</v>
      </c>
      <c r="M35" s="29">
        <f t="shared" si="1"/>
        <v>70.939999999999998</v>
      </c>
      <c r="N35" s="29">
        <f t="shared" si="1"/>
        <v>820.5</v>
      </c>
      <c r="O35" s="29">
        <f t="shared" si="1"/>
        <v>0</v>
      </c>
      <c r="P35" s="29">
        <f t="shared" si="1"/>
        <v>1.79</v>
      </c>
      <c r="Q35" s="29">
        <f t="shared" si="1"/>
        <v>10.050000000000001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2.3483333333333332</v>
      </c>
      <c r="C36" s="28">
        <f t="shared" si="2"/>
        <v>2.4300000000000002</v>
      </c>
      <c r="D36" s="28">
        <f t="shared" si="2"/>
        <v>2.4187500000000006</v>
      </c>
      <c r="E36" s="28">
        <f t="shared" si="2"/>
        <v>1.9174999999999998</v>
      </c>
      <c r="F36" s="28">
        <f t="shared" si="2"/>
        <v>5.3858333333333341</v>
      </c>
      <c r="G36" s="28">
        <f t="shared" si="2"/>
        <v>56.354583333333331</v>
      </c>
      <c r="H36" s="28">
        <f t="shared" si="2"/>
        <v>23.356666666666666</v>
      </c>
      <c r="I36" s="28">
        <f t="shared" si="2"/>
        <v>6.3895833333333334</v>
      </c>
      <c r="J36" s="28">
        <f t="shared" si="2"/>
        <v>0.74333333333333329</v>
      </c>
      <c r="K36" s="28">
        <f t="shared" si="2"/>
        <v>322.88416666666666</v>
      </c>
      <c r="L36" s="28">
        <f t="shared" si="2"/>
        <v>34.021666666666668</v>
      </c>
      <c r="M36" s="28">
        <f t="shared" si="2"/>
        <v>46.94874999999999</v>
      </c>
      <c r="N36" s="28">
        <f t="shared" si="2"/>
        <v>285.00833333333338</v>
      </c>
      <c r="O36" s="28">
        <f t="shared" si="2"/>
        <v>0</v>
      </c>
      <c r="P36" s="28">
        <f t="shared" si="2"/>
        <v>0.77666666666666673</v>
      </c>
      <c r="Q36" s="28">
        <f t="shared" si="2"/>
        <v>9.4295833333333352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1.2258649711678002</v>
      </c>
      <c r="C37" s="28">
        <f t="shared" si="3" ref="C37:Q37">STDEV(C9:C32)</f>
        <v>2.4346609441652194</v>
      </c>
      <c r="D37" s="28">
        <f t="shared" si="3"/>
        <v>2.2457928056895526</v>
      </c>
      <c r="E37" s="28">
        <f t="shared" si="3"/>
        <v>0.61382089159340447</v>
      </c>
      <c r="F37" s="28">
        <f t="shared" si="3"/>
        <v>1.786631313191213</v>
      </c>
      <c r="G37" s="28">
        <f t="shared" si="3"/>
        <v>17.734546727924204</v>
      </c>
      <c r="H37" s="28">
        <f t="shared" si="3"/>
        <v>4.799777772633524</v>
      </c>
      <c r="I37" s="28">
        <f t="shared" si="3"/>
        <v>2.4185235869388797</v>
      </c>
      <c r="J37" s="28">
        <f t="shared" si="3"/>
        <v>0.58591931976626455</v>
      </c>
      <c r="K37" s="28">
        <f t="shared" si="3"/>
        <v>41.254848770798141</v>
      </c>
      <c r="L37" s="28">
        <f t="shared" si="3"/>
        <v>4.3376297541466267</v>
      </c>
      <c r="M37" s="28">
        <f t="shared" si="3"/>
        <v>13.98712057028991</v>
      </c>
      <c r="N37" s="28">
        <f t="shared" si="3"/>
        <v>310.03371614217627</v>
      </c>
      <c r="O37" s="28">
        <f t="shared" si="3"/>
        <v>0</v>
      </c>
      <c r="P37" s="28">
        <f t="shared" si="3"/>
        <v>0.42542732140414002</v>
      </c>
      <c r="Q37" s="28">
        <f t="shared" si="3"/>
        <v>0.25523184970029927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272827-e11e-4603-98d3-700f92b723a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60" t="s">
        <v>22</v>
      </c>
      <c r="R8" s="27"/>
      <c r="S8" s="29"/>
      <c r="T8" s="27"/>
      <c r="U8" s="27"/>
    </row>
    <row r="9" spans="1:21" s="11" customFormat="1" ht="15">
      <c r="A9" s="55" t="s">
        <v>686</v>
      </c>
      <c r="B9" s="56">
        <v>2.79</v>
      </c>
      <c r="C9" s="56">
        <v>3.14</v>
      </c>
      <c r="D9" s="56">
        <v>3.15</v>
      </c>
      <c r="E9" s="56">
        <v>1.51</v>
      </c>
      <c r="F9" s="56">
        <v>3.59</v>
      </c>
      <c r="G9" s="56">
        <v>86.21</v>
      </c>
      <c r="H9" s="56">
        <v>35.67</v>
      </c>
      <c r="I9" s="56">
        <v>9.1300000000000008</v>
      </c>
      <c r="J9" s="56">
        <v>0.39</v>
      </c>
      <c r="K9" s="56">
        <v>338.90</v>
      </c>
      <c r="L9" s="56">
        <v>29.62</v>
      </c>
      <c r="M9" s="56">
        <v>53.81</v>
      </c>
      <c r="N9" s="56">
        <v>71.5</v>
      </c>
      <c r="O9" s="56">
        <v>0</v>
      </c>
      <c r="P9" s="56">
        <v>1.26</v>
      </c>
      <c r="Q9" s="56">
        <v>9.68</v>
      </c>
      <c r="R9" s="43"/>
      <c r="S9" s="43"/>
      <c r="T9" s="43"/>
      <c r="U9" s="43"/>
    </row>
    <row r="10" spans="1:21" s="11" customFormat="1" ht="15">
      <c r="A10" s="55" t="s">
        <v>687</v>
      </c>
      <c r="B10" s="56">
        <v>2.0699999999999998</v>
      </c>
      <c r="C10" s="56">
        <v>1.47</v>
      </c>
      <c r="D10" s="56">
        <v>1.70</v>
      </c>
      <c r="E10" s="56">
        <v>1.29</v>
      </c>
      <c r="F10" s="56">
        <v>3.88</v>
      </c>
      <c r="G10" s="56">
        <v>77.59</v>
      </c>
      <c r="H10" s="56">
        <v>31.79</v>
      </c>
      <c r="I10" s="56">
        <v>8.81</v>
      </c>
      <c r="J10" s="56">
        <v>0.37</v>
      </c>
      <c r="K10" s="56">
        <v>218.27</v>
      </c>
      <c r="L10" s="56">
        <v>28.54</v>
      </c>
      <c r="M10" s="56">
        <v>57.08</v>
      </c>
      <c r="N10" s="56">
        <v>78.400000000000006</v>
      </c>
      <c r="O10" s="56">
        <v>0</v>
      </c>
      <c r="P10" s="56">
        <v>1.03</v>
      </c>
      <c r="Q10" s="56">
        <v>9.56</v>
      </c>
      <c r="R10" s="43"/>
      <c r="S10" s="43"/>
      <c r="T10" s="43"/>
      <c r="U10" s="43"/>
    </row>
    <row r="11" spans="1:21" s="11" customFormat="1" ht="15">
      <c r="A11" s="55" t="s">
        <v>688</v>
      </c>
      <c r="B11" s="56">
        <v>2.04</v>
      </c>
      <c r="C11" s="56">
        <v>1.24</v>
      </c>
      <c r="D11" s="56">
        <v>1.55</v>
      </c>
      <c r="E11" s="56">
        <v>1.21</v>
      </c>
      <c r="F11" s="56">
        <v>3.71</v>
      </c>
      <c r="G11" s="56">
        <v>72.06</v>
      </c>
      <c r="H11" s="56">
        <v>31.23</v>
      </c>
      <c r="I11" s="56">
        <v>6.97</v>
      </c>
      <c r="J11" s="56">
        <v>0.14000000000000001</v>
      </c>
      <c r="K11" s="56">
        <v>331</v>
      </c>
      <c r="L11" s="56">
        <v>28.27</v>
      </c>
      <c r="M11" s="56">
        <v>58.26</v>
      </c>
      <c r="N11" s="56">
        <v>70.099999999999994</v>
      </c>
      <c r="O11" s="56">
        <v>0</v>
      </c>
      <c r="P11" s="56">
        <v>0.91</v>
      </c>
      <c r="Q11" s="56">
        <v>9.5399999999999991</v>
      </c>
      <c r="R11" s="43"/>
      <c r="S11" s="43"/>
      <c r="T11" s="43"/>
      <c r="U11" s="43"/>
    </row>
    <row r="12" spans="1:21" s="11" customFormat="1" ht="15">
      <c r="A12" s="55" t="s">
        <v>689</v>
      </c>
      <c r="B12" s="56">
        <v>1.88</v>
      </c>
      <c r="C12" s="56">
        <v>1.1200000000000001</v>
      </c>
      <c r="D12" s="56">
        <v>1.37</v>
      </c>
      <c r="E12" s="56">
        <v>1.88</v>
      </c>
      <c r="F12" s="56">
        <v>4</v>
      </c>
      <c r="G12" s="56">
        <v>63.84</v>
      </c>
      <c r="H12" s="56">
        <v>30.86</v>
      </c>
      <c r="I12" s="56">
        <v>7.69</v>
      </c>
      <c r="J12" s="56">
        <v>0.24</v>
      </c>
      <c r="K12" s="56">
        <v>350.88</v>
      </c>
      <c r="L12" s="56">
        <v>28.34</v>
      </c>
      <c r="M12" s="56">
        <v>58.41</v>
      </c>
      <c r="N12" s="56">
        <v>73.599999999999994</v>
      </c>
      <c r="O12" s="56">
        <v>0</v>
      </c>
      <c r="P12" s="56">
        <v>0.82</v>
      </c>
      <c r="Q12" s="56">
        <v>9.51</v>
      </c>
      <c r="R12" s="43"/>
      <c r="S12" s="43"/>
      <c r="T12" s="43"/>
      <c r="U12" s="43"/>
    </row>
    <row r="13" spans="1:21" s="11" customFormat="1" ht="15">
      <c r="A13" s="55" t="s">
        <v>690</v>
      </c>
      <c r="B13" s="56">
        <v>1.74</v>
      </c>
      <c r="C13" s="56">
        <v>0.72</v>
      </c>
      <c r="D13" s="56">
        <v>1.02</v>
      </c>
      <c r="E13" s="56">
        <v>1.46</v>
      </c>
      <c r="F13" s="56">
        <v>4.4000000000000004</v>
      </c>
      <c r="G13" s="56">
        <v>58.88</v>
      </c>
      <c r="H13" s="56">
        <v>30.53</v>
      </c>
      <c r="I13" s="56">
        <v>7.82</v>
      </c>
      <c r="J13" s="56">
        <v>0.49</v>
      </c>
      <c r="K13" s="56">
        <v>208.26</v>
      </c>
      <c r="L13" s="56">
        <v>27.44</v>
      </c>
      <c r="M13" s="56">
        <v>63.91</v>
      </c>
      <c r="N13" s="56">
        <v>65</v>
      </c>
      <c r="O13" s="56">
        <v>0</v>
      </c>
      <c r="P13" s="56">
        <v>0.72</v>
      </c>
      <c r="Q13" s="56">
        <v>9.42</v>
      </c>
      <c r="R13" s="43"/>
      <c r="S13" s="43"/>
      <c r="T13" s="43"/>
      <c r="U13" s="43"/>
    </row>
    <row r="14" spans="1:21" s="11" customFormat="1" ht="15">
      <c r="A14" s="55" t="s">
        <v>691</v>
      </c>
      <c r="B14" s="56">
        <v>1.75</v>
      </c>
      <c r="C14" s="56">
        <v>0.93</v>
      </c>
      <c r="D14" s="56">
        <v>1.1599999999999999</v>
      </c>
      <c r="E14" s="56">
        <v>1.17</v>
      </c>
      <c r="F14" s="56">
        <v>3.33</v>
      </c>
      <c r="G14" s="56">
        <v>53.84</v>
      </c>
      <c r="H14" s="56">
        <v>27.41</v>
      </c>
      <c r="I14" s="56">
        <v>7.19</v>
      </c>
      <c r="J14" s="56">
        <v>0.57999999999999996</v>
      </c>
      <c r="K14" s="56">
        <v>320.26</v>
      </c>
      <c r="L14" s="56">
        <v>26.96</v>
      </c>
      <c r="M14" s="56">
        <v>64.510000000000005</v>
      </c>
      <c r="N14" s="56">
        <v>89.40</v>
      </c>
      <c r="O14" s="56">
        <v>0</v>
      </c>
      <c r="P14" s="56">
        <v>0.67</v>
      </c>
      <c r="Q14" s="56">
        <v>9.31</v>
      </c>
      <c r="R14" s="43"/>
      <c r="S14" s="43"/>
      <c r="T14" s="43"/>
      <c r="U14" s="43"/>
    </row>
    <row r="15" spans="1:21" s="11" customFormat="1" ht="15">
      <c r="A15" s="55" t="s">
        <v>692</v>
      </c>
      <c r="B15" s="56">
        <v>1.83</v>
      </c>
      <c r="C15" s="56">
        <v>0.72</v>
      </c>
      <c r="D15" s="56">
        <v>1.1200000000000001</v>
      </c>
      <c r="E15" s="56">
        <v>1.18</v>
      </c>
      <c r="F15" s="56">
        <v>3.97</v>
      </c>
      <c r="G15" s="56">
        <v>54.17</v>
      </c>
      <c r="H15" s="56">
        <v>25.19</v>
      </c>
      <c r="I15" s="56">
        <v>7.18</v>
      </c>
      <c r="J15" s="56">
        <v>0.24</v>
      </c>
      <c r="K15" s="56">
        <v>356.90</v>
      </c>
      <c r="L15" s="56">
        <v>27.89</v>
      </c>
      <c r="M15" s="56">
        <v>66.510000000000005</v>
      </c>
      <c r="N15" s="56">
        <v>169.40</v>
      </c>
      <c r="O15" s="56">
        <v>0</v>
      </c>
      <c r="P15" s="56">
        <v>0.62</v>
      </c>
      <c r="Q15" s="56">
        <v>9.3800000000000008</v>
      </c>
      <c r="R15" s="43"/>
      <c r="S15" s="43"/>
      <c r="T15" s="43"/>
      <c r="U15" s="43"/>
    </row>
    <row r="16" spans="1:21" s="11" customFormat="1" ht="15">
      <c r="A16" s="55" t="s">
        <v>693</v>
      </c>
      <c r="B16" s="56">
        <v>1.84</v>
      </c>
      <c r="C16" s="56">
        <v>0.78</v>
      </c>
      <c r="D16" s="56">
        <v>1.1499999999999999</v>
      </c>
      <c r="E16" s="56">
        <v>1.34</v>
      </c>
      <c r="F16" s="56">
        <v>3.84</v>
      </c>
      <c r="G16" s="56">
        <v>57.48</v>
      </c>
      <c r="H16" s="56">
        <v>24.27</v>
      </c>
      <c r="I16" s="56">
        <v>6.75</v>
      </c>
      <c r="J16" s="56">
        <v>0.36</v>
      </c>
      <c r="K16" s="56">
        <v>311.88</v>
      </c>
      <c r="L16" s="56">
        <v>29.92</v>
      </c>
      <c r="M16" s="56">
        <v>65.98</v>
      </c>
      <c r="N16" s="56">
        <v>220</v>
      </c>
      <c r="O16" s="56">
        <v>0</v>
      </c>
      <c r="P16" s="56">
        <v>0.66</v>
      </c>
      <c r="Q16" s="56">
        <v>9.4499999999999993</v>
      </c>
      <c r="R16" s="43"/>
      <c r="S16" s="43"/>
      <c r="T16" s="43"/>
      <c r="U16" s="43"/>
    </row>
    <row r="17" spans="1:21" s="11" customFormat="1" ht="15">
      <c r="A17" s="55" t="s">
        <v>694</v>
      </c>
      <c r="B17" s="56">
        <v>1.92</v>
      </c>
      <c r="C17" s="56">
        <v>1.44</v>
      </c>
      <c r="D17" s="56">
        <v>1.54</v>
      </c>
      <c r="E17" s="56">
        <v>2.35</v>
      </c>
      <c r="F17" s="56">
        <v>4.4400000000000004</v>
      </c>
      <c r="G17" s="56">
        <v>60.10</v>
      </c>
      <c r="H17" s="56">
        <v>22.69</v>
      </c>
      <c r="I17" s="56">
        <v>7.09</v>
      </c>
      <c r="J17" s="56">
        <v>0.43</v>
      </c>
      <c r="K17" s="56">
        <v>312.99</v>
      </c>
      <c r="L17" s="56">
        <v>31.82</v>
      </c>
      <c r="M17" s="56">
        <v>52.59</v>
      </c>
      <c r="N17" s="56">
        <v>302</v>
      </c>
      <c r="O17" s="56">
        <v>0</v>
      </c>
      <c r="P17" s="56">
        <v>0.68</v>
      </c>
      <c r="Q17" s="56">
        <v>9.44</v>
      </c>
      <c r="R17" s="43"/>
      <c r="S17" s="43"/>
      <c r="T17" s="43"/>
      <c r="U17" s="43"/>
    </row>
    <row r="18" spans="1:21" s="11" customFormat="1" ht="15">
      <c r="A18" s="55" t="s">
        <v>695</v>
      </c>
      <c r="B18" s="56">
        <v>1.69</v>
      </c>
      <c r="C18" s="56">
        <v>1.38</v>
      </c>
      <c r="D18" s="56">
        <v>1.26</v>
      </c>
      <c r="E18" s="56">
        <v>3.83</v>
      </c>
      <c r="F18" s="56">
        <v>34.78</v>
      </c>
      <c r="G18" s="56">
        <v>60.10</v>
      </c>
      <c r="H18" s="56">
        <v>23.11</v>
      </c>
      <c r="I18" s="56">
        <v>7.05</v>
      </c>
      <c r="J18" s="56">
        <v>0.75</v>
      </c>
      <c r="K18" s="56">
        <v>315.86</v>
      </c>
      <c r="L18" s="56">
        <v>34.840000000000003</v>
      </c>
      <c r="M18" s="56">
        <v>43.28</v>
      </c>
      <c r="N18" s="56">
        <v>510.10</v>
      </c>
      <c r="O18" s="56">
        <v>0</v>
      </c>
      <c r="P18" s="56">
        <v>0.85</v>
      </c>
      <c r="Q18" s="56">
        <v>9.43</v>
      </c>
      <c r="R18" s="43"/>
      <c r="S18" s="43"/>
      <c r="T18" s="43"/>
      <c r="U18" s="43"/>
    </row>
    <row r="19" spans="1:21" s="11" customFormat="1" ht="15">
      <c r="A19" s="55" t="s">
        <v>696</v>
      </c>
      <c r="B19" s="56">
        <v>1.53</v>
      </c>
      <c r="C19" s="56">
        <v>2.02</v>
      </c>
      <c r="D19" s="56">
        <v>1.55</v>
      </c>
      <c r="E19" s="56">
        <v>4.7699999999999996</v>
      </c>
      <c r="F19" s="56">
        <v>35.51</v>
      </c>
      <c r="G19" s="56">
        <v>68.14</v>
      </c>
      <c r="H19" s="56">
        <v>23.25</v>
      </c>
      <c r="I19" s="56">
        <v>5.86</v>
      </c>
      <c r="J19" s="56">
        <v>0.54</v>
      </c>
      <c r="K19" s="56">
        <v>322.45999999999998</v>
      </c>
      <c r="L19" s="56">
        <v>38.44</v>
      </c>
      <c r="M19" s="56">
        <v>36.340000000000003</v>
      </c>
      <c r="N19" s="56">
        <v>696.90</v>
      </c>
      <c r="O19" s="56">
        <v>0</v>
      </c>
      <c r="P19" s="56">
        <v>0.93</v>
      </c>
      <c r="Q19" s="56">
        <v>9.56</v>
      </c>
      <c r="R19" s="43"/>
      <c r="S19" s="43"/>
      <c r="T19" s="43"/>
      <c r="U19" s="43"/>
    </row>
    <row r="20" spans="1:21" s="11" customFormat="1" ht="15">
      <c r="A20" s="55" t="s">
        <v>697</v>
      </c>
      <c r="B20" s="56">
        <v>2.02</v>
      </c>
      <c r="C20" s="56">
        <v>5.14</v>
      </c>
      <c r="D20" s="56">
        <v>3.51</v>
      </c>
      <c r="E20" s="56">
        <v>2.29</v>
      </c>
      <c r="F20" s="56">
        <v>9.65</v>
      </c>
      <c r="G20" s="56">
        <v>68.14</v>
      </c>
      <c r="H20" s="56">
        <v>25.57</v>
      </c>
      <c r="I20" s="56">
        <v>4.6100000000000003</v>
      </c>
      <c r="J20" s="56">
        <v>0.95</v>
      </c>
      <c r="K20" s="56">
        <v>333.72</v>
      </c>
      <c r="L20" s="56">
        <v>40.21</v>
      </c>
      <c r="M20" s="56">
        <v>31.16</v>
      </c>
      <c r="N20" s="56">
        <v>735.5</v>
      </c>
      <c r="O20" s="56">
        <v>0</v>
      </c>
      <c r="P20" s="56">
        <v>0.90</v>
      </c>
      <c r="Q20" s="56">
        <v>9.43</v>
      </c>
      <c r="R20" s="43"/>
      <c r="S20" s="43"/>
      <c r="T20" s="43"/>
      <c r="U20" s="43"/>
    </row>
    <row r="21" spans="1:21" s="11" customFormat="1" ht="15">
      <c r="A21" s="55" t="s">
        <v>698</v>
      </c>
      <c r="B21" s="56">
        <v>1.64</v>
      </c>
      <c r="C21" s="56">
        <v>0.88</v>
      </c>
      <c r="D21" s="56">
        <v>1.05</v>
      </c>
      <c r="E21" s="56">
        <v>1.25</v>
      </c>
      <c r="F21" s="56">
        <v>9.1199999999999992</v>
      </c>
      <c r="G21" s="56">
        <v>67.09</v>
      </c>
      <c r="H21" s="56">
        <v>26.19</v>
      </c>
      <c r="I21" s="56">
        <v>5</v>
      </c>
      <c r="J21" s="56">
        <v>1.0900000000000001</v>
      </c>
      <c r="K21" s="56">
        <v>325.27999999999997</v>
      </c>
      <c r="L21" s="56">
        <v>42.02</v>
      </c>
      <c r="M21" s="56">
        <v>26.54</v>
      </c>
      <c r="N21" s="56">
        <v>918.10</v>
      </c>
      <c r="O21" s="56">
        <v>0</v>
      </c>
      <c r="P21" s="56">
        <v>0.86</v>
      </c>
      <c r="Q21" s="56">
        <v>9.49</v>
      </c>
      <c r="R21" s="43"/>
      <c r="S21" s="43"/>
      <c r="T21" s="43"/>
      <c r="U21" s="43"/>
    </row>
    <row r="22" spans="1:21" s="11" customFormat="1" ht="15">
      <c r="A22" s="55" t="s">
        <v>699</v>
      </c>
      <c r="B22" s="56">
        <v>1.60</v>
      </c>
      <c r="C22" s="56">
        <v>0.84</v>
      </c>
      <c r="D22" s="56">
        <v>0.97</v>
      </c>
      <c r="E22" s="56">
        <v>1.82</v>
      </c>
      <c r="F22" s="56">
        <v>15.42</v>
      </c>
      <c r="G22" s="56">
        <v>67.09</v>
      </c>
      <c r="H22" s="56">
        <v>26.19</v>
      </c>
      <c r="I22" s="56">
        <v>4.66</v>
      </c>
      <c r="J22" s="56">
        <v>1.57</v>
      </c>
      <c r="K22" s="56">
        <v>340.58</v>
      </c>
      <c r="L22" s="56">
        <v>42.21</v>
      </c>
      <c r="M22" s="56">
        <v>20.12</v>
      </c>
      <c r="N22" s="56">
        <v>845.20</v>
      </c>
      <c r="O22" s="56">
        <v>0</v>
      </c>
      <c r="P22" s="56">
        <v>0.60</v>
      </c>
      <c r="Q22" s="56">
        <v>9.3800000000000008</v>
      </c>
      <c r="R22" s="43"/>
      <c r="S22" s="43"/>
      <c r="T22" s="43"/>
      <c r="U22" s="43"/>
    </row>
    <row r="23" spans="1:21" s="11" customFormat="1" ht="15">
      <c r="A23" s="55" t="s">
        <v>700</v>
      </c>
      <c r="B23" s="56">
        <v>1.45</v>
      </c>
      <c r="C23" s="56">
        <v>0.81</v>
      </c>
      <c r="D23" s="56">
        <v>0.86</v>
      </c>
      <c r="E23" s="56">
        <v>0.83</v>
      </c>
      <c r="F23" s="56">
        <v>10.72</v>
      </c>
      <c r="G23" s="56">
        <v>58.72</v>
      </c>
      <c r="H23" s="56">
        <v>25.53</v>
      </c>
      <c r="I23" s="56">
        <v>3.86</v>
      </c>
      <c r="J23" s="56">
        <v>1.36</v>
      </c>
      <c r="K23" s="56">
        <v>340.49</v>
      </c>
      <c r="L23" s="56">
        <v>41.24</v>
      </c>
      <c r="M23" s="56">
        <v>21.72</v>
      </c>
      <c r="N23" s="56">
        <v>610</v>
      </c>
      <c r="O23" s="56">
        <v>0</v>
      </c>
      <c r="P23" s="56">
        <v>0.51</v>
      </c>
      <c r="Q23" s="56">
        <v>9.32</v>
      </c>
      <c r="R23" s="43"/>
      <c r="S23" s="43"/>
      <c r="T23" s="43"/>
      <c r="U23" s="43"/>
    </row>
    <row r="24" spans="1:21" s="11" customFormat="1" ht="15">
      <c r="A24" s="55" t="s">
        <v>701</v>
      </c>
      <c r="B24" s="56">
        <v>1.43</v>
      </c>
      <c r="C24" s="56">
        <v>3.96</v>
      </c>
      <c r="D24" s="56">
        <v>2.37</v>
      </c>
      <c r="E24" s="56">
        <v>1.40</v>
      </c>
      <c r="F24" s="56">
        <v>5.78</v>
      </c>
      <c r="G24" s="56">
        <v>58.72</v>
      </c>
      <c r="H24" s="56">
        <v>26.53</v>
      </c>
      <c r="I24" s="56">
        <v>4.2699999999999996</v>
      </c>
      <c r="J24" s="56">
        <v>1.35</v>
      </c>
      <c r="K24" s="56">
        <v>324.19</v>
      </c>
      <c r="L24" s="56">
        <v>39.42</v>
      </c>
      <c r="M24" s="56">
        <v>21.72</v>
      </c>
      <c r="N24" s="56">
        <v>276.20</v>
      </c>
      <c r="O24" s="56">
        <v>0</v>
      </c>
      <c r="P24" s="56">
        <v>0.49</v>
      </c>
      <c r="Q24" s="56">
        <v>9.52</v>
      </c>
      <c r="R24" s="43"/>
      <c r="S24" s="43"/>
      <c r="T24" s="43"/>
      <c r="U24" s="43"/>
    </row>
    <row r="25" spans="1:21" s="11" customFormat="1" ht="15">
      <c r="A25" s="55" t="s">
        <v>702</v>
      </c>
      <c r="B25" s="56">
        <v>2.5099999999999998</v>
      </c>
      <c r="C25" s="56">
        <v>1.79</v>
      </c>
      <c r="D25" s="56">
        <v>4.0999999999999996</v>
      </c>
      <c r="E25" s="56">
        <v>1.80</v>
      </c>
      <c r="F25" s="56">
        <v>10.220000000000001</v>
      </c>
      <c r="G25" s="56">
        <v>50.97</v>
      </c>
      <c r="H25" s="56">
        <v>26.53</v>
      </c>
      <c r="I25" s="56">
        <v>5.27</v>
      </c>
      <c r="J25" s="56">
        <v>1.60</v>
      </c>
      <c r="K25" s="56">
        <v>167</v>
      </c>
      <c r="L25" s="56">
        <v>37.97</v>
      </c>
      <c r="M25" s="56">
        <v>22.18</v>
      </c>
      <c r="N25" s="56">
        <v>198.10</v>
      </c>
      <c r="O25" s="56">
        <v>0</v>
      </c>
      <c r="P25" s="56">
        <v>0.43</v>
      </c>
      <c r="Q25" s="56">
        <v>9.5299999999999994</v>
      </c>
      <c r="R25" s="43"/>
      <c r="S25" s="43"/>
      <c r="T25" s="43"/>
      <c r="U25" s="43"/>
    </row>
    <row r="26" spans="1:21" s="11" customFormat="1" ht="15">
      <c r="A26" s="55" t="s">
        <v>703</v>
      </c>
      <c r="B26" s="56">
        <v>2.4900000000000002</v>
      </c>
      <c r="C26" s="56">
        <v>1.93</v>
      </c>
      <c r="D26" s="56">
        <v>4.1500000000000004</v>
      </c>
      <c r="E26" s="56">
        <v>1.97</v>
      </c>
      <c r="F26" s="56">
        <v>6.46</v>
      </c>
      <c r="G26" s="56">
        <v>57.07</v>
      </c>
      <c r="H26" s="56">
        <v>24.25</v>
      </c>
      <c r="I26" s="56">
        <v>6.81</v>
      </c>
      <c r="J26" s="56">
        <v>1.44</v>
      </c>
      <c r="K26" s="56">
        <v>170.83</v>
      </c>
      <c r="L26" s="56">
        <v>37.159999999999997</v>
      </c>
      <c r="M26" s="56">
        <v>24.24</v>
      </c>
      <c r="N26" s="56">
        <v>82.10</v>
      </c>
      <c r="O26" s="56">
        <v>0</v>
      </c>
      <c r="P26" s="56">
        <v>0.35</v>
      </c>
      <c r="Q26" s="56">
        <v>9.5399999999999991</v>
      </c>
      <c r="R26" s="43"/>
      <c r="S26" s="43"/>
      <c r="T26" s="43"/>
      <c r="U26" s="43"/>
    </row>
    <row r="27" spans="1:21" s="11" customFormat="1" ht="15">
      <c r="A27" s="55" t="s">
        <v>704</v>
      </c>
      <c r="B27" s="56">
        <v>3.18</v>
      </c>
      <c r="C27" s="56">
        <v>4.96</v>
      </c>
      <c r="D27" s="56">
        <v>6.29</v>
      </c>
      <c r="E27" s="56">
        <v>1.94</v>
      </c>
      <c r="F27" s="56">
        <v>4.5</v>
      </c>
      <c r="G27" s="56">
        <v>64.989999999999995</v>
      </c>
      <c r="H27" s="56">
        <v>23.63</v>
      </c>
      <c r="I27" s="56">
        <v>7.57</v>
      </c>
      <c r="J27" s="56">
        <v>1.06</v>
      </c>
      <c r="K27" s="56">
        <v>294.55</v>
      </c>
      <c r="L27" s="56">
        <v>36.229999999999997</v>
      </c>
      <c r="M27" s="56">
        <v>29.45</v>
      </c>
      <c r="N27" s="56">
        <v>25.10</v>
      </c>
      <c r="O27" s="56">
        <v>0</v>
      </c>
      <c r="P27" s="56">
        <v>0.52</v>
      </c>
      <c r="Q27" s="56">
        <v>9.4700000000000006</v>
      </c>
      <c r="R27" s="43"/>
      <c r="S27" s="43"/>
      <c r="T27" s="43"/>
      <c r="U27" s="43"/>
    </row>
    <row r="28" spans="1:21" s="11" customFormat="1" ht="15">
      <c r="A28" s="55" t="s">
        <v>705</v>
      </c>
      <c r="B28" s="56">
        <v>3.82</v>
      </c>
      <c r="C28" s="56">
        <v>6.51</v>
      </c>
      <c r="D28" s="56">
        <v>7.61</v>
      </c>
      <c r="E28" s="56">
        <v>1.87</v>
      </c>
      <c r="F28" s="56">
        <v>3.92</v>
      </c>
      <c r="G28" s="56">
        <v>83.01</v>
      </c>
      <c r="H28" s="56">
        <v>29.41</v>
      </c>
      <c r="I28" s="56">
        <v>8.7899999999999991</v>
      </c>
      <c r="J28" s="56">
        <v>0.95</v>
      </c>
      <c r="K28" s="56">
        <v>278.24</v>
      </c>
      <c r="L28" s="56">
        <v>34.119999999999997</v>
      </c>
      <c r="M28" s="56">
        <v>31.72</v>
      </c>
      <c r="N28" s="56">
        <v>11.40</v>
      </c>
      <c r="O28" s="56">
        <v>0</v>
      </c>
      <c r="P28" s="56">
        <v>0.78</v>
      </c>
      <c r="Q28" s="56">
        <v>9.67</v>
      </c>
      <c r="R28" s="43"/>
      <c r="S28" s="43"/>
      <c r="T28" s="43"/>
      <c r="U28" s="43"/>
    </row>
    <row r="29" spans="1:21" s="11" customFormat="1" ht="15">
      <c r="A29" s="55" t="s">
        <v>706</v>
      </c>
      <c r="B29" s="56">
        <v>4.2699999999999996</v>
      </c>
      <c r="C29" s="56">
        <v>6.28</v>
      </c>
      <c r="D29" s="56">
        <v>7.85</v>
      </c>
      <c r="E29" s="56">
        <v>1.5</v>
      </c>
      <c r="F29" s="56">
        <v>3.94</v>
      </c>
      <c r="G29" s="56">
        <v>97.88</v>
      </c>
      <c r="H29" s="56">
        <v>30.74</v>
      </c>
      <c r="I29" s="56">
        <v>9.92</v>
      </c>
      <c r="J29" s="56">
        <v>0.76</v>
      </c>
      <c r="K29" s="56">
        <v>191.85</v>
      </c>
      <c r="L29" s="56">
        <v>33.46</v>
      </c>
      <c r="M29" s="56">
        <v>30.85</v>
      </c>
      <c r="N29" s="56">
        <v>11</v>
      </c>
      <c r="O29" s="56">
        <v>0</v>
      </c>
      <c r="P29" s="56">
        <v>0.91</v>
      </c>
      <c r="Q29" s="56">
        <v>9.9499999999999993</v>
      </c>
      <c r="R29" s="43"/>
      <c r="S29" s="43"/>
      <c r="T29" s="43"/>
      <c r="U29" s="43"/>
    </row>
    <row r="30" spans="1:21" s="11" customFormat="1" ht="15">
      <c r="A30" s="55" t="s">
        <v>707</v>
      </c>
      <c r="B30" s="56">
        <v>4.55</v>
      </c>
      <c r="C30" s="56">
        <v>5.5</v>
      </c>
      <c r="D30" s="56">
        <v>7.66</v>
      </c>
      <c r="E30" s="56">
        <v>1.74</v>
      </c>
      <c r="F30" s="56">
        <v>3.82</v>
      </c>
      <c r="G30" s="56">
        <v>97.88</v>
      </c>
      <c r="H30" s="56">
        <v>34.58</v>
      </c>
      <c r="I30" s="56">
        <v>10.44</v>
      </c>
      <c r="J30" s="56">
        <v>1.37</v>
      </c>
      <c r="K30" s="56">
        <v>157.15</v>
      </c>
      <c r="L30" s="56">
        <v>33.119999999999997</v>
      </c>
      <c r="M30" s="56">
        <v>29.66</v>
      </c>
      <c r="N30" s="56">
        <v>10.90</v>
      </c>
      <c r="O30" s="56">
        <v>0</v>
      </c>
      <c r="P30" s="56">
        <v>0.95</v>
      </c>
      <c r="Q30" s="56">
        <v>10.199999999999999</v>
      </c>
      <c r="R30" s="43"/>
      <c r="S30" s="43"/>
      <c r="T30" s="43"/>
      <c r="U30" s="43"/>
    </row>
    <row r="31" spans="1:21" s="11" customFormat="1" ht="15">
      <c r="A31" s="55" t="s">
        <v>708</v>
      </c>
      <c r="B31" s="56">
        <v>4.0999999999999996</v>
      </c>
      <c r="C31" s="56">
        <v>4.6500000000000004</v>
      </c>
      <c r="D31" s="56">
        <v>6.86</v>
      </c>
      <c r="E31" s="56">
        <v>1.71</v>
      </c>
      <c r="F31" s="56">
        <v>4.08</v>
      </c>
      <c r="G31" s="56">
        <v>92.31</v>
      </c>
      <c r="H31" s="56">
        <v>35.42</v>
      </c>
      <c r="I31" s="56">
        <v>11.11</v>
      </c>
      <c r="J31" s="56">
        <v>0.95</v>
      </c>
      <c r="K31" s="56">
        <v>254.76</v>
      </c>
      <c r="L31" s="56">
        <v>31.95</v>
      </c>
      <c r="M31" s="56">
        <v>33.799999999999997</v>
      </c>
      <c r="N31" s="56">
        <v>11.20</v>
      </c>
      <c r="O31" s="56">
        <v>0</v>
      </c>
      <c r="P31" s="56">
        <v>0.95</v>
      </c>
      <c r="Q31" s="56">
        <v>10.16</v>
      </c>
      <c r="R31" s="43"/>
      <c r="S31" s="43"/>
      <c r="T31" s="43"/>
      <c r="U31" s="43"/>
    </row>
    <row r="32" spans="1:21" s="11" customFormat="1" ht="15">
      <c r="A32" s="55" t="s">
        <v>709</v>
      </c>
      <c r="B32" s="56">
        <v>4.0199999999999996</v>
      </c>
      <c r="C32" s="56">
        <v>4.87</v>
      </c>
      <c r="D32" s="56">
        <v>6.91</v>
      </c>
      <c r="E32" s="56">
        <v>2.37</v>
      </c>
      <c r="F32" s="56">
        <v>4</v>
      </c>
      <c r="G32" s="56">
        <v>92.26</v>
      </c>
      <c r="H32" s="56">
        <v>35.42</v>
      </c>
      <c r="I32" s="56">
        <v>10.33</v>
      </c>
      <c r="J32" s="56">
        <v>0.66</v>
      </c>
      <c r="K32" s="56">
        <v>171.32</v>
      </c>
      <c r="L32" s="56">
        <v>31.15</v>
      </c>
      <c r="M32" s="56">
        <v>37.75</v>
      </c>
      <c r="N32" s="56">
        <v>10.90</v>
      </c>
      <c r="O32" s="56">
        <v>0</v>
      </c>
      <c r="P32" s="56">
        <v>0.93</v>
      </c>
      <c r="Q32" s="56">
        <v>9.98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1.4299999999999999</v>
      </c>
      <c r="C34" s="28">
        <f t="shared" si="0"/>
        <v>0.71999999999999997</v>
      </c>
      <c r="D34" s="28">
        <f t="shared" si="0"/>
        <v>0.85999999999999999</v>
      </c>
      <c r="E34" s="28">
        <f t="shared" si="0"/>
        <v>0.82999999999999996</v>
      </c>
      <c r="F34" s="28">
        <f t="shared" si="0"/>
        <v>3.3300000000000001</v>
      </c>
      <c r="G34" s="28">
        <f t="shared" si="0"/>
        <v>50.969999999999999</v>
      </c>
      <c r="H34" s="28">
        <f t="shared" si="0"/>
        <v>22.690000000000001</v>
      </c>
      <c r="I34" s="28">
        <f t="shared" si="0"/>
        <v>3.8599999999999999</v>
      </c>
      <c r="J34" s="28">
        <f t="shared" si="0"/>
        <v>0.14000000000000001</v>
      </c>
      <c r="K34" s="28">
        <f t="shared" si="0"/>
        <v>157.15000000000001</v>
      </c>
      <c r="L34" s="28">
        <f t="shared" si="0"/>
        <v>26.960000000000001</v>
      </c>
      <c r="M34" s="28">
        <f t="shared" si="0"/>
        <v>20.120000000000001</v>
      </c>
      <c r="N34" s="28">
        <f t="shared" si="0"/>
        <v>10.9</v>
      </c>
      <c r="O34" s="28">
        <f t="shared" si="0"/>
        <v>0</v>
      </c>
      <c r="P34" s="28">
        <f t="shared" si="0"/>
        <v>0.34999999999999998</v>
      </c>
      <c r="Q34" s="28">
        <f t="shared" si="0"/>
        <v>9.3100000000000005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4.5499999999999998</v>
      </c>
      <c r="C35" s="29">
        <f t="shared" si="1"/>
        <v>6.5099999999999998</v>
      </c>
      <c r="D35" s="29">
        <f t="shared" si="1"/>
        <v>7.8499999999999996</v>
      </c>
      <c r="E35" s="29">
        <f t="shared" si="1"/>
        <v>4.7699999999999996</v>
      </c>
      <c r="F35" s="29">
        <f t="shared" si="1"/>
        <v>35.509999999999998</v>
      </c>
      <c r="G35" s="29">
        <f t="shared" si="1"/>
        <v>97.879999999999995</v>
      </c>
      <c r="H35" s="29">
        <f t="shared" si="1"/>
        <v>35.670000000000002</v>
      </c>
      <c r="I35" s="29">
        <f t="shared" si="1"/>
        <v>11.109999999999999</v>
      </c>
      <c r="J35" s="29">
        <f t="shared" si="1"/>
        <v>1.6000000000000001</v>
      </c>
      <c r="K35" s="29">
        <f t="shared" si="1"/>
        <v>356.89999999999998</v>
      </c>
      <c r="L35" s="29">
        <f t="shared" si="1"/>
        <v>42.210000000000001</v>
      </c>
      <c r="M35" s="29">
        <f t="shared" si="1"/>
        <v>66.510000000000005</v>
      </c>
      <c r="N35" s="29">
        <f t="shared" si="1"/>
        <v>918.10000000000002</v>
      </c>
      <c r="O35" s="29">
        <f t="shared" si="1"/>
        <v>0</v>
      </c>
      <c r="P35" s="29">
        <f t="shared" si="1"/>
        <v>1.26</v>
      </c>
      <c r="Q35" s="29">
        <f t="shared" si="1"/>
        <v>10.199999999999999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2.4233333333333338</v>
      </c>
      <c r="C36" s="28">
        <f t="shared" si="2"/>
        <v>2.628333333333333</v>
      </c>
      <c r="D36" s="28">
        <f t="shared" si="2"/>
        <v>3.1983333333333328</v>
      </c>
      <c r="E36" s="28">
        <f t="shared" si="2"/>
        <v>1.8533333333333328</v>
      </c>
      <c r="F36" s="28">
        <f t="shared" si="2"/>
        <v>8.211666666666666</v>
      </c>
      <c r="G36" s="28">
        <f t="shared" si="2"/>
        <v>69.522500000000008</v>
      </c>
      <c r="H36" s="28">
        <f t="shared" si="2"/>
        <v>28.166249999999994</v>
      </c>
      <c r="I36" s="28">
        <f t="shared" si="2"/>
        <v>7.2574999999999994</v>
      </c>
      <c r="J36" s="28">
        <f t="shared" si="2"/>
        <v>0.81833333333333336</v>
      </c>
      <c r="K36" s="28">
        <f t="shared" si="2"/>
        <v>280.73416666666662</v>
      </c>
      <c r="L36" s="28">
        <f t="shared" si="2"/>
        <v>33.847500000000004</v>
      </c>
      <c r="M36" s="28">
        <f t="shared" si="2"/>
        <v>40.899583333333332</v>
      </c>
      <c r="N36" s="28">
        <f t="shared" si="2"/>
        <v>253.83749999999998</v>
      </c>
      <c r="O36" s="28">
        <f t="shared" si="2"/>
        <v>0</v>
      </c>
      <c r="P36" s="28">
        <f t="shared" si="2"/>
        <v>0.76374999999999993</v>
      </c>
      <c r="Q36" s="28">
        <f t="shared" si="2"/>
        <v>9.5799999999999983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1.0026081928678789</v>
      </c>
      <c r="C37" s="28">
        <f t="shared" si="3" ref="C37:Q37">STDEV(C9:C32)</f>
        <v>2.0082604773603294</v>
      </c>
      <c r="D37" s="28">
        <f t="shared" si="3"/>
        <v>2.5558707640095664</v>
      </c>
      <c r="E37" s="28">
        <f t="shared" si="3"/>
        <v>0.86243168181433527</v>
      </c>
      <c r="F37" s="28">
        <f t="shared" si="3"/>
        <v>8.8405875599870107</v>
      </c>
      <c r="G37" s="28">
        <f t="shared" si="3"/>
        <v>14.588708036488804</v>
      </c>
      <c r="H37" s="28">
        <f t="shared" si="3"/>
        <v>4.2391291276475531</v>
      </c>
      <c r="I37" s="28">
        <f t="shared" si="3"/>
        <v>2.0452644136490377</v>
      </c>
      <c r="J37" s="28">
        <f t="shared" si="3"/>
        <v>0.45572366404545472</v>
      </c>
      <c r="K37" s="28">
        <f t="shared" si="3"/>
        <v>68.269636634684943</v>
      </c>
      <c r="L37" s="28">
        <f t="shared" si="3"/>
        <v>5.027139605053291</v>
      </c>
      <c r="M37" s="28">
        <f t="shared" si="3"/>
        <v>16.379981015853176</v>
      </c>
      <c r="N37" s="28">
        <f t="shared" si="3"/>
        <v>294.54615614165817</v>
      </c>
      <c r="O37" s="28">
        <f t="shared" si="3"/>
        <v>0</v>
      </c>
      <c r="P37" s="28">
        <f t="shared" si="3"/>
        <v>0.2167509590771623</v>
      </c>
      <c r="Q37" s="28">
        <f t="shared" si="3"/>
        <v>0.24659419225158755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f0d36a-cbe3-4f88-aff8-bd97b026de50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710</v>
      </c>
      <c r="B9" s="56">
        <v>3.56</v>
      </c>
      <c r="C9" s="56">
        <v>3.56</v>
      </c>
      <c r="D9" s="56">
        <v>5.86</v>
      </c>
      <c r="E9" s="56">
        <v>0.74</v>
      </c>
      <c r="F9" s="56">
        <v>3.82</v>
      </c>
      <c r="G9" s="56">
        <v>82.01</v>
      </c>
      <c r="H9" s="56">
        <v>34.299999999999997</v>
      </c>
      <c r="I9" s="56">
        <v>9.57</v>
      </c>
      <c r="J9" s="56">
        <v>0.92</v>
      </c>
      <c r="K9" s="56">
        <v>308.17</v>
      </c>
      <c r="L9" s="56">
        <v>30.18</v>
      </c>
      <c r="M9" s="56">
        <v>41.15</v>
      </c>
      <c r="N9" s="56">
        <v>10.90</v>
      </c>
      <c r="O9" s="56">
        <v>0</v>
      </c>
      <c r="P9" s="56">
        <v>0.85</v>
      </c>
      <c r="Q9" s="56">
        <v>9.76</v>
      </c>
      <c r="R9" s="43"/>
      <c r="S9" s="43"/>
      <c r="T9" s="43"/>
      <c r="U9" s="43"/>
    </row>
    <row r="10" spans="1:21" s="11" customFormat="1" ht="15">
      <c r="A10" s="55" t="s">
        <v>711</v>
      </c>
      <c r="B10" s="56">
        <v>2.71</v>
      </c>
      <c r="C10" s="56">
        <v>1.25</v>
      </c>
      <c r="D10" s="56">
        <v>3.97</v>
      </c>
      <c r="E10" s="56">
        <v>0.85</v>
      </c>
      <c r="F10" s="56">
        <v>3.73</v>
      </c>
      <c r="G10" s="56">
        <v>73.28</v>
      </c>
      <c r="H10" s="56">
        <v>30.32</v>
      </c>
      <c r="I10" s="56">
        <v>7.93</v>
      </c>
      <c r="J10" s="56">
        <v>1.06</v>
      </c>
      <c r="K10" s="56">
        <v>327.88</v>
      </c>
      <c r="L10" s="56">
        <v>29.66</v>
      </c>
      <c r="M10" s="56">
        <v>43.5</v>
      </c>
      <c r="N10" s="56">
        <v>10.80</v>
      </c>
      <c r="O10" s="56">
        <v>0</v>
      </c>
      <c r="P10" s="56">
        <v>0.73</v>
      </c>
      <c r="Q10" s="56">
        <v>9.61</v>
      </c>
      <c r="R10" s="43"/>
      <c r="S10" s="43"/>
      <c r="T10" s="43"/>
      <c r="U10" s="43"/>
    </row>
    <row r="11" spans="1:21" s="11" customFormat="1" ht="15">
      <c r="A11" s="55" t="s">
        <v>712</v>
      </c>
      <c r="B11" s="56">
        <v>2.61</v>
      </c>
      <c r="C11" s="56">
        <v>1.05</v>
      </c>
      <c r="D11" s="56">
        <v>3.78</v>
      </c>
      <c r="E11" s="56">
        <v>0.84</v>
      </c>
      <c r="F11" s="56">
        <v>4.03</v>
      </c>
      <c r="G11" s="56">
        <v>60.33</v>
      </c>
      <c r="H11" s="56">
        <v>25.72</v>
      </c>
      <c r="I11" s="56">
        <v>7.55</v>
      </c>
      <c r="J11" s="56">
        <v>0.62</v>
      </c>
      <c r="K11" s="56">
        <v>244.87</v>
      </c>
      <c r="L11" s="56">
        <v>29.04</v>
      </c>
      <c r="M11" s="56">
        <v>47.41</v>
      </c>
      <c r="N11" s="56">
        <v>10.60</v>
      </c>
      <c r="O11" s="56">
        <v>0</v>
      </c>
      <c r="P11" s="56">
        <v>0.67</v>
      </c>
      <c r="Q11" s="56">
        <v>9.57</v>
      </c>
      <c r="R11" s="43"/>
      <c r="S11" s="43"/>
      <c r="T11" s="43"/>
      <c r="U11" s="43"/>
    </row>
    <row r="12" spans="1:21" s="11" customFormat="1" ht="15">
      <c r="A12" s="55" t="s">
        <v>713</v>
      </c>
      <c r="B12" s="56">
        <v>2.74</v>
      </c>
      <c r="C12" s="56">
        <v>1.72</v>
      </c>
      <c r="D12" s="56">
        <v>4.24</v>
      </c>
      <c r="E12" s="56">
        <v>1.36</v>
      </c>
      <c r="F12" s="56">
        <v>3.79</v>
      </c>
      <c r="G12" s="56">
        <v>50.24</v>
      </c>
      <c r="H12" s="56">
        <v>22.47</v>
      </c>
      <c r="I12" s="56">
        <v>7.69</v>
      </c>
      <c r="J12" s="56">
        <v>0.62</v>
      </c>
      <c r="K12" s="56">
        <v>312.31</v>
      </c>
      <c r="L12" s="56">
        <v>28.52</v>
      </c>
      <c r="M12" s="56">
        <v>51.75</v>
      </c>
      <c r="N12" s="56">
        <v>10.70</v>
      </c>
      <c r="O12" s="56">
        <v>0</v>
      </c>
      <c r="P12" s="56">
        <v>0.60</v>
      </c>
      <c r="Q12" s="56">
        <v>9.51</v>
      </c>
      <c r="R12" s="43"/>
      <c r="S12" s="43"/>
      <c r="T12" s="43"/>
      <c r="U12" s="43"/>
    </row>
    <row r="13" spans="1:21" s="11" customFormat="1" ht="15">
      <c r="A13" s="55" t="s">
        <v>714</v>
      </c>
      <c r="B13" s="56">
        <v>2.66</v>
      </c>
      <c r="C13" s="56">
        <v>1.59</v>
      </c>
      <c r="D13" s="56">
        <v>4.1100000000000003</v>
      </c>
      <c r="E13" s="56">
        <v>1.02</v>
      </c>
      <c r="F13" s="56">
        <v>4.21</v>
      </c>
      <c r="G13" s="56">
        <v>44.81</v>
      </c>
      <c r="H13" s="56">
        <v>20.18</v>
      </c>
      <c r="I13" s="56">
        <v>7.24</v>
      </c>
      <c r="J13" s="56">
        <v>0.93</v>
      </c>
      <c r="K13" s="56">
        <v>293.81</v>
      </c>
      <c r="L13" s="56">
        <v>28.46</v>
      </c>
      <c r="M13" s="56">
        <v>52.29</v>
      </c>
      <c r="N13" s="56">
        <v>11</v>
      </c>
      <c r="O13" s="56">
        <v>0</v>
      </c>
      <c r="P13" s="56">
        <v>0.52</v>
      </c>
      <c r="Q13" s="56">
        <v>9.49</v>
      </c>
      <c r="R13" s="43"/>
      <c r="S13" s="43"/>
      <c r="T13" s="43"/>
      <c r="U13" s="43"/>
    </row>
    <row r="14" spans="1:21" s="11" customFormat="1" ht="15">
      <c r="A14" s="55" t="s">
        <v>715</v>
      </c>
      <c r="B14" s="56">
        <v>2.62</v>
      </c>
      <c r="C14" s="56">
        <v>1.36</v>
      </c>
      <c r="D14" s="56">
        <v>3.96</v>
      </c>
      <c r="E14" s="56">
        <v>1.02</v>
      </c>
      <c r="F14" s="56">
        <v>3.87</v>
      </c>
      <c r="G14" s="56">
        <v>41.04</v>
      </c>
      <c r="H14" s="56">
        <v>15.82</v>
      </c>
      <c r="I14" s="56">
        <v>6.70</v>
      </c>
      <c r="J14" s="56">
        <v>0.40</v>
      </c>
      <c r="K14" s="56">
        <v>280.79000000000002</v>
      </c>
      <c r="L14" s="56">
        <v>28.22</v>
      </c>
      <c r="M14" s="56">
        <v>53.06</v>
      </c>
      <c r="N14" s="56">
        <v>33.799999999999997</v>
      </c>
      <c r="O14" s="56">
        <v>0</v>
      </c>
      <c r="P14" s="56">
        <v>0.45</v>
      </c>
      <c r="Q14" s="56">
        <v>9.43</v>
      </c>
      <c r="R14" s="43"/>
      <c r="S14" s="43"/>
      <c r="T14" s="43"/>
      <c r="U14" s="43"/>
    </row>
    <row r="15" spans="1:21" s="11" customFormat="1" ht="15">
      <c r="A15" s="55" t="s">
        <v>716</v>
      </c>
      <c r="B15" s="56">
        <v>2.65</v>
      </c>
      <c r="C15" s="56">
        <v>1.36</v>
      </c>
      <c r="D15" s="56">
        <v>3.98</v>
      </c>
      <c r="E15" s="56">
        <v>1.1399999999999999</v>
      </c>
      <c r="F15" s="56">
        <v>4.07</v>
      </c>
      <c r="G15" s="56">
        <v>42.30</v>
      </c>
      <c r="H15" s="56">
        <v>16.21</v>
      </c>
      <c r="I15" s="56">
        <v>6.63</v>
      </c>
      <c r="J15" s="56">
        <v>0.59</v>
      </c>
      <c r="K15" s="56">
        <v>359.31</v>
      </c>
      <c r="L15" s="56">
        <v>31.07</v>
      </c>
      <c r="M15" s="56">
        <v>49.66</v>
      </c>
      <c r="N15" s="56">
        <v>212.80</v>
      </c>
      <c r="O15" s="56">
        <v>0</v>
      </c>
      <c r="P15" s="56">
        <v>0.42</v>
      </c>
      <c r="Q15" s="56">
        <v>9.44</v>
      </c>
      <c r="R15" s="43"/>
      <c r="S15" s="43"/>
      <c r="T15" s="43"/>
      <c r="U15" s="43"/>
    </row>
    <row r="16" spans="1:21" s="11" customFormat="1" ht="15">
      <c r="A16" s="55" t="s">
        <v>717</v>
      </c>
      <c r="B16" s="56">
        <v>2.56</v>
      </c>
      <c r="C16" s="56">
        <v>1.39</v>
      </c>
      <c r="D16" s="56">
        <v>3.92</v>
      </c>
      <c r="E16" s="56">
        <v>2.36</v>
      </c>
      <c r="F16" s="56">
        <v>6.99</v>
      </c>
      <c r="G16" s="56">
        <v>49.97</v>
      </c>
      <c r="H16" s="56">
        <v>17.80</v>
      </c>
      <c r="I16" s="56">
        <v>6.57</v>
      </c>
      <c r="J16" s="56">
        <v>0.71</v>
      </c>
      <c r="K16" s="56">
        <v>35.39</v>
      </c>
      <c r="L16" s="56">
        <v>33.39</v>
      </c>
      <c r="M16" s="56">
        <v>40.71</v>
      </c>
      <c r="N16" s="56">
        <v>432.5</v>
      </c>
      <c r="O16" s="56">
        <v>0</v>
      </c>
      <c r="P16" s="56">
        <v>0.44</v>
      </c>
      <c r="Q16" s="56">
        <v>9.44</v>
      </c>
      <c r="R16" s="43"/>
      <c r="S16" s="43"/>
      <c r="T16" s="43"/>
      <c r="U16" s="43"/>
    </row>
    <row r="17" spans="1:21" s="11" customFormat="1" ht="15">
      <c r="A17" s="55" t="s">
        <v>718</v>
      </c>
      <c r="B17" s="56">
        <v>2.5</v>
      </c>
      <c r="C17" s="56">
        <v>1.33</v>
      </c>
      <c r="D17" s="56">
        <v>3.84</v>
      </c>
      <c r="E17" s="56">
        <v>0.90</v>
      </c>
      <c r="F17" s="56">
        <v>7.75</v>
      </c>
      <c r="G17" s="56">
        <v>50.46</v>
      </c>
      <c r="H17" s="56">
        <v>18.22</v>
      </c>
      <c r="I17" s="56">
        <v>5.0199999999999996</v>
      </c>
      <c r="J17" s="56">
        <v>0.70</v>
      </c>
      <c r="K17" s="56">
        <v>8.92</v>
      </c>
      <c r="L17" s="56">
        <v>35.979999999999997</v>
      </c>
      <c r="M17" s="56">
        <v>35.29</v>
      </c>
      <c r="N17" s="56">
        <v>604.20000000000005</v>
      </c>
      <c r="O17" s="56">
        <v>0</v>
      </c>
      <c r="P17" s="56">
        <v>0.41</v>
      </c>
      <c r="Q17" s="56">
        <v>9.33</v>
      </c>
      <c r="R17" s="43"/>
      <c r="S17" s="43"/>
      <c r="T17" s="43"/>
      <c r="U17" s="43"/>
    </row>
    <row r="18" spans="1:21" s="11" customFormat="1" ht="15">
      <c r="A18" s="55" t="s">
        <v>719</v>
      </c>
      <c r="B18" s="56">
        <v>2.4700000000000002</v>
      </c>
      <c r="C18" s="56">
        <v>1.46</v>
      </c>
      <c r="D18" s="56">
        <v>3.89</v>
      </c>
      <c r="E18" s="56">
        <v>1.22</v>
      </c>
      <c r="F18" s="56">
        <v>8.6300000000000008</v>
      </c>
      <c r="G18" s="56">
        <v>50.46</v>
      </c>
      <c r="H18" s="56">
        <v>19.64</v>
      </c>
      <c r="I18" s="56">
        <v>3.42</v>
      </c>
      <c r="J18" s="56">
        <v>0.68</v>
      </c>
      <c r="K18" s="56">
        <v>357.65</v>
      </c>
      <c r="L18" s="56">
        <v>38.229999999999997</v>
      </c>
      <c r="M18" s="56">
        <v>33.60</v>
      </c>
      <c r="N18" s="56">
        <v>751.70</v>
      </c>
      <c r="O18" s="56">
        <v>0</v>
      </c>
      <c r="P18" s="56">
        <v>0.48</v>
      </c>
      <c r="Q18" s="56">
        <v>9.36</v>
      </c>
      <c r="R18" s="43"/>
      <c r="S18" s="43"/>
      <c r="T18" s="43"/>
      <c r="U18" s="43"/>
    </row>
    <row r="19" spans="1:21" s="11" customFormat="1" ht="15">
      <c r="A19" s="55" t="s">
        <v>720</v>
      </c>
      <c r="B19" s="56">
        <v>2.46</v>
      </c>
      <c r="C19" s="56">
        <v>0.91</v>
      </c>
      <c r="D19" s="56">
        <v>3.59</v>
      </c>
      <c r="E19" s="56">
        <v>1.5</v>
      </c>
      <c r="F19" s="56">
        <v>23.20</v>
      </c>
      <c r="G19" s="56">
        <v>56.37</v>
      </c>
      <c r="H19" s="56">
        <v>25.62</v>
      </c>
      <c r="I19" s="56">
        <v>2.85</v>
      </c>
      <c r="J19" s="56">
        <v>0.83</v>
      </c>
      <c r="K19" s="56">
        <v>356.68</v>
      </c>
      <c r="L19" s="56">
        <v>39.909999999999997</v>
      </c>
      <c r="M19" s="56">
        <v>29.57</v>
      </c>
      <c r="N19" s="56">
        <v>842</v>
      </c>
      <c r="O19" s="56">
        <v>0</v>
      </c>
      <c r="P19" s="56">
        <v>0.74</v>
      </c>
      <c r="Q19" s="56">
        <v>9.31</v>
      </c>
      <c r="R19" s="43"/>
      <c r="S19" s="43"/>
      <c r="T19" s="43"/>
      <c r="U19" s="43"/>
    </row>
    <row r="20" spans="1:21" s="11" customFormat="1" ht="15">
      <c r="A20" s="55" t="s">
        <v>721</v>
      </c>
      <c r="B20" s="56">
        <v>2.4300000000000002</v>
      </c>
      <c r="C20" s="56">
        <v>1.31</v>
      </c>
      <c r="D20" s="56">
        <v>3.76</v>
      </c>
      <c r="E20" s="56">
        <v>1.61</v>
      </c>
      <c r="F20" s="56">
        <v>13.21</v>
      </c>
      <c r="G20" s="56">
        <v>69.5</v>
      </c>
      <c r="H20" s="56">
        <v>28.55</v>
      </c>
      <c r="I20" s="56">
        <v>3.40</v>
      </c>
      <c r="J20" s="56">
        <v>0.60</v>
      </c>
      <c r="K20" s="56">
        <v>349.73</v>
      </c>
      <c r="L20" s="56">
        <v>39.67</v>
      </c>
      <c r="M20" s="56">
        <v>27.32</v>
      </c>
      <c r="N20" s="56">
        <v>861.90</v>
      </c>
      <c r="O20" s="56">
        <v>0</v>
      </c>
      <c r="P20" s="56">
        <v>0.74</v>
      </c>
      <c r="Q20" s="56">
        <v>9.31</v>
      </c>
      <c r="R20" s="43"/>
      <c r="S20" s="43"/>
      <c r="T20" s="43"/>
      <c r="U20" s="43"/>
    </row>
    <row r="21" spans="1:21" s="11" customFormat="1" ht="15">
      <c r="A21" s="55" t="s">
        <v>722</v>
      </c>
      <c r="B21" s="56">
        <v>2.4300000000000002</v>
      </c>
      <c r="C21" s="56">
        <v>1.34</v>
      </c>
      <c r="D21" s="56">
        <v>3.79</v>
      </c>
      <c r="E21" s="56">
        <v>2.79</v>
      </c>
      <c r="F21" s="56">
        <v>14.51</v>
      </c>
      <c r="G21" s="56">
        <v>69.5</v>
      </c>
      <c r="H21" s="56">
        <v>28.94</v>
      </c>
      <c r="I21" s="56">
        <v>3.56</v>
      </c>
      <c r="J21" s="56">
        <v>0.66</v>
      </c>
      <c r="K21" s="56">
        <v>349.52</v>
      </c>
      <c r="L21" s="56">
        <v>43.93</v>
      </c>
      <c r="M21" s="56">
        <v>24.91</v>
      </c>
      <c r="N21" s="56">
        <v>845.10</v>
      </c>
      <c r="O21" s="56">
        <v>0</v>
      </c>
      <c r="P21" s="56">
        <v>0.68</v>
      </c>
      <c r="Q21" s="56">
        <v>9.3000000000000007</v>
      </c>
      <c r="R21" s="43"/>
      <c r="S21" s="43"/>
      <c r="T21" s="43"/>
      <c r="U21" s="43"/>
    </row>
    <row r="22" spans="1:21" s="11" customFormat="1" ht="15">
      <c r="A22" s="55" t="s">
        <v>723</v>
      </c>
      <c r="B22" s="56">
        <v>2.40</v>
      </c>
      <c r="C22" s="56">
        <v>1.33</v>
      </c>
      <c r="D22" s="56">
        <v>3.76</v>
      </c>
      <c r="E22" s="56">
        <v>3.63</v>
      </c>
      <c r="F22" s="56">
        <v>16.97</v>
      </c>
      <c r="G22" s="56">
        <v>64.73</v>
      </c>
      <c r="H22" s="56">
        <v>28.94</v>
      </c>
      <c r="I22" s="56">
        <v>3.59</v>
      </c>
      <c r="J22" s="56">
        <v>0.83</v>
      </c>
      <c r="K22" s="56">
        <v>346.33</v>
      </c>
      <c r="L22" s="56">
        <v>45.49</v>
      </c>
      <c r="M22" s="56">
        <v>21.35</v>
      </c>
      <c r="N22" s="56">
        <v>776.60</v>
      </c>
      <c r="O22" s="56">
        <v>0</v>
      </c>
      <c r="P22" s="56">
        <v>0.55000000000000004</v>
      </c>
      <c r="Q22" s="56">
        <v>9.3000000000000007</v>
      </c>
      <c r="R22" s="43"/>
      <c r="S22" s="43"/>
      <c r="T22" s="43"/>
      <c r="U22" s="43"/>
    </row>
    <row r="23" spans="1:21" s="11" customFormat="1" ht="15">
      <c r="A23" s="55" t="s">
        <v>724</v>
      </c>
      <c r="B23" s="56">
        <v>2.39</v>
      </c>
      <c r="C23" s="56">
        <v>1.33</v>
      </c>
      <c r="D23" s="56">
        <v>3.76</v>
      </c>
      <c r="E23" s="56">
        <v>2.5</v>
      </c>
      <c r="F23" s="56">
        <v>12.40</v>
      </c>
      <c r="G23" s="56">
        <v>64.540000000000006</v>
      </c>
      <c r="H23" s="56">
        <v>29.45</v>
      </c>
      <c r="I23" s="56">
        <v>3.44</v>
      </c>
      <c r="J23" s="56">
        <v>0.95</v>
      </c>
      <c r="K23" s="56">
        <v>356.60</v>
      </c>
      <c r="L23" s="56">
        <v>45.29</v>
      </c>
      <c r="M23" s="56">
        <v>17.45</v>
      </c>
      <c r="N23" s="56">
        <v>594.70000000000005</v>
      </c>
      <c r="O23" s="56">
        <v>0</v>
      </c>
      <c r="P23" s="56">
        <v>0.49</v>
      </c>
      <c r="Q23" s="56">
        <v>9.2899999999999991</v>
      </c>
      <c r="R23" s="43"/>
      <c r="S23" s="43"/>
      <c r="T23" s="43"/>
      <c r="U23" s="43"/>
    </row>
    <row r="24" spans="1:21" s="11" customFormat="1" ht="15">
      <c r="A24" s="55" t="s">
        <v>725</v>
      </c>
      <c r="B24" s="56">
        <v>2.41</v>
      </c>
      <c r="C24" s="56">
        <v>1.34</v>
      </c>
      <c r="D24" s="56">
        <v>3.78</v>
      </c>
      <c r="E24" s="56">
        <v>2.69</v>
      </c>
      <c r="F24" s="56">
        <v>15.14</v>
      </c>
      <c r="G24" s="56">
        <v>62.29</v>
      </c>
      <c r="H24" s="56">
        <v>29.45</v>
      </c>
      <c r="I24" s="56">
        <v>3.25</v>
      </c>
      <c r="J24" s="56">
        <v>0.70</v>
      </c>
      <c r="K24" s="56">
        <v>352.86</v>
      </c>
      <c r="L24" s="56">
        <v>44.31</v>
      </c>
      <c r="M24" s="56">
        <v>17.68</v>
      </c>
      <c r="N24" s="56">
        <v>255.20</v>
      </c>
      <c r="O24" s="56">
        <v>0</v>
      </c>
      <c r="P24" s="56">
        <v>0.43</v>
      </c>
      <c r="Q24" s="56">
        <v>9.2799999999999994</v>
      </c>
      <c r="R24" s="43"/>
      <c r="S24" s="43"/>
      <c r="T24" s="43"/>
      <c r="U24" s="43"/>
    </row>
    <row r="25" spans="1:21" s="11" customFormat="1" ht="15">
      <c r="A25" s="55" t="s">
        <v>726</v>
      </c>
      <c r="B25" s="56">
        <v>2.44</v>
      </c>
      <c r="C25" s="56">
        <v>1.38</v>
      </c>
      <c r="D25" s="56">
        <v>3.77</v>
      </c>
      <c r="E25" s="56">
        <v>1.73</v>
      </c>
      <c r="F25" s="56">
        <v>8.56</v>
      </c>
      <c r="G25" s="56">
        <v>58.99</v>
      </c>
      <c r="H25" s="56">
        <v>28.19</v>
      </c>
      <c r="I25" s="56">
        <v>3.76</v>
      </c>
      <c r="J25" s="56">
        <v>0.79</v>
      </c>
      <c r="K25" s="56">
        <v>350.60</v>
      </c>
      <c r="L25" s="56">
        <v>43.39</v>
      </c>
      <c r="M25" s="56">
        <v>17.690000000000001</v>
      </c>
      <c r="N25" s="56">
        <v>117.60</v>
      </c>
      <c r="O25" s="56">
        <v>0</v>
      </c>
      <c r="P25" s="56">
        <v>0.42</v>
      </c>
      <c r="Q25" s="56">
        <v>9.31</v>
      </c>
      <c r="R25" s="43"/>
      <c r="S25" s="43"/>
      <c r="T25" s="43"/>
      <c r="U25" s="43"/>
    </row>
    <row r="26" spans="1:21" s="11" customFormat="1" ht="15">
      <c r="A26" s="55" t="s">
        <v>727</v>
      </c>
      <c r="B26" s="56">
        <v>2.4900000000000002</v>
      </c>
      <c r="C26" s="56">
        <v>1.82</v>
      </c>
      <c r="D26" s="56">
        <v>4.09</v>
      </c>
      <c r="E26" s="56">
        <v>1.76</v>
      </c>
      <c r="F26" s="56">
        <v>5.41</v>
      </c>
      <c r="G26" s="56">
        <v>55.15</v>
      </c>
      <c r="H26" s="56">
        <v>28.01</v>
      </c>
      <c r="I26" s="56">
        <v>4.08</v>
      </c>
      <c r="J26" s="56">
        <v>0.56000000000000005</v>
      </c>
      <c r="K26" s="56">
        <v>350.48</v>
      </c>
      <c r="L26" s="56">
        <v>42.28</v>
      </c>
      <c r="M26" s="56">
        <v>19.86</v>
      </c>
      <c r="N26" s="56">
        <v>68.5</v>
      </c>
      <c r="O26" s="56">
        <v>0</v>
      </c>
      <c r="P26" s="56">
        <v>0.47</v>
      </c>
      <c r="Q26" s="56">
        <v>9.33</v>
      </c>
      <c r="R26" s="43"/>
      <c r="S26" s="43"/>
      <c r="T26" s="43"/>
      <c r="U26" s="43"/>
    </row>
    <row r="27" spans="1:21" s="11" customFormat="1" ht="15">
      <c r="A27" s="55" t="s">
        <v>728</v>
      </c>
      <c r="B27" s="56">
        <v>2.84</v>
      </c>
      <c r="C27" s="56">
        <v>4.3499999999999996</v>
      </c>
      <c r="D27" s="56">
        <v>5.69</v>
      </c>
      <c r="E27" s="56">
        <v>1.82</v>
      </c>
      <c r="F27" s="56">
        <v>6.78</v>
      </c>
      <c r="G27" s="56">
        <v>55.15</v>
      </c>
      <c r="H27" s="56">
        <v>28.01</v>
      </c>
      <c r="I27" s="56">
        <v>4.54</v>
      </c>
      <c r="J27" s="56">
        <v>0.57999999999999996</v>
      </c>
      <c r="K27" s="56">
        <v>354.88</v>
      </c>
      <c r="L27" s="56">
        <v>40.93</v>
      </c>
      <c r="M27" s="56">
        <v>25.61</v>
      </c>
      <c r="N27" s="56">
        <v>22.30</v>
      </c>
      <c r="O27" s="56">
        <v>0</v>
      </c>
      <c r="P27" s="56">
        <v>0.5</v>
      </c>
      <c r="Q27" s="56">
        <v>9.3000000000000007</v>
      </c>
      <c r="R27" s="43"/>
      <c r="S27" s="43"/>
      <c r="T27" s="43"/>
      <c r="U27" s="43"/>
    </row>
    <row r="28" spans="1:21" s="11" customFormat="1" ht="15">
      <c r="A28" s="55" t="s">
        <v>729</v>
      </c>
      <c r="B28" s="56">
        <v>2.5299999999999998</v>
      </c>
      <c r="C28" s="56">
        <v>2.29</v>
      </c>
      <c r="D28" s="56">
        <v>4.37</v>
      </c>
      <c r="E28" s="56">
        <v>1.62</v>
      </c>
      <c r="F28" s="56">
        <v>6.41</v>
      </c>
      <c r="G28" s="56">
        <v>68.900000000000006</v>
      </c>
      <c r="H28" s="56">
        <v>28.63</v>
      </c>
      <c r="I28" s="56">
        <v>4.6900000000000004</v>
      </c>
      <c r="J28" s="56">
        <v>0.56999999999999995</v>
      </c>
      <c r="K28" s="56">
        <v>354.47</v>
      </c>
      <c r="L28" s="56">
        <v>39.60</v>
      </c>
      <c r="M28" s="56">
        <v>27.98</v>
      </c>
      <c r="N28" s="56">
        <v>10.70</v>
      </c>
      <c r="O28" s="56">
        <v>0</v>
      </c>
      <c r="P28" s="56">
        <v>0.56999999999999995</v>
      </c>
      <c r="Q28" s="56">
        <v>9.32</v>
      </c>
      <c r="R28" s="43"/>
      <c r="S28" s="43"/>
      <c r="T28" s="43"/>
      <c r="U28" s="43"/>
    </row>
    <row r="29" spans="1:21" s="11" customFormat="1" ht="15">
      <c r="A29" s="55" t="s">
        <v>730</v>
      </c>
      <c r="B29" s="56">
        <v>2.5</v>
      </c>
      <c r="C29" s="56">
        <v>1.40</v>
      </c>
      <c r="D29" s="56">
        <v>3.88</v>
      </c>
      <c r="E29" s="56">
        <v>1.95</v>
      </c>
      <c r="F29" s="56">
        <v>5.92</v>
      </c>
      <c r="G29" s="56">
        <v>68.900000000000006</v>
      </c>
      <c r="H29" s="56">
        <v>28.63</v>
      </c>
      <c r="I29" s="56">
        <v>5.37</v>
      </c>
      <c r="J29" s="56">
        <v>0.63</v>
      </c>
      <c r="K29" s="56">
        <v>357.10</v>
      </c>
      <c r="L29" s="56">
        <v>38.64</v>
      </c>
      <c r="M29" s="56">
        <v>31.29</v>
      </c>
      <c r="N29" s="56">
        <v>10.5</v>
      </c>
      <c r="O29" s="56">
        <v>0</v>
      </c>
      <c r="P29" s="56">
        <v>0.57999999999999996</v>
      </c>
      <c r="Q29" s="56">
        <v>9.4700000000000006</v>
      </c>
      <c r="R29" s="43"/>
      <c r="S29" s="43"/>
      <c r="T29" s="43"/>
      <c r="U29" s="43"/>
    </row>
    <row r="30" spans="1:21" s="11" customFormat="1" ht="15">
      <c r="A30" s="55" t="s">
        <v>731</v>
      </c>
      <c r="B30" s="56">
        <v>2.48</v>
      </c>
      <c r="C30" s="56">
        <v>1.63</v>
      </c>
      <c r="D30" s="56">
        <v>3.98</v>
      </c>
      <c r="E30" s="56">
        <v>2.0299999999999998</v>
      </c>
      <c r="F30" s="56">
        <v>5.85</v>
      </c>
      <c r="G30" s="56">
        <v>67.650000000000006</v>
      </c>
      <c r="H30" s="56">
        <v>26.40</v>
      </c>
      <c r="I30" s="56">
        <v>5.40</v>
      </c>
      <c r="J30" s="56">
        <v>0.60</v>
      </c>
      <c r="K30" s="56">
        <v>29.35</v>
      </c>
      <c r="L30" s="56">
        <v>37.92</v>
      </c>
      <c r="M30" s="56">
        <v>33.69</v>
      </c>
      <c r="N30" s="56">
        <v>10.90</v>
      </c>
      <c r="O30" s="56">
        <v>0</v>
      </c>
      <c r="P30" s="56">
        <v>0.56999999999999995</v>
      </c>
      <c r="Q30" s="56">
        <v>9.5299999999999994</v>
      </c>
      <c r="R30" s="43"/>
      <c r="S30" s="43"/>
      <c r="T30" s="43"/>
      <c r="U30" s="43"/>
    </row>
    <row r="31" spans="1:21" s="11" customFormat="1" ht="15">
      <c r="A31" s="55" t="s">
        <v>732</v>
      </c>
      <c r="B31" s="56">
        <v>2.40</v>
      </c>
      <c r="C31" s="56">
        <v>1.04</v>
      </c>
      <c r="D31" s="56">
        <v>3.61</v>
      </c>
      <c r="E31" s="56">
        <v>1.69</v>
      </c>
      <c r="F31" s="56">
        <v>5.22</v>
      </c>
      <c r="G31" s="56">
        <v>61.71</v>
      </c>
      <c r="H31" s="56">
        <v>26.40</v>
      </c>
      <c r="I31" s="56">
        <v>4.3899999999999997</v>
      </c>
      <c r="J31" s="56">
        <v>0.52</v>
      </c>
      <c r="K31" s="56">
        <v>340.49</v>
      </c>
      <c r="L31" s="56">
        <v>36.83</v>
      </c>
      <c r="M31" s="56">
        <v>35.549999999999997</v>
      </c>
      <c r="N31" s="56">
        <v>10.90</v>
      </c>
      <c r="O31" s="56">
        <v>0</v>
      </c>
      <c r="P31" s="56">
        <v>0.53</v>
      </c>
      <c r="Q31" s="56">
        <v>9.39</v>
      </c>
      <c r="R31" s="43"/>
      <c r="S31" s="43"/>
      <c r="T31" s="43"/>
      <c r="U31" s="43"/>
    </row>
    <row r="32" spans="1:21" s="11" customFormat="1" ht="15">
      <c r="A32" s="55" t="s">
        <v>733</v>
      </c>
      <c r="B32" s="56">
        <v>2.4500000000000002</v>
      </c>
      <c r="C32" s="56">
        <v>1.04</v>
      </c>
      <c r="D32" s="56">
        <v>3.65</v>
      </c>
      <c r="E32" s="56">
        <v>1.98</v>
      </c>
      <c r="F32" s="56">
        <v>4.72</v>
      </c>
      <c r="G32" s="56">
        <v>57.92</v>
      </c>
      <c r="H32" s="56">
        <v>21.93</v>
      </c>
      <c r="I32" s="56">
        <v>4.07</v>
      </c>
      <c r="J32" s="56">
        <v>0.35</v>
      </c>
      <c r="K32" s="56">
        <v>255.35</v>
      </c>
      <c r="L32" s="56">
        <v>35.770000000000003</v>
      </c>
      <c r="M32" s="56">
        <v>41.42</v>
      </c>
      <c r="N32" s="56">
        <v>10.90</v>
      </c>
      <c r="O32" s="56">
        <v>0</v>
      </c>
      <c r="P32" s="56">
        <v>0.47</v>
      </c>
      <c r="Q32" s="56">
        <v>9.35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2.3900000000000001</v>
      </c>
      <c r="C34" s="28">
        <f t="shared" si="0"/>
        <v>0.91000000000000003</v>
      </c>
      <c r="D34" s="28">
        <f t="shared" si="0"/>
        <v>3.5899999999999999</v>
      </c>
      <c r="E34" s="28">
        <f t="shared" si="0"/>
        <v>0.73999999999999999</v>
      </c>
      <c r="F34" s="28">
        <f t="shared" si="0"/>
        <v>3.73</v>
      </c>
      <c r="G34" s="28">
        <f t="shared" si="0"/>
        <v>41.039999999999999</v>
      </c>
      <c r="H34" s="28">
        <f t="shared" si="0"/>
        <v>15.82</v>
      </c>
      <c r="I34" s="28">
        <f t="shared" si="0"/>
        <v>2.8500000000000001</v>
      </c>
      <c r="J34" s="28">
        <f t="shared" si="0"/>
        <v>0.34999999999999998</v>
      </c>
      <c r="K34" s="28">
        <f t="shared" si="0"/>
        <v>8.9199999999999999</v>
      </c>
      <c r="L34" s="28">
        <f t="shared" si="0"/>
        <v>28.219999999999999</v>
      </c>
      <c r="M34" s="28">
        <f t="shared" si="0"/>
        <v>17.449999999999999</v>
      </c>
      <c r="N34" s="28">
        <f t="shared" si="0"/>
        <v>10.5</v>
      </c>
      <c r="O34" s="28">
        <f t="shared" si="0"/>
        <v>0</v>
      </c>
      <c r="P34" s="28">
        <f t="shared" si="0"/>
        <v>0.40999999999999998</v>
      </c>
      <c r="Q34" s="28">
        <f t="shared" si="0"/>
        <v>9.2799999999999994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3.5600000000000001</v>
      </c>
      <c r="C35" s="29">
        <f t="shared" si="1"/>
        <v>4.3499999999999996</v>
      </c>
      <c r="D35" s="29">
        <f t="shared" si="1"/>
        <v>5.8600000000000003</v>
      </c>
      <c r="E35" s="29">
        <f t="shared" si="1"/>
        <v>3.6299999999999999</v>
      </c>
      <c r="F35" s="29">
        <f t="shared" si="1"/>
        <v>23.199999999999999</v>
      </c>
      <c r="G35" s="29">
        <f t="shared" si="1"/>
        <v>82.010000000000005</v>
      </c>
      <c r="H35" s="29">
        <f t="shared" si="1"/>
        <v>34.299999999999997</v>
      </c>
      <c r="I35" s="29">
        <f t="shared" si="1"/>
        <v>9.5700000000000003</v>
      </c>
      <c r="J35" s="29">
        <f t="shared" si="1"/>
        <v>1.0600000000000001</v>
      </c>
      <c r="K35" s="29">
        <f t="shared" si="1"/>
        <v>359.31</v>
      </c>
      <c r="L35" s="29">
        <f t="shared" si="1"/>
        <v>45.490000000000002</v>
      </c>
      <c r="M35" s="29">
        <f t="shared" si="1"/>
        <v>53.060000000000002</v>
      </c>
      <c r="N35" s="29">
        <f t="shared" si="1"/>
        <v>861.89999999999998</v>
      </c>
      <c r="O35" s="29">
        <f t="shared" si="1"/>
        <v>0</v>
      </c>
      <c r="P35" s="29">
        <f t="shared" si="1"/>
        <v>0.84999999999999998</v>
      </c>
      <c r="Q35" s="29">
        <f t="shared" si="1"/>
        <v>9.7599999999999998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2.5720833333333331</v>
      </c>
      <c r="C36" s="28">
        <f t="shared" si="2"/>
        <v>1.6074999999999999</v>
      </c>
      <c r="D36" s="28">
        <f t="shared" si="2"/>
        <v>4.0429166666666667</v>
      </c>
      <c r="E36" s="28">
        <f t="shared" si="2"/>
        <v>1.6979166666666667</v>
      </c>
      <c r="F36" s="28">
        <f t="shared" si="2"/>
        <v>8.1329166666666648</v>
      </c>
      <c r="G36" s="28">
        <f t="shared" si="2"/>
        <v>59.425000000000018</v>
      </c>
      <c r="H36" s="28">
        <f t="shared" si="2"/>
        <v>25.326249999999998</v>
      </c>
      <c r="I36" s="28">
        <f t="shared" si="2"/>
        <v>5.1962500000000018</v>
      </c>
      <c r="J36" s="28">
        <f t="shared" si="2"/>
        <v>0.68333333333333346</v>
      </c>
      <c r="K36" s="28">
        <f t="shared" si="2"/>
        <v>293.06416666666672</v>
      </c>
      <c r="L36" s="28">
        <f t="shared" si="2"/>
        <v>36.946249999999992</v>
      </c>
      <c r="M36" s="28">
        <f t="shared" si="2"/>
        <v>34.157916666666658</v>
      </c>
      <c r="N36" s="28">
        <f t="shared" si="2"/>
        <v>271.94999999999999</v>
      </c>
      <c r="O36" s="28">
        <f t="shared" si="2"/>
        <v>0</v>
      </c>
      <c r="P36" s="28">
        <f t="shared" si="2"/>
        <v>0.55458333333333343</v>
      </c>
      <c r="Q36" s="28">
        <f t="shared" si="2"/>
        <v>9.4054166666666656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0.24266597487558997</v>
      </c>
      <c r="C37" s="28">
        <f t="shared" si="3" ref="C37:Q37">STDEV(C9:C32)</f>
        <v>0.78508515184798466</v>
      </c>
      <c r="D37" s="28">
        <f t="shared" si="3"/>
        <v>0.56558149504401911</v>
      </c>
      <c r="E37" s="28">
        <f t="shared" si="3"/>
        <v>0.71929904990094673</v>
      </c>
      <c r="F37" s="28">
        <f t="shared" si="3"/>
        <v>5.1370364313582071</v>
      </c>
      <c r="G37" s="28">
        <f t="shared" si="3"/>
        <v>10.317830493226499</v>
      </c>
      <c r="H37" s="28">
        <f t="shared" si="3"/>
        <v>5.0307669157763435</v>
      </c>
      <c r="I37" s="28">
        <f t="shared" si="3"/>
        <v>1.850689207694864</v>
      </c>
      <c r="J37" s="28">
        <f t="shared" si="3"/>
        <v>0.17148118585270264</v>
      </c>
      <c r="K37" s="28">
        <f t="shared" si="3"/>
        <v>108.82561434885531</v>
      </c>
      <c r="L37" s="28">
        <f t="shared" si="3"/>
        <v>5.8615043420758637</v>
      </c>
      <c r="M37" s="28">
        <f t="shared" si="3"/>
        <v>11.628649396011671</v>
      </c>
      <c r="N37" s="28">
        <f t="shared" si="3"/>
        <v>336.00892068903272</v>
      </c>
      <c r="O37" s="28">
        <f t="shared" si="3"/>
        <v>0</v>
      </c>
      <c r="P37" s="28">
        <f t="shared" si="3"/>
        <v>0.12240272683331786</v>
      </c>
      <c r="Q37" s="28">
        <f t="shared" si="3"/>
        <v>0.12321699369906185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61e915-3ad6-4b80-aef1-3a44c604c5b6}">
  <sheetPr codeName=""/>
  <dimension ref="A1:U119"/>
  <sheetViews>
    <sheetView zoomScale="85" zoomScaleNormal="85" workbookViewId="0" topLeftCell="A1">
      <selection pane="topLef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734</v>
      </c>
      <c r="B9" s="56">
        <v>2.4900000000000002</v>
      </c>
      <c r="C9" s="56">
        <v>0.90</v>
      </c>
      <c r="D9" s="56">
        <v>3.61</v>
      </c>
      <c r="E9" s="56">
        <v>2.33</v>
      </c>
      <c r="F9" s="56">
        <v>4.6399999999999997</v>
      </c>
      <c r="G9" s="56">
        <v>53.78</v>
      </c>
      <c r="H9" s="56">
        <v>20.48</v>
      </c>
      <c r="I9" s="56">
        <v>5.28</v>
      </c>
      <c r="J9" s="56">
        <v>0.56999999999999995</v>
      </c>
      <c r="K9" s="56">
        <v>255.80</v>
      </c>
      <c r="L9" s="56">
        <v>34.97</v>
      </c>
      <c r="M9" s="56">
        <v>47.68</v>
      </c>
      <c r="N9" s="56">
        <v>10.80</v>
      </c>
      <c r="O9" s="56">
        <v>0</v>
      </c>
      <c r="P9" s="56">
        <v>0.43</v>
      </c>
      <c r="Q9" s="56">
        <v>9.35</v>
      </c>
      <c r="R9" s="43"/>
      <c r="S9" s="43"/>
      <c r="T9" s="43"/>
      <c r="U9" s="43"/>
    </row>
    <row r="10" spans="1:21" s="11" customFormat="1" ht="15">
      <c r="A10" s="55" t="s">
        <v>735</v>
      </c>
      <c r="B10" s="56">
        <v>2.52</v>
      </c>
      <c r="C10" s="56">
        <v>1.03</v>
      </c>
      <c r="D10" s="56">
        <v>3.70</v>
      </c>
      <c r="E10" s="56">
        <v>2.0099999999999998</v>
      </c>
      <c r="F10" s="56">
        <v>4.79</v>
      </c>
      <c r="G10" s="56">
        <v>52.01</v>
      </c>
      <c r="H10" s="56">
        <v>19.29</v>
      </c>
      <c r="I10" s="56">
        <v>6.10</v>
      </c>
      <c r="J10" s="56">
        <v>0.82</v>
      </c>
      <c r="K10" s="56">
        <v>236.99</v>
      </c>
      <c r="L10" s="56">
        <v>34.39</v>
      </c>
      <c r="M10" s="56">
        <v>49.56</v>
      </c>
      <c r="N10" s="56">
        <v>10.90</v>
      </c>
      <c r="O10" s="56">
        <v>0</v>
      </c>
      <c r="P10" s="56">
        <v>0.43</v>
      </c>
      <c r="Q10" s="56">
        <v>9.39</v>
      </c>
      <c r="R10" s="43"/>
      <c r="S10" s="43"/>
      <c r="T10" s="43"/>
      <c r="U10" s="43"/>
    </row>
    <row r="11" spans="1:21" s="11" customFormat="1" ht="15">
      <c r="A11" s="55" t="s">
        <v>736</v>
      </c>
      <c r="B11" s="56">
        <v>2.5</v>
      </c>
      <c r="C11" s="56">
        <v>0.93</v>
      </c>
      <c r="D11" s="56">
        <v>3.64</v>
      </c>
      <c r="E11" s="56">
        <v>1.95</v>
      </c>
      <c r="F11" s="56">
        <v>5.55</v>
      </c>
      <c r="G11" s="56">
        <v>48.98</v>
      </c>
      <c r="H11" s="56">
        <v>19.170000000000002</v>
      </c>
      <c r="I11" s="56">
        <v>6.06</v>
      </c>
      <c r="J11" s="56">
        <v>0.54</v>
      </c>
      <c r="K11" s="56">
        <v>225.99</v>
      </c>
      <c r="L11" s="56">
        <v>33.90</v>
      </c>
      <c r="M11" s="56">
        <v>49.36</v>
      </c>
      <c r="N11" s="56">
        <v>10.80</v>
      </c>
      <c r="O11" s="56">
        <v>0</v>
      </c>
      <c r="P11" s="56">
        <v>0.40</v>
      </c>
      <c r="Q11" s="56">
        <v>9.39</v>
      </c>
      <c r="R11" s="43"/>
      <c r="S11" s="43"/>
      <c r="T11" s="43"/>
      <c r="U11" s="43"/>
    </row>
    <row r="12" spans="1:21" s="11" customFormat="1" ht="15">
      <c r="A12" s="55" t="s">
        <v>737</v>
      </c>
      <c r="B12" s="56">
        <v>2.57</v>
      </c>
      <c r="C12" s="56">
        <v>1.02</v>
      </c>
      <c r="D12" s="56">
        <v>3.74</v>
      </c>
      <c r="E12" s="56">
        <v>2.08</v>
      </c>
      <c r="F12" s="56">
        <v>5.71</v>
      </c>
      <c r="G12" s="56">
        <v>45.36</v>
      </c>
      <c r="H12" s="56">
        <v>17.11</v>
      </c>
      <c r="I12" s="56">
        <v>5.64</v>
      </c>
      <c r="J12" s="56">
        <v>0.43</v>
      </c>
      <c r="K12" s="56">
        <v>351.03</v>
      </c>
      <c r="L12" s="56">
        <v>33.61</v>
      </c>
      <c r="M12" s="56">
        <v>49.78</v>
      </c>
      <c r="N12" s="56">
        <v>10.80</v>
      </c>
      <c r="O12" s="56">
        <v>0</v>
      </c>
      <c r="P12" s="56">
        <v>0.36</v>
      </c>
      <c r="Q12" s="56">
        <v>9.36</v>
      </c>
      <c r="R12" s="43"/>
      <c r="S12" s="43"/>
      <c r="T12" s="43"/>
      <c r="U12" s="43"/>
    </row>
    <row r="13" spans="1:21" s="11" customFormat="1" ht="15">
      <c r="A13" s="55" t="s">
        <v>738</v>
      </c>
      <c r="B13" s="56">
        <v>2.52</v>
      </c>
      <c r="C13" s="56">
        <v>0.87</v>
      </c>
      <c r="D13" s="56">
        <v>3.62</v>
      </c>
      <c r="E13" s="56">
        <v>0.94</v>
      </c>
      <c r="F13" s="56">
        <v>4.79</v>
      </c>
      <c r="G13" s="56">
        <v>39.39</v>
      </c>
      <c r="H13" s="56">
        <v>17.11</v>
      </c>
      <c r="I13" s="56">
        <v>4.88</v>
      </c>
      <c r="J13" s="56">
        <v>0.76</v>
      </c>
      <c r="K13" s="56">
        <v>210.81</v>
      </c>
      <c r="L13" s="56">
        <v>33.32</v>
      </c>
      <c r="M13" s="56">
        <v>52.70</v>
      </c>
      <c r="N13" s="56">
        <v>10.90</v>
      </c>
      <c r="O13" s="56">
        <v>0</v>
      </c>
      <c r="P13" s="56">
        <v>0.33</v>
      </c>
      <c r="Q13" s="56">
        <v>9.33</v>
      </c>
      <c r="R13" s="43"/>
      <c r="S13" s="43"/>
      <c r="T13" s="43"/>
      <c r="U13" s="43"/>
    </row>
    <row r="14" spans="1:21" s="11" customFormat="1" ht="15">
      <c r="A14" s="55" t="s">
        <v>739</v>
      </c>
      <c r="B14" s="56">
        <v>2.56</v>
      </c>
      <c r="C14" s="56">
        <v>1.03</v>
      </c>
      <c r="D14" s="56">
        <v>3.74</v>
      </c>
      <c r="E14" s="56">
        <v>1.22</v>
      </c>
      <c r="F14" s="56">
        <v>4.33</v>
      </c>
      <c r="G14" s="56">
        <v>39.340000000000003</v>
      </c>
      <c r="H14" s="56">
        <v>17.809999999999999</v>
      </c>
      <c r="I14" s="56">
        <v>4.82</v>
      </c>
      <c r="J14" s="56">
        <v>0.88</v>
      </c>
      <c r="K14" s="56">
        <v>335.06</v>
      </c>
      <c r="L14" s="56">
        <v>32.74</v>
      </c>
      <c r="M14" s="56">
        <v>53.30</v>
      </c>
      <c r="N14" s="56">
        <v>40.60</v>
      </c>
      <c r="O14" s="56">
        <v>0</v>
      </c>
      <c r="P14" s="56">
        <v>0.33</v>
      </c>
      <c r="Q14" s="56">
        <v>9.33</v>
      </c>
      <c r="R14" s="43"/>
      <c r="S14" s="43"/>
      <c r="T14" s="43"/>
      <c r="U14" s="43"/>
    </row>
    <row r="15" spans="1:21" s="11" customFormat="1" ht="15">
      <c r="A15" s="55" t="s">
        <v>740</v>
      </c>
      <c r="B15" s="56">
        <v>2.5</v>
      </c>
      <c r="C15" s="56">
        <v>0.84</v>
      </c>
      <c r="D15" s="56">
        <v>3.59</v>
      </c>
      <c r="E15" s="56">
        <v>1.1399999999999999</v>
      </c>
      <c r="F15" s="56">
        <v>4.42</v>
      </c>
      <c r="G15" s="56">
        <v>45.26</v>
      </c>
      <c r="H15" s="56">
        <v>17.809999999999999</v>
      </c>
      <c r="I15" s="56">
        <v>5.65</v>
      </c>
      <c r="J15" s="56">
        <v>0.93</v>
      </c>
      <c r="K15" s="56">
        <v>202.75</v>
      </c>
      <c r="L15" s="56">
        <v>33.22</v>
      </c>
      <c r="M15" s="56">
        <v>53.45</v>
      </c>
      <c r="N15" s="56">
        <v>129.10</v>
      </c>
      <c r="O15" s="56">
        <v>0</v>
      </c>
      <c r="P15" s="56">
        <v>0.33</v>
      </c>
      <c r="Q15" s="56">
        <v>9.33</v>
      </c>
      <c r="R15" s="43"/>
      <c r="S15" s="43"/>
      <c r="T15" s="43"/>
      <c r="U15" s="43"/>
    </row>
    <row r="16" spans="1:21" s="11" customFormat="1" ht="15">
      <c r="A16" s="55" t="s">
        <v>741</v>
      </c>
      <c r="B16" s="56">
        <v>2.4900000000000002</v>
      </c>
      <c r="C16" s="56">
        <v>0.86</v>
      </c>
      <c r="D16" s="56">
        <v>3.60</v>
      </c>
      <c r="E16" s="56">
        <v>1.24</v>
      </c>
      <c r="F16" s="56">
        <v>5.40</v>
      </c>
      <c r="G16" s="56">
        <v>45.59</v>
      </c>
      <c r="H16" s="56">
        <v>17.59</v>
      </c>
      <c r="I16" s="56">
        <v>5.47</v>
      </c>
      <c r="J16" s="56">
        <v>0.43</v>
      </c>
      <c r="K16" s="56">
        <v>345.37</v>
      </c>
      <c r="L16" s="56">
        <v>34.18</v>
      </c>
      <c r="M16" s="56">
        <v>51.44</v>
      </c>
      <c r="N16" s="56">
        <v>148.5</v>
      </c>
      <c r="O16" s="56">
        <v>0</v>
      </c>
      <c r="P16" s="56">
        <v>0.35</v>
      </c>
      <c r="Q16" s="56">
        <v>9.33</v>
      </c>
      <c r="R16" s="43"/>
      <c r="S16" s="43"/>
      <c r="T16" s="43"/>
      <c r="U16" s="43"/>
    </row>
    <row r="17" spans="1:21" s="11" customFormat="1" ht="15">
      <c r="A17" s="55" t="s">
        <v>742</v>
      </c>
      <c r="B17" s="56">
        <v>2.44</v>
      </c>
      <c r="C17" s="56">
        <v>0.84</v>
      </c>
      <c r="D17" s="56">
        <v>3.54</v>
      </c>
      <c r="E17" s="56">
        <v>0.89</v>
      </c>
      <c r="F17" s="56">
        <v>6.47</v>
      </c>
      <c r="G17" s="56">
        <v>47.66</v>
      </c>
      <c r="H17" s="56">
        <v>17.59</v>
      </c>
      <c r="I17" s="56">
        <v>4.97</v>
      </c>
      <c r="J17" s="56">
        <v>0.57999999999999996</v>
      </c>
      <c r="K17" s="56">
        <v>359.44</v>
      </c>
      <c r="L17" s="56">
        <v>34.840000000000003</v>
      </c>
      <c r="M17" s="56">
        <v>45.30</v>
      </c>
      <c r="N17" s="56">
        <v>128.60</v>
      </c>
      <c r="O17" s="56">
        <v>0</v>
      </c>
      <c r="P17" s="56">
        <v>0.38</v>
      </c>
      <c r="Q17" s="56">
        <v>9.33</v>
      </c>
      <c r="R17" s="43"/>
      <c r="S17" s="43"/>
      <c r="T17" s="43"/>
      <c r="U17" s="43"/>
    </row>
    <row r="18" spans="1:21" s="11" customFormat="1" ht="15">
      <c r="A18" s="55" t="s">
        <v>743</v>
      </c>
      <c r="B18" s="56">
        <v>2.46</v>
      </c>
      <c r="C18" s="56">
        <v>0.77</v>
      </c>
      <c r="D18" s="56">
        <v>3.52</v>
      </c>
      <c r="E18" s="56">
        <v>0.82</v>
      </c>
      <c r="F18" s="56">
        <v>6.69</v>
      </c>
      <c r="G18" s="56">
        <v>57.5</v>
      </c>
      <c r="H18" s="56">
        <v>17.47</v>
      </c>
      <c r="I18" s="56">
        <v>3.96</v>
      </c>
      <c r="J18" s="56">
        <v>0.51</v>
      </c>
      <c r="K18" s="56">
        <v>351.28</v>
      </c>
      <c r="L18" s="56">
        <v>37.22</v>
      </c>
      <c r="M18" s="56">
        <v>41.15</v>
      </c>
      <c r="N18" s="56">
        <v>356.20</v>
      </c>
      <c r="O18" s="56">
        <v>0</v>
      </c>
      <c r="P18" s="56">
        <v>0.43</v>
      </c>
      <c r="Q18" s="56">
        <v>9.2799999999999994</v>
      </c>
      <c r="R18" s="43"/>
      <c r="S18" s="43"/>
      <c r="T18" s="43"/>
      <c r="U18" s="43"/>
    </row>
    <row r="19" spans="1:21" s="11" customFormat="1" ht="15">
      <c r="A19" s="55" t="s">
        <v>744</v>
      </c>
      <c r="B19" s="56">
        <v>2.57</v>
      </c>
      <c r="C19" s="56">
        <v>1.54</v>
      </c>
      <c r="D19" s="56">
        <v>4.01</v>
      </c>
      <c r="E19" s="56">
        <v>1.1000000000000001</v>
      </c>
      <c r="F19" s="56">
        <v>7.02</v>
      </c>
      <c r="G19" s="56">
        <v>58.07</v>
      </c>
      <c r="H19" s="56">
        <v>21.41</v>
      </c>
      <c r="I19" s="56">
        <v>3.94</v>
      </c>
      <c r="J19" s="56">
        <v>0.41</v>
      </c>
      <c r="K19" s="56">
        <v>352.57</v>
      </c>
      <c r="L19" s="56">
        <v>41.19</v>
      </c>
      <c r="M19" s="56">
        <v>37.270000000000003</v>
      </c>
      <c r="N19" s="56">
        <v>826.90</v>
      </c>
      <c r="O19" s="56">
        <v>0</v>
      </c>
      <c r="P19" s="56">
        <v>0.5</v>
      </c>
      <c r="Q19" s="56">
        <v>9.32</v>
      </c>
      <c r="R19" s="43"/>
      <c r="S19" s="43"/>
      <c r="T19" s="43"/>
      <c r="U19" s="43"/>
    </row>
    <row r="20" spans="1:21" s="11" customFormat="1" ht="15">
      <c r="A20" s="55" t="s">
        <v>745</v>
      </c>
      <c r="B20" s="56">
        <v>2.5099999999999998</v>
      </c>
      <c r="C20" s="56">
        <v>1.55</v>
      </c>
      <c r="D20" s="56">
        <v>3.97</v>
      </c>
      <c r="E20" s="56">
        <v>1.60</v>
      </c>
      <c r="F20" s="56">
        <v>10.210000000000001</v>
      </c>
      <c r="G20" s="56">
        <v>62.58</v>
      </c>
      <c r="H20" s="56">
        <v>25.49</v>
      </c>
      <c r="I20" s="56">
        <v>4.01</v>
      </c>
      <c r="J20" s="56">
        <v>0.72</v>
      </c>
      <c r="K20" s="56">
        <v>340.44</v>
      </c>
      <c r="L20" s="56">
        <v>44.07</v>
      </c>
      <c r="M20" s="56">
        <v>25.53</v>
      </c>
      <c r="N20" s="56">
        <v>844.10</v>
      </c>
      <c r="O20" s="56">
        <v>0</v>
      </c>
      <c r="P20" s="56">
        <v>0.61</v>
      </c>
      <c r="Q20" s="56">
        <v>9.31</v>
      </c>
      <c r="R20" s="43"/>
      <c r="S20" s="43"/>
      <c r="T20" s="43"/>
      <c r="U20" s="43"/>
    </row>
    <row r="21" spans="1:21" s="11" customFormat="1" ht="15">
      <c r="A21" s="55" t="s">
        <v>746</v>
      </c>
      <c r="B21" s="56">
        <v>2.46</v>
      </c>
      <c r="C21" s="56">
        <v>1.19</v>
      </c>
      <c r="D21" s="56">
        <v>3.74</v>
      </c>
      <c r="E21" s="56">
        <v>1.46</v>
      </c>
      <c r="F21" s="56">
        <v>10.44</v>
      </c>
      <c r="G21" s="56">
        <v>66.180000000000007</v>
      </c>
      <c r="H21" s="56">
        <v>25.90</v>
      </c>
      <c r="I21" s="56">
        <v>4.38</v>
      </c>
      <c r="J21" s="56">
        <v>0.76</v>
      </c>
      <c r="K21" s="56">
        <v>344.86</v>
      </c>
      <c r="L21" s="56">
        <v>44.74</v>
      </c>
      <c r="M21" s="56">
        <v>22.40</v>
      </c>
      <c r="N21" s="56">
        <v>809.20</v>
      </c>
      <c r="O21" s="56">
        <v>0</v>
      </c>
      <c r="P21" s="56">
        <v>0.67</v>
      </c>
      <c r="Q21" s="56">
        <v>9.2899999999999991</v>
      </c>
      <c r="R21" s="43"/>
      <c r="S21" s="43"/>
      <c r="T21" s="43"/>
      <c r="U21" s="43"/>
    </row>
    <row r="22" spans="1:21" s="11" customFormat="1" ht="15">
      <c r="A22" s="55" t="s">
        <v>747</v>
      </c>
      <c r="B22" s="56">
        <v>2.4900000000000002</v>
      </c>
      <c r="C22" s="56">
        <v>1.43</v>
      </c>
      <c r="D22" s="56">
        <v>3.89</v>
      </c>
      <c r="E22" s="56">
        <v>1.45</v>
      </c>
      <c r="F22" s="56">
        <v>9.49</v>
      </c>
      <c r="G22" s="56">
        <v>66.180000000000007</v>
      </c>
      <c r="H22" s="56">
        <v>28.78</v>
      </c>
      <c r="I22" s="56">
        <v>4.46</v>
      </c>
      <c r="J22" s="56">
        <v>1.33</v>
      </c>
      <c r="K22" s="56">
        <v>345.31</v>
      </c>
      <c r="L22" s="56">
        <v>46.31</v>
      </c>
      <c r="M22" s="56">
        <v>15.86</v>
      </c>
      <c r="N22" s="56">
        <v>790.70</v>
      </c>
      <c r="O22" s="56">
        <v>0</v>
      </c>
      <c r="P22" s="56">
        <v>0.56999999999999995</v>
      </c>
      <c r="Q22" s="56">
        <v>9.26</v>
      </c>
      <c r="R22" s="43"/>
      <c r="S22" s="43"/>
      <c r="T22" s="43"/>
      <c r="U22" s="43"/>
    </row>
    <row r="23" spans="1:21" s="11" customFormat="1" ht="15">
      <c r="A23" s="55" t="s">
        <v>748</v>
      </c>
      <c r="B23" s="56">
        <v>2.4900000000000002</v>
      </c>
      <c r="C23" s="56">
        <v>1.5</v>
      </c>
      <c r="D23" s="56">
        <v>3.93</v>
      </c>
      <c r="E23" s="56">
        <v>1.51</v>
      </c>
      <c r="F23" s="56">
        <v>8.19</v>
      </c>
      <c r="G23" s="56">
        <v>65.349999999999994</v>
      </c>
      <c r="H23" s="56">
        <v>28.96</v>
      </c>
      <c r="I23" s="56">
        <v>4.0599999999999996</v>
      </c>
      <c r="J23" s="56">
        <v>0.98</v>
      </c>
      <c r="K23" s="56">
        <v>328.05</v>
      </c>
      <c r="L23" s="56">
        <v>45.71</v>
      </c>
      <c r="M23" s="56">
        <v>17.14</v>
      </c>
      <c r="N23" s="56">
        <v>583.79999999999995</v>
      </c>
      <c r="O23" s="56">
        <v>0</v>
      </c>
      <c r="P23" s="56">
        <v>0.52</v>
      </c>
      <c r="Q23" s="56">
        <v>9.23</v>
      </c>
      <c r="R23" s="43"/>
      <c r="S23" s="43"/>
      <c r="T23" s="43"/>
      <c r="U23" s="43"/>
    </row>
    <row r="24" spans="1:21" s="11" customFormat="1" ht="15">
      <c r="A24" s="55" t="s">
        <v>749</v>
      </c>
      <c r="B24" s="56">
        <v>2.4500000000000002</v>
      </c>
      <c r="C24" s="56">
        <v>1.38</v>
      </c>
      <c r="D24" s="56">
        <v>3.83</v>
      </c>
      <c r="E24" s="56">
        <v>1.81</v>
      </c>
      <c r="F24" s="56">
        <v>11.40</v>
      </c>
      <c r="G24" s="56">
        <v>64.239999999999995</v>
      </c>
      <c r="H24" s="56">
        <v>29.08</v>
      </c>
      <c r="I24" s="56">
        <v>4.26</v>
      </c>
      <c r="J24" s="56">
        <v>0.77</v>
      </c>
      <c r="K24" s="56">
        <v>22.62</v>
      </c>
      <c r="L24" s="56">
        <v>43.36</v>
      </c>
      <c r="M24" s="56">
        <v>20.37</v>
      </c>
      <c r="N24" s="56">
        <v>309</v>
      </c>
      <c r="O24" s="56">
        <v>0</v>
      </c>
      <c r="P24" s="56">
        <v>0.47</v>
      </c>
      <c r="Q24" s="56">
        <v>9.26</v>
      </c>
      <c r="R24" s="43"/>
      <c r="S24" s="43"/>
      <c r="T24" s="43"/>
      <c r="U24" s="43"/>
    </row>
    <row r="25" spans="1:21" s="11" customFormat="1" ht="15">
      <c r="A25" s="55" t="s">
        <v>750</v>
      </c>
      <c r="B25" s="56">
        <v>2.38</v>
      </c>
      <c r="C25" s="56">
        <v>0.90</v>
      </c>
      <c r="D25" s="56">
        <v>3.52</v>
      </c>
      <c r="E25" s="56">
        <v>0.88</v>
      </c>
      <c r="F25" s="56">
        <v>11.19</v>
      </c>
      <c r="G25" s="56">
        <v>64.239999999999995</v>
      </c>
      <c r="H25" s="56">
        <v>29.08</v>
      </c>
      <c r="I25" s="56">
        <v>3.42</v>
      </c>
      <c r="J25" s="56">
        <v>0.60</v>
      </c>
      <c r="K25" s="56">
        <v>23.30</v>
      </c>
      <c r="L25" s="56">
        <v>42.08</v>
      </c>
      <c r="M25" s="56">
        <v>19.52</v>
      </c>
      <c r="N25" s="56">
        <v>162</v>
      </c>
      <c r="O25" s="56">
        <v>0</v>
      </c>
      <c r="P25" s="56">
        <v>0.41</v>
      </c>
      <c r="Q25" s="56">
        <v>9.2200000000000006</v>
      </c>
      <c r="R25" s="43"/>
      <c r="S25" s="43"/>
      <c r="T25" s="43"/>
      <c r="U25" s="43"/>
    </row>
    <row r="26" spans="1:21" s="11" customFormat="1" ht="15">
      <c r="A26" s="55" t="s">
        <v>751</v>
      </c>
      <c r="B26" s="56">
        <v>2.4900000000000002</v>
      </c>
      <c r="C26" s="56">
        <v>1.46</v>
      </c>
      <c r="D26" s="56">
        <v>3.90</v>
      </c>
      <c r="E26" s="56">
        <v>0.98</v>
      </c>
      <c r="F26" s="56">
        <v>8.74</v>
      </c>
      <c r="G26" s="56">
        <v>59.45</v>
      </c>
      <c r="H26" s="56">
        <v>26.80</v>
      </c>
      <c r="I26" s="56">
        <v>2.70</v>
      </c>
      <c r="J26" s="56">
        <v>0.59</v>
      </c>
      <c r="K26" s="56">
        <v>25.21</v>
      </c>
      <c r="L26" s="56">
        <v>41.15</v>
      </c>
      <c r="M26" s="56">
        <v>21.76</v>
      </c>
      <c r="N26" s="56">
        <v>91.30</v>
      </c>
      <c r="O26" s="56">
        <v>0</v>
      </c>
      <c r="P26" s="56">
        <v>0.39</v>
      </c>
      <c r="Q26" s="56">
        <v>9.24</v>
      </c>
      <c r="R26" s="43"/>
      <c r="S26" s="43"/>
      <c r="T26" s="43"/>
      <c r="U26" s="43"/>
    </row>
    <row r="27" spans="1:21" s="11" customFormat="1" ht="15">
      <c r="A27" s="55" t="s">
        <v>752</v>
      </c>
      <c r="B27" s="56">
        <v>2.4700000000000002</v>
      </c>
      <c r="C27" s="56">
        <v>1.45</v>
      </c>
      <c r="D27" s="56">
        <v>3.88</v>
      </c>
      <c r="E27" s="56">
        <v>1.08</v>
      </c>
      <c r="F27" s="56">
        <v>7.72</v>
      </c>
      <c r="G27" s="56">
        <v>62.28</v>
      </c>
      <c r="H27" s="56">
        <v>24.98</v>
      </c>
      <c r="I27" s="56">
        <v>3.19</v>
      </c>
      <c r="J27" s="56">
        <v>0.46</v>
      </c>
      <c r="K27" s="56">
        <v>356.02</v>
      </c>
      <c r="L27" s="56">
        <v>39.67</v>
      </c>
      <c r="M27" s="56">
        <v>25.46</v>
      </c>
      <c r="N27" s="56">
        <v>22.5</v>
      </c>
      <c r="O27" s="56">
        <v>0</v>
      </c>
      <c r="P27" s="56">
        <v>0.46</v>
      </c>
      <c r="Q27" s="56">
        <v>9.27</v>
      </c>
      <c r="R27" s="43"/>
      <c r="S27" s="43"/>
      <c r="T27" s="43"/>
      <c r="U27" s="43"/>
    </row>
    <row r="28" spans="1:21" s="11" customFormat="1" ht="15">
      <c r="A28" s="55" t="s">
        <v>753</v>
      </c>
      <c r="B28" s="56">
        <v>2.5099999999999998</v>
      </c>
      <c r="C28" s="56">
        <v>1.30</v>
      </c>
      <c r="D28" s="56">
        <v>3.84</v>
      </c>
      <c r="E28" s="56">
        <v>1.01</v>
      </c>
      <c r="F28" s="56">
        <v>5.31</v>
      </c>
      <c r="G28" s="56">
        <v>67.36</v>
      </c>
      <c r="H28" s="56">
        <v>26.89</v>
      </c>
      <c r="I28" s="56">
        <v>4.8600000000000003</v>
      </c>
      <c r="J28" s="56">
        <v>0.41</v>
      </c>
      <c r="K28" s="56">
        <v>324.48</v>
      </c>
      <c r="L28" s="56">
        <v>38.18</v>
      </c>
      <c r="M28" s="56">
        <v>27.27</v>
      </c>
      <c r="N28" s="56">
        <v>10.70</v>
      </c>
      <c r="O28" s="56">
        <v>0</v>
      </c>
      <c r="P28" s="56">
        <v>0.53</v>
      </c>
      <c r="Q28" s="56">
        <v>9.3699999999999992</v>
      </c>
      <c r="R28" s="43"/>
      <c r="S28" s="43"/>
      <c r="T28" s="43"/>
      <c r="U28" s="43"/>
    </row>
    <row r="29" spans="1:21" s="11" customFormat="1" ht="15">
      <c r="A29" s="55" t="s">
        <v>754</v>
      </c>
      <c r="B29" s="56">
        <v>2.42</v>
      </c>
      <c r="C29" s="56">
        <v>0.97</v>
      </c>
      <c r="D29" s="56">
        <v>3.58</v>
      </c>
      <c r="E29" s="56">
        <v>1.23</v>
      </c>
      <c r="F29" s="56">
        <v>5.08</v>
      </c>
      <c r="G29" s="56">
        <v>75.81</v>
      </c>
      <c r="H29" s="56">
        <v>28.27</v>
      </c>
      <c r="I29" s="56">
        <v>5.56</v>
      </c>
      <c r="J29" s="56">
        <v>0.26</v>
      </c>
      <c r="K29" s="56">
        <v>233.52</v>
      </c>
      <c r="L29" s="56">
        <v>36.79</v>
      </c>
      <c r="M29" s="56">
        <v>29.61</v>
      </c>
      <c r="N29" s="56">
        <v>10.90</v>
      </c>
      <c r="O29" s="56">
        <v>0</v>
      </c>
      <c r="P29" s="56">
        <v>0.60</v>
      </c>
      <c r="Q29" s="56">
        <v>9.41</v>
      </c>
      <c r="R29" s="43"/>
      <c r="S29" s="43"/>
      <c r="T29" s="43"/>
      <c r="U29" s="43"/>
    </row>
    <row r="30" spans="1:21" s="11" customFormat="1" ht="15">
      <c r="A30" s="55" t="s">
        <v>755</v>
      </c>
      <c r="B30" s="56">
        <v>2.58</v>
      </c>
      <c r="C30" s="56">
        <v>1.83</v>
      </c>
      <c r="D30" s="56">
        <v>4.16</v>
      </c>
      <c r="E30" s="56">
        <v>1.46</v>
      </c>
      <c r="F30" s="56">
        <v>4.30</v>
      </c>
      <c r="G30" s="56">
        <v>79.84</v>
      </c>
      <c r="H30" s="56">
        <v>30.40</v>
      </c>
      <c r="I30" s="56">
        <v>6.28</v>
      </c>
      <c r="J30" s="56">
        <v>0.53</v>
      </c>
      <c r="K30" s="56">
        <v>224.90</v>
      </c>
      <c r="L30" s="56">
        <v>35.18</v>
      </c>
      <c r="M30" s="56">
        <v>30.11</v>
      </c>
      <c r="N30" s="56">
        <v>10.60</v>
      </c>
      <c r="O30" s="56">
        <v>0</v>
      </c>
      <c r="P30" s="56">
        <v>0.64</v>
      </c>
      <c r="Q30" s="56">
        <v>9.43</v>
      </c>
      <c r="R30" s="43"/>
      <c r="S30" s="43"/>
      <c r="T30" s="43"/>
      <c r="U30" s="43"/>
    </row>
    <row r="31" spans="1:21" s="11" customFormat="1" ht="15">
      <c r="A31" s="55" t="s">
        <v>756</v>
      </c>
      <c r="B31" s="56">
        <v>2.5499999999999998</v>
      </c>
      <c r="C31" s="56">
        <v>1.5</v>
      </c>
      <c r="D31" s="56">
        <v>3.98</v>
      </c>
      <c r="E31" s="56">
        <v>1.42</v>
      </c>
      <c r="F31" s="56">
        <v>4.37</v>
      </c>
      <c r="G31" s="56">
        <v>79.84</v>
      </c>
      <c r="H31" s="56">
        <v>30.84</v>
      </c>
      <c r="I31" s="56">
        <v>6.46</v>
      </c>
      <c r="J31" s="56">
        <v>0.66</v>
      </c>
      <c r="K31" s="56">
        <v>249.23</v>
      </c>
      <c r="L31" s="56">
        <v>35.03</v>
      </c>
      <c r="M31" s="56">
        <v>31.58</v>
      </c>
      <c r="N31" s="56">
        <v>10.90</v>
      </c>
      <c r="O31" s="56">
        <v>0</v>
      </c>
      <c r="P31" s="56">
        <v>0.63</v>
      </c>
      <c r="Q31" s="56">
        <v>9.3699999999999992</v>
      </c>
      <c r="R31" s="43"/>
      <c r="S31" s="43"/>
      <c r="T31" s="43"/>
      <c r="U31" s="43"/>
    </row>
    <row r="32" spans="1:21" s="11" customFormat="1" ht="15">
      <c r="A32" s="55" t="s">
        <v>757</v>
      </c>
      <c r="B32" s="56">
        <v>2.60</v>
      </c>
      <c r="C32" s="56">
        <v>1.35</v>
      </c>
      <c r="D32" s="56">
        <v>3.94</v>
      </c>
      <c r="E32" s="56">
        <v>1.1499999999999999</v>
      </c>
      <c r="F32" s="56">
        <v>4.1100000000000003</v>
      </c>
      <c r="G32" s="56">
        <v>79.14</v>
      </c>
      <c r="H32" s="56">
        <v>30.84</v>
      </c>
      <c r="I32" s="56">
        <v>6.05</v>
      </c>
      <c r="J32" s="56">
        <v>0.56999999999999995</v>
      </c>
      <c r="K32" s="56">
        <v>241.96</v>
      </c>
      <c r="L32" s="56">
        <v>34.40</v>
      </c>
      <c r="M32" s="56">
        <v>33.770000000000003</v>
      </c>
      <c r="N32" s="56">
        <v>11.10</v>
      </c>
      <c r="O32" s="56">
        <v>0</v>
      </c>
      <c r="P32" s="56">
        <v>0.62</v>
      </c>
      <c r="Q32" s="56">
        <v>9.43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2.3799999999999999</v>
      </c>
      <c r="C34" s="28">
        <f t="shared" si="0"/>
        <v>0.77000000000000002</v>
      </c>
      <c r="D34" s="28">
        <f t="shared" si="0"/>
        <v>3.52</v>
      </c>
      <c r="E34" s="28">
        <f t="shared" si="0"/>
        <v>0.81999999999999995</v>
      </c>
      <c r="F34" s="28">
        <f t="shared" si="0"/>
        <v>4.1100000000000003</v>
      </c>
      <c r="G34" s="28">
        <f t="shared" si="0"/>
        <v>39.340000000000003</v>
      </c>
      <c r="H34" s="28">
        <f t="shared" si="0"/>
        <v>17.109999999999999</v>
      </c>
      <c r="I34" s="28">
        <f t="shared" si="0"/>
        <v>2.7000000000000002</v>
      </c>
      <c r="J34" s="28">
        <f t="shared" si="0"/>
        <v>0.26000000000000001</v>
      </c>
      <c r="K34" s="28">
        <f t="shared" si="0"/>
        <v>22.620000000000001</v>
      </c>
      <c r="L34" s="28">
        <f t="shared" si="0"/>
        <v>32.740000000000002</v>
      </c>
      <c r="M34" s="28">
        <f t="shared" si="0"/>
        <v>15.859999999999999</v>
      </c>
      <c r="N34" s="28">
        <f t="shared" si="0"/>
        <v>10.6</v>
      </c>
      <c r="O34" s="28">
        <f t="shared" si="0"/>
        <v>0</v>
      </c>
      <c r="P34" s="28">
        <f t="shared" si="0"/>
        <v>0.33000000000000002</v>
      </c>
      <c r="Q34" s="28">
        <f t="shared" si="0"/>
        <v>9.2200000000000006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2.6000000000000001</v>
      </c>
      <c r="C35" s="29">
        <f t="shared" si="1"/>
        <v>1.8300000000000001</v>
      </c>
      <c r="D35" s="29">
        <f t="shared" si="1"/>
        <v>4.1600000000000001</v>
      </c>
      <c r="E35" s="29">
        <f t="shared" si="1"/>
        <v>2.3300000000000001</v>
      </c>
      <c r="F35" s="29">
        <f t="shared" si="1"/>
        <v>11.4</v>
      </c>
      <c r="G35" s="29">
        <f t="shared" si="1"/>
        <v>79.840000000000003</v>
      </c>
      <c r="H35" s="29">
        <f t="shared" si="1"/>
        <v>30.84</v>
      </c>
      <c r="I35" s="29">
        <f t="shared" si="1"/>
        <v>6.46</v>
      </c>
      <c r="J35" s="29">
        <f t="shared" si="1"/>
        <v>1.3300000000000001</v>
      </c>
      <c r="K35" s="29">
        <f t="shared" si="1"/>
        <v>359.44</v>
      </c>
      <c r="L35" s="29">
        <f t="shared" si="1"/>
        <v>46.310000000000002</v>
      </c>
      <c r="M35" s="29">
        <f t="shared" si="1"/>
        <v>53.450000000000003</v>
      </c>
      <c r="N35" s="29">
        <f t="shared" si="1"/>
        <v>844.10000000000002</v>
      </c>
      <c r="O35" s="29">
        <f t="shared" si="1"/>
        <v>0</v>
      </c>
      <c r="P35" s="29">
        <f t="shared" si="1"/>
        <v>0.67000000000000004</v>
      </c>
      <c r="Q35" s="29">
        <f t="shared" si="1"/>
        <v>9.4299999999999997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2.5008333333333339</v>
      </c>
      <c r="C36" s="28">
        <f t="shared" si="2"/>
        <v>1.1849999999999998</v>
      </c>
      <c r="D36" s="28">
        <f t="shared" si="2"/>
        <v>3.7695833333333337</v>
      </c>
      <c r="E36" s="28">
        <f t="shared" si="2"/>
        <v>1.3650000000000002</v>
      </c>
      <c r="F36" s="28">
        <f t="shared" si="2"/>
        <v>6.6816666666666684</v>
      </c>
      <c r="G36" s="28">
        <f t="shared" si="2"/>
        <v>59.392916666666672</v>
      </c>
      <c r="H36" s="28">
        <f t="shared" si="2"/>
        <v>23.714583333333334</v>
      </c>
      <c r="I36" s="28">
        <f t="shared" si="2"/>
        <v>4.8525</v>
      </c>
      <c r="J36" s="28">
        <f t="shared" si="2"/>
        <v>0.64583333333333337</v>
      </c>
      <c r="K36" s="28">
        <f t="shared" si="2"/>
        <v>261.95791666666662</v>
      </c>
      <c r="L36" s="28">
        <f t="shared" si="2"/>
        <v>37.927083333333329</v>
      </c>
      <c r="M36" s="28">
        <f t="shared" si="2"/>
        <v>35.473750000000003</v>
      </c>
      <c r="N36" s="28">
        <f t="shared" si="2"/>
        <v>222.95416666666665</v>
      </c>
      <c r="O36" s="28">
        <f t="shared" si="2"/>
        <v>0</v>
      </c>
      <c r="P36" s="28">
        <f t="shared" si="2"/>
        <v>0.47458333333333336</v>
      </c>
      <c r="Q36" s="28">
        <f t="shared" si="2"/>
        <v>9.3262499999999999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0.05307227776026921</v>
      </c>
      <c r="C37" s="28">
        <f t="shared" si="3" ref="C37:Q37">STDEV(C9:C32)</f>
        <v>0.30375905783596197</v>
      </c>
      <c r="D37" s="28">
        <f t="shared" si="3"/>
        <v>0.18034939921468529</v>
      </c>
      <c r="E37" s="28">
        <f t="shared" si="3"/>
        <v>0.41802849913248197</v>
      </c>
      <c r="F37" s="28">
        <f t="shared" si="3"/>
        <v>2.4021053567500963</v>
      </c>
      <c r="G37" s="28">
        <f t="shared" si="3"/>
        <v>12.298928012376615</v>
      </c>
      <c r="H37" s="28">
        <f t="shared" si="3"/>
        <v>5.2496765773394776</v>
      </c>
      <c r="I37" s="28">
        <f t="shared" si="3"/>
        <v>1.0331726148973908</v>
      </c>
      <c r="J37" s="28">
        <f t="shared" si="3"/>
        <v>0.23263923678681922</v>
      </c>
      <c r="K37" s="28">
        <f t="shared" si="3"/>
        <v>107.16547760880468</v>
      </c>
      <c r="L37" s="28">
        <f t="shared" si="3"/>
        <v>4.5013925180380987</v>
      </c>
      <c r="M37" s="28">
        <f t="shared" si="3"/>
        <v>13.153990901260148</v>
      </c>
      <c r="N37" s="28">
        <f t="shared" si="3"/>
        <v>305.0033869792934</v>
      </c>
      <c r="O37" s="28">
        <f t="shared" si="3"/>
        <v>0</v>
      </c>
      <c r="P37" s="28">
        <f t="shared" si="3"/>
        <v>0.11096333772395534</v>
      </c>
      <c r="Q37" s="28">
        <f t="shared" si="3"/>
        <v>0.06113509630318735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4beb86-9d4f-4980-8c59-7f1b890cabc9}">
  <sheetPr codeName=""/>
  <dimension ref="A1:U119"/>
  <sheetViews>
    <sheetView zoomScale="85" zoomScaleNormal="85" workbookViewId="0" topLeftCell="A1">
      <selection pane="topLeft" activeCell="H48" sqref="H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758</v>
      </c>
      <c r="B9" s="56">
        <v>2.58</v>
      </c>
      <c r="C9" s="56">
        <v>1.28</v>
      </c>
      <c r="D9" s="56">
        <v>3.88</v>
      </c>
      <c r="E9" s="56">
        <v>1.73</v>
      </c>
      <c r="F9" s="56">
        <v>4.21</v>
      </c>
      <c r="G9" s="56">
        <v>80.45</v>
      </c>
      <c r="H9" s="56">
        <v>29.24</v>
      </c>
      <c r="I9" s="56">
        <v>7.80</v>
      </c>
      <c r="J9" s="56">
        <v>0.73</v>
      </c>
      <c r="K9" s="56">
        <v>349.45</v>
      </c>
      <c r="L9" s="56">
        <v>33.15</v>
      </c>
      <c r="M9" s="56">
        <v>41.61</v>
      </c>
      <c r="N9" s="56">
        <v>11.5</v>
      </c>
      <c r="O9" s="56">
        <v>0</v>
      </c>
      <c r="P9" s="56">
        <v>0.66</v>
      </c>
      <c r="Q9" s="56">
        <v>9.49</v>
      </c>
      <c r="R9" s="43"/>
      <c r="S9" s="43"/>
      <c r="T9" s="43"/>
      <c r="U9" s="43"/>
    </row>
    <row r="10" spans="1:21" s="11" customFormat="1" ht="15">
      <c r="A10" s="55" t="s">
        <v>759</v>
      </c>
      <c r="B10" s="56">
        <v>2.60</v>
      </c>
      <c r="C10" s="56">
        <v>1.32</v>
      </c>
      <c r="D10" s="56">
        <v>3.92</v>
      </c>
      <c r="E10" s="56">
        <v>1.68</v>
      </c>
      <c r="F10" s="56">
        <v>4.3600000000000003</v>
      </c>
      <c r="G10" s="56">
        <v>80.45</v>
      </c>
      <c r="H10" s="56">
        <v>27.28</v>
      </c>
      <c r="I10" s="56">
        <v>7.71</v>
      </c>
      <c r="J10" s="56">
        <v>0.55000000000000004</v>
      </c>
      <c r="K10" s="56">
        <v>262.70999999999998</v>
      </c>
      <c r="L10" s="56">
        <v>33.15</v>
      </c>
      <c r="M10" s="56">
        <v>44.81</v>
      </c>
      <c r="N10" s="56">
        <v>11.10</v>
      </c>
      <c r="O10" s="56">
        <v>0</v>
      </c>
      <c r="P10" s="56">
        <v>0.65</v>
      </c>
      <c r="Q10" s="56">
        <v>9.49</v>
      </c>
      <c r="R10" s="43"/>
      <c r="S10" s="43"/>
      <c r="T10" s="43"/>
      <c r="U10" s="43"/>
    </row>
    <row r="11" spans="1:21" s="11" customFormat="1" ht="15">
      <c r="A11" s="55" t="s">
        <v>760</v>
      </c>
      <c r="B11" s="56">
        <v>2.54</v>
      </c>
      <c r="C11" s="56">
        <v>1.0900000000000001</v>
      </c>
      <c r="D11" s="56">
        <v>3.75</v>
      </c>
      <c r="E11" s="56">
        <v>1.81</v>
      </c>
      <c r="F11" s="56">
        <v>3.88</v>
      </c>
      <c r="G11" s="56">
        <v>77.459999999999994</v>
      </c>
      <c r="H11" s="56">
        <v>27.28</v>
      </c>
      <c r="I11" s="56">
        <v>6.74</v>
      </c>
      <c r="J11" s="56">
        <v>0.73</v>
      </c>
      <c r="K11" s="56">
        <v>245.54</v>
      </c>
      <c r="L11" s="56">
        <v>32.479999999999997</v>
      </c>
      <c r="M11" s="56">
        <v>46.98</v>
      </c>
      <c r="N11" s="56">
        <v>10.80</v>
      </c>
      <c r="O11" s="56">
        <v>0</v>
      </c>
      <c r="P11" s="56">
        <v>0.63</v>
      </c>
      <c r="Q11" s="56">
        <v>9.44</v>
      </c>
      <c r="R11" s="43"/>
      <c r="S11" s="43"/>
      <c r="T11" s="43"/>
      <c r="U11" s="43"/>
    </row>
    <row r="12" spans="1:21" s="11" customFormat="1" ht="15">
      <c r="A12" s="55" t="s">
        <v>761</v>
      </c>
      <c r="B12" s="56">
        <v>2.90</v>
      </c>
      <c r="C12" s="56">
        <v>2.77</v>
      </c>
      <c r="D12" s="56">
        <v>4.92</v>
      </c>
      <c r="E12" s="56">
        <v>1.85</v>
      </c>
      <c r="F12" s="56">
        <v>4.29</v>
      </c>
      <c r="G12" s="56">
        <v>73.45</v>
      </c>
      <c r="H12" s="56">
        <v>26.87</v>
      </c>
      <c r="I12" s="56">
        <v>6.19</v>
      </c>
      <c r="J12" s="56">
        <v>0.73</v>
      </c>
      <c r="K12" s="56">
        <v>296.29000000000002</v>
      </c>
      <c r="L12" s="56">
        <v>32.200000000000003</v>
      </c>
      <c r="M12" s="56">
        <v>46.88</v>
      </c>
      <c r="N12" s="56">
        <v>11</v>
      </c>
      <c r="O12" s="56">
        <v>0</v>
      </c>
      <c r="P12" s="56">
        <v>0.56000000000000005</v>
      </c>
      <c r="Q12" s="56">
        <v>9.42</v>
      </c>
      <c r="R12" s="43"/>
      <c r="S12" s="43"/>
      <c r="T12" s="43"/>
      <c r="U12" s="43"/>
    </row>
    <row r="13" spans="1:21" s="11" customFormat="1" ht="15">
      <c r="A13" s="55" t="s">
        <v>762</v>
      </c>
      <c r="B13" s="56">
        <v>3.13</v>
      </c>
      <c r="C13" s="56">
        <v>3.89</v>
      </c>
      <c r="D13" s="56">
        <v>5.69</v>
      </c>
      <c r="E13" s="56">
        <v>2.27</v>
      </c>
      <c r="F13" s="56">
        <v>4</v>
      </c>
      <c r="G13" s="56">
        <v>66.180000000000007</v>
      </c>
      <c r="H13" s="56">
        <v>26.14</v>
      </c>
      <c r="I13" s="56">
        <v>5.45</v>
      </c>
      <c r="J13" s="56">
        <v>0.51</v>
      </c>
      <c r="K13" s="56">
        <v>304.35000000000002</v>
      </c>
      <c r="L13" s="56">
        <v>31.79</v>
      </c>
      <c r="M13" s="56">
        <v>46.88</v>
      </c>
      <c r="N13" s="56">
        <v>10.90</v>
      </c>
      <c r="O13" s="56">
        <v>0</v>
      </c>
      <c r="P13" s="56">
        <v>0.54</v>
      </c>
      <c r="Q13" s="56">
        <v>9.43</v>
      </c>
      <c r="R13" s="43"/>
      <c r="S13" s="43"/>
      <c r="T13" s="43"/>
      <c r="U13" s="43"/>
    </row>
    <row r="14" spans="1:21" s="11" customFormat="1" ht="15">
      <c r="A14" s="55" t="s">
        <v>763</v>
      </c>
      <c r="B14" s="56">
        <v>3.33</v>
      </c>
      <c r="C14" s="56">
        <v>5.69</v>
      </c>
      <c r="D14" s="56">
        <v>6.74</v>
      </c>
      <c r="E14" s="56">
        <v>2.90</v>
      </c>
      <c r="F14" s="56">
        <v>4.3600000000000003</v>
      </c>
      <c r="G14" s="56">
        <v>59.21</v>
      </c>
      <c r="H14" s="56">
        <v>23.79</v>
      </c>
      <c r="I14" s="56">
        <v>7.28</v>
      </c>
      <c r="J14" s="56">
        <v>1.38</v>
      </c>
      <c r="K14" s="56">
        <v>310.85000000000002</v>
      </c>
      <c r="L14" s="56">
        <v>31.76</v>
      </c>
      <c r="M14" s="56">
        <v>47.66</v>
      </c>
      <c r="N14" s="56">
        <v>66.599999999999994</v>
      </c>
      <c r="O14" s="56">
        <v>0</v>
      </c>
      <c r="P14" s="56">
        <v>0.53</v>
      </c>
      <c r="Q14" s="56">
        <v>9.4499999999999993</v>
      </c>
      <c r="R14" s="43"/>
      <c r="S14" s="43"/>
      <c r="T14" s="43"/>
      <c r="U14" s="43"/>
    </row>
    <row r="15" spans="1:21" s="11" customFormat="1" ht="15">
      <c r="A15" s="55" t="s">
        <v>764</v>
      </c>
      <c r="B15" s="56">
        <v>3.34</v>
      </c>
      <c r="C15" s="56">
        <v>4.8899999999999997</v>
      </c>
      <c r="D15" s="56">
        <v>6.37</v>
      </c>
      <c r="E15" s="56">
        <v>2.2599999999999998</v>
      </c>
      <c r="F15" s="56">
        <v>4.16</v>
      </c>
      <c r="G15" s="56">
        <v>59.21</v>
      </c>
      <c r="H15" s="56">
        <v>22.12</v>
      </c>
      <c r="I15" s="56">
        <v>7.41</v>
      </c>
      <c r="J15" s="56">
        <v>1.18</v>
      </c>
      <c r="K15" s="56">
        <v>359.5</v>
      </c>
      <c r="L15" s="56">
        <v>33.69</v>
      </c>
      <c r="M15" s="56">
        <v>48.26</v>
      </c>
      <c r="N15" s="56">
        <v>225</v>
      </c>
      <c r="O15" s="56">
        <v>0</v>
      </c>
      <c r="P15" s="56">
        <v>0.51</v>
      </c>
      <c r="Q15" s="56">
        <v>9.43</v>
      </c>
      <c r="R15" s="43"/>
      <c r="S15" s="43"/>
      <c r="T15" s="43"/>
      <c r="U15" s="43"/>
    </row>
    <row r="16" spans="1:21" s="11" customFormat="1" ht="15">
      <c r="A16" s="55" t="s">
        <v>765</v>
      </c>
      <c r="B16" s="56">
        <v>3.21</v>
      </c>
      <c r="C16" s="56">
        <v>5.37</v>
      </c>
      <c r="D16" s="56">
        <v>6.38</v>
      </c>
      <c r="E16" s="56">
        <v>2.4300000000000002</v>
      </c>
      <c r="F16" s="56">
        <v>5.64</v>
      </c>
      <c r="G16" s="56">
        <v>64.819999999999993</v>
      </c>
      <c r="H16" s="56">
        <v>22.74</v>
      </c>
      <c r="I16" s="56">
        <v>6.99</v>
      </c>
      <c r="J16" s="56">
        <v>0.60</v>
      </c>
      <c r="K16" s="56">
        <v>29.26</v>
      </c>
      <c r="L16" s="56">
        <v>36.700000000000003</v>
      </c>
      <c r="M16" s="56">
        <v>43.77</v>
      </c>
      <c r="N16" s="56">
        <v>424.60</v>
      </c>
      <c r="O16" s="56">
        <v>0</v>
      </c>
      <c r="P16" s="56">
        <v>0.52</v>
      </c>
      <c r="Q16" s="56">
        <v>9.41</v>
      </c>
      <c r="R16" s="43"/>
      <c r="S16" s="43"/>
      <c r="T16" s="43"/>
      <c r="U16" s="43"/>
    </row>
    <row r="17" spans="1:21" s="11" customFormat="1" ht="15">
      <c r="A17" s="55" t="s">
        <v>766</v>
      </c>
      <c r="B17" s="56">
        <v>2.98</v>
      </c>
      <c r="C17" s="56">
        <v>5.70</v>
      </c>
      <c r="D17" s="56">
        <v>6.48</v>
      </c>
      <c r="E17" s="56">
        <v>2.4900000000000002</v>
      </c>
      <c r="F17" s="56">
        <v>7.34</v>
      </c>
      <c r="G17" s="56">
        <v>64.819999999999993</v>
      </c>
      <c r="H17" s="56">
        <v>22.74</v>
      </c>
      <c r="I17" s="56">
        <v>6.18</v>
      </c>
      <c r="J17" s="56">
        <v>0.69</v>
      </c>
      <c r="K17" s="56">
        <v>24.64</v>
      </c>
      <c r="L17" s="56">
        <v>40.130000000000003</v>
      </c>
      <c r="M17" s="56">
        <v>32.54</v>
      </c>
      <c r="N17" s="56">
        <v>601.20000000000005</v>
      </c>
      <c r="O17" s="56">
        <v>0</v>
      </c>
      <c r="P17" s="56">
        <v>0.53</v>
      </c>
      <c r="Q17" s="56">
        <v>9.41</v>
      </c>
      <c r="R17" s="43"/>
      <c r="S17" s="43"/>
      <c r="T17" s="43"/>
      <c r="U17" s="43"/>
    </row>
    <row r="18" spans="1:21" s="11" customFormat="1" ht="15">
      <c r="A18" s="55" t="s">
        <v>767</v>
      </c>
      <c r="B18" s="56">
        <v>2.96</v>
      </c>
      <c r="C18" s="56">
        <v>5.89</v>
      </c>
      <c r="D18" s="56">
        <v>6.58</v>
      </c>
      <c r="E18" s="56">
        <v>2.5299999999999998</v>
      </c>
      <c r="F18" s="56">
        <v>7.65</v>
      </c>
      <c r="G18" s="56">
        <v>67.89</v>
      </c>
      <c r="H18" s="56">
        <v>27.62</v>
      </c>
      <c r="I18" s="56">
        <v>5.5</v>
      </c>
      <c r="J18" s="56">
        <v>1.07</v>
      </c>
      <c r="K18" s="56">
        <v>353.19</v>
      </c>
      <c r="L18" s="56">
        <v>44.98</v>
      </c>
      <c r="M18" s="56">
        <v>27.65</v>
      </c>
      <c r="N18" s="56">
        <v>742.60</v>
      </c>
      <c r="O18" s="56">
        <v>0</v>
      </c>
      <c r="P18" s="56">
        <v>0.61</v>
      </c>
      <c r="Q18" s="56">
        <v>9.4499999999999993</v>
      </c>
      <c r="R18" s="43"/>
      <c r="S18" s="43"/>
      <c r="T18" s="43"/>
      <c r="U18" s="43"/>
    </row>
    <row r="19" spans="1:21" s="11" customFormat="1" ht="15">
      <c r="A19" s="55" t="s">
        <v>768</v>
      </c>
      <c r="B19" s="56">
        <v>2.95</v>
      </c>
      <c r="C19" s="56">
        <v>6.70</v>
      </c>
      <c r="D19" s="56">
        <v>6.95</v>
      </c>
      <c r="E19" s="56">
        <v>2.64</v>
      </c>
      <c r="F19" s="56">
        <v>13.16</v>
      </c>
      <c r="G19" s="56">
        <v>67.89</v>
      </c>
      <c r="H19" s="56">
        <v>28.92</v>
      </c>
      <c r="I19" s="56">
        <v>5.48</v>
      </c>
      <c r="J19" s="56">
        <v>1.63</v>
      </c>
      <c r="K19" s="56">
        <v>326.64</v>
      </c>
      <c r="L19" s="56">
        <v>46.47</v>
      </c>
      <c r="M19" s="56">
        <v>20.46</v>
      </c>
      <c r="N19" s="56">
        <v>823.10</v>
      </c>
      <c r="O19" s="56">
        <v>0</v>
      </c>
      <c r="P19" s="56">
        <v>0.62</v>
      </c>
      <c r="Q19" s="56">
        <v>9.43</v>
      </c>
      <c r="R19" s="43"/>
      <c r="S19" s="43"/>
      <c r="T19" s="43"/>
      <c r="U19" s="43"/>
    </row>
    <row r="20" spans="1:21" s="11" customFormat="1" ht="15">
      <c r="A20" s="55" t="s">
        <v>769</v>
      </c>
      <c r="B20" s="56">
        <v>2.89</v>
      </c>
      <c r="C20" s="56">
        <v>8.0399999999999991</v>
      </c>
      <c r="D20" s="56">
        <v>7.65</v>
      </c>
      <c r="E20" s="56">
        <v>2.5</v>
      </c>
      <c r="F20" s="56">
        <v>12.5</v>
      </c>
      <c r="G20" s="56">
        <v>67.38</v>
      </c>
      <c r="H20" s="56">
        <v>28.92</v>
      </c>
      <c r="I20" s="56">
        <v>4.43</v>
      </c>
      <c r="J20" s="56">
        <v>1.39</v>
      </c>
      <c r="K20" s="56">
        <v>335.99</v>
      </c>
      <c r="L20" s="56">
        <v>46.71</v>
      </c>
      <c r="M20" s="56">
        <v>18.399999999999999</v>
      </c>
      <c r="N20" s="56">
        <v>842.70</v>
      </c>
      <c r="O20" s="56">
        <v>0</v>
      </c>
      <c r="P20" s="56">
        <v>0.57999999999999996</v>
      </c>
      <c r="Q20" s="56">
        <v>9.4499999999999993</v>
      </c>
      <c r="R20" s="43"/>
      <c r="S20" s="43"/>
      <c r="T20" s="43"/>
      <c r="U20" s="43"/>
    </row>
    <row r="21" spans="1:21" s="11" customFormat="1" ht="15">
      <c r="A21" s="55" t="s">
        <v>770</v>
      </c>
      <c r="B21" s="56">
        <v>2.82</v>
      </c>
      <c r="C21" s="56">
        <v>7.23</v>
      </c>
      <c r="D21" s="56">
        <v>7.18</v>
      </c>
      <c r="E21" s="56">
        <v>2.2599999999999998</v>
      </c>
      <c r="F21" s="56">
        <v>13.30</v>
      </c>
      <c r="G21" s="56">
        <v>54.81</v>
      </c>
      <c r="H21" s="56">
        <v>24.85</v>
      </c>
      <c r="I21" s="56">
        <v>4.12</v>
      </c>
      <c r="J21" s="56">
        <v>1.22</v>
      </c>
      <c r="K21" s="56">
        <v>349.16</v>
      </c>
      <c r="L21" s="56">
        <v>41.42</v>
      </c>
      <c r="M21" s="56">
        <v>17.059999999999999</v>
      </c>
      <c r="N21" s="56">
        <v>833.90</v>
      </c>
      <c r="O21" s="56">
        <v>0</v>
      </c>
      <c r="P21" s="56">
        <v>0.54</v>
      </c>
      <c r="Q21" s="56">
        <v>9.40</v>
      </c>
      <c r="R21" s="43"/>
      <c r="S21" s="43"/>
      <c r="T21" s="43"/>
      <c r="U21" s="43"/>
    </row>
    <row r="22" spans="1:21" s="11" customFormat="1" ht="15">
      <c r="A22" s="55" t="s">
        <v>771</v>
      </c>
      <c r="B22" s="56">
        <v>2.80</v>
      </c>
      <c r="C22" s="56">
        <v>5.30</v>
      </c>
      <c r="D22" s="56">
        <v>6.16</v>
      </c>
      <c r="E22" s="56">
        <v>2.98</v>
      </c>
      <c r="F22" s="56">
        <v>10.40</v>
      </c>
      <c r="G22" s="56">
        <v>59.78</v>
      </c>
      <c r="H22" s="56">
        <v>25.37</v>
      </c>
      <c r="I22" s="56">
        <v>4.13</v>
      </c>
      <c r="J22" s="56">
        <v>1.02</v>
      </c>
      <c r="K22" s="56">
        <v>355.91</v>
      </c>
      <c r="L22" s="56">
        <v>42.33</v>
      </c>
      <c r="M22" s="56">
        <v>16.02</v>
      </c>
      <c r="N22" s="56">
        <v>784.5</v>
      </c>
      <c r="O22" s="56">
        <v>0</v>
      </c>
      <c r="P22" s="56">
        <v>0.43</v>
      </c>
      <c r="Q22" s="56">
        <v>9.31</v>
      </c>
      <c r="R22" s="43"/>
      <c r="S22" s="43"/>
      <c r="T22" s="43"/>
      <c r="U22" s="43"/>
    </row>
    <row r="23" spans="1:21" s="11" customFormat="1" ht="15">
      <c r="A23" s="55" t="s">
        <v>772</v>
      </c>
      <c r="B23" s="56">
        <v>2.83</v>
      </c>
      <c r="C23" s="56">
        <v>5.19</v>
      </c>
      <c r="D23" s="56">
        <v>6.12</v>
      </c>
      <c r="E23" s="56">
        <v>2.67</v>
      </c>
      <c r="F23" s="56">
        <v>6.13</v>
      </c>
      <c r="G23" s="56">
        <v>59.78</v>
      </c>
      <c r="H23" s="56">
        <v>25.37</v>
      </c>
      <c r="I23" s="56">
        <v>5.16</v>
      </c>
      <c r="J23" s="56">
        <v>1.59</v>
      </c>
      <c r="K23" s="56">
        <v>338.94</v>
      </c>
      <c r="L23" s="56">
        <v>42.23</v>
      </c>
      <c r="M23" s="56">
        <v>16.86</v>
      </c>
      <c r="N23" s="56">
        <v>650.40</v>
      </c>
      <c r="O23" s="56">
        <v>0</v>
      </c>
      <c r="P23" s="56">
        <v>0.39</v>
      </c>
      <c r="Q23" s="56">
        <v>9.39</v>
      </c>
      <c r="R23" s="43"/>
      <c r="S23" s="43"/>
      <c r="T23" s="43"/>
      <c r="U23" s="43"/>
    </row>
    <row r="24" spans="1:21" s="11" customFormat="1" ht="15">
      <c r="A24" s="55" t="s">
        <v>773</v>
      </c>
      <c r="B24" s="56">
        <v>2.88</v>
      </c>
      <c r="C24" s="56">
        <v>6.01</v>
      </c>
      <c r="D24" s="56">
        <v>6.51</v>
      </c>
      <c r="E24" s="56">
        <v>2.89</v>
      </c>
      <c r="F24" s="56">
        <v>7.57</v>
      </c>
      <c r="G24" s="56">
        <v>57.18</v>
      </c>
      <c r="H24" s="56">
        <v>23.52</v>
      </c>
      <c r="I24" s="56">
        <v>5.74</v>
      </c>
      <c r="J24" s="56">
        <v>0.93</v>
      </c>
      <c r="K24" s="56">
        <v>313.62</v>
      </c>
      <c r="L24" s="56">
        <v>39.869999999999997</v>
      </c>
      <c r="M24" s="56">
        <v>15.38</v>
      </c>
      <c r="N24" s="56">
        <v>246.90</v>
      </c>
      <c r="O24" s="56">
        <v>0</v>
      </c>
      <c r="P24" s="56">
        <v>0.38</v>
      </c>
      <c r="Q24" s="56">
        <v>9.34</v>
      </c>
      <c r="R24" s="43"/>
      <c r="S24" s="43"/>
      <c r="T24" s="43"/>
      <c r="U24" s="43"/>
    </row>
    <row r="25" spans="1:21" s="11" customFormat="1" ht="15">
      <c r="A25" s="55" t="s">
        <v>774</v>
      </c>
      <c r="B25" s="56">
        <v>2.88</v>
      </c>
      <c r="C25" s="56">
        <v>8.7200000000000006</v>
      </c>
      <c r="D25" s="56">
        <v>7.93</v>
      </c>
      <c r="E25" s="56">
        <v>1.72</v>
      </c>
      <c r="F25" s="56">
        <v>7.72</v>
      </c>
      <c r="G25" s="56">
        <v>52.06</v>
      </c>
      <c r="H25" s="56">
        <v>21.93</v>
      </c>
      <c r="I25" s="56">
        <v>5.5</v>
      </c>
      <c r="J25" s="56">
        <v>0.73</v>
      </c>
      <c r="K25" s="56">
        <v>348.67</v>
      </c>
      <c r="L25" s="56">
        <v>45.92</v>
      </c>
      <c r="M25" s="56">
        <v>15.52</v>
      </c>
      <c r="N25" s="56">
        <v>122.5</v>
      </c>
      <c r="O25" s="56">
        <v>0</v>
      </c>
      <c r="P25" s="56">
        <v>0.38</v>
      </c>
      <c r="Q25" s="56">
        <v>9.5</v>
      </c>
      <c r="R25" s="43"/>
      <c r="S25" s="43"/>
      <c r="T25" s="43"/>
      <c r="U25" s="43"/>
    </row>
    <row r="26" spans="1:21" s="11" customFormat="1" ht="15">
      <c r="A26" s="55" t="s">
        <v>775</v>
      </c>
      <c r="B26" s="56">
        <v>2.91</v>
      </c>
      <c r="C26" s="56">
        <v>7.36</v>
      </c>
      <c r="D26" s="56">
        <v>7.20</v>
      </c>
      <c r="E26" s="56">
        <v>1.35</v>
      </c>
      <c r="F26" s="56">
        <v>7.46</v>
      </c>
      <c r="G26" s="56">
        <v>57.53</v>
      </c>
      <c r="H26" s="56">
        <v>24.84</v>
      </c>
      <c r="I26" s="56">
        <v>5.54</v>
      </c>
      <c r="J26" s="56">
        <v>0.39</v>
      </c>
      <c r="K26" s="56">
        <v>348.49</v>
      </c>
      <c r="L26" s="56">
        <v>44.56</v>
      </c>
      <c r="M26" s="56">
        <v>18.41</v>
      </c>
      <c r="N26" s="56">
        <v>51.30</v>
      </c>
      <c r="O26" s="56">
        <v>0</v>
      </c>
      <c r="P26" s="56">
        <v>0.59</v>
      </c>
      <c r="Q26" s="56">
        <v>9.40</v>
      </c>
      <c r="R26" s="43"/>
      <c r="S26" s="43"/>
      <c r="T26" s="43"/>
      <c r="U26" s="43"/>
    </row>
    <row r="27" spans="1:21" s="11" customFormat="1" ht="15">
      <c r="A27" s="55" t="s">
        <v>776</v>
      </c>
      <c r="B27" s="56">
        <v>3.26</v>
      </c>
      <c r="C27" s="56">
        <v>6.48</v>
      </c>
      <c r="D27" s="56">
        <v>7.15</v>
      </c>
      <c r="E27" s="56">
        <v>1.25</v>
      </c>
      <c r="F27" s="56">
        <v>3.84</v>
      </c>
      <c r="G27" s="56">
        <v>71.53</v>
      </c>
      <c r="H27" s="56">
        <v>27.47</v>
      </c>
      <c r="I27" s="56">
        <v>8.56</v>
      </c>
      <c r="J27" s="56">
        <v>1.1000000000000001</v>
      </c>
      <c r="K27" s="56">
        <v>328.39</v>
      </c>
      <c r="L27" s="56">
        <v>43.04</v>
      </c>
      <c r="M27" s="56">
        <v>22.09</v>
      </c>
      <c r="N27" s="56">
        <v>26.10</v>
      </c>
      <c r="O27" s="56">
        <v>0</v>
      </c>
      <c r="P27" s="56">
        <v>0.74</v>
      </c>
      <c r="Q27" s="56">
        <v>9.52</v>
      </c>
      <c r="R27" s="43"/>
      <c r="S27" s="43"/>
      <c r="T27" s="43"/>
      <c r="U27" s="43"/>
    </row>
    <row r="28" spans="1:21" s="11" customFormat="1" ht="15">
      <c r="A28" s="55" t="s">
        <v>777</v>
      </c>
      <c r="B28" s="56">
        <v>3.74</v>
      </c>
      <c r="C28" s="56">
        <v>7.99</v>
      </c>
      <c r="D28" s="56">
        <v>8.32</v>
      </c>
      <c r="E28" s="56">
        <v>1.53</v>
      </c>
      <c r="F28" s="56">
        <v>3.86</v>
      </c>
      <c r="G28" s="56">
        <v>72.94</v>
      </c>
      <c r="H28" s="56">
        <v>27.97</v>
      </c>
      <c r="I28" s="56">
        <v>9.86</v>
      </c>
      <c r="J28" s="56">
        <v>0.77</v>
      </c>
      <c r="K28" s="56">
        <v>323.49</v>
      </c>
      <c r="L28" s="56">
        <v>41.66</v>
      </c>
      <c r="M28" s="56">
        <v>25.04</v>
      </c>
      <c r="N28" s="56">
        <v>11.40</v>
      </c>
      <c r="O28" s="56">
        <v>0</v>
      </c>
      <c r="P28" s="56">
        <v>0.87</v>
      </c>
      <c r="Q28" s="56">
        <v>9.6999999999999993</v>
      </c>
      <c r="R28" s="43"/>
      <c r="S28" s="43"/>
      <c r="T28" s="43"/>
      <c r="U28" s="43"/>
    </row>
    <row r="29" spans="1:21" s="11" customFormat="1" ht="15">
      <c r="A29" s="55" t="s">
        <v>778</v>
      </c>
      <c r="B29" s="56">
        <v>4.37</v>
      </c>
      <c r="C29" s="56">
        <v>8.6300000000000008</v>
      </c>
      <c r="D29" s="56">
        <v>9.16</v>
      </c>
      <c r="E29" s="56">
        <v>2.02</v>
      </c>
      <c r="F29" s="56">
        <v>3.70</v>
      </c>
      <c r="G29" s="56">
        <v>72.94</v>
      </c>
      <c r="H29" s="56">
        <v>28.67</v>
      </c>
      <c r="I29" s="56">
        <v>8.75</v>
      </c>
      <c r="J29" s="56">
        <v>0.63</v>
      </c>
      <c r="K29" s="56">
        <v>324.89999999999998</v>
      </c>
      <c r="L29" s="56">
        <v>40.28</v>
      </c>
      <c r="M29" s="56">
        <v>25.65</v>
      </c>
      <c r="N29" s="56">
        <v>11.30</v>
      </c>
      <c r="O29" s="56">
        <v>0</v>
      </c>
      <c r="P29" s="56">
        <v>0.99</v>
      </c>
      <c r="Q29" s="56">
        <v>9.7799999999999994</v>
      </c>
      <c r="R29" s="43"/>
      <c r="S29" s="43"/>
      <c r="T29" s="43"/>
      <c r="U29" s="43"/>
    </row>
    <row r="30" spans="1:21" s="11" customFormat="1" ht="15">
      <c r="A30" s="55" t="s">
        <v>779</v>
      </c>
      <c r="B30" s="56">
        <v>6.08</v>
      </c>
      <c r="C30" s="56">
        <v>9.93</v>
      </c>
      <c r="D30" s="56">
        <v>11.12</v>
      </c>
      <c r="E30" s="56">
        <v>1.70</v>
      </c>
      <c r="F30" s="56">
        <v>3.83</v>
      </c>
      <c r="G30" s="56">
        <v>73.48</v>
      </c>
      <c r="H30" s="56">
        <v>28.67</v>
      </c>
      <c r="I30" s="56">
        <v>8.61</v>
      </c>
      <c r="J30" s="56">
        <v>0.70</v>
      </c>
      <c r="K30" s="56">
        <v>302.77999999999997</v>
      </c>
      <c r="L30" s="56">
        <v>39.26</v>
      </c>
      <c r="M30" s="56">
        <v>29.40</v>
      </c>
      <c r="N30" s="56">
        <v>11.40</v>
      </c>
      <c r="O30" s="56">
        <v>0</v>
      </c>
      <c r="P30" s="56">
        <v>1.1399999999999999</v>
      </c>
      <c r="Q30" s="56">
        <v>9.91</v>
      </c>
      <c r="R30" s="43"/>
      <c r="S30" s="43"/>
      <c r="T30" s="43"/>
      <c r="U30" s="43"/>
    </row>
    <row r="31" spans="1:21" s="11" customFormat="1" ht="15">
      <c r="A31" s="55" t="s">
        <v>780</v>
      </c>
      <c r="B31" s="56">
        <v>7.16</v>
      </c>
      <c r="C31" s="56">
        <v>9.56</v>
      </c>
      <c r="D31" s="56">
        <v>11.59</v>
      </c>
      <c r="E31" s="56">
        <v>1.91</v>
      </c>
      <c r="F31" s="56">
        <v>3.78</v>
      </c>
      <c r="G31" s="56">
        <v>82.85</v>
      </c>
      <c r="H31" s="56">
        <v>30.05</v>
      </c>
      <c r="I31" s="56">
        <v>10.94</v>
      </c>
      <c r="J31" s="56">
        <v>0.74</v>
      </c>
      <c r="K31" s="56">
        <v>281.45999999999998</v>
      </c>
      <c r="L31" s="56">
        <v>38.89</v>
      </c>
      <c r="M31" s="56">
        <v>29.39</v>
      </c>
      <c r="N31" s="56">
        <v>11.20</v>
      </c>
      <c r="O31" s="56">
        <v>0</v>
      </c>
      <c r="P31" s="56">
        <v>1.17</v>
      </c>
      <c r="Q31" s="56">
        <v>10.02</v>
      </c>
      <c r="R31" s="43"/>
      <c r="S31" s="43"/>
      <c r="T31" s="43"/>
      <c r="U31" s="43"/>
    </row>
    <row r="32" spans="1:21" s="11" customFormat="1" ht="15">
      <c r="A32" s="55" t="s">
        <v>781</v>
      </c>
      <c r="B32" s="56">
        <v>8.24</v>
      </c>
      <c r="C32" s="56">
        <v>9.90</v>
      </c>
      <c r="D32" s="56">
        <v>12.93</v>
      </c>
      <c r="E32" s="56">
        <v>2.08</v>
      </c>
      <c r="F32" s="56">
        <v>3.60</v>
      </c>
      <c r="G32" s="56">
        <v>89.69</v>
      </c>
      <c r="H32" s="56">
        <v>32.909999999999997</v>
      </c>
      <c r="I32" s="56">
        <v>12.21</v>
      </c>
      <c r="J32" s="56">
        <v>0.61</v>
      </c>
      <c r="K32" s="56">
        <v>339.21</v>
      </c>
      <c r="L32" s="56">
        <v>37.86</v>
      </c>
      <c r="M32" s="56">
        <v>42.81</v>
      </c>
      <c r="N32" s="56">
        <v>11.5</v>
      </c>
      <c r="O32" s="56">
        <v>0</v>
      </c>
      <c r="P32" s="56">
        <v>1.1599999999999999</v>
      </c>
      <c r="Q32" s="56">
        <v>10.029999999999999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2.54</v>
      </c>
      <c r="C34" s="28">
        <f t="shared" si="0"/>
        <v>1.0900000000000001</v>
      </c>
      <c r="D34" s="28">
        <f t="shared" si="0"/>
        <v>3.75</v>
      </c>
      <c r="E34" s="28">
        <f t="shared" si="0"/>
        <v>1.25</v>
      </c>
      <c r="F34" s="28">
        <f t="shared" si="0"/>
        <v>3.6000000000000001</v>
      </c>
      <c r="G34" s="28">
        <f t="shared" si="0"/>
        <v>52.060000000000002</v>
      </c>
      <c r="H34" s="28">
        <f t="shared" si="0"/>
        <v>21.93</v>
      </c>
      <c r="I34" s="28">
        <f t="shared" si="0"/>
        <v>4.1200000000000001</v>
      </c>
      <c r="J34" s="28">
        <f t="shared" si="0"/>
        <v>0.39000000000000001</v>
      </c>
      <c r="K34" s="28">
        <f t="shared" si="0"/>
        <v>24.640000000000001</v>
      </c>
      <c r="L34" s="28">
        <f t="shared" si="0"/>
        <v>31.760000000000002</v>
      </c>
      <c r="M34" s="28">
        <f t="shared" si="0"/>
        <v>15.380000000000001</v>
      </c>
      <c r="N34" s="28">
        <f t="shared" si="0"/>
        <v>10.800000000000001</v>
      </c>
      <c r="O34" s="28">
        <f t="shared" si="0"/>
        <v>0</v>
      </c>
      <c r="P34" s="28">
        <f t="shared" si="0"/>
        <v>0.38</v>
      </c>
      <c r="Q34" s="28">
        <f t="shared" si="0"/>
        <v>9.3100000000000005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8.2400000000000002</v>
      </c>
      <c r="C35" s="29">
        <f t="shared" si="1"/>
        <v>9.9299999999999997</v>
      </c>
      <c r="D35" s="29">
        <f t="shared" si="1"/>
        <v>12.93</v>
      </c>
      <c r="E35" s="29">
        <f t="shared" si="1"/>
        <v>2.98</v>
      </c>
      <c r="F35" s="29">
        <f t="shared" si="1"/>
        <v>13.300000000000001</v>
      </c>
      <c r="G35" s="29">
        <f t="shared" si="1"/>
        <v>89.689999999999998</v>
      </c>
      <c r="H35" s="29">
        <f t="shared" si="1"/>
        <v>32.909999999999997</v>
      </c>
      <c r="I35" s="29">
        <f t="shared" si="1"/>
        <v>12.210000000000001</v>
      </c>
      <c r="J35" s="29">
        <f t="shared" si="1"/>
        <v>1.6299999999999999</v>
      </c>
      <c r="K35" s="29">
        <f t="shared" si="1"/>
        <v>359.5</v>
      </c>
      <c r="L35" s="29">
        <f t="shared" si="1"/>
        <v>46.710000000000001</v>
      </c>
      <c r="M35" s="29">
        <f t="shared" si="1"/>
        <v>48.259999999999998</v>
      </c>
      <c r="N35" s="29">
        <f t="shared" si="1"/>
        <v>842.70000000000005</v>
      </c>
      <c r="O35" s="29">
        <f t="shared" si="1"/>
        <v>0</v>
      </c>
      <c r="P35" s="29">
        <f t="shared" si="1"/>
        <v>1.1699999999999999</v>
      </c>
      <c r="Q35" s="29">
        <f t="shared" si="1"/>
        <v>10.029999999999999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3.5574999999999997</v>
      </c>
      <c r="C36" s="28">
        <f t="shared" si="2"/>
        <v>6.0387500000000003</v>
      </c>
      <c r="D36" s="28">
        <f t="shared" si="2"/>
        <v>7.1116666666666681</v>
      </c>
      <c r="E36" s="28">
        <f t="shared" si="2"/>
        <v>2.1437500000000003</v>
      </c>
      <c r="F36" s="28">
        <f t="shared" si="2"/>
        <v>6.2808333333333337</v>
      </c>
      <c r="G36" s="28">
        <f t="shared" si="2"/>
        <v>68.07416666666667</v>
      </c>
      <c r="H36" s="28">
        <f t="shared" si="2"/>
        <v>26.469999999999995</v>
      </c>
      <c r="I36" s="28">
        <f t="shared" si="2"/>
        <v>6.9283333333333337</v>
      </c>
      <c r="J36" s="28">
        <f t="shared" si="2"/>
        <v>0.90083333333333326</v>
      </c>
      <c r="K36" s="28">
        <f t="shared" si="2"/>
        <v>298.05958333333325</v>
      </c>
      <c r="L36" s="28">
        <f t="shared" si="2"/>
        <v>39.188749999999992</v>
      </c>
      <c r="M36" s="28">
        <f t="shared" si="2"/>
        <v>30.813749999999988</v>
      </c>
      <c r="N36" s="28">
        <f t="shared" si="2"/>
        <v>273.06249999999994</v>
      </c>
      <c r="O36" s="28">
        <f t="shared" si="2"/>
        <v>0</v>
      </c>
      <c r="P36" s="28">
        <f t="shared" si="2"/>
        <v>0.65500000000000014</v>
      </c>
      <c r="Q36" s="28">
        <f t="shared" si="2"/>
        <v>9.5250000000000004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1.478551729697444</v>
      </c>
      <c r="C37" s="28">
        <f t="shared" si="3" ref="C37:Q37">STDEV(C9:C32)</f>
        <v>2.6040074675976546</v>
      </c>
      <c r="D37" s="28">
        <f t="shared" si="3"/>
        <v>2.2798029408866349</v>
      </c>
      <c r="E37" s="28">
        <f t="shared" si="3"/>
        <v>0.49835217598034709</v>
      </c>
      <c r="F37" s="28">
        <f t="shared" si="3"/>
        <v>3.1609862476719202</v>
      </c>
      <c r="G37" s="28">
        <f t="shared" si="3"/>
        <v>9.734983940348414</v>
      </c>
      <c r="H37" s="28">
        <f t="shared" si="3"/>
        <v>2.8033179099681309</v>
      </c>
      <c r="I37" s="28">
        <f t="shared" si="3"/>
        <v>2.0960929838872708</v>
      </c>
      <c r="J37" s="28">
        <f t="shared" si="3"/>
        <v>0.34693586259368359</v>
      </c>
      <c r="K37" s="28">
        <f t="shared" si="3"/>
        <v>88.512006578286048</v>
      </c>
      <c r="L37" s="28">
        <f t="shared" si="3"/>
        <v>5.0210879753816702</v>
      </c>
      <c r="M37" s="28">
        <f t="shared" si="3"/>
        <v>12.568237333608623</v>
      </c>
      <c r="N37" s="28">
        <f t="shared" si="3"/>
        <v>333.67188493110763</v>
      </c>
      <c r="O37" s="28">
        <f t="shared" si="3"/>
        <v>0</v>
      </c>
      <c r="P37" s="28">
        <f t="shared" si="3"/>
        <v>0.23892876871933802</v>
      </c>
      <c r="Q37" s="28">
        <f t="shared" si="3"/>
        <v>0.20489658048794263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1f9452-cd58-401d-931d-85235ab6b9f6}">
  <sheetPr codeName=""/>
  <dimension ref="A1:U119"/>
  <sheetViews>
    <sheetView zoomScale="80" zoomScaleNormal="80" workbookViewId="0" topLeftCell="A1">
      <selection pane="topLef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5" t="s">
        <v>782</v>
      </c>
      <c r="B9" s="56">
        <v>8.9600000000000009</v>
      </c>
      <c r="C9" s="56">
        <v>11.08</v>
      </c>
      <c r="D9" s="56">
        <v>13.96</v>
      </c>
      <c r="E9" s="56">
        <v>2.63</v>
      </c>
      <c r="F9" s="56">
        <v>3.51</v>
      </c>
      <c r="G9" s="56">
        <v>91.88</v>
      </c>
      <c r="H9" s="56">
        <v>33.29</v>
      </c>
      <c r="I9" s="56">
        <v>12.34</v>
      </c>
      <c r="J9" s="56">
        <v>0.28999999999999998</v>
      </c>
      <c r="K9" s="56">
        <v>295.83999999999997</v>
      </c>
      <c r="L9" s="56">
        <v>36.590000000000003</v>
      </c>
      <c r="M9" s="56">
        <v>40.46</v>
      </c>
      <c r="N9" s="56">
        <v>10.90</v>
      </c>
      <c r="O9" s="56">
        <v>0</v>
      </c>
      <c r="P9" s="56">
        <v>1.1299999999999999</v>
      </c>
      <c r="Q9" s="56">
        <v>10.16</v>
      </c>
      <c r="R9" s="43"/>
      <c r="S9" s="43"/>
      <c r="T9" s="43"/>
      <c r="U9" s="43"/>
    </row>
    <row r="10" spans="1:21" s="11" customFormat="1" ht="15">
      <c r="A10" s="55" t="s">
        <v>783</v>
      </c>
      <c r="B10" s="56">
        <v>8.36</v>
      </c>
      <c r="C10" s="56">
        <v>10.210000000000001</v>
      </c>
      <c r="D10" s="56">
        <v>13.03</v>
      </c>
      <c r="E10" s="56">
        <v>2.4300000000000002</v>
      </c>
      <c r="F10" s="56">
        <v>3.70</v>
      </c>
      <c r="G10" s="56">
        <v>91.88</v>
      </c>
      <c r="H10" s="56">
        <v>33.29</v>
      </c>
      <c r="I10" s="56">
        <v>10.43</v>
      </c>
      <c r="J10" s="56">
        <v>0.55000000000000004</v>
      </c>
      <c r="K10" s="56">
        <v>354.07</v>
      </c>
      <c r="L10" s="56">
        <v>35.53</v>
      </c>
      <c r="M10" s="56">
        <v>48.80</v>
      </c>
      <c r="N10" s="56">
        <v>11.40</v>
      </c>
      <c r="O10" s="56">
        <v>0</v>
      </c>
      <c r="P10" s="56">
        <v>0.98</v>
      </c>
      <c r="Q10" s="56">
        <v>10.130000000000001</v>
      </c>
      <c r="R10" s="43"/>
      <c r="S10" s="43"/>
      <c r="T10" s="43"/>
      <c r="U10" s="43"/>
    </row>
    <row r="11" spans="1:21" s="11" customFormat="1" ht="15">
      <c r="A11" s="55" t="s">
        <v>784</v>
      </c>
      <c r="B11" s="56">
        <v>10.25</v>
      </c>
      <c r="C11" s="56">
        <v>8.7899999999999991</v>
      </c>
      <c r="D11" s="56">
        <v>12.89</v>
      </c>
      <c r="E11" s="56">
        <v>2.59</v>
      </c>
      <c r="F11" s="56">
        <v>3.56</v>
      </c>
      <c r="G11" s="56">
        <v>89.35</v>
      </c>
      <c r="H11" s="56">
        <v>31.22</v>
      </c>
      <c r="I11" s="56">
        <v>9.67</v>
      </c>
      <c r="J11" s="56">
        <v>0.60</v>
      </c>
      <c r="K11" s="56">
        <v>296.64999999999998</v>
      </c>
      <c r="L11" s="56">
        <v>34.56</v>
      </c>
      <c r="M11" s="56">
        <v>45.79</v>
      </c>
      <c r="N11" s="56">
        <v>11</v>
      </c>
      <c r="O11" s="56">
        <v>0</v>
      </c>
      <c r="P11" s="56">
        <v>0.90</v>
      </c>
      <c r="Q11" s="56">
        <v>9.98</v>
      </c>
      <c r="R11" s="43"/>
      <c r="S11" s="43"/>
      <c r="T11" s="43"/>
      <c r="U11" s="43"/>
    </row>
    <row r="12" spans="1:21" s="11" customFormat="1" ht="15">
      <c r="A12" s="55" t="s">
        <v>785</v>
      </c>
      <c r="B12" s="56">
        <v>9.3000000000000007</v>
      </c>
      <c r="C12" s="56">
        <v>8.08</v>
      </c>
      <c r="D12" s="56">
        <v>12.41</v>
      </c>
      <c r="E12" s="56">
        <v>2.57</v>
      </c>
      <c r="F12" s="56">
        <v>3.84</v>
      </c>
      <c r="G12" s="56">
        <v>83.65</v>
      </c>
      <c r="H12" s="56">
        <v>30.75</v>
      </c>
      <c r="I12" s="56">
        <v>8.33</v>
      </c>
      <c r="J12" s="56">
        <v>0.75</v>
      </c>
      <c r="K12" s="56">
        <v>346.31</v>
      </c>
      <c r="L12" s="56">
        <v>34.54</v>
      </c>
      <c r="M12" s="56">
        <v>44.47</v>
      </c>
      <c r="N12" s="56">
        <v>11.40</v>
      </c>
      <c r="O12" s="56">
        <v>0</v>
      </c>
      <c r="P12" s="56">
        <v>0.82</v>
      </c>
      <c r="Q12" s="56">
        <v>9.98</v>
      </c>
      <c r="R12" s="43"/>
      <c r="S12" s="43"/>
      <c r="T12" s="43"/>
      <c r="U12" s="43"/>
    </row>
    <row r="13" spans="1:21" s="11" customFormat="1" ht="15">
      <c r="A13" s="55" t="s">
        <v>786</v>
      </c>
      <c r="B13" s="56">
        <v>7.66</v>
      </c>
      <c r="C13" s="56">
        <v>9.1999999999999993</v>
      </c>
      <c r="D13" s="56">
        <v>12.09</v>
      </c>
      <c r="E13" s="56">
        <v>1.33</v>
      </c>
      <c r="F13" s="56">
        <v>3.63</v>
      </c>
      <c r="G13" s="56">
        <v>77.58</v>
      </c>
      <c r="H13" s="56">
        <v>28.94</v>
      </c>
      <c r="I13" s="56">
        <v>8.99</v>
      </c>
      <c r="J13" s="56">
        <v>0.64</v>
      </c>
      <c r="K13" s="56">
        <v>284.82</v>
      </c>
      <c r="L13" s="56">
        <v>33.94</v>
      </c>
      <c r="M13" s="56">
        <v>47.66</v>
      </c>
      <c r="N13" s="56">
        <v>11.5</v>
      </c>
      <c r="O13" s="56">
        <v>0</v>
      </c>
      <c r="P13" s="56">
        <v>0.77</v>
      </c>
      <c r="Q13" s="56">
        <v>9.92</v>
      </c>
      <c r="R13" s="43"/>
      <c r="S13" s="43"/>
      <c r="T13" s="43"/>
      <c r="U13" s="43"/>
    </row>
    <row r="14" spans="1:21" s="11" customFormat="1" ht="15">
      <c r="A14" s="55" t="s">
        <v>787</v>
      </c>
      <c r="B14" s="56">
        <v>8.8800000000000008</v>
      </c>
      <c r="C14" s="56">
        <v>10.62</v>
      </c>
      <c r="D14" s="56">
        <v>13.82</v>
      </c>
      <c r="E14" s="56">
        <v>1.1200000000000001</v>
      </c>
      <c r="F14" s="56">
        <v>3.58</v>
      </c>
      <c r="G14" s="56">
        <v>73.66</v>
      </c>
      <c r="H14" s="56">
        <v>25.93</v>
      </c>
      <c r="I14" s="56">
        <v>8.64</v>
      </c>
      <c r="J14" s="56">
        <v>0.69</v>
      </c>
      <c r="K14" s="56">
        <v>357.54</v>
      </c>
      <c r="L14" s="56">
        <v>33.22</v>
      </c>
      <c r="M14" s="56">
        <v>47.11</v>
      </c>
      <c r="N14" s="56">
        <v>55.10</v>
      </c>
      <c r="O14" s="56">
        <v>0</v>
      </c>
      <c r="P14" s="56">
        <v>0.75</v>
      </c>
      <c r="Q14" s="56">
        <v>9.9499999999999993</v>
      </c>
      <c r="R14" s="43"/>
      <c r="S14" s="43"/>
      <c r="T14" s="43"/>
      <c r="U14" s="43"/>
    </row>
    <row r="15" spans="1:21" s="11" customFormat="1" ht="15">
      <c r="A15" s="55" t="s">
        <v>788</v>
      </c>
      <c r="B15" s="56">
        <v>9.32</v>
      </c>
      <c r="C15" s="56">
        <v>10.58</v>
      </c>
      <c r="D15" s="56">
        <v>14.09</v>
      </c>
      <c r="E15" s="56">
        <v>1.23</v>
      </c>
      <c r="F15" s="56">
        <v>3.78</v>
      </c>
      <c r="G15" s="56">
        <v>85.5</v>
      </c>
      <c r="H15" s="56">
        <v>29.95</v>
      </c>
      <c r="I15" s="56">
        <v>8.49</v>
      </c>
      <c r="J15" s="56">
        <v>0.56999999999999995</v>
      </c>
      <c r="K15" s="56">
        <v>292.88</v>
      </c>
      <c r="L15" s="56">
        <v>38.340000000000003</v>
      </c>
      <c r="M15" s="56">
        <v>42.53</v>
      </c>
      <c r="N15" s="56">
        <v>204.30</v>
      </c>
      <c r="O15" s="56">
        <v>0</v>
      </c>
      <c r="P15" s="56">
        <v>0.78</v>
      </c>
      <c r="Q15" s="56">
        <v>10.029999999999999</v>
      </c>
      <c r="R15" s="43"/>
      <c r="S15" s="43"/>
      <c r="T15" s="43"/>
      <c r="U15" s="43"/>
    </row>
    <row r="16" spans="1:21" s="11" customFormat="1" ht="15">
      <c r="A16" s="55" t="s">
        <v>789</v>
      </c>
      <c r="B16" s="56">
        <v>8.6999999999999993</v>
      </c>
      <c r="C16" s="56">
        <v>10.130000000000001</v>
      </c>
      <c r="D16" s="56">
        <v>13.42</v>
      </c>
      <c r="E16" s="56">
        <v>1.90</v>
      </c>
      <c r="F16" s="56">
        <v>3.60</v>
      </c>
      <c r="G16" s="56">
        <v>86.60</v>
      </c>
      <c r="H16" s="56">
        <v>32.51</v>
      </c>
      <c r="I16" s="56">
        <v>8.42</v>
      </c>
      <c r="J16" s="56">
        <v>1.1299999999999999</v>
      </c>
      <c r="K16" s="56">
        <v>353.91</v>
      </c>
      <c r="L16" s="56">
        <v>43.27</v>
      </c>
      <c r="M16" s="56">
        <v>29.49</v>
      </c>
      <c r="N16" s="56">
        <v>395.30</v>
      </c>
      <c r="O16" s="56">
        <v>0</v>
      </c>
      <c r="P16" s="56">
        <v>0.77</v>
      </c>
      <c r="Q16" s="56">
        <v>10.039999999999999</v>
      </c>
      <c r="R16" s="43"/>
      <c r="S16" s="43"/>
      <c r="T16" s="43"/>
      <c r="U16" s="43"/>
    </row>
    <row r="17" spans="1:21" s="11" customFormat="1" ht="15">
      <c r="A17" s="55" t="s">
        <v>790</v>
      </c>
      <c r="B17" s="56">
        <v>7.42</v>
      </c>
      <c r="C17" s="56">
        <v>11.57</v>
      </c>
      <c r="D17" s="56">
        <v>12.38</v>
      </c>
      <c r="E17" s="56">
        <v>1.83</v>
      </c>
      <c r="F17" s="56">
        <v>4.33</v>
      </c>
      <c r="G17" s="56">
        <v>86.60</v>
      </c>
      <c r="H17" s="56">
        <v>32.51</v>
      </c>
      <c r="I17" s="56">
        <v>8.2200000000000006</v>
      </c>
      <c r="J17" s="56">
        <v>1.52</v>
      </c>
      <c r="K17" s="56">
        <v>359.14</v>
      </c>
      <c r="L17" s="56">
        <v>45.96</v>
      </c>
      <c r="M17" s="56">
        <v>23.05</v>
      </c>
      <c r="N17" s="56">
        <v>562.60</v>
      </c>
      <c r="O17" s="56">
        <v>0</v>
      </c>
      <c r="P17" s="56">
        <v>0.76</v>
      </c>
      <c r="Q17" s="56">
        <v>10.02</v>
      </c>
      <c r="R17" s="43"/>
      <c r="S17" s="43"/>
      <c r="T17" s="43"/>
      <c r="U17" s="43"/>
    </row>
    <row r="18" spans="1:21" s="11" customFormat="1" ht="15">
      <c r="A18" s="55" t="s">
        <v>791</v>
      </c>
      <c r="B18" s="56">
        <v>5.28</v>
      </c>
      <c r="C18" s="56">
        <v>11.66</v>
      </c>
      <c r="D18" s="56">
        <v>11.47</v>
      </c>
      <c r="E18" s="56">
        <v>1.68</v>
      </c>
      <c r="F18" s="56">
        <v>4.32</v>
      </c>
      <c r="G18" s="56">
        <v>86.80</v>
      </c>
      <c r="H18" s="56">
        <v>34.61</v>
      </c>
      <c r="I18" s="56">
        <v>9.08</v>
      </c>
      <c r="J18" s="56">
        <v>1.85</v>
      </c>
      <c r="K18" s="56">
        <v>345.85</v>
      </c>
      <c r="L18" s="56">
        <v>48.65</v>
      </c>
      <c r="M18" s="56">
        <v>16.87</v>
      </c>
      <c r="N18" s="56">
        <v>739.90</v>
      </c>
      <c r="O18" s="56">
        <v>0</v>
      </c>
      <c r="P18" s="56">
        <v>0.76</v>
      </c>
      <c r="Q18" s="56">
        <v>9.92</v>
      </c>
      <c r="R18" s="43"/>
      <c r="S18" s="43"/>
      <c r="T18" s="43"/>
      <c r="U18" s="43"/>
    </row>
    <row r="19" spans="1:21" s="11" customFormat="1" ht="15">
      <c r="A19" s="55" t="s">
        <v>792</v>
      </c>
      <c r="B19" s="56">
        <v>3.86</v>
      </c>
      <c r="C19" s="56">
        <v>10.89</v>
      </c>
      <c r="D19" s="56">
        <v>9.92</v>
      </c>
      <c r="E19" s="56">
        <v>1.57</v>
      </c>
      <c r="F19" s="56">
        <v>9.52</v>
      </c>
      <c r="G19" s="56">
        <v>86.80</v>
      </c>
      <c r="H19" s="56">
        <v>34.61</v>
      </c>
      <c r="I19" s="56">
        <v>8.2799999999999994</v>
      </c>
      <c r="J19" s="56">
        <v>2.0099999999999998</v>
      </c>
      <c r="K19" s="56">
        <v>349.47</v>
      </c>
      <c r="L19" s="56">
        <v>48.76</v>
      </c>
      <c r="M19" s="56">
        <v>14.32</v>
      </c>
      <c r="N19" s="56">
        <v>824.20</v>
      </c>
      <c r="O19" s="56">
        <v>0</v>
      </c>
      <c r="P19" s="56">
        <v>0.73</v>
      </c>
      <c r="Q19" s="56">
        <v>9.76</v>
      </c>
      <c r="R19" s="43"/>
      <c r="S19" s="43"/>
      <c r="T19" s="43"/>
      <c r="U19" s="43"/>
    </row>
    <row r="20" spans="1:21" s="11" customFormat="1" ht="15">
      <c r="A20" s="55" t="s">
        <v>793</v>
      </c>
      <c r="B20" s="56">
        <v>3.12</v>
      </c>
      <c r="C20" s="56">
        <v>9.94</v>
      </c>
      <c r="D20" s="56">
        <v>8.84</v>
      </c>
      <c r="E20" s="56">
        <v>1.38</v>
      </c>
      <c r="F20" s="56">
        <v>10.130000000000001</v>
      </c>
      <c r="G20" s="56">
        <v>80.900000000000006</v>
      </c>
      <c r="H20" s="56">
        <v>34.770000000000003</v>
      </c>
      <c r="I20" s="56">
        <v>6.79</v>
      </c>
      <c r="J20" s="56">
        <v>2.2400000000000002</v>
      </c>
      <c r="K20" s="56">
        <v>344.53</v>
      </c>
      <c r="L20" s="56">
        <v>44.79</v>
      </c>
      <c r="M20" s="56">
        <v>13.09</v>
      </c>
      <c r="N20" s="56">
        <v>831.5</v>
      </c>
      <c r="O20" s="56">
        <v>0</v>
      </c>
      <c r="P20" s="56">
        <v>0.65</v>
      </c>
      <c r="Q20" s="56">
        <v>9.74</v>
      </c>
      <c r="R20" s="43"/>
      <c r="S20" s="43"/>
      <c r="T20" s="43"/>
      <c r="U20" s="43"/>
    </row>
    <row r="21" spans="1:21" s="11" customFormat="1" ht="15">
      <c r="A21" s="55" t="s">
        <v>794</v>
      </c>
      <c r="B21" s="56">
        <v>3.15</v>
      </c>
      <c r="C21" s="56">
        <v>8.4600000000000009</v>
      </c>
      <c r="D21" s="56">
        <v>8.0299999999999994</v>
      </c>
      <c r="E21" s="56">
        <v>1.19</v>
      </c>
      <c r="F21" s="56">
        <v>10.61</v>
      </c>
      <c r="G21" s="56">
        <v>80.11</v>
      </c>
      <c r="H21" s="56">
        <v>34.770000000000003</v>
      </c>
      <c r="I21" s="56">
        <v>6.32</v>
      </c>
      <c r="J21" s="56">
        <v>1.70</v>
      </c>
      <c r="K21" s="56">
        <v>348.07</v>
      </c>
      <c r="L21" s="56">
        <v>44.83</v>
      </c>
      <c r="M21" s="56">
        <v>12.91</v>
      </c>
      <c r="N21" s="56">
        <v>827.40</v>
      </c>
      <c r="O21" s="56">
        <v>0</v>
      </c>
      <c r="P21" s="56">
        <v>0.56000000000000005</v>
      </c>
      <c r="Q21" s="56">
        <v>9.7100000000000009</v>
      </c>
      <c r="R21" s="43"/>
      <c r="S21" s="43"/>
      <c r="T21" s="43"/>
      <c r="U21" s="43"/>
    </row>
    <row r="22" spans="1:21" s="11" customFormat="1" ht="15">
      <c r="A22" s="55" t="s">
        <v>795</v>
      </c>
      <c r="B22" s="56">
        <v>2.98</v>
      </c>
      <c r="C22" s="56">
        <v>8.24</v>
      </c>
      <c r="D22" s="56">
        <v>7.82</v>
      </c>
      <c r="E22" s="56">
        <v>1.71</v>
      </c>
      <c r="F22" s="56">
        <v>10.79</v>
      </c>
      <c r="G22" s="56">
        <v>68.819999999999993</v>
      </c>
      <c r="H22" s="56">
        <v>33.729999999999997</v>
      </c>
      <c r="I22" s="56">
        <v>5.67</v>
      </c>
      <c r="J22" s="56">
        <v>1.43</v>
      </c>
      <c r="K22" s="56">
        <v>343.71</v>
      </c>
      <c r="L22" s="56">
        <v>44.54</v>
      </c>
      <c r="M22" s="56">
        <v>12.91</v>
      </c>
      <c r="N22" s="56">
        <v>785.20</v>
      </c>
      <c r="O22" s="56">
        <v>0</v>
      </c>
      <c r="P22" s="56">
        <v>0.41</v>
      </c>
      <c r="Q22" s="56">
        <v>9.7100000000000009</v>
      </c>
      <c r="R22" s="43"/>
      <c r="S22" s="43"/>
      <c r="T22" s="43"/>
      <c r="U22" s="43"/>
    </row>
    <row r="23" spans="1:21" s="11" customFormat="1" ht="15">
      <c r="A23" s="55" t="s">
        <v>796</v>
      </c>
      <c r="B23" s="56">
        <v>2.96</v>
      </c>
      <c r="C23" s="56">
        <v>8.34</v>
      </c>
      <c r="D23" s="56">
        <v>7.87</v>
      </c>
      <c r="E23" s="56">
        <v>1.28</v>
      </c>
      <c r="F23" s="56">
        <v>11.83</v>
      </c>
      <c r="G23" s="56">
        <v>64.03</v>
      </c>
      <c r="H23" s="56">
        <v>33.729999999999997</v>
      </c>
      <c r="I23" s="56">
        <v>4.9400000000000004</v>
      </c>
      <c r="J23" s="56">
        <v>1.29</v>
      </c>
      <c r="K23" s="56">
        <v>351.24</v>
      </c>
      <c r="L23" s="56">
        <v>42.91</v>
      </c>
      <c r="M23" s="56">
        <v>14.23</v>
      </c>
      <c r="N23" s="56">
        <v>627.20000000000005</v>
      </c>
      <c r="O23" s="56">
        <v>0</v>
      </c>
      <c r="P23" s="56">
        <v>0.39</v>
      </c>
      <c r="Q23" s="56">
        <v>9.67</v>
      </c>
      <c r="R23" s="43"/>
      <c r="S23" s="43"/>
      <c r="T23" s="43"/>
      <c r="U23" s="43"/>
    </row>
    <row r="24" spans="1:21" s="11" customFormat="1" ht="15">
      <c r="A24" s="55" t="s">
        <v>797</v>
      </c>
      <c r="B24" s="56">
        <v>3.03</v>
      </c>
      <c r="C24" s="56">
        <v>8.24</v>
      </c>
      <c r="D24" s="56">
        <v>7.85</v>
      </c>
      <c r="E24" s="56">
        <v>1.5</v>
      </c>
      <c r="F24" s="56">
        <v>8.27</v>
      </c>
      <c r="G24" s="56">
        <v>59.34</v>
      </c>
      <c r="H24" s="56">
        <v>30.75</v>
      </c>
      <c r="I24" s="56">
        <v>3.46</v>
      </c>
      <c r="J24" s="56">
        <v>1.45</v>
      </c>
      <c r="K24" s="56">
        <v>338.31</v>
      </c>
      <c r="L24" s="56">
        <v>41.88</v>
      </c>
      <c r="M24" s="56">
        <v>16.87</v>
      </c>
      <c r="N24" s="56">
        <v>147.80000000000001</v>
      </c>
      <c r="O24" s="56">
        <v>0</v>
      </c>
      <c r="P24" s="56">
        <v>0.27</v>
      </c>
      <c r="Q24" s="56">
        <v>9.6300000000000008</v>
      </c>
      <c r="R24" s="43"/>
      <c r="S24" s="43"/>
      <c r="T24" s="43"/>
      <c r="U24" s="43"/>
    </row>
    <row r="25" spans="1:21" s="11" customFormat="1" ht="15">
      <c r="A25" s="55" t="s">
        <v>798</v>
      </c>
      <c r="B25" s="56">
        <v>3.07</v>
      </c>
      <c r="C25" s="56">
        <v>7.93</v>
      </c>
      <c r="D25" s="56">
        <v>7.73</v>
      </c>
      <c r="E25" s="56">
        <v>1.1200000000000001</v>
      </c>
      <c r="F25" s="56">
        <v>7.26</v>
      </c>
      <c r="G25" s="56">
        <v>48.11</v>
      </c>
      <c r="H25" s="56">
        <v>27.34</v>
      </c>
      <c r="I25" s="56">
        <v>3.88</v>
      </c>
      <c r="J25" s="56">
        <v>1.42</v>
      </c>
      <c r="K25" s="56">
        <v>342.89</v>
      </c>
      <c r="L25" s="56">
        <v>39.85</v>
      </c>
      <c r="M25" s="56">
        <v>17.84</v>
      </c>
      <c r="N25" s="56">
        <v>104.80</v>
      </c>
      <c r="O25" s="56">
        <v>0</v>
      </c>
      <c r="P25" s="56">
        <v>0.28999999999999998</v>
      </c>
      <c r="Q25" s="56">
        <v>9.77</v>
      </c>
      <c r="R25" s="43"/>
      <c r="S25" s="43"/>
      <c r="T25" s="43"/>
      <c r="U25" s="43"/>
    </row>
    <row r="26" spans="1:21" s="11" customFormat="1" ht="15">
      <c r="A26" s="55" t="s">
        <v>799</v>
      </c>
      <c r="B26" s="56">
        <v>3.01</v>
      </c>
      <c r="C26" s="56">
        <v>7.51</v>
      </c>
      <c r="D26" s="56">
        <v>7.49</v>
      </c>
      <c r="E26" s="56">
        <v>0.95</v>
      </c>
      <c r="F26" s="56">
        <v>5.57</v>
      </c>
      <c r="G26" s="56">
        <v>50.61</v>
      </c>
      <c r="H26" s="56">
        <v>25.32</v>
      </c>
      <c r="I26" s="56">
        <v>4.66</v>
      </c>
      <c r="J26" s="56">
        <v>0.68</v>
      </c>
      <c r="K26" s="56">
        <v>321.93</v>
      </c>
      <c r="L26" s="56">
        <v>39.28</v>
      </c>
      <c r="M26" s="56">
        <v>19.309999999999999</v>
      </c>
      <c r="N26" s="56">
        <v>83</v>
      </c>
      <c r="O26" s="56">
        <v>0</v>
      </c>
      <c r="P26" s="56">
        <v>0.40</v>
      </c>
      <c r="Q26" s="56">
        <v>10.06</v>
      </c>
      <c r="R26" s="43"/>
      <c r="S26" s="43"/>
      <c r="T26" s="43"/>
      <c r="U26" s="43"/>
    </row>
    <row r="27" spans="1:21" s="11" customFormat="1" ht="15">
      <c r="A27" s="55" t="s">
        <v>800</v>
      </c>
      <c r="B27" s="56">
        <v>3.74</v>
      </c>
      <c r="C27" s="56">
        <v>9.93</v>
      </c>
      <c r="D27" s="56">
        <v>9.34</v>
      </c>
      <c r="E27" s="56">
        <v>1.05</v>
      </c>
      <c r="F27" s="56">
        <v>4.22</v>
      </c>
      <c r="G27" s="56">
        <v>54.99</v>
      </c>
      <c r="H27" s="56">
        <v>25.20</v>
      </c>
      <c r="I27" s="56">
        <v>6.25</v>
      </c>
      <c r="J27" s="56">
        <v>0.48</v>
      </c>
      <c r="K27" s="56">
        <v>349.02</v>
      </c>
      <c r="L27" s="56">
        <v>37.93</v>
      </c>
      <c r="M27" s="56">
        <v>22.39</v>
      </c>
      <c r="N27" s="56">
        <v>29.90</v>
      </c>
      <c r="O27" s="56">
        <v>0</v>
      </c>
      <c r="P27" s="56">
        <v>0.62</v>
      </c>
      <c r="Q27" s="56">
        <v>10.199999999999999</v>
      </c>
      <c r="R27" s="43"/>
      <c r="S27" s="43"/>
      <c r="T27" s="43"/>
      <c r="U27" s="43"/>
    </row>
    <row r="28" spans="1:21" s="11" customFormat="1" ht="15">
      <c r="A28" s="55" t="s">
        <v>801</v>
      </c>
      <c r="B28" s="56">
        <v>4.3600000000000003</v>
      </c>
      <c r="C28" s="56">
        <v>10.26</v>
      </c>
      <c r="D28" s="56">
        <v>9.85</v>
      </c>
      <c r="E28" s="56">
        <v>1.47</v>
      </c>
      <c r="F28" s="56">
        <v>3.32</v>
      </c>
      <c r="G28" s="56">
        <v>64.38</v>
      </c>
      <c r="H28" s="56">
        <v>26.62</v>
      </c>
      <c r="I28" s="56">
        <v>7.94</v>
      </c>
      <c r="J28" s="56">
        <v>0.62</v>
      </c>
      <c r="K28" s="56">
        <v>325.12</v>
      </c>
      <c r="L28" s="56">
        <v>36.36</v>
      </c>
      <c r="M28" s="56">
        <v>23.46</v>
      </c>
      <c r="N28" s="56">
        <v>11.40</v>
      </c>
      <c r="O28" s="56">
        <v>0</v>
      </c>
      <c r="P28" s="56">
        <v>0.83</v>
      </c>
      <c r="Q28" s="56">
        <v>10.25</v>
      </c>
      <c r="R28" s="43"/>
      <c r="S28" s="43"/>
      <c r="T28" s="43"/>
      <c r="U28" s="43"/>
    </row>
    <row r="29" spans="1:21" s="11" customFormat="1" ht="15">
      <c r="A29" s="55" t="s">
        <v>802</v>
      </c>
      <c r="B29" s="56">
        <v>4.97</v>
      </c>
      <c r="C29" s="56">
        <v>10.33</v>
      </c>
      <c r="D29" s="56">
        <v>10.24</v>
      </c>
      <c r="E29" s="56">
        <v>2.2799999999999998</v>
      </c>
      <c r="F29" s="56">
        <v>3.61</v>
      </c>
      <c r="G29" s="56">
        <v>75.56</v>
      </c>
      <c r="H29" s="56">
        <v>26.62</v>
      </c>
      <c r="I29" s="56">
        <v>9</v>
      </c>
      <c r="J29" s="56">
        <v>0.75</v>
      </c>
      <c r="K29" s="56">
        <v>304.56</v>
      </c>
      <c r="L29" s="56">
        <v>35.21</v>
      </c>
      <c r="M29" s="56">
        <v>24.05</v>
      </c>
      <c r="N29" s="56">
        <v>11.40</v>
      </c>
      <c r="O29" s="56">
        <v>0</v>
      </c>
      <c r="P29" s="56">
        <v>0.98</v>
      </c>
      <c r="Q29" s="56">
        <v>10.28</v>
      </c>
      <c r="R29" s="43"/>
      <c r="S29" s="43"/>
      <c r="T29" s="43"/>
      <c r="U29" s="43"/>
    </row>
    <row r="30" spans="1:21" s="11" customFormat="1" ht="15">
      <c r="A30" s="55" t="s">
        <v>803</v>
      </c>
      <c r="B30" s="56">
        <v>5.42</v>
      </c>
      <c r="C30" s="56">
        <v>9.51</v>
      </c>
      <c r="D30" s="56">
        <v>10.27</v>
      </c>
      <c r="E30" s="56">
        <v>1.99</v>
      </c>
      <c r="F30" s="56">
        <v>3.53</v>
      </c>
      <c r="G30" s="56">
        <v>82.34</v>
      </c>
      <c r="H30" s="56">
        <v>31.63</v>
      </c>
      <c r="I30" s="56">
        <v>10.24</v>
      </c>
      <c r="J30" s="56">
        <v>0.74</v>
      </c>
      <c r="K30" s="56">
        <v>311.04000000000002</v>
      </c>
      <c r="L30" s="56">
        <v>34.200000000000003</v>
      </c>
      <c r="M30" s="56">
        <v>29.89</v>
      </c>
      <c r="N30" s="56">
        <v>11.70</v>
      </c>
      <c r="O30" s="56">
        <v>0</v>
      </c>
      <c r="P30" s="56">
        <v>1.06</v>
      </c>
      <c r="Q30" s="56">
        <v>10.16</v>
      </c>
      <c r="R30" s="43"/>
      <c r="S30" s="43"/>
      <c r="T30" s="43"/>
      <c r="U30" s="43"/>
    </row>
    <row r="31" spans="1:21" s="11" customFormat="1" ht="15">
      <c r="A31" s="55" t="s">
        <v>804</v>
      </c>
      <c r="B31" s="56">
        <v>6.26</v>
      </c>
      <c r="C31" s="56">
        <v>9.82</v>
      </c>
      <c r="D31" s="56">
        <v>11.30</v>
      </c>
      <c r="E31" s="56">
        <v>2.1800000000000002</v>
      </c>
      <c r="F31" s="56">
        <v>3.78</v>
      </c>
      <c r="G31" s="56">
        <v>88.69</v>
      </c>
      <c r="H31" s="56">
        <v>33.99</v>
      </c>
      <c r="I31" s="56">
        <v>12.53</v>
      </c>
      <c r="J31" s="56">
        <v>0.54</v>
      </c>
      <c r="K31" s="56">
        <v>311.74</v>
      </c>
      <c r="L31" s="56">
        <v>33.03</v>
      </c>
      <c r="M31" s="56">
        <v>28.38</v>
      </c>
      <c r="N31" s="56">
        <v>11.60</v>
      </c>
      <c r="O31" s="56">
        <v>0</v>
      </c>
      <c r="P31" s="56">
        <v>1.1100000000000001</v>
      </c>
      <c r="Q31" s="56">
        <v>10.66</v>
      </c>
      <c r="R31" s="43"/>
      <c r="S31" s="43"/>
      <c r="T31" s="43"/>
      <c r="U31" s="43"/>
    </row>
    <row r="32" spans="1:21" s="11" customFormat="1" ht="15">
      <c r="A32" s="55" t="s">
        <v>805</v>
      </c>
      <c r="B32" s="56">
        <v>6.17</v>
      </c>
      <c r="C32" s="56">
        <v>10.02</v>
      </c>
      <c r="D32" s="56">
        <v>11.33</v>
      </c>
      <c r="E32" s="56">
        <v>2.0499999999999998</v>
      </c>
      <c r="F32" s="56">
        <v>3.71</v>
      </c>
      <c r="G32" s="56">
        <v>88.69</v>
      </c>
      <c r="H32" s="56">
        <v>33.99</v>
      </c>
      <c r="I32" s="56">
        <v>12.46</v>
      </c>
      <c r="J32" s="56">
        <v>0.43</v>
      </c>
      <c r="K32" s="56">
        <v>268.30</v>
      </c>
      <c r="L32" s="56">
        <v>33.53</v>
      </c>
      <c r="M32" s="56">
        <v>26.12</v>
      </c>
      <c r="N32" s="56">
        <v>11.40</v>
      </c>
      <c r="O32" s="56">
        <v>0</v>
      </c>
      <c r="P32" s="56">
        <v>1.08</v>
      </c>
      <c r="Q32" s="56">
        <v>10.64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2.96</v>
      </c>
      <c r="C34" s="28">
        <f t="shared" si="0"/>
        <v>7.5099999999999998</v>
      </c>
      <c r="D34" s="28">
        <f t="shared" si="0"/>
        <v>7.4900000000000002</v>
      </c>
      <c r="E34" s="28">
        <f t="shared" si="0"/>
        <v>0.94999999999999996</v>
      </c>
      <c r="F34" s="28">
        <f t="shared" si="0"/>
        <v>3.3199999999999998</v>
      </c>
      <c r="G34" s="28">
        <f t="shared" si="0"/>
        <v>48.109999999999999</v>
      </c>
      <c r="H34" s="28">
        <f t="shared" si="0"/>
        <v>25.199999999999999</v>
      </c>
      <c r="I34" s="28">
        <f t="shared" si="0"/>
        <v>3.46</v>
      </c>
      <c r="J34" s="28">
        <f t="shared" si="0"/>
        <v>0.28999999999999998</v>
      </c>
      <c r="K34" s="28">
        <f t="shared" si="0"/>
        <v>268.30000000000001</v>
      </c>
      <c r="L34" s="28">
        <f t="shared" si="0"/>
        <v>33.030000000000001</v>
      </c>
      <c r="M34" s="28">
        <f t="shared" si="0"/>
        <v>12.91</v>
      </c>
      <c r="N34" s="28">
        <f t="shared" si="0"/>
        <v>10.9</v>
      </c>
      <c r="O34" s="28">
        <f t="shared" si="0"/>
        <v>0</v>
      </c>
      <c r="P34" s="28">
        <f t="shared" si="0"/>
        <v>0.27000000000000002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10.25</v>
      </c>
      <c r="C35" s="29">
        <f t="shared" si="1"/>
        <v>11.66</v>
      </c>
      <c r="D35" s="29">
        <f t="shared" si="1"/>
        <v>14.09</v>
      </c>
      <c r="E35" s="29">
        <f t="shared" si="1"/>
        <v>2.6299999999999999</v>
      </c>
      <c r="F35" s="29">
        <f t="shared" si="1"/>
        <v>11.83</v>
      </c>
      <c r="G35" s="29">
        <f t="shared" si="1"/>
        <v>91.879999999999995</v>
      </c>
      <c r="H35" s="29">
        <f t="shared" si="1"/>
        <v>34.770000000000003</v>
      </c>
      <c r="I35" s="29">
        <f t="shared" si="1"/>
        <v>12.529999999999999</v>
      </c>
      <c r="J35" s="29">
        <f t="shared" si="1"/>
        <v>2.2400000000000002</v>
      </c>
      <c r="K35" s="29">
        <f t="shared" si="1"/>
        <v>359.13999999999999</v>
      </c>
      <c r="L35" s="29">
        <f t="shared" si="1"/>
        <v>48.759999999999998</v>
      </c>
      <c r="M35" s="29">
        <f t="shared" si="1"/>
        <v>48.799999999999997</v>
      </c>
      <c r="N35" s="29">
        <f t="shared" si="1"/>
        <v>831.5</v>
      </c>
      <c r="O35" s="29">
        <f t="shared" si="1"/>
        <v>0</v>
      </c>
      <c r="P35" s="29">
        <f t="shared" si="1"/>
        <v>1.1299999999999999</v>
      </c>
      <c r="Q35" s="29">
        <f t="shared" si="1"/>
        <v>10.66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5.8429166666666665</v>
      </c>
      <c r="C36" s="28">
        <f t="shared" si="2"/>
        <v>9.6391666666666662</v>
      </c>
      <c r="D36" s="28">
        <f t="shared" si="2"/>
        <v>10.726666666666668</v>
      </c>
      <c r="E36" s="28">
        <f t="shared" si="2"/>
        <v>1.7095833333333337</v>
      </c>
      <c r="F36" s="28">
        <f t="shared" si="2"/>
        <v>5.583333333333333</v>
      </c>
      <c r="G36" s="28">
        <f t="shared" si="2"/>
        <v>76.952916666666653</v>
      </c>
      <c r="H36" s="28">
        <f t="shared" si="2"/>
        <v>31.086250000000007</v>
      </c>
      <c r="I36" s="28">
        <f t="shared" si="2"/>
        <v>8.1262500000000006</v>
      </c>
      <c r="J36" s="28">
        <f t="shared" si="2"/>
        <v>1.0154166666666664</v>
      </c>
      <c r="K36" s="28">
        <f t="shared" si="2"/>
        <v>329.03916666666669</v>
      </c>
      <c r="L36" s="28">
        <f t="shared" si="2"/>
        <v>39.237499999999997</v>
      </c>
      <c r="M36" s="28">
        <f t="shared" si="2"/>
        <v>27.583333333333332</v>
      </c>
      <c r="N36" s="28">
        <f t="shared" si="2"/>
        <v>263.82916666666659</v>
      </c>
      <c r="O36" s="28">
        <f t="shared" si="2"/>
        <v>0</v>
      </c>
      <c r="P36" s="28">
        <f t="shared" si="2"/>
        <v>0.74166666666666681</v>
      </c>
      <c r="Q36" s="28">
        <f t="shared" si="2"/>
        <v>10.015416666666667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2.550226723367889</v>
      </c>
      <c r="C37" s="28">
        <f t="shared" si="3" ref="C37:Q37">STDEV(C9:C32)</f>
        <v>1.195858493397898</v>
      </c>
      <c r="D37" s="28">
        <f t="shared" si="3"/>
        <v>2.2477537902201918</v>
      </c>
      <c r="E37" s="28">
        <f t="shared" si="3"/>
        <v>0.52913776595733319</v>
      </c>
      <c r="F37" s="28">
        <f t="shared" si="3"/>
        <v>2.8938445417617129</v>
      </c>
      <c r="G37" s="28">
        <f t="shared" si="3"/>
        <v>13.43296350454712</v>
      </c>
      <c r="H37" s="28">
        <f t="shared" si="3"/>
        <v>3.3063441159448743</v>
      </c>
      <c r="I37" s="28">
        <f t="shared" si="3"/>
        <v>2.5338745250496628</v>
      </c>
      <c r="J37" s="28">
        <f t="shared" si="3"/>
        <v>0.56040341964840246</v>
      </c>
      <c r="K37" s="28">
        <f t="shared" si="3"/>
        <v>26.654561550497913</v>
      </c>
      <c r="L37" s="28">
        <f t="shared" si="3"/>
        <v>5.1256857441542918</v>
      </c>
      <c r="M37" s="28">
        <f t="shared" si="3"/>
        <v>12.712426876936172</v>
      </c>
      <c r="N37" s="28">
        <f t="shared" si="3"/>
        <v>329.79434893669685</v>
      </c>
      <c r="O37" s="28">
        <f t="shared" si="3"/>
        <v>0</v>
      </c>
      <c r="P37" s="28">
        <f t="shared" si="3"/>
        <v>0.25468935326524034</v>
      </c>
      <c r="Q37" s="28">
        <f t="shared" si="3"/>
        <v>0.2721249579763636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e5a96f-a0cb-483e-951d-79dc9107ac01}">
  <sheetPr codeName=""/>
  <dimension ref="A1:X55"/>
  <sheetViews>
    <sheetView tabSelected="1" zoomScale="85" zoomScaleNormal="85" workbookViewId="0" topLeftCell="A1">
      <pane xSplit="1" ySplit="8" topLeftCell="B30" activePane="bottomRight" state="frozen"/>
      <selection pane="topLeft" activeCell="B2" sqref="B2"/>
      <selection pane="topRight" activeCell="B2" sqref="B2"/>
      <selection pane="bottomLeft" activeCell="B2" sqref="B2"/>
      <selection pane="bottomRight" activeCell="N17" sqref="N17:P17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01-05-2024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01-05-2024 01:00</v>
      </c>
      <c r="B9" s="24">
        <f>'01'!B36</f>
        <v>7.1149999999999984</v>
      </c>
      <c r="C9" s="24">
        <f>'01'!C36</f>
        <v>32.332500000000003</v>
      </c>
      <c r="D9" s="24">
        <f>'01'!D36</f>
        <v>22.347916666666666</v>
      </c>
      <c r="E9" s="24">
        <f>'01'!E36</f>
        <v>1.6995833333333337</v>
      </c>
      <c r="F9" s="24">
        <f>'01'!F36</f>
        <v>7.139166666666668</v>
      </c>
      <c r="G9" s="24">
        <f>'01'!G36</f>
        <v>56.461666666666652</v>
      </c>
      <c r="H9" s="24">
        <f>'01'!H36</f>
        <v>40.825499999999991</v>
      </c>
      <c r="I9" s="24">
        <f>'01'!I36</f>
        <v>5.2841666666666658</v>
      </c>
      <c r="J9" s="24">
        <f>'01'!J36</f>
        <v>0.43791666666666668</v>
      </c>
      <c r="K9" s="24">
        <f>'01'!K36</f>
        <v>312.95291666666668</v>
      </c>
      <c r="L9" s="24">
        <f>'01'!L36</f>
        <v>32.650833333333331</v>
      </c>
      <c r="M9" s="24">
        <f>'01'!M36</f>
        <v>32.427916666666682</v>
      </c>
      <c r="N9" s="24">
        <f>'01'!N36</f>
        <v>316.71666666666664</v>
      </c>
      <c r="O9" s="24">
        <f>'01'!O36</f>
        <v>0</v>
      </c>
      <c r="P9" s="30">
        <f>'01'!$P$36</f>
        <v>0.62583333333333346</v>
      </c>
      <c r="Q9" s="24">
        <f>'01'!Q36</f>
        <v>9.5066666666666659</v>
      </c>
      <c r="R9" s="45"/>
      <c r="S9" s="45"/>
      <c r="T9" s="45"/>
      <c r="U9" s="46"/>
    </row>
    <row r="10" spans="1:21" s="34" customFormat="1" ht="15">
      <c r="A10" s="36" t="str">
        <f>'02'!$B$2</f>
        <v>02-05-2024 01:00</v>
      </c>
      <c r="B10" s="33">
        <f>'02'!B36</f>
        <v>8.2595652173913052</v>
      </c>
      <c r="C10" s="33">
        <f>'02'!C36</f>
        <v>42.209130434782608</v>
      </c>
      <c r="D10" s="33">
        <f>'02'!D36</f>
        <v>28.314347826086951</v>
      </c>
      <c r="E10" s="33">
        <f>'02'!E36</f>
        <v>2.2552173913043481</v>
      </c>
      <c r="F10" s="33">
        <f>'02'!F36</f>
        <v>7.7191666666666654</v>
      </c>
      <c r="G10" s="33">
        <f>'02'!G36</f>
        <v>66.808500000000009</v>
      </c>
      <c r="H10" s="33">
        <f>'02'!H36</f>
        <v>49.019999999999996</v>
      </c>
      <c r="I10" s="33">
        <f>'02'!I36</f>
        <v>9.120000000000001</v>
      </c>
      <c r="J10" s="33">
        <f>'02'!J36</f>
        <v>0.8604166666666665</v>
      </c>
      <c r="K10" s="33">
        <f>'02'!K36</f>
        <v>306.40249999999997</v>
      </c>
      <c r="L10" s="33">
        <f>'02'!L36</f>
        <v>31.637083333333326</v>
      </c>
      <c r="M10" s="33">
        <f>'02'!M36</f>
        <v>20.780416666666671</v>
      </c>
      <c r="N10" s="33">
        <f>'02'!N36</f>
        <v>321.32083333333338</v>
      </c>
      <c r="O10" s="33">
        <f>'02'!O36</f>
        <v>0</v>
      </c>
      <c r="P10" s="30">
        <f>'02'!$P$36</f>
        <v>0.58875000000000022</v>
      </c>
      <c r="Q10" s="33">
        <f>'02'!Q36</f>
        <v>9.7395833333333339</v>
      </c>
      <c r="R10" s="47"/>
      <c r="S10" s="47"/>
      <c r="T10" s="47"/>
      <c r="U10" s="47"/>
    </row>
    <row r="11" spans="1:21" s="34" customFormat="1" ht="15">
      <c r="A11" s="36" t="str">
        <f>'03'!$B$2</f>
        <v>03-05-2024 01:00</v>
      </c>
      <c r="B11" s="33">
        <f>'03'!B36</f>
        <v>22.404166666666669</v>
      </c>
      <c r="C11" s="33">
        <f>'03'!C36</f>
        <v>49.616250000000001</v>
      </c>
      <c r="D11" s="33">
        <f>'03'!D36</f>
        <v>42.988750000000003</v>
      </c>
      <c r="E11" s="33">
        <f>'03'!E36</f>
        <v>2.5387499999999998</v>
      </c>
      <c r="F11" s="33">
        <f>'03'!F36</f>
        <v>9.223749999999999</v>
      </c>
      <c r="G11" s="33">
        <f>'03'!G36</f>
        <v>100.00375000000001</v>
      </c>
      <c r="H11" s="33">
        <f>'03'!H36</f>
        <v>31.619583333333335</v>
      </c>
      <c r="I11" s="33">
        <f>'03'!I36</f>
        <v>7.2254166666666668</v>
      </c>
      <c r="J11" s="33">
        <f>'03'!J36</f>
        <v>0.68708333333333327</v>
      </c>
      <c r="K11" s="33">
        <f>'03'!K36</f>
        <v>287.91833333333324</v>
      </c>
      <c r="L11" s="33">
        <f>'03'!L36</f>
        <v>30.294166666666666</v>
      </c>
      <c r="M11" s="33">
        <f>'03'!M36</f>
        <v>24.629166666666674</v>
      </c>
      <c r="N11" s="33">
        <f>'03'!N36</f>
        <v>311.22499999999991</v>
      </c>
      <c r="O11" s="33">
        <f>'03'!O36</f>
        <v>0</v>
      </c>
      <c r="P11" s="30">
        <f>'03'!$P$36</f>
        <v>0.93666666666666665</v>
      </c>
      <c r="Q11" s="33">
        <f>'03'!Q36</f>
        <v>9.9024999999999981</v>
      </c>
      <c r="R11" s="47"/>
      <c r="S11" s="47"/>
      <c r="T11" s="47"/>
      <c r="U11" s="47"/>
    </row>
    <row r="12" spans="1:21" s="34" customFormat="1" ht="15">
      <c r="A12" s="36" t="str">
        <f>'04'!$B$2</f>
        <v>04-05-2024 01:00</v>
      </c>
      <c r="B12" s="33">
        <f>'04'!B36</f>
        <v>36.87166666666667</v>
      </c>
      <c r="C12" s="33">
        <f>'04'!C36</f>
        <v>44.317916666666669</v>
      </c>
      <c r="D12" s="33">
        <f>'04'!D36</f>
        <v>52.316250000000018</v>
      </c>
      <c r="E12" s="33">
        <f>'04'!E36</f>
        <v>2.1395833333333338</v>
      </c>
      <c r="F12" s="33">
        <f>'04'!F36</f>
        <v>5.2574999999999994</v>
      </c>
      <c r="G12" s="33">
        <f>'04'!G36</f>
        <v>113.08541666666666</v>
      </c>
      <c r="H12" s="33">
        <f>'04'!H36</f>
        <v>38.251249999999999</v>
      </c>
      <c r="I12" s="33">
        <f>'04'!I36</f>
        <v>10.117916666666664</v>
      </c>
      <c r="J12" s="33">
        <f>'04'!J36</f>
        <v>0.65125</v>
      </c>
      <c r="K12" s="33">
        <f>'04'!K36</f>
        <v>298.57125000000002</v>
      </c>
      <c r="L12" s="33">
        <f>'04'!L36</f>
        <v>30.855833333333337</v>
      </c>
      <c r="M12" s="33">
        <f>'04'!M36</f>
        <v>28.333749999999998</v>
      </c>
      <c r="N12" s="33">
        <f>'04'!N36</f>
        <v>285.0625</v>
      </c>
      <c r="O12" s="33">
        <f>'04'!O36</f>
        <v>0</v>
      </c>
      <c r="P12" s="30">
        <f>'04'!$P$36</f>
        <v>1.1558333333333335</v>
      </c>
      <c r="Q12" s="33">
        <f>'04'!Q36</f>
        <v>10.302083333333332</v>
      </c>
      <c r="R12" s="47"/>
      <c r="S12" s="47"/>
      <c r="T12" s="47"/>
      <c r="U12" s="47"/>
    </row>
    <row r="13" spans="1:21" s="34" customFormat="1" ht="15">
      <c r="A13" s="36" t="str">
        <f>'05'!$B$2</f>
        <v>05-05-2024 01:00</v>
      </c>
      <c r="B13" s="33">
        <f>'05'!B36</f>
        <v>19.552916666666661</v>
      </c>
      <c r="C13" s="33">
        <f>'05'!C36</f>
        <v>37.887500000000003</v>
      </c>
      <c r="D13" s="33">
        <f>'05'!D36</f>
        <v>35.160833333333329</v>
      </c>
      <c r="E13" s="33">
        <f>'05'!E36</f>
        <v>1.8474999999999999</v>
      </c>
      <c r="F13" s="33">
        <f>'05'!F36</f>
        <v>6.2066666666666661</v>
      </c>
      <c r="G13" s="33">
        <f>'05'!G36</f>
        <v>80.065416666666664</v>
      </c>
      <c r="H13" s="33">
        <f>'05'!H36</f>
        <v>28.044166666666666</v>
      </c>
      <c r="I13" s="33">
        <f>'05'!I36</f>
        <v>7.82125</v>
      </c>
      <c r="J13" s="33">
        <f>'05'!J36</f>
        <v>0.35583333333333328</v>
      </c>
      <c r="K13" s="33">
        <f>'05'!K36</f>
        <v>321.30249999999995</v>
      </c>
      <c r="L13" s="33">
        <f>'05'!L36</f>
        <v>31.939166666666651</v>
      </c>
      <c r="M13" s="33">
        <f>'05'!M36</f>
        <v>26.192083333333326</v>
      </c>
      <c r="N13" s="33">
        <f>'05'!N36</f>
        <v>289.88333333333338</v>
      </c>
      <c r="O13" s="33">
        <f>'05'!O36</f>
        <v>0</v>
      </c>
      <c r="P13" s="30">
        <f>'05'!$P$36</f>
        <v>0.91708333333333314</v>
      </c>
      <c r="Q13" s="33">
        <f>'05'!Q36</f>
        <v>10.351666666666667</v>
      </c>
      <c r="R13" s="47"/>
      <c r="S13" s="47"/>
      <c r="T13" s="47"/>
      <c r="U13" s="47"/>
    </row>
    <row r="14" spans="1:21" s="34" customFormat="1" ht="15">
      <c r="A14" s="36" t="str">
        <f>'06'!$B$2</f>
        <v>06-05-2024 01:00</v>
      </c>
      <c r="B14" s="33">
        <f>'06'!B36</f>
        <v>8.8733333333333331</v>
      </c>
      <c r="C14" s="33">
        <f>'06'!C36</f>
        <v>35.756666666666675</v>
      </c>
      <c r="D14" s="33">
        <f>'06'!D36</f>
        <v>25.354583333333334</v>
      </c>
      <c r="E14" s="33">
        <f>'06'!E36</f>
        <v>2.2737499999999997</v>
      </c>
      <c r="F14" s="33">
        <f>'06'!F36</f>
        <v>8.7462499999999999</v>
      </c>
      <c r="G14" s="33">
        <f>'06'!G36</f>
        <v>59.148333333333348</v>
      </c>
      <c r="H14" s="33">
        <f>'06'!H36</f>
        <v>21.056666666666668</v>
      </c>
      <c r="I14" s="33">
        <f>'06'!I36</f>
        <v>5.1520833333333327</v>
      </c>
      <c r="J14" s="33">
        <f>'06'!J36</f>
        <v>0.44208333333333338</v>
      </c>
      <c r="K14" s="33">
        <f>'06'!K36</f>
        <v>339.59208333333333</v>
      </c>
      <c r="L14" s="33">
        <f>'06'!L36</f>
        <v>33.206666666666671</v>
      </c>
      <c r="M14" s="33">
        <f>'06'!M36</f>
        <v>29.326666666666664</v>
      </c>
      <c r="N14" s="33">
        <f>'06'!N36</f>
        <v>239.37916666666663</v>
      </c>
      <c r="O14" s="33">
        <f>'06'!O36</f>
        <v>0</v>
      </c>
      <c r="P14" s="30">
        <f>'06'!$P$36</f>
        <v>0.64374999999999993</v>
      </c>
      <c r="Q14" s="33">
        <f>'06'!Q36</f>
        <v>10.294583333333334</v>
      </c>
      <c r="R14" s="47"/>
      <c r="S14" s="47"/>
      <c r="T14" s="47"/>
      <c r="U14" s="47"/>
    </row>
    <row r="15" spans="1:21" s="34" customFormat="1" ht="15">
      <c r="A15" s="36" t="str">
        <f>'07'!$B$2</f>
        <v>07-05-2024 01:00</v>
      </c>
      <c r="B15" s="33">
        <f>'07'!B36</f>
        <v>5.3499999999999988</v>
      </c>
      <c r="C15" s="33">
        <f>'07'!C36</f>
        <v>27.514166666666657</v>
      </c>
      <c r="D15" s="33">
        <f>'07'!D36</f>
        <v>18.481250000000003</v>
      </c>
      <c r="E15" s="33">
        <f>'07'!E36</f>
        <v>1.5087500000000003</v>
      </c>
      <c r="F15" s="33">
        <f>'07'!F36</f>
        <v>6.6304166666666662</v>
      </c>
      <c r="G15" s="33">
        <f>'07'!G36</f>
        <v>37.451250000000009</v>
      </c>
      <c r="H15" s="33">
        <f>'07'!H36</f>
        <v>11.859166666666662</v>
      </c>
      <c r="I15" s="33">
        <f>'07'!I36</f>
        <v>3.7983333333333325</v>
      </c>
      <c r="J15" s="33">
        <f>'07'!J36</f>
        <v>1.3104166666666666</v>
      </c>
      <c r="K15" s="33">
        <f>'07'!K36</f>
        <v>241.08625000000006</v>
      </c>
      <c r="L15" s="33">
        <f>'07'!L36</f>
        <v>27.399583333333336</v>
      </c>
      <c r="M15" s="33">
        <f>'07'!M36</f>
        <v>54.638750000000009</v>
      </c>
      <c r="N15" s="33">
        <f>'06'!N37</f>
        <v>332.00997886937159</v>
      </c>
      <c r="O15" s="33">
        <f>'06'!O37</f>
        <v>0</v>
      </c>
      <c r="P15" s="33">
        <f>'06'!P37</f>
        <v>0.22264833843686235</v>
      </c>
      <c r="Q15" s="33">
        <f>'07'!Q36</f>
        <v>10.172083333333333</v>
      </c>
      <c r="R15" s="47"/>
      <c r="S15" s="47"/>
      <c r="T15" s="47"/>
      <c r="U15" s="47"/>
    </row>
    <row r="16" spans="1:21" s="34" customFormat="1" ht="15">
      <c r="A16" s="36" t="str">
        <f>'08'!$B$2</f>
        <v>08-05-2024 01:00</v>
      </c>
      <c r="B16" s="33">
        <f>'08'!B36</f>
        <v>8.0625</v>
      </c>
      <c r="C16" s="33">
        <f>'08'!C36</f>
        <v>24.202500000000004</v>
      </c>
      <c r="D16" s="33">
        <f>'08'!D36</f>
        <v>18.845416666666665</v>
      </c>
      <c r="E16" s="33">
        <f>'08'!E36</f>
        <v>1.7387500000000002</v>
      </c>
      <c r="F16" s="33">
        <f>'08'!F36</f>
        <v>14.38083333333333</v>
      </c>
      <c r="G16" s="33">
        <f>'08'!G36</f>
        <v>29.307916666666667</v>
      </c>
      <c r="H16" s="33">
        <f>'08'!H36</f>
        <v>8.1195833333333347</v>
      </c>
      <c r="I16" s="33">
        <f>'08'!I36</f>
        <v>3.8095833333333329</v>
      </c>
      <c r="J16" s="33">
        <f>'08'!J36</f>
        <v>0.79458333333333331</v>
      </c>
      <c r="K16" s="33">
        <f>'08'!K36</f>
        <v>230.67916666666667</v>
      </c>
      <c r="L16" s="33">
        <f>'08'!L36</f>
        <v>25.990000000000006</v>
      </c>
      <c r="M16" s="33">
        <f>'08'!M36</f>
        <v>70.304583333333355</v>
      </c>
      <c r="N16" s="33">
        <f>'08'!N36</f>
        <v>292.10416666666669</v>
      </c>
      <c r="O16" s="33">
        <f>'09'!O38</f>
        <v>24</v>
      </c>
      <c r="P16" s="30">
        <f>'08'!$P$36</f>
        <v>0.50041666666666662</v>
      </c>
      <c r="Q16" s="33">
        <f>'08'!Q36</f>
        <v>9.7120833333333341</v>
      </c>
      <c r="R16" s="47"/>
      <c r="S16" s="47"/>
      <c r="T16" s="47"/>
      <c r="U16" s="47"/>
    </row>
    <row r="17" spans="1:24" s="34" customFormat="1" ht="15">
      <c r="A17" s="36" t="str">
        <f>'09'!$B$2</f>
        <v>09-05-2024 01:00</v>
      </c>
      <c r="B17" s="33">
        <f>'09'!B36</f>
        <v>7.6000000000000005</v>
      </c>
      <c r="C17" s="33">
        <f>'09'!C36</f>
        <v>23.930833333333336</v>
      </c>
      <c r="D17" s="33">
        <f>'09'!D36</f>
        <v>18.342500000000001</v>
      </c>
      <c r="E17" s="33">
        <f>'09'!E36</f>
        <v>1.9550000000000001</v>
      </c>
      <c r="F17" s="33">
        <f>'09'!F36</f>
        <v>5.5929166666666665</v>
      </c>
      <c r="G17" s="33">
        <f>'09'!G36</f>
        <v>44.953333333333326</v>
      </c>
      <c r="H17" s="33">
        <f>'09'!H36</f>
        <v>13.916249999999998</v>
      </c>
      <c r="I17" s="33">
        <f>'09'!I36</f>
        <v>5.3191666666666686</v>
      </c>
      <c r="J17" s="33">
        <f>'09'!J36</f>
        <v>0.79791666666666661</v>
      </c>
      <c r="K17" s="33">
        <f>'09'!K36</f>
        <v>262.32999999999998</v>
      </c>
      <c r="L17" s="33">
        <f>'09'!L36</f>
        <v>26.907916666666669</v>
      </c>
      <c r="M17" s="33">
        <f>'09'!M36</f>
        <v>58.64083333333334</v>
      </c>
      <c r="N17" s="33">
        <f>'09'!N37</f>
        <v>238.0350867755254</v>
      </c>
      <c r="O17" s="33">
        <f>'09'!O37</f>
        <v>0</v>
      </c>
      <c r="P17" s="33">
        <f>'09'!P37</f>
        <v>0.23173846765546788</v>
      </c>
      <c r="Q17" s="33">
        <f>'09'!Q36</f>
        <v>9.6441666666666652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10-05-2024 01:00</v>
      </c>
      <c r="B18" s="33">
        <f>'10'!B36</f>
        <v>2.5700000000000007</v>
      </c>
      <c r="C18" s="33">
        <f>'10'!C36</f>
        <v>13.059166666666664</v>
      </c>
      <c r="D18" s="33">
        <f>'10'!D36</f>
        <v>8.7279166666666672</v>
      </c>
      <c r="E18" s="33">
        <f>'10'!E36</f>
        <v>2.0812499999999994</v>
      </c>
      <c r="F18" s="33">
        <f>'10'!F36</f>
        <v>8.8916666666666657</v>
      </c>
      <c r="G18" s="33">
        <f>'10'!G36</f>
        <v>38.872500000000002</v>
      </c>
      <c r="H18" s="33">
        <f>'10'!H36</f>
        <v>11.088333333333333</v>
      </c>
      <c r="I18" s="33">
        <f>'10'!I36</f>
        <v>5.0375000000000005</v>
      </c>
      <c r="J18" s="33">
        <f>'10'!J36</f>
        <v>0.43833333333333324</v>
      </c>
      <c r="K18" s="33">
        <f>'10'!K36</f>
        <v>311.90208333333334</v>
      </c>
      <c r="L18" s="33">
        <f>'10'!L36</f>
        <v>29.441666666666666</v>
      </c>
      <c r="M18" s="33">
        <f>'10'!M36</f>
        <v>55.565833333333323</v>
      </c>
      <c r="N18" s="33">
        <f>'10'!N36</f>
        <v>301.73333333333341</v>
      </c>
      <c r="O18" s="33">
        <f>'10'!O36</f>
        <v>0</v>
      </c>
      <c r="P18" s="30">
        <f>'10'!$P$36</f>
        <v>0.51375000000000015</v>
      </c>
      <c r="Q18" s="33">
        <f>'10'!Q36</f>
        <v>9.4674999999999994</v>
      </c>
      <c r="R18" s="47"/>
      <c r="S18" s="47"/>
      <c r="T18" s="47"/>
      <c r="U18" s="47"/>
    </row>
    <row r="19" spans="1:21" s="34" customFormat="1" ht="15">
      <c r="A19" s="36" t="str">
        <f>'11'!$B$2</f>
        <v>11-05-2024 01:00</v>
      </c>
      <c r="B19" s="33">
        <f>'11'!B36</f>
        <v>3.7549999999999959</v>
      </c>
      <c r="C19" s="33">
        <f>'11'!C36</f>
        <v>11.017916666666666</v>
      </c>
      <c r="D19" s="33">
        <f>'11'!D36</f>
        <v>8.4512499999999999</v>
      </c>
      <c r="E19" s="33">
        <f>'11'!E36</f>
        <v>2.0495833333333331</v>
      </c>
      <c r="F19" s="33">
        <f>'11'!F36</f>
        <v>7.3604166666666666</v>
      </c>
      <c r="G19" s="33">
        <f>'11'!G36</f>
        <v>65.779583333333335</v>
      </c>
      <c r="H19" s="33">
        <f>'11'!H36</f>
        <v>21.109583333333333</v>
      </c>
      <c r="I19" s="33">
        <f>'11'!I36</f>
        <v>4.9004166666666658</v>
      </c>
      <c r="J19" s="33">
        <f>'11'!J36</f>
        <v>0.65041666666666664</v>
      </c>
      <c r="K19" s="33">
        <f>'11'!K36</f>
        <v>317.85124999999999</v>
      </c>
      <c r="L19" s="33">
        <f>'11'!L36</f>
        <v>30.610833333333332</v>
      </c>
      <c r="M19" s="33">
        <f>'11'!M36</f>
        <v>51.192083333333336</v>
      </c>
      <c r="N19" s="33">
        <f>'11'!N36</f>
        <v>292.42916666666673</v>
      </c>
      <c r="O19" s="33">
        <f>'11'!O36</f>
        <v>0</v>
      </c>
      <c r="P19" s="33">
        <f>'11'!P36</f>
        <v>0.52333333333333332</v>
      </c>
      <c r="Q19" s="33">
        <f>'11'!Q36</f>
        <v>9.4508333333333336</v>
      </c>
      <c r="R19" s="47"/>
      <c r="S19" s="47"/>
      <c r="T19" s="47"/>
      <c r="U19" s="47"/>
    </row>
    <row r="20" spans="1:21" s="34" customFormat="1" ht="15">
      <c r="A20" s="36" t="str">
        <f>'12'!$B$2</f>
        <v>12-05-2024 01:00</v>
      </c>
      <c r="B20" s="33">
        <f>'12'!B36</f>
        <v>0.11500000000000006</v>
      </c>
      <c r="C20" s="33">
        <f>'12'!C36</f>
        <v>3.2562499999999996</v>
      </c>
      <c r="D20" s="33">
        <f>'12'!D36</f>
        <v>1.7137500000000001</v>
      </c>
      <c r="E20" s="33">
        <f>'12'!E36</f>
        <v>1.5812499999999998</v>
      </c>
      <c r="F20" s="33">
        <f>'12'!F36</f>
        <v>5.4800000000000004</v>
      </c>
      <c r="G20" s="33">
        <f>'12'!G36</f>
        <v>47.505833333333328</v>
      </c>
      <c r="H20" s="33">
        <f>'12'!H36</f>
        <v>15.55833333333333</v>
      </c>
      <c r="I20" s="33">
        <f>'12'!I36</f>
        <v>6.3312500000000007</v>
      </c>
      <c r="J20" s="33">
        <f>'12'!J36</f>
        <v>0.93791666666666662</v>
      </c>
      <c r="K20" s="33">
        <f>'12'!K36</f>
        <v>296.59208333333328</v>
      </c>
      <c r="L20" s="33">
        <f>'12'!L36</f>
        <v>29.89916666666667</v>
      </c>
      <c r="M20" s="33">
        <f>'12'!M36</f>
        <v>57.444166666666668</v>
      </c>
      <c r="N20" s="33">
        <f>'12'!N36</f>
        <v>274.50833333333338</v>
      </c>
      <c r="O20" s="33">
        <f>'12'!O36</f>
        <v>0.083333333333333329</v>
      </c>
      <c r="P20" s="33">
        <f>'12'!P36</f>
        <v>0.52374999999999994</v>
      </c>
      <c r="Q20" s="33">
        <f>'12'!Q36</f>
        <v>9.2920833333333341</v>
      </c>
      <c r="R20" s="47"/>
      <c r="S20" s="47"/>
      <c r="T20" s="47"/>
      <c r="U20" s="47"/>
    </row>
    <row r="21" spans="1:21" s="34" customFormat="1" ht="15">
      <c r="A21" s="36" t="str">
        <f>'13'!$B$2</f>
        <v>13-05-2024 01:00</v>
      </c>
      <c r="B21" s="33">
        <f>'13'!B36</f>
        <v>2.0769565217391306</v>
      </c>
      <c r="C21" s="33">
        <f>'13'!C36</f>
        <v>7.2482608695652164</v>
      </c>
      <c r="D21" s="33">
        <f>'13'!D36</f>
        <v>8.2482608695652164</v>
      </c>
      <c r="E21" s="33">
        <f>'13'!E36</f>
        <v>2.1095652173913049</v>
      </c>
      <c r="F21" s="33">
        <f>'13'!F36</f>
        <v>8.0037499999999984</v>
      </c>
      <c r="G21" s="33">
        <f>'13'!G36</f>
        <v>34.014999999999993</v>
      </c>
      <c r="H21" s="33">
        <f>'13'!H36</f>
        <v>12.161818181818182</v>
      </c>
      <c r="I21" s="33">
        <f>'13'!I36</f>
        <v>6.5804166666666655</v>
      </c>
      <c r="J21" s="33">
        <f>'13'!J36</f>
        <v>0.99666666666666692</v>
      </c>
      <c r="K21" s="33">
        <f>'13'!K36</f>
        <v>292.3816666666666</v>
      </c>
      <c r="L21" s="33">
        <f>'13'!L36</f>
        <v>28.898749999999996</v>
      </c>
      <c r="M21" s="33">
        <f>'13'!M36</f>
        <v>56.281249999999993</v>
      </c>
      <c r="N21" s="33">
        <f>'13'!N36</f>
        <v>304.0625</v>
      </c>
      <c r="O21" s="33">
        <f>'13'!O36</f>
        <v>0</v>
      </c>
      <c r="P21" s="33">
        <f>'13'!P36</f>
        <v>0.54333333333333345</v>
      </c>
      <c r="Q21" s="33">
        <f>'13'!Q36</f>
        <v>9.3129166666666663</v>
      </c>
      <c r="R21" s="47"/>
      <c r="S21" s="47"/>
      <c r="T21" s="47"/>
      <c r="U21" s="47"/>
    </row>
    <row r="22" spans="1:21" s="34" customFormat="1" ht="15">
      <c r="A22" s="36" t="str">
        <f>'14'!$B$2</f>
        <v>14-05-2024 01:00</v>
      </c>
      <c r="B22" s="30">
        <f>'14'!B36</f>
        <v>4.6037499999999998</v>
      </c>
      <c r="C22" s="30">
        <f>'14'!C36</f>
        <v>9.2483333333333331</v>
      </c>
      <c r="D22" s="30">
        <f>'14'!D36</f>
        <v>13.671666666666669</v>
      </c>
      <c r="E22" s="30">
        <f>'14'!E36</f>
        <v>1.6479166666666663</v>
      </c>
      <c r="F22" s="30">
        <f>'14'!F36</f>
        <v>4.765416666666666</v>
      </c>
      <c r="G22" s="30">
        <f>'14'!G36</f>
        <v>82.622916666666669</v>
      </c>
      <c r="H22" s="30">
        <f>'14'!H36</f>
        <v>32.494166666666665</v>
      </c>
      <c r="I22" s="30">
        <f>'14'!I36</f>
        <v>7.6454166666666659</v>
      </c>
      <c r="J22" s="30">
        <f>'14'!J36</f>
        <v>0.66833333333333333</v>
      </c>
      <c r="K22" s="30">
        <f>'14'!K36</f>
        <v>318.80874999999997</v>
      </c>
      <c r="L22" s="30">
        <f>'14'!L36</f>
        <v>30.697500000000005</v>
      </c>
      <c r="M22" s="30">
        <f>'14'!M36</f>
        <v>45.84791666666667</v>
      </c>
      <c r="N22" s="30">
        <f>'14'!N36</f>
        <v>282.41249999999997</v>
      </c>
      <c r="O22" s="30">
        <f>'14'!O36</f>
        <v>0</v>
      </c>
      <c r="P22" s="30">
        <f>'14'!P36</f>
        <v>0.72041666666666659</v>
      </c>
      <c r="Q22" s="30">
        <f>'14'!Q36</f>
        <v>9.519166666666667</v>
      </c>
      <c r="R22" s="48"/>
      <c r="S22" s="48"/>
      <c r="T22" s="48"/>
      <c r="U22" s="48"/>
    </row>
    <row r="23" spans="1:21" s="34" customFormat="1" ht="15">
      <c r="A23" s="36" t="str">
        <f>'15'!$B$2</f>
        <v>15-05-2024 01:00</v>
      </c>
      <c r="B23" s="33">
        <f>'15'!B36</f>
        <v>2.3482608695652174</v>
      </c>
      <c r="C23" s="33">
        <f>'15'!C36</f>
        <v>8.5200000000000014</v>
      </c>
      <c r="D23" s="33">
        <f>'15'!D36</f>
        <v>10.713913043478261</v>
      </c>
      <c r="E23" s="33">
        <f>'15'!E36</f>
        <v>1.3582608695652174</v>
      </c>
      <c r="F23" s="33">
        <f>'15'!F36</f>
        <v>5.6630434782608692</v>
      </c>
      <c r="G23" s="33">
        <f>'15'!G36</f>
        <v>77.553478260869539</v>
      </c>
      <c r="H23" s="33">
        <f>'15'!H36</f>
        <v>28.830434782608691</v>
      </c>
      <c r="I23" s="33">
        <f>'15'!I36</f>
        <v>9.2382608695652166</v>
      </c>
      <c r="J23" s="33">
        <f>'15'!J36</f>
        <v>0.85652173913043494</v>
      </c>
      <c r="K23" s="33">
        <f>'15'!K36</f>
        <v>296.4395652173913</v>
      </c>
      <c r="L23" s="33">
        <f>'15'!L36</f>
        <v>30.438260869565219</v>
      </c>
      <c r="M23" s="33">
        <f>'15'!M36</f>
        <v>47.213478260869557</v>
      </c>
      <c r="N23" s="33">
        <f>'15'!N36</f>
        <v>251.22608695652181</v>
      </c>
      <c r="O23" s="33">
        <f>'15'!O36</f>
        <v>0</v>
      </c>
      <c r="P23" s="30">
        <f>'15'!P36</f>
        <v>0.63434782608695661</v>
      </c>
      <c r="Q23" s="30">
        <f>'15'!Q36</f>
        <v>9.6604347826086965</v>
      </c>
      <c r="R23" s="48"/>
      <c r="S23" s="48"/>
      <c r="T23" s="48"/>
      <c r="U23" s="47"/>
    </row>
    <row r="24" spans="1:21" s="34" customFormat="1" ht="15">
      <c r="A24" s="36" t="str">
        <f>'16'!$B$2</f>
        <v>16-05-2024 01:00</v>
      </c>
      <c r="B24" s="33">
        <f>'16'!B36</f>
        <v>2.1595833333333334</v>
      </c>
      <c r="C24" s="33">
        <f>'16'!C36</f>
        <v>9.110833333333332</v>
      </c>
      <c r="D24" s="33">
        <f>'16'!D36</f>
        <v>9.3612500000000001</v>
      </c>
      <c r="E24" s="33">
        <f>'16'!E36</f>
        <v>1.3462500000000002</v>
      </c>
      <c r="F24" s="33">
        <f>'16'!F36</f>
        <v>6.0179166666666681</v>
      </c>
      <c r="G24" s="33">
        <f>'16'!G36</f>
        <v>67.002916666666664</v>
      </c>
      <c r="H24" s="33">
        <f>'16'!H36</f>
        <v>27.862499999999986</v>
      </c>
      <c r="I24" s="33">
        <f>'16'!I36</f>
        <v>6.6375000000000002</v>
      </c>
      <c r="J24" s="33">
        <f>'16'!J36</f>
        <v>0.65583333333333338</v>
      </c>
      <c r="K24" s="33">
        <f>'16'!K36</f>
        <v>267.50708333333336</v>
      </c>
      <c r="L24" s="33">
        <f>'16'!L36</f>
        <v>30.65166666666666</v>
      </c>
      <c r="M24" s="33">
        <f>'16'!M36</f>
        <v>47.928749999999987</v>
      </c>
      <c r="N24" s="33">
        <f>'16'!N36</f>
        <v>273.38749999999999</v>
      </c>
      <c r="O24" s="33">
        <f>'16'!O36</f>
        <v>0</v>
      </c>
      <c r="P24" s="30">
        <f>'16'!P36</f>
        <v>0.55375000000000008</v>
      </c>
      <c r="Q24" s="30">
        <f>'16'!Q36</f>
        <v>9.7137499999999992</v>
      </c>
      <c r="R24" s="48"/>
      <c r="S24" s="48"/>
      <c r="T24" s="48"/>
      <c r="U24" s="47"/>
    </row>
    <row r="25" spans="1:21" s="34" customFormat="1" ht="15">
      <c r="A25" s="36" t="str">
        <f>'17'!$B$2</f>
        <v>17-05-2024 01:00</v>
      </c>
      <c r="B25" s="33">
        <f>'17'!B36</f>
        <v>2.020833333333333</v>
      </c>
      <c r="C25" s="33">
        <f>'17'!C36</f>
        <v>6.4016666666666646</v>
      </c>
      <c r="D25" s="33">
        <f>'17'!D36</f>
        <v>4.8441666666666672</v>
      </c>
      <c r="E25" s="33">
        <f>'17'!E36</f>
        <v>1.5266666666666666</v>
      </c>
      <c r="F25" s="33">
        <f>'17'!F36</f>
        <v>4.1891666666666669</v>
      </c>
      <c r="G25" s="33">
        <f>'17'!G36</f>
        <v>37.062222222222225</v>
      </c>
      <c r="H25" s="33">
        <f>'17'!H36</f>
        <v>15.152916666666668</v>
      </c>
      <c r="I25" s="33">
        <f>'17'!I36</f>
        <v>5.3862499999999995</v>
      </c>
      <c r="J25" s="33">
        <f>'17'!J36</f>
        <v>0.71208333333333329</v>
      </c>
      <c r="K25" s="33">
        <f>'17'!K36</f>
        <v>255.61541666666665</v>
      </c>
      <c r="L25" s="33">
        <f>'17'!L36</f>
        <v>28.432916666666667</v>
      </c>
      <c r="M25" s="33">
        <f>'17'!M36</f>
        <v>57.980416666666663</v>
      </c>
      <c r="N25" s="33">
        <f>'17'!N36</f>
        <v>156.04583333333332</v>
      </c>
      <c r="O25" s="33">
        <f>'17'!O36</f>
        <v>0</v>
      </c>
      <c r="P25" s="30">
        <f>'17'!P36</f>
        <v>0.49500000000000005</v>
      </c>
      <c r="Q25" s="30">
        <f>'17'!Q36</f>
        <v>9.4662500000000005</v>
      </c>
      <c r="R25" s="48"/>
      <c r="S25" s="48"/>
      <c r="T25" s="48"/>
      <c r="U25" s="47"/>
    </row>
    <row r="26" spans="1:21" s="34" customFormat="1" ht="15">
      <c r="A26" s="36" t="str">
        <f>'18'!$B$2</f>
        <v>18-05-2024 01:00</v>
      </c>
      <c r="B26" s="33">
        <f>'18'!B36</f>
        <v>1.7945833333333336</v>
      </c>
      <c r="C26" s="33">
        <f>'18'!C36</f>
        <v>3.7270833333333333</v>
      </c>
      <c r="D26" s="33">
        <f>'18'!D36</f>
        <v>3.2641666666666667</v>
      </c>
      <c r="E26" s="33">
        <f>'18'!E36</f>
        <v>1.562916666666667</v>
      </c>
      <c r="F26" s="33">
        <f>'18'!F36</f>
        <v>5.3433333333333337</v>
      </c>
      <c r="G26" s="33">
        <f>'18'!G36</f>
        <v>28.803846153846152</v>
      </c>
      <c r="H26" s="33">
        <f>'18'!H36</f>
        <v>8.5183333333333344</v>
      </c>
      <c r="I26" s="33">
        <f>'18'!I36</f>
        <v>4.4379166666666672</v>
      </c>
      <c r="J26" s="33">
        <f>'18'!J36</f>
        <v>0.93625000000000014</v>
      </c>
      <c r="K26" s="33">
        <f>'18'!K36</f>
        <v>210.7558333333333</v>
      </c>
      <c r="L26" s="33">
        <f>'18'!L36</f>
        <v>27.665416666666662</v>
      </c>
      <c r="M26" s="33">
        <f>'18'!M36</f>
        <v>62.645833333333336</v>
      </c>
      <c r="N26" s="33">
        <f>'18'!N36</f>
        <v>207.71249999999998</v>
      </c>
      <c r="O26" s="33">
        <f>'18'!O36</f>
        <v>0</v>
      </c>
      <c r="P26" s="30">
        <f>'18'!P36</f>
        <v>0.2870833333333333</v>
      </c>
      <c r="Q26" s="30">
        <f>'18'!Q36</f>
        <v>9.401250000000001</v>
      </c>
      <c r="R26" s="48"/>
      <c r="S26" s="48"/>
      <c r="T26" s="48"/>
      <c r="U26" s="47"/>
    </row>
    <row r="27" spans="1:21" s="34" customFormat="1" ht="15">
      <c r="A27" s="36" t="str">
        <f>'19'!$B$2</f>
        <v>19-05-2024 01:00</v>
      </c>
      <c r="B27" s="33">
        <f>'19'!B36</f>
        <v>1.7983333333333336</v>
      </c>
      <c r="C27" s="33">
        <f>'19'!C36</f>
        <v>4.3825000000000012</v>
      </c>
      <c r="D27" s="33">
        <f>'19'!D36</f>
        <v>3.6412500000000008</v>
      </c>
      <c r="E27" s="33">
        <f>'19'!E36</f>
        <v>1.6258333333333335</v>
      </c>
      <c r="F27" s="33">
        <f>'19'!F36</f>
        <v>4.4308333333333332</v>
      </c>
      <c r="G27" s="33">
        <f>'19'!G36</f>
        <v>25.098333333333329</v>
      </c>
      <c r="H27" s="33">
        <f>'19'!H36</f>
        <v>8.269166666666667</v>
      </c>
      <c r="I27" s="33">
        <f>'19'!I36</f>
        <v>4.1812500000000004</v>
      </c>
      <c r="J27" s="33">
        <f>'19'!J36</f>
        <v>0.83250000000000002</v>
      </c>
      <c r="K27" s="33">
        <f>'19'!K36</f>
        <v>288.66541666666666</v>
      </c>
      <c r="L27" s="33">
        <f>'19'!L36</f>
        <v>30.360416666666666</v>
      </c>
      <c r="M27" s="33">
        <f>'19'!M36</f>
        <v>54.689583333333331</v>
      </c>
      <c r="N27" s="33">
        <f>'19'!N36</f>
        <v>291.08333333333331</v>
      </c>
      <c r="O27" s="33">
        <f>'19'!O36</f>
        <v>0</v>
      </c>
      <c r="P27" s="30">
        <f>'19'!P36</f>
        <v>0.33583333333333326</v>
      </c>
      <c r="Q27" s="30">
        <f>'19'!Q36</f>
        <v>9.2804166666666656</v>
      </c>
      <c r="R27" s="48"/>
      <c r="S27" s="48"/>
      <c r="T27" s="48"/>
      <c r="U27" s="47"/>
    </row>
    <row r="28" spans="1:21" s="34" customFormat="1" ht="15">
      <c r="A28" s="36" t="str">
        <f>'20'!$B$2</f>
        <v>20-05-2024 01:00</v>
      </c>
      <c r="B28" s="33">
        <f>'20'!B36</f>
        <v>2.2837499999999999</v>
      </c>
      <c r="C28" s="33">
        <f>'20'!C36</f>
        <v>5.4674999999999985</v>
      </c>
      <c r="D28" s="33">
        <f>'20'!D36</f>
        <v>4.5883333333333338</v>
      </c>
      <c r="E28" s="33">
        <f>'20'!E36</f>
        <v>1.8762500000000004</v>
      </c>
      <c r="F28" s="33">
        <f>'20'!F36</f>
        <v>4.989583333333333</v>
      </c>
      <c r="G28" s="33">
        <f>'20'!G36</f>
        <v>43.066666666666663</v>
      </c>
      <c r="H28" s="33">
        <f>'20'!H36</f>
        <v>15.428750000000003</v>
      </c>
      <c r="I28" s="33">
        <f>'20'!I36</f>
        <v>5.0133333333333328</v>
      </c>
      <c r="J28" s="33">
        <f>'20'!J36</f>
        <v>0.93416666666666659</v>
      </c>
      <c r="K28" s="33">
        <f>'20'!K36</f>
        <v>293.22583333333324</v>
      </c>
      <c r="L28" s="33">
        <f>'20'!L36</f>
        <v>32.246666666666663</v>
      </c>
      <c r="M28" s="33">
        <f>'20'!M36</f>
        <v>44.114166666666655</v>
      </c>
      <c r="N28" s="33">
        <f>'20'!N36</f>
        <v>289.27083333333331</v>
      </c>
      <c r="O28" s="33">
        <f>'20'!O36</f>
        <v>0</v>
      </c>
      <c r="P28" s="30">
        <f>'20'!P36</f>
        <v>0.53791666666666671</v>
      </c>
      <c r="Q28" s="30">
        <f>'20'!Q36</f>
        <v>9.4016666666666655</v>
      </c>
      <c r="R28" s="48"/>
      <c r="S28" s="48"/>
      <c r="T28" s="48"/>
      <c r="U28" s="47"/>
    </row>
    <row r="29" spans="1:21" s="34" customFormat="1" ht="15">
      <c r="A29" s="36" t="str">
        <f>'21'!$B$2</f>
        <v>21-05-2024 01:00</v>
      </c>
      <c r="B29" s="33">
        <f>'21'!B36</f>
        <v>1.4979166666666668</v>
      </c>
      <c r="C29" s="33">
        <f>'21'!C36</f>
        <v>4.7474999999999996</v>
      </c>
      <c r="D29" s="33">
        <f>'21'!D36</f>
        <v>3.5862499999999997</v>
      </c>
      <c r="E29" s="33">
        <f>'21'!E36</f>
        <v>2.0029166666666667</v>
      </c>
      <c r="F29" s="33">
        <f>'21'!F36</f>
        <v>5.3374999999999986</v>
      </c>
      <c r="G29" s="33">
        <f>'21'!G36</f>
        <v>41.1325</v>
      </c>
      <c r="H29" s="33">
        <f>'21'!H36</f>
        <v>14.925833333333335</v>
      </c>
      <c r="I29" s="33">
        <f>'21'!I36</f>
        <v>6.3825000000000012</v>
      </c>
      <c r="J29" s="33">
        <f>'21'!J36</f>
        <v>1.3654166666666665</v>
      </c>
      <c r="K29" s="33">
        <f>'21'!K36</f>
        <v>273.33416666666665</v>
      </c>
      <c r="L29" s="33">
        <f>'21'!L36</f>
        <v>31.53166666666667</v>
      </c>
      <c r="M29" s="33">
        <f>'21'!M36</f>
        <v>48.667916666666663</v>
      </c>
      <c r="N29" s="33">
        <f>'21'!N36</f>
        <v>260.92083333333335</v>
      </c>
      <c r="O29" s="33">
        <f>'21'!O36</f>
        <v>0</v>
      </c>
      <c r="P29" s="30">
        <f>'21'!P36</f>
        <v>0.47833333333333333</v>
      </c>
      <c r="Q29" s="30">
        <f>'21'!Q36</f>
        <v>9.4100000000000001</v>
      </c>
      <c r="R29" s="48"/>
      <c r="S29" s="48"/>
      <c r="T29" s="48"/>
      <c r="U29" s="47"/>
    </row>
    <row r="30" spans="1:21" s="34" customFormat="1" ht="15">
      <c r="A30" s="36" t="str">
        <f>'22'!$B$2</f>
        <v>22-05-2024 01:00</v>
      </c>
      <c r="B30" s="33">
        <f>'22'!B36</f>
        <v>1.3841666666666665</v>
      </c>
      <c r="C30" s="33">
        <f>'22'!C36</f>
        <v>2.9441666666666659</v>
      </c>
      <c r="D30" s="33">
        <f>'22'!D36</f>
        <v>2.5487500000000001</v>
      </c>
      <c r="E30" s="33">
        <f>'22'!E36</f>
        <v>1.880416666666666</v>
      </c>
      <c r="F30" s="33">
        <f>'22'!F36</f>
        <v>7.0908333333333351</v>
      </c>
      <c r="G30" s="33">
        <f>'22'!G36</f>
        <v>46.351249999999993</v>
      </c>
      <c r="H30" s="33">
        <f>'22'!H36</f>
        <v>16.142916666666668</v>
      </c>
      <c r="I30" s="33">
        <f>'22'!I36</f>
        <v>6.9312499999999995</v>
      </c>
      <c r="J30" s="33">
        <f>'22'!J36</f>
        <v>0.87041666666666673</v>
      </c>
      <c r="K30" s="33">
        <f>'22'!K36</f>
        <v>291.47749999999996</v>
      </c>
      <c r="L30" s="33">
        <f>'22'!L36</f>
        <v>29.746666666666673</v>
      </c>
      <c r="M30" s="33">
        <f>'22'!M36</f>
        <v>61.003750000000004</v>
      </c>
      <c r="N30" s="33">
        <f>'22'!N36</f>
        <v>225.08333333333329</v>
      </c>
      <c r="O30" s="33">
        <f>'22'!O36</f>
        <v>0.19999999999999998</v>
      </c>
      <c r="P30" s="30">
        <f>'22'!P36</f>
        <v>0.54083333333333328</v>
      </c>
      <c r="Q30" s="30">
        <f>'22'!Q36</f>
        <v>9.4020833333333318</v>
      </c>
      <c r="R30" s="48"/>
      <c r="S30" s="47"/>
      <c r="T30" s="47"/>
      <c r="U30" s="47"/>
    </row>
    <row r="31" spans="1:21" s="34" customFormat="1" ht="15">
      <c r="A31" s="36" t="str">
        <f>'23'!$B$2</f>
        <v>23-05-2024 01:00</v>
      </c>
      <c r="B31" s="33">
        <f>'23'!B36</f>
        <v>2.277083333333334</v>
      </c>
      <c r="C31" s="33">
        <f>'23'!C36</f>
        <v>4.5345833333333339</v>
      </c>
      <c r="D31" s="33">
        <f>'23'!D36</f>
        <v>4.0758333333333328</v>
      </c>
      <c r="E31" s="33">
        <f>'23'!E36</f>
        <v>2.3041666666666667</v>
      </c>
      <c r="F31" s="33">
        <f>'23'!F36</f>
        <v>5.652499999999999</v>
      </c>
      <c r="G31" s="33">
        <f>'23'!G36</f>
        <v>75.729166666666657</v>
      </c>
      <c r="H31" s="33">
        <f>'23'!H36</f>
        <v>27.947083333333335</v>
      </c>
      <c r="I31" s="33">
        <f>'23'!I36</f>
        <v>7.1754166666666643</v>
      </c>
      <c r="J31" s="33">
        <f>'23'!J36</f>
        <v>0.49874999999999997</v>
      </c>
      <c r="K31" s="33">
        <f>'23'!K36</f>
        <v>310.66666666666657</v>
      </c>
      <c r="L31" s="33">
        <f>'23'!L36</f>
        <v>31.389583333333334</v>
      </c>
      <c r="M31" s="33">
        <f>'23'!M36</f>
        <v>56.330833333333338</v>
      </c>
      <c r="N31" s="33">
        <f>'23'!N36</f>
        <v>286.14166666666671</v>
      </c>
      <c r="O31" s="33">
        <f>'23'!O36</f>
        <v>0</v>
      </c>
      <c r="P31" s="33">
        <f>'23'!P36</f>
        <v>0.75124999999999986</v>
      </c>
      <c r="Q31" s="33">
        <f>'23'!Q36</f>
        <v>9.5495833333333326</v>
      </c>
      <c r="R31" s="47"/>
      <c r="S31" s="47"/>
      <c r="T31" s="47"/>
      <c r="U31" s="47"/>
    </row>
    <row r="32" spans="1:21" s="34" customFormat="1" ht="15">
      <c r="A32" s="36" t="str">
        <f>'24'!$B$2</f>
        <v>24-05-2024 01:00</v>
      </c>
      <c r="B32" s="33">
        <f>'24'!B36</f>
        <v>1.7208695652173915</v>
      </c>
      <c r="C32" s="33">
        <f>'24'!C36</f>
        <v>2.6413043478260874</v>
      </c>
      <c r="D32" s="33">
        <f>'24'!D36</f>
        <v>2.3469565217391302</v>
      </c>
      <c r="E32" s="33">
        <f>'24'!E36</f>
        <v>1.6404545454545454</v>
      </c>
      <c r="F32" s="33">
        <f>'24'!F36</f>
        <v>8.2179166666666656</v>
      </c>
      <c r="G32" s="33">
        <f>'24'!G36</f>
        <v>48.396363636363624</v>
      </c>
      <c r="H32" s="33">
        <f>'24'!H36</f>
        <v>18.955454545454543</v>
      </c>
      <c r="I32" s="33">
        <f>'24'!I36</f>
        <v>8.0620833333333319</v>
      </c>
      <c r="J32" s="33">
        <f>'24'!J36</f>
        <v>1.1283333333333334</v>
      </c>
      <c r="K32" s="33">
        <f>'24'!K36</f>
        <v>228.15583333333336</v>
      </c>
      <c r="L32" s="33">
        <f>'24'!L36</f>
        <v>31.965000000000003</v>
      </c>
      <c r="M32" s="33">
        <f>'24'!M36</f>
        <v>51.922916666666652</v>
      </c>
      <c r="N32" s="33">
        <f>'24'!N36</f>
        <v>276.00416666666666</v>
      </c>
      <c r="O32" s="33">
        <f>'24'!O36</f>
        <v>0</v>
      </c>
      <c r="P32" s="33">
        <f>'24'!P36</f>
        <v>0.51458333333333339</v>
      </c>
      <c r="Q32" s="33">
        <f>'24'!Q36</f>
        <v>9.4329166666666691</v>
      </c>
      <c r="R32" s="47"/>
      <c r="S32" s="47"/>
      <c r="T32" s="47"/>
      <c r="U32" s="47"/>
    </row>
    <row r="33" spans="1:21" s="34" customFormat="1" ht="15">
      <c r="A33" s="36" t="str">
        <f>'25'!$B$2</f>
        <v>25-05-2024 01:00</v>
      </c>
      <c r="B33" s="33">
        <f>'25'!B36</f>
        <v>1.9220833333333334</v>
      </c>
      <c r="C33" s="33">
        <f>'25'!C36</f>
        <v>2.2754166666666666</v>
      </c>
      <c r="D33" s="33">
        <f>'25'!D36</f>
        <v>1.9991666666666665</v>
      </c>
      <c r="E33" s="33">
        <f>'25'!E36</f>
        <v>1.7633333333333339</v>
      </c>
      <c r="F33" s="33">
        <f>'25'!F36</f>
        <v>4.6108333333333329</v>
      </c>
      <c r="G33" s="33">
        <f>'25'!G36</f>
        <v>33.853333333333332</v>
      </c>
      <c r="H33" s="33">
        <f>'25'!H36</f>
        <v>14.290416666666667</v>
      </c>
      <c r="I33" s="33">
        <f>'25'!I36</f>
        <v>7.024583333333335</v>
      </c>
      <c r="J33" s="33">
        <f>'25'!J36</f>
        <v>0.61291666666666667</v>
      </c>
      <c r="K33" s="33">
        <f>'25'!K36</f>
        <v>217.55291666666665</v>
      </c>
      <c r="L33" s="33">
        <f>'25'!L36</f>
        <v>31.693333333333328</v>
      </c>
      <c r="M33" s="33">
        <f>'25'!M36</f>
        <v>51.982500000000009</v>
      </c>
      <c r="N33" s="33">
        <f>'25'!N36</f>
        <v>278.26666666666665</v>
      </c>
      <c r="O33" s="33">
        <f>'25'!O36</f>
        <v>0</v>
      </c>
      <c r="P33" s="33">
        <f>'25'!P36</f>
        <v>0.38291666666666674</v>
      </c>
      <c r="Q33" s="33">
        <f>'25'!Q36</f>
        <v>9.3204166666666666</v>
      </c>
      <c r="R33" s="47"/>
      <c r="S33" s="47"/>
      <c r="T33" s="47"/>
      <c r="U33" s="47"/>
    </row>
    <row r="34" spans="1:21" s="34" customFormat="1" ht="15">
      <c r="A34" s="36" t="str">
        <f>'26'!$B$2</f>
        <v>26-05-2024 01:00</v>
      </c>
      <c r="B34" s="33">
        <f>'26'!B36</f>
        <v>2.3483333333333332</v>
      </c>
      <c r="C34" s="33">
        <f>'26'!C36</f>
        <v>2.4300000000000002</v>
      </c>
      <c r="D34" s="33">
        <f>'26'!D36</f>
        <v>2.4187500000000006</v>
      </c>
      <c r="E34" s="33">
        <f>'26'!E36</f>
        <v>1.9174999999999998</v>
      </c>
      <c r="F34" s="33">
        <f>'26'!F36</f>
        <v>5.3858333333333341</v>
      </c>
      <c r="G34" s="33">
        <f>'26'!G36</f>
        <v>56.354583333333331</v>
      </c>
      <c r="H34" s="33">
        <f>'26'!H36</f>
        <v>23.356666666666666</v>
      </c>
      <c r="I34" s="33">
        <f>'26'!I36</f>
        <v>6.3895833333333334</v>
      </c>
      <c r="J34" s="33">
        <f>'26'!J36</f>
        <v>0.74333333333333329</v>
      </c>
      <c r="K34" s="33">
        <f>'26'!K36</f>
        <v>322.88416666666666</v>
      </c>
      <c r="L34" s="33">
        <f>'26'!L36</f>
        <v>34.021666666666668</v>
      </c>
      <c r="M34" s="33">
        <f>'26'!M36</f>
        <v>46.94874999999999</v>
      </c>
      <c r="N34" s="33">
        <f>'26'!N36</f>
        <v>285.00833333333338</v>
      </c>
      <c r="O34" s="33">
        <f>'26'!O36</f>
        <v>0</v>
      </c>
      <c r="P34" s="33">
        <f>'26'!P36</f>
        <v>0.77666666666666673</v>
      </c>
      <c r="Q34" s="33">
        <f>'26'!Q36</f>
        <v>9.4295833333333352</v>
      </c>
      <c r="R34" s="47"/>
      <c r="S34" s="47"/>
      <c r="T34" s="47"/>
      <c r="U34" s="47"/>
    </row>
    <row r="35" spans="1:21" s="34" customFormat="1" ht="15">
      <c r="A35" s="36" t="str">
        <f>'27'!$B$2</f>
        <v>27-05-2024 01:00</v>
      </c>
      <c r="B35" s="33">
        <f>'27'!B36</f>
        <v>2.4233333333333338</v>
      </c>
      <c r="C35" s="33">
        <f>'27'!C36</f>
        <v>2.628333333333333</v>
      </c>
      <c r="D35" s="33">
        <f>'27'!D36</f>
        <v>3.1983333333333328</v>
      </c>
      <c r="E35" s="33">
        <f>'27'!E36</f>
        <v>1.8533333333333328</v>
      </c>
      <c r="F35" s="33">
        <f>'27'!F36</f>
        <v>8.211666666666666</v>
      </c>
      <c r="G35" s="33">
        <f>'27'!G36</f>
        <v>69.522500000000008</v>
      </c>
      <c r="H35" s="33">
        <f>'27'!H36</f>
        <v>28.166249999999994</v>
      </c>
      <c r="I35" s="33">
        <f>'27'!I36</f>
        <v>7.2574999999999994</v>
      </c>
      <c r="J35" s="33">
        <f>'27'!J36</f>
        <v>0.81833333333333336</v>
      </c>
      <c r="K35" s="33">
        <f>'27'!K36</f>
        <v>280.73416666666662</v>
      </c>
      <c r="L35" s="33">
        <f>'27'!L36</f>
        <v>33.847500000000004</v>
      </c>
      <c r="M35" s="33">
        <f>'27'!M36</f>
        <v>40.899583333333332</v>
      </c>
      <c r="N35" s="33">
        <f>'27'!N36</f>
        <v>253.83749999999998</v>
      </c>
      <c r="O35" s="33">
        <f>'27'!O36</f>
        <v>0</v>
      </c>
      <c r="P35" s="30">
        <f>'27'!P36</f>
        <v>0.76374999999999993</v>
      </c>
      <c r="Q35" s="33">
        <f>'27'!Q36</f>
        <v>9.5799999999999983</v>
      </c>
      <c r="R35" s="47"/>
      <c r="S35" s="47"/>
      <c r="T35" s="47"/>
      <c r="U35" s="47"/>
    </row>
    <row r="36" spans="1:21" s="34" customFormat="1" ht="15">
      <c r="A36" s="36" t="str">
        <f>'28'!$B$2</f>
        <v>28-05-2024 01:00</v>
      </c>
      <c r="B36" s="33">
        <f>'28'!B36</f>
        <v>2.5720833333333331</v>
      </c>
      <c r="C36" s="33">
        <f>'28'!C36</f>
        <v>1.6074999999999999</v>
      </c>
      <c r="D36" s="33">
        <f>'28'!D36</f>
        <v>4.0429166666666667</v>
      </c>
      <c r="E36" s="33">
        <f>'28'!E36</f>
        <v>1.6979166666666667</v>
      </c>
      <c r="F36" s="33">
        <f>'28'!F36</f>
        <v>8.1329166666666648</v>
      </c>
      <c r="G36" s="33">
        <f>'28'!G36</f>
        <v>59.425000000000018</v>
      </c>
      <c r="H36" s="33">
        <f>'28'!H36</f>
        <v>25.326249999999998</v>
      </c>
      <c r="I36" s="33">
        <f>'28'!I36</f>
        <v>5.1962500000000018</v>
      </c>
      <c r="J36" s="33">
        <f>'28'!J36</f>
        <v>0.68333333333333346</v>
      </c>
      <c r="K36" s="33">
        <f>'28'!K36</f>
        <v>293.06416666666672</v>
      </c>
      <c r="L36" s="33">
        <f>'28'!L36</f>
        <v>36.946249999999992</v>
      </c>
      <c r="M36" s="33">
        <f>'28'!M36</f>
        <v>34.157916666666658</v>
      </c>
      <c r="N36" s="33">
        <f>'28'!N36</f>
        <v>271.94999999999999</v>
      </c>
      <c r="O36" s="33">
        <f>'28'!O36</f>
        <v>0</v>
      </c>
      <c r="P36" s="30">
        <f>'28'!P36</f>
        <v>0.55458333333333343</v>
      </c>
      <c r="Q36" s="33">
        <f>'28'!Q36</f>
        <v>9.4054166666666656</v>
      </c>
      <c r="R36" s="47"/>
      <c r="S36" s="47"/>
      <c r="T36" s="47"/>
      <c r="U36" s="47"/>
    </row>
    <row r="37" spans="1:21" s="34" customFormat="1" ht="15">
      <c r="A37" s="36" t="str">
        <f>'29'!$B$2</f>
        <v>29-05-2024 01:00</v>
      </c>
      <c r="B37" s="33">
        <f>'29'!B36</f>
        <v>2.5008333333333339</v>
      </c>
      <c r="C37" s="33">
        <f>'29'!C36</f>
        <v>1.1849999999999998</v>
      </c>
      <c r="D37" s="33">
        <f>'29'!D36</f>
        <v>3.7695833333333337</v>
      </c>
      <c r="E37" s="33">
        <f>'29'!E36</f>
        <v>1.3650000000000002</v>
      </c>
      <c r="F37" s="33">
        <f>'29'!F36</f>
        <v>6.6816666666666684</v>
      </c>
      <c r="G37" s="33">
        <f>'29'!G36</f>
        <v>59.392916666666672</v>
      </c>
      <c r="H37" s="33">
        <f>'29'!H36</f>
        <v>23.714583333333334</v>
      </c>
      <c r="I37" s="33">
        <f>'29'!I36</f>
        <v>4.8525</v>
      </c>
      <c r="J37" s="33">
        <f>'29'!J36</f>
        <v>0.64583333333333337</v>
      </c>
      <c r="K37" s="33">
        <f>'29'!K36</f>
        <v>261.95791666666662</v>
      </c>
      <c r="L37" s="33">
        <f>'29'!L36</f>
        <v>37.927083333333329</v>
      </c>
      <c r="M37" s="33">
        <f>'29'!M36</f>
        <v>35.473750000000003</v>
      </c>
      <c r="N37" s="33">
        <f>'29'!N36</f>
        <v>222.95416666666665</v>
      </c>
      <c r="O37" s="33">
        <f>'29'!O36</f>
        <v>0</v>
      </c>
      <c r="P37" s="33">
        <f>'29'!P36</f>
        <v>0.47458333333333336</v>
      </c>
      <c r="Q37" s="33">
        <f>'29'!Q36</f>
        <v>9.3262499999999999</v>
      </c>
      <c r="R37" s="47"/>
      <c r="S37" s="47"/>
      <c r="T37" s="47"/>
      <c r="U37" s="47"/>
    </row>
    <row r="38" spans="1:21" s="34" customFormat="1" ht="15">
      <c r="A38" s="36" t="str">
        <f>'30'!$B$2</f>
        <v>30-05-2024 01:00</v>
      </c>
      <c r="B38" s="33">
        <f>'30'!B36</f>
        <v>3.5574999999999997</v>
      </c>
      <c r="C38" s="33">
        <f>'30'!C36</f>
        <v>6.0387500000000003</v>
      </c>
      <c r="D38" s="33">
        <f>'30'!D36</f>
        <v>7.1116666666666681</v>
      </c>
      <c r="E38" s="33">
        <f>'30'!E36</f>
        <v>2.1437500000000003</v>
      </c>
      <c r="F38" s="33">
        <f>'30'!F36</f>
        <v>6.2808333333333337</v>
      </c>
      <c r="G38" s="33">
        <f>'30'!G36</f>
        <v>68.07416666666667</v>
      </c>
      <c r="H38" s="33">
        <f>'30'!H36</f>
        <v>26.469999999999995</v>
      </c>
      <c r="I38" s="33">
        <f>'30'!I36</f>
        <v>6.9283333333333337</v>
      </c>
      <c r="J38" s="33">
        <f>'30'!J36</f>
        <v>0.90083333333333326</v>
      </c>
      <c r="K38" s="33">
        <f>'30'!K36</f>
        <v>298.05958333333325</v>
      </c>
      <c r="L38" s="33">
        <f>'30'!L36</f>
        <v>39.188749999999992</v>
      </c>
      <c r="M38" s="33">
        <f>'30'!M36</f>
        <v>30.813749999999988</v>
      </c>
      <c r="N38" s="33">
        <f>'30'!N36</f>
        <v>273.06249999999994</v>
      </c>
      <c r="O38" s="33">
        <f>'30'!O36</f>
        <v>0</v>
      </c>
      <c r="P38" s="33">
        <f>'30'!P36</f>
        <v>0.65500000000000014</v>
      </c>
      <c r="Q38" s="33">
        <f>'30'!Q36</f>
        <v>9.5250000000000004</v>
      </c>
      <c r="R38" s="47"/>
      <c r="S38" s="47"/>
      <c r="T38" s="47"/>
      <c r="U38" s="47"/>
    </row>
    <row r="39" spans="1:21" s="34" customFormat="1" ht="15">
      <c r="A39" s="36" t="str">
        <f>'31'!$B$2</f>
        <v>31-05-2024 01:00</v>
      </c>
      <c r="B39" s="33">
        <f>'31'!B37</f>
        <v>2.550226723367889</v>
      </c>
      <c r="C39" s="33">
        <f>'31'!C37</f>
        <v>1.195858493397898</v>
      </c>
      <c r="D39" s="33">
        <f>'31'!D37</f>
        <v>2.2477537902201918</v>
      </c>
      <c r="E39" s="33">
        <f>'31'!E37</f>
        <v>0.52913776595733319</v>
      </c>
      <c r="F39" s="33">
        <f>'31'!F37</f>
        <v>2.8938445417617129</v>
      </c>
      <c r="G39" s="33">
        <f>'31'!G37</f>
        <v>13.43296350454712</v>
      </c>
      <c r="H39" s="33">
        <f>'31'!H37</f>
        <v>3.3063441159448743</v>
      </c>
      <c r="I39" s="33">
        <f>'31'!I37</f>
        <v>2.5338745250496628</v>
      </c>
      <c r="J39" s="33">
        <f>'31'!J37</f>
        <v>0.56040341964840246</v>
      </c>
      <c r="K39" s="33">
        <f>'31'!K37</f>
        <v>26.654561550497913</v>
      </c>
      <c r="L39" s="33">
        <f>'31'!L37</f>
        <v>5.1256857441542918</v>
      </c>
      <c r="M39" s="33">
        <f>'31'!M37</f>
        <v>12.712426876936172</v>
      </c>
      <c r="N39" s="33">
        <f>'31'!N37</f>
        <v>329.79434893669685</v>
      </c>
      <c r="O39" s="33">
        <f>'31'!O37</f>
        <v>0</v>
      </c>
      <c r="P39" s="33">
        <f>'31'!P37</f>
        <v>0.25468935326524034</v>
      </c>
      <c r="Q39" s="33">
        <f>'31'!Q37</f>
        <v>0.2721249579763636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0.11500000000000006</v>
      </c>
      <c r="C41" s="15">
        <f t="shared" si="0"/>
        <v>1.1849999999999998</v>
      </c>
      <c r="D41" s="15">
        <f t="shared" si="0"/>
        <v>1.7137500000000001</v>
      </c>
      <c r="E41" s="15">
        <f t="shared" si="0"/>
        <v>1.3462500000000002</v>
      </c>
      <c r="F41" s="15">
        <f t="shared" si="0"/>
        <v>4.1891666666666669</v>
      </c>
      <c r="G41" s="15">
        <f t="shared" si="0"/>
        <v>25.098333333333329</v>
      </c>
      <c r="H41" s="15">
        <f t="shared" si="0"/>
        <v>8.1195833333333347</v>
      </c>
      <c r="I41" s="15">
        <f t="shared" si="0"/>
        <v>3.7983333333333325</v>
      </c>
      <c r="J41" s="15">
        <f t="shared" si="0"/>
        <v>0.35583333333333328</v>
      </c>
      <c r="K41" s="15">
        <f t="shared" si="0"/>
        <v>210.7558333333333</v>
      </c>
      <c r="L41" s="15">
        <f t="shared" si="0"/>
        <v>25.990000000000006</v>
      </c>
      <c r="M41" s="15">
        <f t="shared" si="0"/>
        <v>20.780416666666671</v>
      </c>
      <c r="N41" s="15">
        <f t="shared" si="0"/>
        <v>156.04583333333332</v>
      </c>
      <c r="O41" s="15">
        <f t="shared" si="0"/>
        <v>0</v>
      </c>
      <c r="P41" s="15">
        <f t="shared" si="0"/>
        <v>0.22264833843686235</v>
      </c>
      <c r="Q41" s="15">
        <f t="shared" si="0"/>
        <v>9.2804166666666656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36.87166666666667</v>
      </c>
      <c r="C42" s="15">
        <f t="shared" si="1"/>
        <v>49.616250000000001</v>
      </c>
      <c r="D42" s="15">
        <f t="shared" si="1"/>
        <v>52.316250000000018</v>
      </c>
      <c r="E42" s="15">
        <f t="shared" si="1"/>
        <v>2.5387499999999998</v>
      </c>
      <c r="F42" s="15">
        <f t="shared" si="1"/>
        <v>14.38083333333333</v>
      </c>
      <c r="G42" s="15">
        <f t="shared" si="1"/>
        <v>113.08541666666666</v>
      </c>
      <c r="H42" s="15">
        <f t="shared" si="1"/>
        <v>49.019999999999996</v>
      </c>
      <c r="I42" s="15">
        <f t="shared" si="1"/>
        <v>10.117916666666664</v>
      </c>
      <c r="J42" s="15">
        <f t="shared" si="1"/>
        <v>1.3654166666666665</v>
      </c>
      <c r="K42" s="15">
        <f t="shared" si="1"/>
        <v>339.59208333333333</v>
      </c>
      <c r="L42" s="15">
        <f t="shared" si="1"/>
        <v>39.188749999999992</v>
      </c>
      <c r="M42" s="15">
        <f t="shared" si="1"/>
        <v>70.304583333333355</v>
      </c>
      <c r="N42" s="15">
        <f t="shared" si="1"/>
        <v>332.00997886937159</v>
      </c>
      <c r="O42" s="15">
        <f t="shared" si="1"/>
        <v>24</v>
      </c>
      <c r="P42" s="15">
        <f t="shared" si="1"/>
        <v>1.1558333333333335</v>
      </c>
      <c r="Q42" s="15">
        <f t="shared" si="1"/>
        <v>10.351666666666667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5.7273134057971022</v>
      </c>
      <c r="C43" s="15">
        <f t="shared" si="2"/>
        <v>14.34131763285024</v>
      </c>
      <c r="D43" s="15">
        <f t="shared" si="2"/>
        <v>12.482532608695653</v>
      </c>
      <c r="E43" s="15">
        <f t="shared" si="2"/>
        <v>1.8430471563460695</v>
      </c>
      <c r="F43" s="15">
        <f t="shared" si="2"/>
        <v>6.7211431159420298</v>
      </c>
      <c r="G43" s="15">
        <f t="shared" si="2"/>
        <v>56.430022009110054</v>
      </c>
      <c r="H43" s="15">
        <f t="shared" si="2"/>
        <v>21.949398583662717</v>
      </c>
      <c r="I43" s="15">
        <f t="shared" si="2"/>
        <v>6.3079142512077295</v>
      </c>
      <c r="J43" s="15">
        <f t="shared" si="2"/>
        <v>0.77413405797101442</v>
      </c>
      <c r="K43" s="15">
        <f t="shared" si="2"/>
        <v>284.28223550724641</v>
      </c>
      <c r="L43" s="15">
        <f t="shared" si="2"/>
        <v>31.282733695652173</v>
      </c>
      <c r="M43" s="15">
        <f t="shared" si="2"/>
        <v>46.145977053140108</v>
      </c>
      <c r="N43" s="15">
        <f t="shared" si="2"/>
        <v>272.76126064226941</v>
      </c>
      <c r="O43" s="15">
        <f t="shared" si="2"/>
        <v>0.80944444444444441</v>
      </c>
      <c r="P43" s="15">
        <f t="shared" si="2"/>
        <v>0.57945782107264299</v>
      </c>
      <c r="Q43" s="15">
        <f t="shared" si="2"/>
        <v>9.5990978260869575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7.7320588703729376</v>
      </c>
      <c r="C44" s="15">
        <f t="shared" si="3"/>
        <v>15.005167102584601</v>
      </c>
      <c r="D44" s="15">
        <f t="shared" si="3"/>
        <v>13.05566598008909</v>
      </c>
      <c r="E44" s="15">
        <f t="shared" si="3"/>
        <v>0.30521121302414894</v>
      </c>
      <c r="F44" s="15">
        <f t="shared" si="3"/>
        <v>2.0364890865208354</v>
      </c>
      <c r="G44" s="15">
        <f t="shared" si="3"/>
        <v>21.283949479355655</v>
      </c>
      <c r="H44" s="15">
        <f t="shared" si="3"/>
        <v>10.189978417167145</v>
      </c>
      <c r="I44" s="15">
        <f t="shared" si="3"/>
        <v>1.6139608269150718</v>
      </c>
      <c r="J44" s="15">
        <f t="shared" si="3"/>
        <v>0.23797646044563103</v>
      </c>
      <c r="K44" s="15">
        <f t="shared" si="3"/>
        <v>33.20443584710447</v>
      </c>
      <c r="L44" s="15">
        <f t="shared" si="3"/>
        <v>3.0015714736773891</v>
      </c>
      <c r="M44" s="15">
        <f t="shared" si="3"/>
        <v>12.948592875836155</v>
      </c>
      <c r="N44" s="15">
        <f t="shared" si="3"/>
        <v>36.798682427885822</v>
      </c>
      <c r="O44" s="15">
        <f t="shared" si="3"/>
        <v>4.3801705807799909</v>
      </c>
      <c r="P44" s="15">
        <f t="shared" si="3"/>
        <v>0.20324928121010113</v>
      </c>
      <c r="Q44" s="15">
        <f t="shared" si="3"/>
        <v>0.30920511043777349</v>
      </c>
      <c r="R44" s="28"/>
      <c r="S44" s="28"/>
      <c r="T44" s="28"/>
      <c r="U44" s="28"/>
    </row>
    <row r="45" spans="1:21" s="21" customFormat="1" ht="15">
      <c r="A45" s="14" t="s">
        <v>33</v>
      </c>
      <c r="B45" s="12">
        <f>COUNT(B9:B39)</f>
        <v>31</v>
      </c>
      <c r="C45" s="12">
        <f t="shared" si="4" ref="C45:Q45">COUNT(C9:C39)</f>
        <v>31</v>
      </c>
      <c r="D45" s="12">
        <f t="shared" si="4"/>
        <v>31</v>
      </c>
      <c r="E45" s="12">
        <f t="shared" si="4"/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2024-07-18T21:44:01Z</dcterms:modified>
  <cp:category/>
</cp:coreProperties>
</file>