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2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I110" i="41"/>
  <c r="I110" i="40"/>
  <c r="G110" i="33"/>
  <c r="H110" i="33"/>
  <c r="I110" i="33"/>
  <c r="I112" i="33" s="1"/>
  <c r="J110" i="33"/>
  <c r="J112" i="33"/>
  <c r="I110" i="32"/>
  <c r="C110" i="32"/>
  <c r="C111" i="32" s="1"/>
  <c r="Q110" i="31"/>
  <c r="G110" i="31"/>
  <c r="H110" i="31"/>
  <c r="H112" i="31" s="1"/>
  <c r="I110" i="31"/>
  <c r="C110" i="31"/>
  <c r="C112" i="31" s="1"/>
  <c r="I110" i="30"/>
  <c r="J110" i="29"/>
  <c r="H110" i="29"/>
  <c r="H112" i="29" s="1"/>
  <c r="G110" i="29"/>
  <c r="G112" i="29"/>
  <c r="C110" i="29"/>
  <c r="D110" i="29"/>
  <c r="E110" i="29"/>
  <c r="B110" i="29"/>
  <c r="B112" i="29"/>
  <c r="J110" i="28"/>
  <c r="J112" i="28" s="1"/>
  <c r="I110" i="27"/>
  <c r="C110" i="26"/>
  <c r="D110" i="26"/>
  <c r="E110" i="26"/>
  <c r="F110" i="26"/>
  <c r="G110" i="26"/>
  <c r="H110" i="26"/>
  <c r="I110" i="26"/>
  <c r="I112" i="26"/>
  <c r="J110" i="26"/>
  <c r="J111" i="26" s="1"/>
  <c r="K110" i="26"/>
  <c r="L110" i="26"/>
  <c r="M110" i="26"/>
  <c r="N110" i="26"/>
  <c r="O110" i="26"/>
  <c r="P110" i="26"/>
  <c r="Q110" i="26"/>
  <c r="B110" i="26"/>
  <c r="B112" i="26" s="1"/>
  <c r="C110" i="25"/>
  <c r="C111" i="25"/>
  <c r="D110" i="25"/>
  <c r="E110" i="25"/>
  <c r="F110" i="25"/>
  <c r="G110" i="25"/>
  <c r="G111" i="25" s="1"/>
  <c r="H110" i="25"/>
  <c r="I110" i="25"/>
  <c r="J110" i="25"/>
  <c r="K110" i="25"/>
  <c r="L110" i="25"/>
  <c r="M110" i="25"/>
  <c r="N110" i="25"/>
  <c r="O110" i="25"/>
  <c r="O111" i="25" s="1"/>
  <c r="P110" i="25"/>
  <c r="P111" i="25"/>
  <c r="Q110" i="25"/>
  <c r="B110" i="25"/>
  <c r="B112" i="25"/>
  <c r="H110" i="23"/>
  <c r="H112" i="23" s="1"/>
  <c r="G110" i="23"/>
  <c r="G111" i="23" s="1"/>
  <c r="H110" i="22"/>
  <c r="H112" i="22"/>
  <c r="G110" i="22"/>
  <c r="G111" i="22"/>
  <c r="Q110" i="20"/>
  <c r="Q111" i="20" s="1"/>
  <c r="K110" i="20"/>
  <c r="L110" i="20"/>
  <c r="M110" i="20"/>
  <c r="N110" i="20"/>
  <c r="O110" i="20"/>
  <c r="P110" i="20"/>
  <c r="J110" i="20"/>
  <c r="J111" i="20" s="1"/>
  <c r="I110" i="20"/>
  <c r="I111" i="20" s="1"/>
  <c r="H110" i="20"/>
  <c r="G110" i="20"/>
  <c r="F110" i="20"/>
  <c r="F112" i="20"/>
  <c r="E110" i="20"/>
  <c r="E112" i="20" s="1"/>
  <c r="C110" i="20"/>
  <c r="D110" i="20"/>
  <c r="B110" i="20"/>
  <c r="B112" i="20" s="1"/>
  <c r="Q110" i="19"/>
  <c r="Q111" i="19"/>
  <c r="J110" i="18"/>
  <c r="J111" i="18" s="1"/>
  <c r="I110" i="18"/>
  <c r="I112" i="18" s="1"/>
  <c r="H110" i="18"/>
  <c r="G110" i="18"/>
  <c r="G112" i="18" s="1"/>
  <c r="E110" i="18"/>
  <c r="E112" i="18"/>
  <c r="C110" i="18"/>
  <c r="D110" i="18"/>
  <c r="B110" i="18"/>
  <c r="B111" i="18"/>
  <c r="Q110" i="17"/>
  <c r="Q111" i="17" s="1"/>
  <c r="D110" i="17"/>
  <c r="C110" i="17"/>
  <c r="C111" i="17" s="1"/>
  <c r="Q110" i="16"/>
  <c r="Q110" i="15"/>
  <c r="Q110" i="14"/>
  <c r="Q111" i="14"/>
  <c r="I110" i="14"/>
  <c r="I110" i="13"/>
  <c r="F110" i="12"/>
  <c r="G110" i="12"/>
  <c r="H110" i="12"/>
  <c r="I110" i="12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B110" i="11"/>
  <c r="B111" i="11"/>
  <c r="C110" i="8"/>
  <c r="D110" i="8"/>
  <c r="E110" i="8"/>
  <c r="F110" i="8"/>
  <c r="F111" i="8" s="1"/>
  <c r="G110" i="8"/>
  <c r="G111" i="8" s="1"/>
  <c r="H110" i="8"/>
  <c r="I110" i="8"/>
  <c r="I111" i="8" s="1"/>
  <c r="J110" i="8"/>
  <c r="K110" i="8"/>
  <c r="L110" i="8"/>
  <c r="M110" i="8"/>
  <c r="N110" i="8"/>
  <c r="O110" i="8"/>
  <c r="P110" i="8"/>
  <c r="Q110" i="8"/>
  <c r="B110" i="8"/>
  <c r="B111" i="8"/>
  <c r="P110" i="3"/>
  <c r="P112" i="3" s="1"/>
  <c r="I110" i="3"/>
  <c r="I112" i="3"/>
  <c r="H110" i="3"/>
  <c r="H112" i="3" s="1"/>
  <c r="G110" i="3"/>
  <c r="G111" i="3" s="1"/>
  <c r="C110" i="3"/>
  <c r="D110" i="3"/>
  <c r="D111" i="3" s="1"/>
  <c r="E110" i="3"/>
  <c r="E111" i="3" s="1"/>
  <c r="B110" i="3"/>
  <c r="I110" i="2"/>
  <c r="I111" i="2"/>
  <c r="H110" i="2"/>
  <c r="H112" i="2" s="1"/>
  <c r="G110" i="2"/>
  <c r="G111" i="2" s="1"/>
  <c r="Q110" i="44"/>
  <c r="Q112" i="44" s="1"/>
  <c r="P110" i="44"/>
  <c r="P112" i="44" s="1"/>
  <c r="O110" i="44"/>
  <c r="O112" i="44" s="1"/>
  <c r="N110" i="44"/>
  <c r="N112" i="44" s="1"/>
  <c r="M110" i="44"/>
  <c r="M112" i="44"/>
  <c r="L110" i="44"/>
  <c r="L112" i="44"/>
  <c r="K110" i="44"/>
  <c r="K112" i="44" s="1"/>
  <c r="J110" i="44"/>
  <c r="J112" i="44" s="1"/>
  <c r="I112" i="44"/>
  <c r="H110" i="44"/>
  <c r="H112" i="44"/>
  <c r="G110" i="44"/>
  <c r="G112" i="44" s="1"/>
  <c r="F110" i="44"/>
  <c r="F112" i="44" s="1"/>
  <c r="E110" i="44"/>
  <c r="E112" i="44" s="1"/>
  <c r="D110" i="44"/>
  <c r="D112" i="44"/>
  <c r="C110" i="44"/>
  <c r="C112" i="44" s="1"/>
  <c r="B110" i="44"/>
  <c r="B112" i="44"/>
  <c r="Q109" i="44"/>
  <c r="Q39" i="39" s="1"/>
  <c r="P109" i="44"/>
  <c r="P39" i="39"/>
  <c r="O109" i="44"/>
  <c r="O39" i="39" s="1"/>
  <c r="N109" i="44"/>
  <c r="N39" i="39" s="1"/>
  <c r="M109" i="44"/>
  <c r="M39" i="39" s="1"/>
  <c r="L109" i="44"/>
  <c r="L39" i="39" s="1"/>
  <c r="K109" i="44"/>
  <c r="K39" i="39" s="1"/>
  <c r="J109" i="44"/>
  <c r="J39" i="39"/>
  <c r="I109" i="44"/>
  <c r="I39" i="39" s="1"/>
  <c r="H109" i="44"/>
  <c r="H39" i="39"/>
  <c r="G109" i="44"/>
  <c r="G39" i="39" s="1"/>
  <c r="F109" i="44"/>
  <c r="F39" i="39" s="1"/>
  <c r="E109" i="44"/>
  <c r="E39" i="39" s="1"/>
  <c r="D109" i="44"/>
  <c r="D39" i="39" s="1"/>
  <c r="C109" i="44"/>
  <c r="C39" i="39" s="1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/>
  <c r="B39" i="39"/>
  <c r="I111" i="41"/>
  <c r="J110" i="41"/>
  <c r="J112" i="41" s="1"/>
  <c r="H110" i="41"/>
  <c r="H112" i="41"/>
  <c r="J110" i="40"/>
  <c r="J111" i="40"/>
  <c r="H110" i="40"/>
  <c r="H111" i="40"/>
  <c r="I111" i="40"/>
  <c r="G112" i="33"/>
  <c r="H112" i="33"/>
  <c r="J110" i="32"/>
  <c r="J111" i="32"/>
  <c r="I112" i="32"/>
  <c r="H110" i="32"/>
  <c r="H111" i="32"/>
  <c r="I111" i="31"/>
  <c r="J110" i="31"/>
  <c r="J111" i="31" s="1"/>
  <c r="G112" i="31"/>
  <c r="J110" i="30"/>
  <c r="J112" i="30"/>
  <c r="I112" i="30"/>
  <c r="H110" i="30"/>
  <c r="H112" i="30" s="1"/>
  <c r="J112" i="29"/>
  <c r="I110" i="29"/>
  <c r="I112" i="29"/>
  <c r="I110" i="28"/>
  <c r="I112" i="28"/>
  <c r="H110" i="28"/>
  <c r="H111" i="28"/>
  <c r="I112" i="27"/>
  <c r="C110" i="27"/>
  <c r="C111" i="27" s="1"/>
  <c r="D110" i="27"/>
  <c r="D111" i="27" s="1"/>
  <c r="E110" i="27"/>
  <c r="F110" i="27"/>
  <c r="F112" i="27"/>
  <c r="G110" i="27"/>
  <c r="G111" i="27"/>
  <c r="H110" i="27"/>
  <c r="J110" i="27"/>
  <c r="K110" i="27"/>
  <c r="L110" i="27"/>
  <c r="M110" i="27"/>
  <c r="M112" i="27"/>
  <c r="N110" i="27"/>
  <c r="N112" i="27" s="1"/>
  <c r="O110" i="27"/>
  <c r="P110" i="27"/>
  <c r="Q110" i="27"/>
  <c r="Q111" i="26"/>
  <c r="H111" i="26"/>
  <c r="G112" i="26"/>
  <c r="F112" i="26"/>
  <c r="E112" i="26"/>
  <c r="C112" i="26"/>
  <c r="Q112" i="25"/>
  <c r="N111" i="25"/>
  <c r="M112" i="25"/>
  <c r="L112" i="25"/>
  <c r="K111" i="25"/>
  <c r="J112" i="25"/>
  <c r="I112" i="25"/>
  <c r="H111" i="25"/>
  <c r="F112" i="25"/>
  <c r="E111" i="25"/>
  <c r="D112" i="25"/>
  <c r="J110" i="24"/>
  <c r="J111" i="24" s="1"/>
  <c r="I110" i="24"/>
  <c r="I112" i="24"/>
  <c r="H110" i="24"/>
  <c r="H111" i="24"/>
  <c r="J110" i="23"/>
  <c r="J112" i="23"/>
  <c r="I110" i="23"/>
  <c r="I111" i="23" s="1"/>
  <c r="J110" i="22"/>
  <c r="J112" i="22" s="1"/>
  <c r="I110" i="22"/>
  <c r="I112" i="22"/>
  <c r="J110" i="21"/>
  <c r="J111" i="21" s="1"/>
  <c r="I110" i="21"/>
  <c r="I111" i="21" s="1"/>
  <c r="H110" i="21"/>
  <c r="H111" i="21"/>
  <c r="H112" i="20"/>
  <c r="J110" i="19"/>
  <c r="J111" i="19" s="1"/>
  <c r="I110" i="19"/>
  <c r="I111" i="19" s="1"/>
  <c r="H110" i="19"/>
  <c r="H112" i="19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2" i="16" s="1"/>
  <c r="H110" i="15"/>
  <c r="H111" i="15" s="1"/>
  <c r="I110" i="15"/>
  <c r="I112" i="15" s="1"/>
  <c r="J110" i="15"/>
  <c r="J112" i="15" s="1"/>
  <c r="Q111" i="15"/>
  <c r="J110" i="14"/>
  <c r="J111" i="14" s="1"/>
  <c r="I111" i="14"/>
  <c r="H110" i="14"/>
  <c r="H111" i="14" s="1"/>
  <c r="D112" i="11"/>
  <c r="C112" i="11"/>
  <c r="J110" i="13"/>
  <c r="J112" i="13" s="1"/>
  <c r="H110" i="13"/>
  <c r="H112" i="13" s="1"/>
  <c r="I111" i="13"/>
  <c r="F111" i="12"/>
  <c r="J110" i="12"/>
  <c r="J111" i="12" s="1"/>
  <c r="H111" i="12"/>
  <c r="I111" i="12"/>
  <c r="J111" i="11"/>
  <c r="I111" i="11"/>
  <c r="H111" i="11"/>
  <c r="G112" i="11"/>
  <c r="J110" i="10"/>
  <c r="J112" i="10" s="1"/>
  <c r="I110" i="10"/>
  <c r="I112" i="10" s="1"/>
  <c r="H110" i="10"/>
  <c r="H112" i="10" s="1"/>
  <c r="J110" i="9"/>
  <c r="J111" i="9" s="1"/>
  <c r="I110" i="9"/>
  <c r="I111" i="9" s="1"/>
  <c r="H110" i="9"/>
  <c r="H111" i="9" s="1"/>
  <c r="Q111" i="8"/>
  <c r="J111" i="8"/>
  <c r="H111" i="8"/>
  <c r="P112" i="8"/>
  <c r="O112" i="8"/>
  <c r="N112" i="8"/>
  <c r="L112" i="8"/>
  <c r="K111" i="8"/>
  <c r="B2" i="23"/>
  <c r="C110" i="2"/>
  <c r="C111" i="2"/>
  <c r="D110" i="2"/>
  <c r="E110" i="2"/>
  <c r="E111" i="2" s="1"/>
  <c r="F110" i="2"/>
  <c r="F112" i="2" s="1"/>
  <c r="J110" i="2"/>
  <c r="K110" i="2"/>
  <c r="K111" i="2"/>
  <c r="L110" i="2"/>
  <c r="L112" i="2"/>
  <c r="M110" i="2"/>
  <c r="M112" i="2"/>
  <c r="N110" i="2"/>
  <c r="N112" i="2"/>
  <c r="O110" i="2"/>
  <c r="P110" i="2"/>
  <c r="P112" i="2" s="1"/>
  <c r="Q110" i="2"/>
  <c r="C111" i="3"/>
  <c r="F110" i="3"/>
  <c r="F111" i="3" s="1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O112" i="3" s="1"/>
  <c r="Q110" i="3"/>
  <c r="Q110" i="41"/>
  <c r="Q111" i="41"/>
  <c r="P110" i="41"/>
  <c r="P112" i="41"/>
  <c r="O110" i="41"/>
  <c r="O112" i="41"/>
  <c r="N110" i="41"/>
  <c r="N112" i="41"/>
  <c r="M110" i="41"/>
  <c r="M112" i="41"/>
  <c r="L110" i="41"/>
  <c r="L112" i="41"/>
  <c r="K110" i="41"/>
  <c r="K112" i="41"/>
  <c r="G110" i="41"/>
  <c r="G112" i="41"/>
  <c r="F110" i="41"/>
  <c r="F112" i="41"/>
  <c r="E110" i="41"/>
  <c r="E112" i="4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E38" i="39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/>
  <c r="P110" i="40"/>
  <c r="P112" i="40"/>
  <c r="O110" i="40"/>
  <c r="O112" i="40"/>
  <c r="N110" i="40"/>
  <c r="N112" i="40"/>
  <c r="M110" i="40"/>
  <c r="M112" i="40"/>
  <c r="L110" i="40"/>
  <c r="L112" i="40" s="1"/>
  <c r="K110" i="40"/>
  <c r="K112" i="40"/>
  <c r="G110" i="40"/>
  <c r="G112" i="40"/>
  <c r="F110" i="40"/>
  <c r="F112" i="40"/>
  <c r="E110" i="40"/>
  <c r="E112" i="40"/>
  <c r="D110" i="40"/>
  <c r="D112" i="40"/>
  <c r="C110" i="40"/>
  <c r="C112" i="40"/>
  <c r="B110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/>
  <c r="O108" i="40"/>
  <c r="N108" i="40"/>
  <c r="M108" i="40"/>
  <c r="L108" i="40"/>
  <c r="K108" i="40"/>
  <c r="J108" i="40"/>
  <c r="I108" i="40"/>
  <c r="H108" i="40"/>
  <c r="H37" i="39" s="1"/>
  <c r="G108" i="40"/>
  <c r="G37" i="39" s="1"/>
  <c r="F108" i="40"/>
  <c r="F37" i="39"/>
  <c r="E108" i="40"/>
  <c r="D108" i="40"/>
  <c r="D37" i="39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2" i="33" s="1"/>
  <c r="M110" i="33"/>
  <c r="M112" i="33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2" i="32" s="1"/>
  <c r="K110" i="32"/>
  <c r="K112" i="32"/>
  <c r="G110" i="32"/>
  <c r="G112" i="32" s="1"/>
  <c r="F110" i="32"/>
  <c r="F112" i="32" s="1"/>
  <c r="E110" i="32"/>
  <c r="E111" i="32" s="1"/>
  <c r="D110" i="32"/>
  <c r="D112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D108" i="32"/>
  <c r="C108" i="32"/>
  <c r="C35" i="39" s="1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/>
  <c r="D110" i="31"/>
  <c r="D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/>
  <c r="O110" i="30"/>
  <c r="O112" i="30" s="1"/>
  <c r="N110" i="30"/>
  <c r="N112" i="30" s="1"/>
  <c r="M110" i="30"/>
  <c r="M112" i="30"/>
  <c r="L110" i="30"/>
  <c r="L112" i="30"/>
  <c r="K110" i="30"/>
  <c r="K112" i="30"/>
  <c r="G110" i="30"/>
  <c r="G111" i="30"/>
  <c r="F110" i="30"/>
  <c r="F112" i="30"/>
  <c r="E110" i="30"/>
  <c r="E112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N33" i="39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/>
  <c r="P110" i="29"/>
  <c r="P112" i="29"/>
  <c r="O110" i="29"/>
  <c r="O112" i="29" s="1"/>
  <c r="N110" i="29"/>
  <c r="N112" i="29" s="1"/>
  <c r="M110" i="29"/>
  <c r="M112" i="29" s="1"/>
  <c r="L110" i="29"/>
  <c r="L112" i="29" s="1"/>
  <c r="K110" i="29"/>
  <c r="K112" i="29" s="1"/>
  <c r="F110" i="29"/>
  <c r="F111" i="29" s="1"/>
  <c r="E112" i="29"/>
  <c r="D112" i="29"/>
  <c r="C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/>
  <c r="O110" i="28"/>
  <c r="O112" i="28"/>
  <c r="N110" i="28"/>
  <c r="N112" i="28"/>
  <c r="M110" i="28"/>
  <c r="M112" i="28" s="1"/>
  <c r="L110" i="28"/>
  <c r="L112" i="28" s="1"/>
  <c r="K110" i="28"/>
  <c r="K112" i="28"/>
  <c r="G110" i="28"/>
  <c r="G112" i="28"/>
  <c r="F110" i="28"/>
  <c r="F112" i="28"/>
  <c r="E110" i="28"/>
  <c r="E112" i="28"/>
  <c r="D110" i="28"/>
  <c r="D112" i="28"/>
  <c r="C110" i="28"/>
  <c r="C112" i="28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/>
  <c r="J108" i="28"/>
  <c r="I108" i="28"/>
  <c r="H108" i="28"/>
  <c r="H31" i="39"/>
  <c r="G108" i="28"/>
  <c r="F108" i="28"/>
  <c r="E108" i="28"/>
  <c r="E31" i="39" s="1"/>
  <c r="D108" i="28"/>
  <c r="D31" i="39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O112" i="27"/>
  <c r="L112" i="27"/>
  <c r="K112" i="27"/>
  <c r="J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/>
  <c r="P108" i="27"/>
  <c r="O108" i="27"/>
  <c r="O30" i="39" s="1"/>
  <c r="N108" i="27"/>
  <c r="N30" i="39" s="1"/>
  <c r="M108" i="27"/>
  <c r="L108" i="27"/>
  <c r="K108" i="27"/>
  <c r="K30" i="39"/>
  <c r="J108" i="27"/>
  <c r="J30" i="39"/>
  <c r="I108" i="27"/>
  <c r="H108" i="27"/>
  <c r="H30" i="39"/>
  <c r="G108" i="27"/>
  <c r="G30" i="39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I108" i="26"/>
  <c r="H108" i="26"/>
  <c r="G108" i="26"/>
  <c r="F108" i="26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/>
  <c r="P110" i="24"/>
  <c r="P112" i="24" s="1"/>
  <c r="O110" i="24"/>
  <c r="O112" i="24" s="1"/>
  <c r="N110" i="24"/>
  <c r="N112" i="24"/>
  <c r="M110" i="24"/>
  <c r="M112" i="24"/>
  <c r="L110" i="24"/>
  <c r="L112" i="24"/>
  <c r="K110" i="24"/>
  <c r="K112" i="24" s="1"/>
  <c r="G110" i="24"/>
  <c r="G112" i="24" s="1"/>
  <c r="F110" i="24"/>
  <c r="F112" i="24"/>
  <c r="E110" i="24"/>
  <c r="E112" i="24" s="1"/>
  <c r="D110" i="24"/>
  <c r="D111" i="24" s="1"/>
  <c r="C110" i="24"/>
  <c r="C112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 s="1"/>
  <c r="M108" i="24"/>
  <c r="L108" i="24"/>
  <c r="K108" i="24"/>
  <c r="K27" i="39" s="1"/>
  <c r="J108" i="24"/>
  <c r="J27" i="39" s="1"/>
  <c r="I108" i="24"/>
  <c r="H108" i="24"/>
  <c r="G108" i="24"/>
  <c r="F108" i="24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 s="1"/>
  <c r="P110" i="23"/>
  <c r="P112" i="23" s="1"/>
  <c r="O110" i="23"/>
  <c r="O112" i="23"/>
  <c r="N110" i="23"/>
  <c r="N112" i="23"/>
  <c r="M110" i="23"/>
  <c r="M112" i="23"/>
  <c r="L110" i="23"/>
  <c r="L112" i="23" s="1"/>
  <c r="K110" i="23"/>
  <c r="K112" i="23" s="1"/>
  <c r="F110" i="23"/>
  <c r="F111" i="23"/>
  <c r="E110" i="23"/>
  <c r="E112" i="23" s="1"/>
  <c r="D110" i="23"/>
  <c r="D112" i="23" s="1"/>
  <c r="C110" i="23"/>
  <c r="C112" i="23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J108" i="23"/>
  <c r="I108" i="23"/>
  <c r="H108" i="23"/>
  <c r="G108" i="23"/>
  <c r="G26" i="39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 s="1"/>
  <c r="O110" i="22"/>
  <c r="O111" i="22" s="1"/>
  <c r="N110" i="22"/>
  <c r="N112" i="22"/>
  <c r="M110" i="22"/>
  <c r="M112" i="22"/>
  <c r="L110" i="22"/>
  <c r="L111" i="22" s="1"/>
  <c r="K110" i="22"/>
  <c r="K112" i="22" s="1"/>
  <c r="F110" i="22"/>
  <c r="F111" i="22" s="1"/>
  <c r="E110" i="22"/>
  <c r="E112" i="22"/>
  <c r="D110" i="22"/>
  <c r="D112" i="22" s="1"/>
  <c r="C110" i="22"/>
  <c r="C112" i="22" s="1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 s="1"/>
  <c r="P110" i="21"/>
  <c r="P111" i="21" s="1"/>
  <c r="O110" i="21"/>
  <c r="O112" i="21" s="1"/>
  <c r="N110" i="21"/>
  <c r="N112" i="21" s="1"/>
  <c r="M110" i="21"/>
  <c r="M112" i="21" s="1"/>
  <c r="L110" i="21"/>
  <c r="L112" i="21" s="1"/>
  <c r="K110" i="21"/>
  <c r="K112" i="21"/>
  <c r="G110" i="21"/>
  <c r="G112" i="21"/>
  <c r="F110" i="21"/>
  <c r="F112" i="21" s="1"/>
  <c r="E110" i="21"/>
  <c r="E112" i="21" s="1"/>
  <c r="D110" i="21"/>
  <c r="D111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E108" i="21"/>
  <c r="D108" i="21"/>
  <c r="D24" i="39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P111" i="20"/>
  <c r="O112" i="20"/>
  <c r="N111" i="20"/>
  <c r="M112" i="20"/>
  <c r="L112" i="20"/>
  <c r="K112" i="20"/>
  <c r="G112" i="20"/>
  <c r="D112" i="20"/>
  <c r="C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/>
  <c r="P108" i="20"/>
  <c r="O108" i="20"/>
  <c r="N108" i="20"/>
  <c r="M108" i="20"/>
  <c r="L108" i="20"/>
  <c r="K108" i="20"/>
  <c r="K23" i="39" s="1"/>
  <c r="J108" i="20"/>
  <c r="J23" i="39"/>
  <c r="I108" i="20"/>
  <c r="I23" i="39"/>
  <c r="H108" i="20"/>
  <c r="G108" i="20"/>
  <c r="F108" i="20"/>
  <c r="F23" i="39" s="1"/>
  <c r="E108" i="20"/>
  <c r="E23" i="39" s="1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/>
  <c r="O110" i="19"/>
  <c r="O112" i="19"/>
  <c r="N110" i="19"/>
  <c r="N112" i="19" s="1"/>
  <c r="M110" i="19"/>
  <c r="M111" i="19" s="1"/>
  <c r="L110" i="19"/>
  <c r="L112" i="19" s="1"/>
  <c r="K110" i="19"/>
  <c r="K111" i="19"/>
  <c r="G110" i="19"/>
  <c r="G112" i="19"/>
  <c r="F110" i="19"/>
  <c r="F112" i="19" s="1"/>
  <c r="E110" i="19"/>
  <c r="E111" i="19"/>
  <c r="D110" i="19"/>
  <c r="D112" i="19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/>
  <c r="H108" i="19"/>
  <c r="G108" i="19"/>
  <c r="F108" i="19"/>
  <c r="F22" i="39" s="1"/>
  <c r="E108" i="19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/>
  <c r="M110" i="18"/>
  <c r="M111" i="18"/>
  <c r="L110" i="18"/>
  <c r="L112" i="18" s="1"/>
  <c r="K110" i="18"/>
  <c r="K112" i="18" s="1"/>
  <c r="H112" i="18"/>
  <c r="F110" i="18"/>
  <c r="F112" i="18" s="1"/>
  <c r="D112" i="18"/>
  <c r="C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L21" i="39"/>
  <c r="K108" i="18"/>
  <c r="J108" i="18"/>
  <c r="I108" i="18"/>
  <c r="I21" i="39" s="1"/>
  <c r="H108" i="18"/>
  <c r="H21" i="39" s="1"/>
  <c r="G108" i="18"/>
  <c r="G21" i="39" s="1"/>
  <c r="F108" i="18"/>
  <c r="E108" i="18"/>
  <c r="E21" i="39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/>
  <c r="P110" i="17"/>
  <c r="P112" i="17"/>
  <c r="O110" i="17"/>
  <c r="O112" i="17" s="1"/>
  <c r="N110" i="17"/>
  <c r="N111" i="17"/>
  <c r="M110" i="17"/>
  <c r="M112" i="17"/>
  <c r="L110" i="17"/>
  <c r="L111" i="17" s="1"/>
  <c r="K110" i="17"/>
  <c r="K111" i="17" s="1"/>
  <c r="G110" i="17"/>
  <c r="G112" i="17" s="1"/>
  <c r="F110" i="17"/>
  <c r="F111" i="17"/>
  <c r="E110" i="17"/>
  <c r="E111" i="17"/>
  <c r="D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K108" i="17"/>
  <c r="K20" i="39"/>
  <c r="J108" i="17"/>
  <c r="J20" i="39"/>
  <c r="I108" i="17"/>
  <c r="I20" i="39" s="1"/>
  <c r="H108" i="17"/>
  <c r="H20" i="39"/>
  <c r="G108" i="17"/>
  <c r="G20" i="39"/>
  <c r="F108" i="17"/>
  <c r="E108" i="17"/>
  <c r="D108" i="17"/>
  <c r="C108" i="17"/>
  <c r="C20" i="39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/>
  <c r="K110" i="16"/>
  <c r="K112" i="16"/>
  <c r="G110" i="16"/>
  <c r="G112" i="16" s="1"/>
  <c r="F110" i="16"/>
  <c r="F111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 s="1"/>
  <c r="N108" i="16"/>
  <c r="M108" i="16"/>
  <c r="M19" i="39"/>
  <c r="L108" i="16"/>
  <c r="L19" i="39" s="1"/>
  <c r="K108" i="16"/>
  <c r="J108" i="16"/>
  <c r="J19" i="39" s="1"/>
  <c r="I108" i="16"/>
  <c r="I19" i="39" s="1"/>
  <c r="H108" i="16"/>
  <c r="H19" i="39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 s="1"/>
  <c r="N110" i="15"/>
  <c r="N111" i="15" s="1"/>
  <c r="M110" i="15"/>
  <c r="M112" i="15" s="1"/>
  <c r="L110" i="15"/>
  <c r="L111" i="15"/>
  <c r="K110" i="15"/>
  <c r="K112" i="15"/>
  <c r="G110" i="15"/>
  <c r="G111" i="15" s="1"/>
  <c r="F110" i="15"/>
  <c r="F112" i="15"/>
  <c r="E110" i="15"/>
  <c r="E112" i="15"/>
  <c r="D110" i="15"/>
  <c r="D112" i="15" s="1"/>
  <c r="C110" i="15"/>
  <c r="C111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 s="1"/>
  <c r="M108" i="15"/>
  <c r="L108" i="15"/>
  <c r="K108" i="15"/>
  <c r="K18" i="39"/>
  <c r="J108" i="15"/>
  <c r="I108" i="15"/>
  <c r="H108" i="15"/>
  <c r="H18" i="39" s="1"/>
  <c r="G108" i="15"/>
  <c r="F108" i="15"/>
  <c r="E108" i="15"/>
  <c r="D108" i="15"/>
  <c r="C108" i="15"/>
  <c r="C18" i="39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 s="1"/>
  <c r="N110" i="14"/>
  <c r="N112" i="14" s="1"/>
  <c r="M110" i="14"/>
  <c r="M112" i="14" s="1"/>
  <c r="L110" i="14"/>
  <c r="L112" i="14"/>
  <c r="K110" i="14"/>
  <c r="K112" i="14"/>
  <c r="G110" i="14"/>
  <c r="G112" i="14" s="1"/>
  <c r="F110" i="14"/>
  <c r="F111" i="14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I108" i="14"/>
  <c r="H108" i="14"/>
  <c r="G108" i="14"/>
  <c r="G17" i="39"/>
  <c r="F108" i="14"/>
  <c r="F17" i="39"/>
  <c r="E108" i="14"/>
  <c r="D108" i="14"/>
  <c r="D17" i="39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1" i="13" s="1"/>
  <c r="O110" i="13"/>
  <c r="O111" i="13" s="1"/>
  <c r="N110" i="13"/>
  <c r="N112" i="13"/>
  <c r="M110" i="13"/>
  <c r="M111" i="13"/>
  <c r="L110" i="13"/>
  <c r="L112" i="13" s="1"/>
  <c r="K110" i="13"/>
  <c r="K112" i="13" s="1"/>
  <c r="G110" i="13"/>
  <c r="G112" i="13" s="1"/>
  <c r="F110" i="13"/>
  <c r="F112" i="13" s="1"/>
  <c r="E110" i="13"/>
  <c r="E112" i="13" s="1"/>
  <c r="D110" i="13"/>
  <c r="D111" i="13" s="1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/>
  <c r="O110" i="12"/>
  <c r="O111" i="12"/>
  <c r="N110" i="12"/>
  <c r="N112" i="12" s="1"/>
  <c r="M110" i="12"/>
  <c r="M111" i="12" s="1"/>
  <c r="L110" i="12"/>
  <c r="L112" i="12" s="1"/>
  <c r="K110" i="12"/>
  <c r="K111" i="12"/>
  <c r="G112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L108" i="12"/>
  <c r="K108" i="12"/>
  <c r="J108" i="12"/>
  <c r="I108" i="12"/>
  <c r="I15" i="39" s="1"/>
  <c r="H108" i="12"/>
  <c r="G108" i="12"/>
  <c r="F108" i="12"/>
  <c r="E108" i="12"/>
  <c r="E15" i="39" s="1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1" i="11"/>
  <c r="P112" i="11"/>
  <c r="O112" i="11"/>
  <c r="N112" i="11"/>
  <c r="M112" i="11"/>
  <c r="L112" i="11"/>
  <c r="K112" i="11"/>
  <c r="F112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/>
  <c r="M108" i="11"/>
  <c r="M14" i="39" s="1"/>
  <c r="L108" i="11"/>
  <c r="K108" i="11"/>
  <c r="K14" i="39" s="1"/>
  <c r="J108" i="11"/>
  <c r="J14" i="39" s="1"/>
  <c r="I108" i="11"/>
  <c r="H108" i="11"/>
  <c r="G108" i="11"/>
  <c r="G14" i="39"/>
  <c r="F108" i="11"/>
  <c r="E108" i="11"/>
  <c r="D108" i="11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/>
  <c r="O110" i="10"/>
  <c r="O111" i="10" s="1"/>
  <c r="N110" i="10"/>
  <c r="N112" i="10" s="1"/>
  <c r="M110" i="10"/>
  <c r="M111" i="10"/>
  <c r="L110" i="10"/>
  <c r="L111" i="10"/>
  <c r="K110" i="10"/>
  <c r="K112" i="10" s="1"/>
  <c r="G110" i="10"/>
  <c r="G112" i="10"/>
  <c r="F110" i="10"/>
  <c r="F112" i="10"/>
  <c r="E110" i="10"/>
  <c r="E112" i="10"/>
  <c r="D110" i="10"/>
  <c r="D112" i="10" s="1"/>
  <c r="C110" i="10"/>
  <c r="C112" i="10" s="1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M108" i="10"/>
  <c r="M13" i="39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/>
  <c r="P110" i="9"/>
  <c r="P112" i="9" s="1"/>
  <c r="O110" i="9"/>
  <c r="O112" i="9" s="1"/>
  <c r="N110" i="9"/>
  <c r="N112" i="9"/>
  <c r="M110" i="9"/>
  <c r="M112" i="9"/>
  <c r="L110" i="9"/>
  <c r="L112" i="9" s="1"/>
  <c r="K110" i="9"/>
  <c r="K112" i="9" s="1"/>
  <c r="G110" i="9"/>
  <c r="G112" i="9" s="1"/>
  <c r="F110" i="9"/>
  <c r="F111" i="9"/>
  <c r="E110" i="9"/>
  <c r="E112" i="9" s="1"/>
  <c r="D110" i="9"/>
  <c r="D111" i="9" s="1"/>
  <c r="C110" i="9"/>
  <c r="C112" i="9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O12" i="3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 s="1"/>
  <c r="F108" i="9"/>
  <c r="F12" i="39" s="1"/>
  <c r="E108" i="9"/>
  <c r="E12" i="39" s="1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M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/>
  <c r="O108" i="8"/>
  <c r="O11" i="39"/>
  <c r="N108" i="8"/>
  <c r="M108" i="8"/>
  <c r="M11" i="39"/>
  <c r="L108" i="8"/>
  <c r="L11" i="39" s="1"/>
  <c r="K108" i="8"/>
  <c r="K11" i="39" s="1"/>
  <c r="J108" i="8"/>
  <c r="I108" i="8"/>
  <c r="I11" i="39" s="1"/>
  <c r="H108" i="8"/>
  <c r="H11" i="39" s="1"/>
  <c r="G108" i="8"/>
  <c r="G11" i="39"/>
  <c r="F108" i="8"/>
  <c r="F11" i="39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I27" i="39"/>
  <c r="F27" i="39"/>
  <c r="C27" i="39"/>
  <c r="N109" i="2"/>
  <c r="O109" i="2"/>
  <c r="P109" i="2"/>
  <c r="N108" i="2"/>
  <c r="N9" i="39"/>
  <c r="O108" i="2"/>
  <c r="O9" i="39" s="1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N21" i="39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/>
  <c r="D112" i="2"/>
  <c r="O112" i="2"/>
  <c r="Q112" i="2"/>
  <c r="T40" i="6"/>
  <c r="T21" i="6"/>
  <c r="K88" i="6"/>
  <c r="J88" i="6"/>
  <c r="K115" i="6"/>
  <c r="J115" i="6"/>
  <c r="I115" i="6"/>
  <c r="L12" i="39"/>
  <c r="I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J26" i="39"/>
  <c r="K26" i="39"/>
  <c r="L26" i="39"/>
  <c r="O25" i="39"/>
  <c r="N25" i="39"/>
  <c r="L25" i="39"/>
  <c r="K25" i="39"/>
  <c r="J25" i="39"/>
  <c r="H25" i="39"/>
  <c r="F25" i="39"/>
  <c r="E25" i="39"/>
  <c r="D25" i="39"/>
  <c r="C25" i="39"/>
  <c r="Q24" i="39"/>
  <c r="G24" i="39"/>
  <c r="E24" i="39"/>
  <c r="A24" i="39"/>
  <c r="M23" i="39"/>
  <c r="L23" i="39"/>
  <c r="H23" i="39"/>
  <c r="B23" i="39"/>
  <c r="Q22" i="39"/>
  <c r="N22" i="39"/>
  <c r="M22" i="39"/>
  <c r="L22" i="39"/>
  <c r="G22" i="39"/>
  <c r="C22" i="39"/>
  <c r="Q21" i="39"/>
  <c r="P21" i="39"/>
  <c r="M21" i="39"/>
  <c r="K21" i="39"/>
  <c r="J21" i="39"/>
  <c r="F21" i="39"/>
  <c r="M20" i="39"/>
  <c r="E20" i="39"/>
  <c r="A20" i="39"/>
  <c r="K19" i="39"/>
  <c r="G19" i="39"/>
  <c r="B19" i="39"/>
  <c r="M18" i="39"/>
  <c r="L18" i="39"/>
  <c r="J18" i="39"/>
  <c r="I18" i="39"/>
  <c r="G18" i="39"/>
  <c r="E18" i="39"/>
  <c r="D18" i="39"/>
  <c r="P17" i="39"/>
  <c r="M17" i="39"/>
  <c r="L17" i="39"/>
  <c r="I17" i="39"/>
  <c r="C17" i="39"/>
  <c r="A17" i="39"/>
  <c r="Q16" i="39"/>
  <c r="P16" i="39"/>
  <c r="L16" i="39"/>
  <c r="J16" i="39"/>
  <c r="I16" i="39"/>
  <c r="F16" i="39"/>
  <c r="E16" i="39"/>
  <c r="D16" i="39"/>
  <c r="C16" i="39"/>
  <c r="B16" i="39"/>
  <c r="N15" i="39"/>
  <c r="M15" i="39"/>
  <c r="L15" i="39"/>
  <c r="H15" i="39"/>
  <c r="G15" i="39"/>
  <c r="F15" i="39"/>
  <c r="C15" i="39"/>
  <c r="L14" i="39"/>
  <c r="I14" i="39"/>
  <c r="H14" i="39"/>
  <c r="F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G35" i="39"/>
  <c r="E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M27" i="39"/>
  <c r="L27" i="39"/>
  <c r="H27" i="39"/>
  <c r="G27" i="39"/>
  <c r="B27" i="39"/>
  <c r="O26" i="39"/>
  <c r="I25" i="39"/>
  <c r="P24" i="39"/>
  <c r="H24" i="39"/>
  <c r="N23" i="39"/>
  <c r="C23" i="39"/>
  <c r="O22" i="39"/>
  <c r="D22" i="39"/>
  <c r="O21" i="39"/>
  <c r="P20" i="39"/>
  <c r="F20" i="39"/>
  <c r="D20" i="39"/>
  <c r="F18" i="39"/>
  <c r="E17" i="39"/>
  <c r="M16" i="39"/>
  <c r="K16" i="39"/>
  <c r="K15" i="39"/>
  <c r="J15" i="39"/>
  <c r="Q12" i="39"/>
  <c r="B12" i="39"/>
  <c r="N11" i="39"/>
  <c r="P10" i="39"/>
  <c r="P36" i="39"/>
  <c r="E34" i="39"/>
  <c r="E26" i="39"/>
  <c r="P23" i="39"/>
  <c r="P18" i="39"/>
  <c r="Q17" i="39"/>
  <c r="P15" i="39"/>
  <c r="B2" i="2"/>
  <c r="A9" i="39" s="1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N13" i="39"/>
  <c r="D9" i="5"/>
  <c r="D24" i="5" s="1"/>
  <c r="D10" i="5"/>
  <c r="I119" i="6"/>
  <c r="J101" i="6"/>
  <c r="J81" i="6"/>
  <c r="J61" i="6"/>
  <c r="I21" i="6"/>
  <c r="D8" i="5"/>
  <c r="D20" i="5"/>
  <c r="D21" i="5"/>
  <c r="D22" i="5"/>
  <c r="D23" i="5"/>
  <c r="D11" i="5"/>
  <c r="D44" i="5" s="1"/>
  <c r="D12" i="5"/>
  <c r="D13" i="5"/>
  <c r="D14" i="5"/>
  <c r="D15" i="5"/>
  <c r="D16" i="5"/>
  <c r="D17" i="5"/>
  <c r="D18" i="5"/>
  <c r="D19" i="5"/>
  <c r="H111" i="2"/>
  <c r="H22" i="39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G111" i="32"/>
  <c r="F111" i="32"/>
  <c r="D111" i="32"/>
  <c r="O111" i="31"/>
  <c r="N111" i="31"/>
  <c r="L111" i="31"/>
  <c r="F111" i="31"/>
  <c r="E111" i="31"/>
  <c r="D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N111" i="24"/>
  <c r="M111" i="24"/>
  <c r="L111" i="24"/>
  <c r="K111" i="24"/>
  <c r="Q111" i="24"/>
  <c r="F111" i="24"/>
  <c r="E111" i="24"/>
  <c r="C111" i="24"/>
  <c r="B111" i="24"/>
  <c r="P111" i="23"/>
  <c r="N111" i="23"/>
  <c r="M111" i="23"/>
  <c r="L111" i="23"/>
  <c r="K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G111" i="21"/>
  <c r="E111" i="21"/>
  <c r="C111" i="21"/>
  <c r="B111" i="21"/>
  <c r="O111" i="20"/>
  <c r="L111" i="20"/>
  <c r="K111" i="20"/>
  <c r="G111" i="20"/>
  <c r="D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N111" i="18"/>
  <c r="L111" i="18"/>
  <c r="F111" i="18"/>
  <c r="D111" i="18"/>
  <c r="P111" i="17"/>
  <c r="O111" i="17"/>
  <c r="G111" i="17"/>
  <c r="B111" i="17"/>
  <c r="O111" i="16"/>
  <c r="N111" i="16"/>
  <c r="L111" i="16"/>
  <c r="G111" i="16"/>
  <c r="E111" i="16"/>
  <c r="D111" i="16"/>
  <c r="P111" i="15"/>
  <c r="O111" i="15"/>
  <c r="M111" i="15"/>
  <c r="K111" i="15"/>
  <c r="J111" i="15"/>
  <c r="F111" i="15"/>
  <c r="E111" i="15"/>
  <c r="D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O111" i="3"/>
  <c r="C112" i="30"/>
  <c r="D112" i="3"/>
  <c r="M111" i="2"/>
  <c r="K112" i="2"/>
  <c r="Q111" i="2"/>
  <c r="J112" i="2"/>
  <c r="D111" i="2"/>
  <c r="L112" i="10"/>
  <c r="M112" i="10"/>
  <c r="E111" i="10"/>
  <c r="L111" i="9"/>
  <c r="G111" i="9"/>
  <c r="E112" i="2"/>
  <c r="C112" i="2"/>
  <c r="N111" i="2"/>
  <c r="N112" i="3"/>
  <c r="L111" i="2"/>
  <c r="F112" i="3"/>
  <c r="M111" i="3"/>
  <c r="E112" i="3"/>
  <c r="J111" i="10"/>
  <c r="I111" i="10"/>
  <c r="I112" i="9"/>
  <c r="H112" i="9"/>
  <c r="B111" i="9"/>
  <c r="J112" i="8"/>
  <c r="P111" i="8"/>
  <c r="L111" i="8"/>
  <c r="O111" i="8"/>
  <c r="I112" i="8"/>
  <c r="H112" i="8"/>
  <c r="G112" i="8"/>
  <c r="F112" i="8"/>
  <c r="N111" i="8"/>
  <c r="J111" i="13"/>
  <c r="I112" i="13"/>
  <c r="P112" i="13"/>
  <c r="F112" i="12"/>
  <c r="J112" i="12"/>
  <c r="H112" i="12"/>
  <c r="I112" i="12"/>
  <c r="G111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I111" i="15"/>
  <c r="Q112" i="15"/>
  <c r="I112" i="14"/>
  <c r="H112" i="14"/>
  <c r="B112" i="14"/>
  <c r="J112" i="14"/>
  <c r="J111" i="17"/>
  <c r="I112" i="17"/>
  <c r="H111" i="17"/>
  <c r="N112" i="17"/>
  <c r="L112" i="17"/>
  <c r="M111" i="17"/>
  <c r="K112" i="17"/>
  <c r="F112" i="17"/>
  <c r="D112" i="17"/>
  <c r="E112" i="17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D111" i="25"/>
  <c r="K112" i="25"/>
  <c r="J112" i="24"/>
  <c r="I111" i="24"/>
  <c r="H112" i="24"/>
  <c r="J111" i="23"/>
  <c r="Q111" i="23"/>
  <c r="O111" i="23"/>
  <c r="I112" i="23"/>
  <c r="J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G111" i="26"/>
  <c r="F111" i="26"/>
  <c r="E111" i="26"/>
  <c r="C111" i="26"/>
  <c r="H112" i="26"/>
  <c r="P112" i="26"/>
  <c r="O111" i="27"/>
  <c r="K111" i="27"/>
  <c r="J111" i="27"/>
  <c r="I111" i="32"/>
  <c r="B112" i="32"/>
  <c r="J112" i="32"/>
  <c r="H112" i="32"/>
  <c r="I112" i="31"/>
  <c r="Q112" i="31"/>
  <c r="G111" i="31"/>
  <c r="P111" i="31"/>
  <c r="J111" i="30"/>
  <c r="H111" i="30"/>
  <c r="I111" i="30"/>
  <c r="G112" i="30"/>
  <c r="J111" i="29"/>
  <c r="I111" i="29"/>
  <c r="H111" i="29"/>
  <c r="O111" i="29"/>
  <c r="I111" i="28"/>
  <c r="H112" i="28"/>
  <c r="B111" i="28"/>
  <c r="J112" i="40"/>
  <c r="H112" i="40"/>
  <c r="I112" i="40"/>
  <c r="D111" i="40"/>
  <c r="G111" i="33"/>
  <c r="J111" i="33"/>
  <c r="H111" i="33"/>
  <c r="J111" i="41"/>
  <c r="H111" i="41"/>
  <c r="I112" i="41"/>
  <c r="Q112" i="41"/>
  <c r="P111" i="2"/>
  <c r="F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F111" i="11"/>
  <c r="B112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H111" i="20"/>
  <c r="N112" i="20"/>
  <c r="F111" i="21"/>
  <c r="D112" i="21"/>
  <c r="O111" i="21"/>
  <c r="I112" i="21"/>
  <c r="I111" i="22"/>
  <c r="L112" i="22"/>
  <c r="F112" i="22"/>
  <c r="F112" i="23"/>
  <c r="G111" i="24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H111" i="31"/>
  <c r="K112" i="31"/>
  <c r="J112" i="31"/>
  <c r="E112" i="32"/>
  <c r="P111" i="32"/>
  <c r="N112" i="32"/>
  <c r="K112" i="33"/>
  <c r="E111" i="33"/>
  <c r="Q112" i="33"/>
  <c r="L111" i="40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B111" i="44"/>
  <c r="J112" i="9"/>
  <c r="B112" i="8"/>
  <c r="P111" i="3"/>
  <c r="I111" i="3"/>
  <c r="G112" i="3"/>
  <c r="B111" i="3"/>
  <c r="H111" i="3"/>
  <c r="K111" i="3"/>
  <c r="I112" i="2"/>
  <c r="G112" i="2"/>
  <c r="B111" i="2"/>
  <c r="C112" i="15"/>
  <c r="N112" i="15"/>
  <c r="Q112" i="14"/>
  <c r="C112" i="32"/>
  <c r="C111" i="31"/>
  <c r="G111" i="29"/>
  <c r="B111" i="29"/>
  <c r="J111" i="28"/>
  <c r="B111" i="26"/>
  <c r="C112" i="25"/>
  <c r="B111" i="25"/>
  <c r="I111" i="25"/>
  <c r="Q111" i="25"/>
  <c r="O111" i="24"/>
  <c r="D112" i="24"/>
  <c r="H111" i="23"/>
  <c r="G112" i="23"/>
  <c r="H111" i="22"/>
  <c r="G112" i="22"/>
  <c r="J112" i="20"/>
  <c r="I112" i="20"/>
  <c r="F111" i="20"/>
  <c r="E111" i="20"/>
  <c r="Q112" i="20"/>
  <c r="C111" i="20"/>
  <c r="M111" i="20"/>
  <c r="B111" i="20"/>
  <c r="Q112" i="19"/>
  <c r="J112" i="18"/>
  <c r="I111" i="18"/>
  <c r="G111" i="18"/>
  <c r="B112" i="18"/>
  <c r="E111" i="18"/>
  <c r="H111" i="18"/>
  <c r="Q112" i="17"/>
  <c r="C112" i="17"/>
  <c r="F112" i="16"/>
  <c r="F42" i="39" l="1"/>
  <c r="F43" i="39"/>
  <c r="F45" i="39"/>
  <c r="F41" i="39"/>
  <c r="F44" i="39"/>
  <c r="E41" i="39"/>
  <c r="E45" i="39"/>
  <c r="E43" i="39"/>
  <c r="E42" i="39"/>
  <c r="E44" i="39"/>
  <c r="H44" i="39"/>
  <c r="H42" i="39"/>
  <c r="H41" i="39"/>
  <c r="H43" i="39"/>
  <c r="H45" i="39"/>
  <c r="D42" i="39"/>
  <c r="D43" i="39"/>
  <c r="D41" i="39"/>
  <c r="D45" i="39"/>
  <c r="D44" i="39"/>
  <c r="C42" i="39"/>
  <c r="C44" i="39"/>
  <c r="C45" i="39"/>
  <c r="C43" i="39"/>
  <c r="C41" i="39"/>
  <c r="B42" i="39"/>
  <c r="B43" i="39"/>
  <c r="B44" i="39"/>
  <c r="B41" i="39"/>
  <c r="B45" i="39"/>
  <c r="N41" i="39"/>
  <c r="N45" i="39"/>
  <c r="N44" i="39"/>
  <c r="N43" i="39"/>
  <c r="N42" i="39"/>
  <c r="Q42" i="39"/>
  <c r="Q43" i="39"/>
  <c r="Q44" i="39"/>
  <c r="Q41" i="39"/>
  <c r="Q45" i="39"/>
  <c r="M43" i="39"/>
  <c r="M44" i="39"/>
  <c r="M42" i="39"/>
  <c r="M41" i="39"/>
  <c r="M45" i="39"/>
  <c r="L42" i="39"/>
  <c r="L43" i="39"/>
  <c r="L45" i="39"/>
  <c r="L44" i="39"/>
  <c r="L41" i="39"/>
  <c r="K45" i="39"/>
  <c r="K41" i="39"/>
  <c r="K42" i="39"/>
  <c r="K44" i="39"/>
  <c r="K43" i="39"/>
  <c r="J44" i="39"/>
  <c r="J43" i="39"/>
  <c r="J45" i="39"/>
  <c r="J42" i="39"/>
  <c r="J41" i="39"/>
  <c r="P41" i="39"/>
  <c r="P43" i="39"/>
  <c r="P42" i="39"/>
  <c r="P44" i="39"/>
  <c r="P45" i="39"/>
  <c r="I43" i="39"/>
  <c r="I45" i="39"/>
  <c r="I44" i="39"/>
  <c r="I42" i="39"/>
  <c r="I41" i="39"/>
  <c r="G43" i="39"/>
  <c r="G42" i="39"/>
  <c r="G41" i="39"/>
  <c r="G45" i="39"/>
  <c r="G44" i="39"/>
  <c r="O42" i="39"/>
  <c r="O45" i="39"/>
  <c r="O44" i="39"/>
  <c r="O41" i="39"/>
  <c r="O43" i="39"/>
  <c r="D47" i="39" l="1"/>
  <c r="D46" i="39"/>
  <c r="P47" i="39"/>
  <c r="P46" i="39"/>
  <c r="L46" i="39"/>
  <c r="L47" i="39"/>
  <c r="N47" i="39"/>
  <c r="N46" i="39"/>
  <c r="H47" i="39"/>
  <c r="H46" i="39"/>
  <c r="B46" i="39"/>
  <c r="B47" i="39"/>
  <c r="O46" i="39"/>
  <c r="O47" i="39"/>
  <c r="M47" i="39"/>
  <c r="M46" i="39"/>
  <c r="I46" i="39"/>
  <c r="I47" i="39"/>
  <c r="F47" i="39"/>
  <c r="F46" i="39"/>
  <c r="G46" i="39"/>
  <c r="G47" i="39"/>
  <c r="J46" i="39"/>
  <c r="J47" i="39"/>
  <c r="Q46" i="39"/>
  <c r="Q47" i="39"/>
  <c r="K47" i="39"/>
  <c r="K46" i="39"/>
  <c r="C47" i="39"/>
  <c r="C46" i="39"/>
  <c r="E47" i="39"/>
  <c r="E46" i="39"/>
</calcChain>
</file>

<file path=xl/sharedStrings.xml><?xml version="1.0" encoding="utf-8"?>
<sst xmlns="http://schemas.openxmlformats.org/spreadsheetml/2006/main" count="6350" uniqueCount="3222">
  <si>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</si>
  <si>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</si>
  <si>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</si>
  <si>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</si>
  <si>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</si>
  <si>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</si>
  <si>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</si>
  <si>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</si>
  <si>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</si>
  <si>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</si>
  <si>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</si>
  <si>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</si>
  <si>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</si>
  <si>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</si>
  <si>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</si>
  <si>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</si>
  <si>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</si>
  <si>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</si>
  <si>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</si>
  <si>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</si>
  <si>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</si>
  <si>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</si>
  <si>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</si>
  <si>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</si>
  <si>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</si>
  <si>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</si>
  <si>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</si>
  <si>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</si>
  <si>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</si>
  <si>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</si>
  <si>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</si>
  <si>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</si>
  <si>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</si>
  <si>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</si>
  <si>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</si>
  <si>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</si>
  <si>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</si>
  <si>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</si>
  <si>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</si>
  <si>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</si>
  <si>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</si>
  <si>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</si>
  <si>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</si>
  <si>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</si>
  <si>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</si>
  <si>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</si>
  <si>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</si>
  <si>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</si>
  <si>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</si>
  <si>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</si>
  <si>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</si>
  <si>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</si>
  <si>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</si>
  <si>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</si>
  <si>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</si>
  <si>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</si>
  <si>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</si>
  <si>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</si>
  <si>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</si>
  <si>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</si>
  <si>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</si>
  <si>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</si>
  <si>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</si>
  <si>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</si>
  <si>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</si>
  <si>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</si>
  <si>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</si>
  <si>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</si>
  <si>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</si>
  <si>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</si>
  <si>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</si>
  <si>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</si>
  <si>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</si>
  <si>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</si>
  <si>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</si>
  <si>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</si>
  <si>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</si>
  <si>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</si>
  <si>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</si>
  <si>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</si>
  <si>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</si>
  <si>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</si>
  <si>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</si>
  <si>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</si>
  <si>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</si>
  <si>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</si>
  <si>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</si>
  <si>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</si>
  <si>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</si>
  <si>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</si>
  <si>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</si>
  <si>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</si>
  <si>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</si>
  <si>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</si>
  <si>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</si>
  <si>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</si>
  <si>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</si>
  <si>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</si>
  <si>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</si>
  <si>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</si>
  <si>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</si>
  <si>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</si>
  <si>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</si>
  <si>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</si>
  <si>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</si>
  <si>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</si>
  <si>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</si>
  <si>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</si>
  <si>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</si>
  <si>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</si>
  <si>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</si>
  <si>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</si>
  <si>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</si>
  <si>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</si>
  <si>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</si>
  <si>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</si>
  <si>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</si>
  <si>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</si>
  <si>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</si>
  <si>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</si>
  <si>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</si>
  <si>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</si>
  <si>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</si>
  <si>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</si>
  <si>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</si>
  <si>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</si>
  <si>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</si>
  <si>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</si>
  <si>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</si>
  <si>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</si>
  <si>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</si>
  <si>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</si>
  <si>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</si>
  <si>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</si>
  <si>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</si>
  <si>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</si>
  <si>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</si>
  <si>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</si>
  <si>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</si>
  <si>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</si>
  <si>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</si>
  <si>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</si>
  <si>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</si>
  <si>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</si>
  <si>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</si>
  <si>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</si>
  <si>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</si>
  <si>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</si>
  <si>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</si>
  <si>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</si>
  <si>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</si>
  <si>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</si>
  <si>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</si>
  <si>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</si>
  <si>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</si>
  <si>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</si>
  <si>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</si>
  <si>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</si>
  <si>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</si>
  <si>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</si>
  <si>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</si>
  <si>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</si>
  <si>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</si>
  <si>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</si>
  <si>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</si>
  <si>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</si>
  <si>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</si>
  <si>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</si>
  <si>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</si>
  <si>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</si>
  <si>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</si>
  <si>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</si>
  <si>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</si>
  <si>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</si>
  <si>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</si>
  <si>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</si>
  <si>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</si>
  <si>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</si>
  <si>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</si>
  <si>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</si>
  <si>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</si>
  <si>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</si>
  <si>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</si>
  <si>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</si>
  <si>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</si>
  <si>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</si>
  <si>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</si>
  <si>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</si>
  <si>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</si>
  <si>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</si>
  <si>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</si>
  <si>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</si>
  <si>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</si>
  <si>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</si>
  <si>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</si>
  <si>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</si>
  <si>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</si>
  <si>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</si>
  <si>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</si>
  <si>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</si>
  <si>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</si>
  <si>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</si>
  <si>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</si>
  <si>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</si>
  <si>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</si>
  <si>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</si>
  <si>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</si>
  <si>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</si>
  <si>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</si>
  <si>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</si>
  <si>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</si>
  <si>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</si>
  <si>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</si>
  <si>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</si>
  <si>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</si>
  <si>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</si>
  <si>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</si>
  <si>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</si>
  <si>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</si>
  <si>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</si>
  <si>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</si>
  <si>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</si>
  <si>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</si>
  <si>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</si>
  <si>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</si>
  <si>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</si>
  <si>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</si>
  <si>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</si>
  <si>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</si>
  <si>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</si>
  <si>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</si>
  <si>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</si>
  <si>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</si>
  <si>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</si>
  <si>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</si>
  <si>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</si>
  <si>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</si>
  <si>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</si>
  <si>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</si>
  <si>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</si>
  <si>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</si>
  <si>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</si>
  <si>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</si>
  <si>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835 ug/cm2</t>
  </si>
  <si>
    <t>01/04/2023 - 30/04/2023</t>
  </si>
  <si>
    <t>ppb</t>
  </si>
  <si>
    <t>01-05-2024 00:15</t>
  </si>
  <si>
    <t>01-05-2024 00:30</t>
  </si>
  <si>
    <t>01-05-2024 00:45</t>
  </si>
  <si>
    <t>01-05-2024 01:00</t>
  </si>
  <si>
    <t>01-05-2024 01:15</t>
  </si>
  <si>
    <t>01-05-2024 01:30</t>
  </si>
  <si>
    <t>01-05-2024 01:45</t>
  </si>
  <si>
    <t>01-05-2024 02:00</t>
  </si>
  <si>
    <t>01-05-2024 02:15</t>
  </si>
  <si>
    <t>01-05-2024 02:30</t>
  </si>
  <si>
    <t>01-05-2024 02:45</t>
  </si>
  <si>
    <t>01-05-2024 03:00</t>
  </si>
  <si>
    <t>01-05-2024 03:15</t>
  </si>
  <si>
    <t>01-05-2024 03:30</t>
  </si>
  <si>
    <t>01-05-2024 03:45</t>
  </si>
  <si>
    <t>01-05-2024 04:00</t>
  </si>
  <si>
    <t>01-05-2024 04:15</t>
  </si>
  <si>
    <t>01-05-2024 04:30</t>
  </si>
  <si>
    <t>01-05-2024 04:45</t>
  </si>
  <si>
    <t>01-05-2024 05:00</t>
  </si>
  <si>
    <t>01-05-2024 05:15</t>
  </si>
  <si>
    <t>01-05-2024 05:30</t>
  </si>
  <si>
    <t>01-05-2024 05:45</t>
  </si>
  <si>
    <t>01-05-2024 06:00</t>
  </si>
  <si>
    <t>01-05-2024 06:15</t>
  </si>
  <si>
    <t>01-05-2024 06:30</t>
  </si>
  <si>
    <t>01-05-2024 06:45</t>
  </si>
  <si>
    <t>01-05-2024 07:00</t>
  </si>
  <si>
    <t>01-05-2024 07:15</t>
  </si>
  <si>
    <t>01-05-2024 07:30</t>
  </si>
  <si>
    <t>01-05-2024 07:45</t>
  </si>
  <si>
    <t>01-05-2024 08:00</t>
  </si>
  <si>
    <t>01-05-2024 08:15</t>
  </si>
  <si>
    <t>01-05-2024 08:30</t>
  </si>
  <si>
    <t>01-05-2024 08:45</t>
  </si>
  <si>
    <t>01-05-2024 09:00</t>
  </si>
  <si>
    <t>01-05-2024 09:15</t>
  </si>
  <si>
    <t>01-05-2024 09:30</t>
  </si>
  <si>
    <t>01-05-2024 09:45</t>
  </si>
  <si>
    <t>01-05-2024 10:00</t>
  </si>
  <si>
    <t>01-05-2024 10:15</t>
  </si>
  <si>
    <t>01-05-2024 10:30</t>
  </si>
  <si>
    <t>01-05-2024 10:45</t>
  </si>
  <si>
    <t>01-05-2024 11:00</t>
  </si>
  <si>
    <t>01-05-2024 11:15</t>
  </si>
  <si>
    <t>01-05-2024 11:30</t>
  </si>
  <si>
    <t>01-05-2024 11:45</t>
  </si>
  <si>
    <t>01-05-2024 12:00</t>
  </si>
  <si>
    <t>01-05-2024 12:15</t>
  </si>
  <si>
    <t>01-05-2024 12:30</t>
  </si>
  <si>
    <t>01-05-2024 12:45</t>
  </si>
  <si>
    <t>01-05-2024 13:00</t>
  </si>
  <si>
    <t>01-05-2024 13:15</t>
  </si>
  <si>
    <t>01-05-2024 13:30</t>
  </si>
  <si>
    <t>01-05-2024 13:45</t>
  </si>
  <si>
    <t>01-05-2024 14:00</t>
  </si>
  <si>
    <t>01-05-2024 14:15</t>
  </si>
  <si>
    <t>01-05-2024 14:30</t>
  </si>
  <si>
    <t>01-05-2024 14:45</t>
  </si>
  <si>
    <t>01-05-2024 15:00</t>
  </si>
  <si>
    <t>01-05-2024 15:15</t>
  </si>
  <si>
    <t>01-05-2024 15:30</t>
  </si>
  <si>
    <t>01-05-2024 15:45</t>
  </si>
  <si>
    <t>01-05-2024 16:00</t>
  </si>
  <si>
    <t>01-05-2024 16:15</t>
  </si>
  <si>
    <t>01-05-2024 16:30</t>
  </si>
  <si>
    <t>01-05-2024 16:45</t>
  </si>
  <si>
    <t>01-05-2024 17:00</t>
  </si>
  <si>
    <t>01-05-2024 17:15</t>
  </si>
  <si>
    <t>01-05-2024 17:30</t>
  </si>
  <si>
    <t>01-05-2024 17:45</t>
  </si>
  <si>
    <t>01-05-2024 18:00</t>
  </si>
  <si>
    <t>01-05-2024 18:15</t>
  </si>
  <si>
    <t>01-05-2024 18:30</t>
  </si>
  <si>
    <t>01-05-2024 18:45</t>
  </si>
  <si>
    <t>01-05-2024 19:00</t>
  </si>
  <si>
    <t>01-05-2024 19:15</t>
  </si>
  <si>
    <t>01-05-2024 19:30</t>
  </si>
  <si>
    <t>01-05-2024 19:45</t>
  </si>
  <si>
    <t>01-05-2024 20:00</t>
  </si>
  <si>
    <t>01-05-2024 20:15</t>
  </si>
  <si>
    <t>01-05-2024 20:30</t>
  </si>
  <si>
    <t>01-05-2024 20:45</t>
  </si>
  <si>
    <t>01-05-2024 21:00</t>
  </si>
  <si>
    <t>01-05-2024 21:15</t>
  </si>
  <si>
    <t>01-05-2024 21:30</t>
  </si>
  <si>
    <t>01-05-2024 21:45</t>
  </si>
  <si>
    <t>01-05-2024 22:00</t>
  </si>
  <si>
    <t>01-05-2024 22:15</t>
  </si>
  <si>
    <t>01-05-2024 22:30</t>
  </si>
  <si>
    <t>01-05-2024 22:45</t>
  </si>
  <si>
    <t>01-05-2024 23:00</t>
  </si>
  <si>
    <t>01-05-2024 23:15</t>
  </si>
  <si>
    <t>01-05-2024 23:30</t>
  </si>
  <si>
    <t>01-05-2024 23:45</t>
  </si>
  <si>
    <t>01-05-2024 24:00</t>
  </si>
  <si>
    <t>02-05-2024 00:15</t>
  </si>
  <si>
    <t>02-05-2024 00:30</t>
  </si>
  <si>
    <t>02-05-2024 00:45</t>
  </si>
  <si>
    <t>02-05-2024 01:00</t>
  </si>
  <si>
    <t>02-05-2024 01:15</t>
  </si>
  <si>
    <t>02-05-2024 01:30</t>
  </si>
  <si>
    <t>02-05-2024 01:45</t>
  </si>
  <si>
    <t>02-05-2024 02:00</t>
  </si>
  <si>
    <t>02-05-2024 02:15</t>
  </si>
  <si>
    <t>02-05-2024 02:30</t>
  </si>
  <si>
    <t>02-05-2024 02:45</t>
  </si>
  <si>
    <t>02-05-2024 03:00</t>
  </si>
  <si>
    <t>02-05-2024 03:15</t>
  </si>
  <si>
    <t>02-05-2024 03:30</t>
  </si>
  <si>
    <t>02-05-2024 03:45</t>
  </si>
  <si>
    <t>02-05-2024 04:00</t>
  </si>
  <si>
    <t>02-05-2024 04:15</t>
  </si>
  <si>
    <t>02-05-2024 04:30</t>
  </si>
  <si>
    <t>02-05-2024 04:45</t>
  </si>
  <si>
    <t>02-05-2024 05:00</t>
  </si>
  <si>
    <t>02-05-2024 05:15</t>
  </si>
  <si>
    <t>02-05-2024 05:30</t>
  </si>
  <si>
    <t>02-05-2024 05:45</t>
  </si>
  <si>
    <t>02-05-2024 06:00</t>
  </si>
  <si>
    <t>02-05-2024 06:15</t>
  </si>
  <si>
    <t>02-05-2024 06:30</t>
  </si>
  <si>
    <t>02-05-2024 06:45</t>
  </si>
  <si>
    <t>02-05-2024 07:00</t>
  </si>
  <si>
    <t>02-05-2024 07:15</t>
  </si>
  <si>
    <t>02-05-2024 07:30</t>
  </si>
  <si>
    <t>02-05-2024 07:45</t>
  </si>
  <si>
    <t>02-05-2024 08:00</t>
  </si>
  <si>
    <t>02-05-2024 08:15</t>
  </si>
  <si>
    <t>02-05-2024 08:30</t>
  </si>
  <si>
    <t>02-05-2024 08:45</t>
  </si>
  <si>
    <t>02-05-2024 09:00</t>
  </si>
  <si>
    <t>02-05-2024 09:15</t>
  </si>
  <si>
    <t>02-05-2024 09:30</t>
  </si>
  <si>
    <t>02-05-2024 09:45</t>
  </si>
  <si>
    <t>02-05-2024 10:00</t>
  </si>
  <si>
    <t>02-05-2024 10:15</t>
  </si>
  <si>
    <t>02-05-2024 10:30</t>
  </si>
  <si>
    <t>02-05-2024 10:45</t>
  </si>
  <si>
    <t>02-05-2024 11:00</t>
  </si>
  <si>
    <t>02-05-2024 11:15</t>
  </si>
  <si>
    <t>02-05-2024 11:30</t>
  </si>
  <si>
    <t>02-05-2024 11:45</t>
  </si>
  <si>
    <t>02-05-2024 12:00</t>
  </si>
  <si>
    <t>02-05-2024 12:15</t>
  </si>
  <si>
    <t>02-05-2024 12:30</t>
  </si>
  <si>
    <t>02-05-2024 12:45</t>
  </si>
  <si>
    <t>02-05-2024 13:00</t>
  </si>
  <si>
    <t>02-05-2024 13:15</t>
  </si>
  <si>
    <t>02-05-2024 13:30</t>
  </si>
  <si>
    <t>02-05-2024 13:45</t>
  </si>
  <si>
    <t>02-05-2024 14:00</t>
  </si>
  <si>
    <t>02-05-2024 14:15</t>
  </si>
  <si>
    <t>02-05-2024 14:30</t>
  </si>
  <si>
    <t>02-05-2024 14:45</t>
  </si>
  <si>
    <t>02-05-2024 15:00</t>
  </si>
  <si>
    <t>02-05-2024 15:15</t>
  </si>
  <si>
    <t>02-05-2024 15:30</t>
  </si>
  <si>
    <t>02-05-2024 15:45</t>
  </si>
  <si>
    <t>02-05-2024 16:00</t>
  </si>
  <si>
    <t>02-05-2024 16:15</t>
  </si>
  <si>
    <t>02-05-2024 16:30</t>
  </si>
  <si>
    <t>02-05-2024 16:45</t>
  </si>
  <si>
    <t>02-05-2024 17:00</t>
  </si>
  <si>
    <t>02-05-2024 17:15</t>
  </si>
  <si>
    <t>02-05-2024 17:30</t>
  </si>
  <si>
    <t>02-05-2024 17:45</t>
  </si>
  <si>
    <t>02-05-2024 18:00</t>
  </si>
  <si>
    <t>02-05-2024 18:15</t>
  </si>
  <si>
    <t>02-05-2024 18:30</t>
  </si>
  <si>
    <t>02-05-2024 18:45</t>
  </si>
  <si>
    <t>02-05-2024 19:00</t>
  </si>
  <si>
    <t>02-05-2024 19:15</t>
  </si>
  <si>
    <t>02-05-2024 19:30</t>
  </si>
  <si>
    <t>02-05-2024 19:45</t>
  </si>
  <si>
    <t>02-05-2024 20:00</t>
  </si>
  <si>
    <t>02-05-2024 20:15</t>
  </si>
  <si>
    <t>02-05-2024 20:30</t>
  </si>
  <si>
    <t>02-05-2024 20:45</t>
  </si>
  <si>
    <t>02-05-2024 21:00</t>
  </si>
  <si>
    <t>02-05-2024 21:15</t>
  </si>
  <si>
    <t>02-05-2024 21:30</t>
  </si>
  <si>
    <t>02-05-2024 21:45</t>
  </si>
  <si>
    <t>02-05-2024 22:00</t>
  </si>
  <si>
    <t>02-05-2024 22:15</t>
  </si>
  <si>
    <t>02-05-2024 22:30</t>
  </si>
  <si>
    <t>02-05-2024 22:45</t>
  </si>
  <si>
    <t>02-05-2024 23:00</t>
  </si>
  <si>
    <t>02-05-2024 23:15</t>
  </si>
  <si>
    <t>02-05-2024 23:30</t>
  </si>
  <si>
    <t>02-05-2024 23:45</t>
  </si>
  <si>
    <t>02-05-2024 24:00</t>
  </si>
  <si>
    <t>03-05-2024 00:15</t>
  </si>
  <si>
    <t>03-05-2024 00:30</t>
  </si>
  <si>
    <t>03-05-2024 00:45</t>
  </si>
  <si>
    <t>03-05-2024 01:00</t>
  </si>
  <si>
    <t>03-05-2024 01:15</t>
  </si>
  <si>
    <t>03-05-2024 01:30</t>
  </si>
  <si>
    <t>03-05-2024 01:45</t>
  </si>
  <si>
    <t>03-05-2024 02:00</t>
  </si>
  <si>
    <t>03-05-2024 02:15</t>
  </si>
  <si>
    <t>03-05-2024 02:30</t>
  </si>
  <si>
    <t>03-05-2024 02:45</t>
  </si>
  <si>
    <t>03-05-2024 03:00</t>
  </si>
  <si>
    <t>03-05-2024 03:15</t>
  </si>
  <si>
    <t>03-05-2024 03:30</t>
  </si>
  <si>
    <t>03-05-2024 03:45</t>
  </si>
  <si>
    <t>03-05-2024 04:00</t>
  </si>
  <si>
    <t>03-05-2024 04:15</t>
  </si>
  <si>
    <t>03-05-2024 04:30</t>
  </si>
  <si>
    <t>03-05-2024 04:45</t>
  </si>
  <si>
    <t>03-05-2024 05:00</t>
  </si>
  <si>
    <t>03-05-2024 05:15</t>
  </si>
  <si>
    <t>03-05-2024 05:30</t>
  </si>
  <si>
    <t>03-05-2024 05:45</t>
  </si>
  <si>
    <t>03-05-2024 06:00</t>
  </si>
  <si>
    <t>03-05-2024 06:15</t>
  </si>
  <si>
    <t>03-05-2024 06:30</t>
  </si>
  <si>
    <t>03-05-2024 06:45</t>
  </si>
  <si>
    <t>03-05-2024 07:00</t>
  </si>
  <si>
    <t>03-05-2024 07:15</t>
  </si>
  <si>
    <t>03-05-2024 07:30</t>
  </si>
  <si>
    <t>03-05-2024 07:45</t>
  </si>
  <si>
    <t>03-05-2024 08:00</t>
  </si>
  <si>
    <t>03-05-2024 08:15</t>
  </si>
  <si>
    <t>03-05-2024 08:30</t>
  </si>
  <si>
    <t>03-05-2024 08:45</t>
  </si>
  <si>
    <t>03-05-2024 09:00</t>
  </si>
  <si>
    <t>03-05-2024 09:15</t>
  </si>
  <si>
    <t>03-05-2024 09:30</t>
  </si>
  <si>
    <t>03-05-2024 09:45</t>
  </si>
  <si>
    <t>03-05-2024 10:00</t>
  </si>
  <si>
    <t>03-05-2024 10:15</t>
  </si>
  <si>
    <t>03-05-2024 10:30</t>
  </si>
  <si>
    <t>03-05-2024 10:45</t>
  </si>
  <si>
    <t>03-05-2024 11:00</t>
  </si>
  <si>
    <t>03-05-2024 11:15</t>
  </si>
  <si>
    <t>03-05-2024 11:30</t>
  </si>
  <si>
    <t>03-05-2024 11:45</t>
  </si>
  <si>
    <t>03-05-2024 12:00</t>
  </si>
  <si>
    <t>03-05-2024 12:15</t>
  </si>
  <si>
    <t>03-05-2024 12:30</t>
  </si>
  <si>
    <t>03-05-2024 12:45</t>
  </si>
  <si>
    <t>03-05-2024 13:00</t>
  </si>
  <si>
    <t>03-05-2024 13:15</t>
  </si>
  <si>
    <t>03-05-2024 13:30</t>
  </si>
  <si>
    <t>03-05-2024 13:45</t>
  </si>
  <si>
    <t>03-05-2024 14:00</t>
  </si>
  <si>
    <t>03-05-2024 14:15</t>
  </si>
  <si>
    <t>03-05-2024 14:30</t>
  </si>
  <si>
    <t>03-05-2024 14:45</t>
  </si>
  <si>
    <t>03-05-2024 15:00</t>
  </si>
  <si>
    <t>03-05-2024 15:15</t>
  </si>
  <si>
    <t>03-05-2024 15:30</t>
  </si>
  <si>
    <t>03-05-2024 15:45</t>
  </si>
  <si>
    <t>03-05-2024 16:00</t>
  </si>
  <si>
    <t>03-05-2024 16:15</t>
  </si>
  <si>
    <t>03-05-2024 16:30</t>
  </si>
  <si>
    <t>03-05-2024 16:45</t>
  </si>
  <si>
    <t>03-05-2024 17:00</t>
  </si>
  <si>
    <t>03-05-2024 17:15</t>
  </si>
  <si>
    <t>03-05-2024 17:30</t>
  </si>
  <si>
    <t>03-05-2024 17:45</t>
  </si>
  <si>
    <t>03-05-2024 18:00</t>
  </si>
  <si>
    <t>03-05-2024 18:15</t>
  </si>
  <si>
    <t>03-05-2024 18:30</t>
  </si>
  <si>
    <t>03-05-2024 18:45</t>
  </si>
  <si>
    <t>03-05-2024 19:00</t>
  </si>
  <si>
    <t>03-05-2024 19:15</t>
  </si>
  <si>
    <t>03-05-2024 19:30</t>
  </si>
  <si>
    <t>03-05-2024 19:45</t>
  </si>
  <si>
    <t>03-05-2024 20:00</t>
  </si>
  <si>
    <t>03-05-2024 20:15</t>
  </si>
  <si>
    <t>03-05-2024 20:30</t>
  </si>
  <si>
    <t>03-05-2024 20:45</t>
  </si>
  <si>
    <t>03-05-2024 21:00</t>
  </si>
  <si>
    <t>03-05-2024 21:15</t>
  </si>
  <si>
    <t>03-05-2024 21:30</t>
  </si>
  <si>
    <t>03-05-2024 21:45</t>
  </si>
  <si>
    <t>03-05-2024 22:00</t>
  </si>
  <si>
    <t>03-05-2024 22:15</t>
  </si>
  <si>
    <t>03-05-2024 22:30</t>
  </si>
  <si>
    <t>03-05-2024 22:45</t>
  </si>
  <si>
    <t>03-05-2024 23:00</t>
  </si>
  <si>
    <t>03-05-2024 23:15</t>
  </si>
  <si>
    <t>03-05-2024 23:30</t>
  </si>
  <si>
    <t>03-05-2024 23:45</t>
  </si>
  <si>
    <t>03-05-2024 24:00</t>
  </si>
  <si>
    <t>04-05-2024 00:15</t>
  </si>
  <si>
    <t>04-05-2024 00:30</t>
  </si>
  <si>
    <t>04-05-2024 00:45</t>
  </si>
  <si>
    <t>04-05-2024 01:00</t>
  </si>
  <si>
    <t>04-05-2024 01:15</t>
  </si>
  <si>
    <t>04-05-2024 01:30</t>
  </si>
  <si>
    <t>04-05-2024 01:45</t>
  </si>
  <si>
    <t>04-05-2024 02:00</t>
  </si>
  <si>
    <t>04-05-2024 02:15</t>
  </si>
  <si>
    <t>04-05-2024 02:30</t>
  </si>
  <si>
    <t>04-05-2024 02:45</t>
  </si>
  <si>
    <t>04-05-2024 03:00</t>
  </si>
  <si>
    <t>04-05-2024 03:15</t>
  </si>
  <si>
    <t>04-05-2024 03:30</t>
  </si>
  <si>
    <t>04-05-2024 03:45</t>
  </si>
  <si>
    <t>04-05-2024 04:00</t>
  </si>
  <si>
    <t>04-05-2024 04:15</t>
  </si>
  <si>
    <t>04-05-2024 04:30</t>
  </si>
  <si>
    <t>04-05-2024 04:45</t>
  </si>
  <si>
    <t>04-05-2024 05:00</t>
  </si>
  <si>
    <t>04-05-2024 05:15</t>
  </si>
  <si>
    <t>04-05-2024 05:30</t>
  </si>
  <si>
    <t>04-05-2024 05:45</t>
  </si>
  <si>
    <t>04-05-2024 06:00</t>
  </si>
  <si>
    <t>04-05-2024 06:15</t>
  </si>
  <si>
    <t>04-05-2024 06:30</t>
  </si>
  <si>
    <t>04-05-2024 06:45</t>
  </si>
  <si>
    <t>04-05-2024 07:00</t>
  </si>
  <si>
    <t>04-05-2024 07:15</t>
  </si>
  <si>
    <t>04-05-2024 07:30</t>
  </si>
  <si>
    <t>04-05-2024 07:45</t>
  </si>
  <si>
    <t>04-05-2024 08:00</t>
  </si>
  <si>
    <t>04-05-2024 08:15</t>
  </si>
  <si>
    <t>04-05-2024 08:30</t>
  </si>
  <si>
    <t>04-05-2024 08:45</t>
  </si>
  <si>
    <t>04-05-2024 09:00</t>
  </si>
  <si>
    <t>04-05-2024 09:15</t>
  </si>
  <si>
    <t>04-05-2024 09:30</t>
  </si>
  <si>
    <t>04-05-2024 09:45</t>
  </si>
  <si>
    <t>04-05-2024 10:00</t>
  </si>
  <si>
    <t>04-05-2024 10:15</t>
  </si>
  <si>
    <t>04-05-2024 10:30</t>
  </si>
  <si>
    <t>04-05-2024 10:45</t>
  </si>
  <si>
    <t>04-05-2024 11:00</t>
  </si>
  <si>
    <t>04-05-2024 11:15</t>
  </si>
  <si>
    <t>04-05-2024 11:30</t>
  </si>
  <si>
    <t>04-05-2024 11:45</t>
  </si>
  <si>
    <t>04-05-2024 12:00</t>
  </si>
  <si>
    <t>04-05-2024 12:15</t>
  </si>
  <si>
    <t>04-05-2024 12:30</t>
  </si>
  <si>
    <t>04-05-2024 12:45</t>
  </si>
  <si>
    <t>04-05-2024 13:00</t>
  </si>
  <si>
    <t>04-05-2024 13:15</t>
  </si>
  <si>
    <t>04-05-2024 13:30</t>
  </si>
  <si>
    <t>04-05-2024 13:45</t>
  </si>
  <si>
    <t>04-05-2024 14:00</t>
  </si>
  <si>
    <t>04-05-2024 14:15</t>
  </si>
  <si>
    <t>04-05-2024 14:30</t>
  </si>
  <si>
    <t>04-05-2024 14:45</t>
  </si>
  <si>
    <t>04-05-2024 15:00</t>
  </si>
  <si>
    <t>04-05-2024 15:15</t>
  </si>
  <si>
    <t>04-05-2024 15:30</t>
  </si>
  <si>
    <t>04-05-2024 15:45</t>
  </si>
  <si>
    <t>04-05-2024 16:00</t>
  </si>
  <si>
    <t>04-05-2024 16:15</t>
  </si>
  <si>
    <t>04-05-2024 16:30</t>
  </si>
  <si>
    <t>04-05-2024 16:45</t>
  </si>
  <si>
    <t>04-05-2024 17:00</t>
  </si>
  <si>
    <t>04-05-2024 17:15</t>
  </si>
  <si>
    <t>04-05-2024 17:30</t>
  </si>
  <si>
    <t>04-05-2024 17:45</t>
  </si>
  <si>
    <t>04-05-2024 18:00</t>
  </si>
  <si>
    <t>04-05-2024 18:15</t>
  </si>
  <si>
    <t>04-05-2024 18:30</t>
  </si>
  <si>
    <t>04-05-2024 18:45</t>
  </si>
  <si>
    <t>04-05-2024 19:00</t>
  </si>
  <si>
    <t>04-05-2024 19:15</t>
  </si>
  <si>
    <t>04-05-2024 19:30</t>
  </si>
  <si>
    <t>04-05-2024 19:45</t>
  </si>
  <si>
    <t>04-05-2024 20:00</t>
  </si>
  <si>
    <t>04-05-2024 20:15</t>
  </si>
  <si>
    <t>04-05-2024 20:30</t>
  </si>
  <si>
    <t>04-05-2024 20:45</t>
  </si>
  <si>
    <t>04-05-2024 21:00</t>
  </si>
  <si>
    <t>04-05-2024 21:15</t>
  </si>
  <si>
    <t>04-05-2024 21:30</t>
  </si>
  <si>
    <t>04-05-2024 21:45</t>
  </si>
  <si>
    <t>04-05-2024 22:00</t>
  </si>
  <si>
    <t>04-05-2024 22:15</t>
  </si>
  <si>
    <t>04-05-2024 22:30</t>
  </si>
  <si>
    <t>04-05-2024 22:45</t>
  </si>
  <si>
    <t>04-05-2024 23:00</t>
  </si>
  <si>
    <t>04-05-2024 23:15</t>
  </si>
  <si>
    <t>04-05-2024 23:30</t>
  </si>
  <si>
    <t>04-05-2024 23:45</t>
  </si>
  <si>
    <t>04-05-2024 24:00</t>
  </si>
  <si>
    <t>05-05-2024 00:15</t>
  </si>
  <si>
    <t>05-05-2024 00:30</t>
  </si>
  <si>
    <t>05-05-2024 00:45</t>
  </si>
  <si>
    <t>05-05-2024 01:00</t>
  </si>
  <si>
    <t>05-05-2024 01:15</t>
  </si>
  <si>
    <t>05-05-2024 01:30</t>
  </si>
  <si>
    <t>05-05-2024 01:45</t>
  </si>
  <si>
    <t>05-05-2024 02:00</t>
  </si>
  <si>
    <t>05-05-2024 02:15</t>
  </si>
  <si>
    <t>05-05-2024 02:30</t>
  </si>
  <si>
    <t>05-05-2024 02:45</t>
  </si>
  <si>
    <t>05-05-2024 03:00</t>
  </si>
  <si>
    <t>05-05-2024 03:15</t>
  </si>
  <si>
    <t>05-05-2024 03:30</t>
  </si>
  <si>
    <t>05-05-2024 03:45</t>
  </si>
  <si>
    <t>05-05-2024 04:00</t>
  </si>
  <si>
    <t>05-05-2024 04:15</t>
  </si>
  <si>
    <t>05-05-2024 04:30</t>
  </si>
  <si>
    <t>05-05-2024 04:45</t>
  </si>
  <si>
    <t>05-05-2024 05:00</t>
  </si>
  <si>
    <t>05-05-2024 05:15</t>
  </si>
  <si>
    <t>05-05-2024 05:30</t>
  </si>
  <si>
    <t>05-05-2024 05:45</t>
  </si>
  <si>
    <t>05-05-2024 06:00</t>
  </si>
  <si>
    <t>05-05-2024 06:15</t>
  </si>
  <si>
    <t>05-05-2024 06:30</t>
  </si>
  <si>
    <t>05-05-2024 06:45</t>
  </si>
  <si>
    <t>05-05-2024 07:00</t>
  </si>
  <si>
    <t>05-05-2024 07:15</t>
  </si>
  <si>
    <t>05-05-2024 07:30</t>
  </si>
  <si>
    <t>05-05-2024 07:45</t>
  </si>
  <si>
    <t>05-05-2024 08:00</t>
  </si>
  <si>
    <t>05-05-2024 08:15</t>
  </si>
  <si>
    <t>05-05-2024 08:30</t>
  </si>
  <si>
    <t>05-05-2024 08:45</t>
  </si>
  <si>
    <t>05-05-2024 09:00</t>
  </si>
  <si>
    <t>05-05-2024 09:15</t>
  </si>
  <si>
    <t>05-05-2024 09:30</t>
  </si>
  <si>
    <t>05-05-2024 09:45</t>
  </si>
  <si>
    <t>05-05-2024 10:00</t>
  </si>
  <si>
    <t>05-05-2024 10:15</t>
  </si>
  <si>
    <t>05-05-2024 10:30</t>
  </si>
  <si>
    <t>05-05-2024 10:45</t>
  </si>
  <si>
    <t>05-05-2024 11:00</t>
  </si>
  <si>
    <t>05-05-2024 11:15</t>
  </si>
  <si>
    <t>05-05-2024 11:30</t>
  </si>
  <si>
    <t>05-05-2024 11:45</t>
  </si>
  <si>
    <t>05-05-2024 12:00</t>
  </si>
  <si>
    <t>05-05-2024 12:15</t>
  </si>
  <si>
    <t>05-05-2024 12:30</t>
  </si>
  <si>
    <t>05-05-2024 12:45</t>
  </si>
  <si>
    <t>05-05-2024 13:00</t>
  </si>
  <si>
    <t>05-05-2024 13:15</t>
  </si>
  <si>
    <t>05-05-2024 13:30</t>
  </si>
  <si>
    <t>05-05-2024 13:45</t>
  </si>
  <si>
    <t>05-05-2024 14:00</t>
  </si>
  <si>
    <t>05-05-2024 14:15</t>
  </si>
  <si>
    <t>05-05-2024 14:30</t>
  </si>
  <si>
    <t>05-05-2024 14:45</t>
  </si>
  <si>
    <t>05-05-2024 15:00</t>
  </si>
  <si>
    <t>05-05-2024 15:15</t>
  </si>
  <si>
    <t>05-05-2024 15:30</t>
  </si>
  <si>
    <t>05-05-2024 15:45</t>
  </si>
  <si>
    <t>05-05-2024 16:00</t>
  </si>
  <si>
    <t>05-05-2024 16:15</t>
  </si>
  <si>
    <t>05-05-2024 16:30</t>
  </si>
  <si>
    <t>05-05-2024 16:45</t>
  </si>
  <si>
    <t>05-05-2024 17:00</t>
  </si>
  <si>
    <t>05-05-2024 17:15</t>
  </si>
  <si>
    <t>05-05-2024 17:30</t>
  </si>
  <si>
    <t>05-05-2024 17:45</t>
  </si>
  <si>
    <t>05-05-2024 18:00</t>
  </si>
  <si>
    <t>05-05-2024 18:15</t>
  </si>
  <si>
    <t>05-05-2024 18:30</t>
  </si>
  <si>
    <t>05-05-2024 18:45</t>
  </si>
  <si>
    <t>05-05-2024 19:00</t>
  </si>
  <si>
    <t>05-05-2024 19:15</t>
  </si>
  <si>
    <t>05-05-2024 19:30</t>
  </si>
  <si>
    <t>05-05-2024 19:45</t>
  </si>
  <si>
    <t>05-05-2024 20:00</t>
  </si>
  <si>
    <t>05-05-2024 20:15</t>
  </si>
  <si>
    <t>05-05-2024 20:30</t>
  </si>
  <si>
    <t>05-05-2024 20:45</t>
  </si>
  <si>
    <t>05-05-2024 21:00</t>
  </si>
  <si>
    <t>05-05-2024 21:15</t>
  </si>
  <si>
    <t>05-05-2024 21:30</t>
  </si>
  <si>
    <t>05-05-2024 21:45</t>
  </si>
  <si>
    <t>05-05-2024 22:00</t>
  </si>
  <si>
    <t>05-05-2024 22:15</t>
  </si>
  <si>
    <t>05-05-2024 22:30</t>
  </si>
  <si>
    <t>05-05-2024 22:45</t>
  </si>
  <si>
    <t>05-05-2024 23:00</t>
  </si>
  <si>
    <t>05-05-2024 23:15</t>
  </si>
  <si>
    <t>05-05-2024 23:30</t>
  </si>
  <si>
    <t>05-05-2024 23:45</t>
  </si>
  <si>
    <t>05-05-2024 24:00</t>
  </si>
  <si>
    <t>06-05-2024 00:15</t>
  </si>
  <si>
    <t>06-05-2024 00:30</t>
  </si>
  <si>
    <t>06-05-2024 00:45</t>
  </si>
  <si>
    <t>06-05-2024 01:00</t>
  </si>
  <si>
    <t>06-05-2024 01:15</t>
  </si>
  <si>
    <t>06-05-2024 01:30</t>
  </si>
  <si>
    <t>06-05-2024 01:45</t>
  </si>
  <si>
    <t>06-05-2024 02:00</t>
  </si>
  <si>
    <t>06-05-2024 02:15</t>
  </si>
  <si>
    <t>06-05-2024 02:30</t>
  </si>
  <si>
    <t>06-05-2024 02:45</t>
  </si>
  <si>
    <t>06-05-2024 03:00</t>
  </si>
  <si>
    <t>06-05-2024 03:15</t>
  </si>
  <si>
    <t>06-05-2024 03:30</t>
  </si>
  <si>
    <t>06-05-2024 03:45</t>
  </si>
  <si>
    <t>06-05-2024 04:00</t>
  </si>
  <si>
    <t>06-05-2024 04:15</t>
  </si>
  <si>
    <t>06-05-2024 04:30</t>
  </si>
  <si>
    <t>06-05-2024 04:45</t>
  </si>
  <si>
    <t>06-05-2024 05:00</t>
  </si>
  <si>
    <t>06-05-2024 05:15</t>
  </si>
  <si>
    <t>06-05-2024 05:30</t>
  </si>
  <si>
    <t>06-05-2024 05:45</t>
  </si>
  <si>
    <t>06-05-2024 06:00</t>
  </si>
  <si>
    <t>06-05-2024 06:15</t>
  </si>
  <si>
    <t>06-05-2024 06:30</t>
  </si>
  <si>
    <t>06-05-2024 06:45</t>
  </si>
  <si>
    <t>06-05-2024 07:00</t>
  </si>
  <si>
    <t>06-05-2024 07:15</t>
  </si>
  <si>
    <t>06-05-2024 07:30</t>
  </si>
  <si>
    <t>06-05-2024 07:45</t>
  </si>
  <si>
    <t>06-05-2024 08:00</t>
  </si>
  <si>
    <t>06-05-2024 08:15</t>
  </si>
  <si>
    <t>06-05-2024 08:30</t>
  </si>
  <si>
    <t>06-05-2024 08:45</t>
  </si>
  <si>
    <t>06-05-2024 09:00</t>
  </si>
  <si>
    <t>06-05-2024 09:15</t>
  </si>
  <si>
    <t>06-05-2024 09:30</t>
  </si>
  <si>
    <t>06-05-2024 09:45</t>
  </si>
  <si>
    <t>06-05-2024 10:00</t>
  </si>
  <si>
    <t>06-05-2024 10:15</t>
  </si>
  <si>
    <t>06-05-2024 10:30</t>
  </si>
  <si>
    <t>06-05-2024 10:45</t>
  </si>
  <si>
    <t>06-05-2024 11:00</t>
  </si>
  <si>
    <t>06-05-2024 11:15</t>
  </si>
  <si>
    <t>06-05-2024 11:30</t>
  </si>
  <si>
    <t>06-05-2024 11:45</t>
  </si>
  <si>
    <t>06-05-2024 12:00</t>
  </si>
  <si>
    <t>06-05-2024 12:15</t>
  </si>
  <si>
    <t>06-05-2024 12:30</t>
  </si>
  <si>
    <t>06-05-2024 12:45</t>
  </si>
  <si>
    <t>06-05-2024 13:00</t>
  </si>
  <si>
    <t>06-05-2024 13:15</t>
  </si>
  <si>
    <t>06-05-2024 13:30</t>
  </si>
  <si>
    <t>06-05-2024 13:45</t>
  </si>
  <si>
    <t>06-05-2024 14:00</t>
  </si>
  <si>
    <t>06-05-2024 14:15</t>
  </si>
  <si>
    <t>06-05-2024 14:30</t>
  </si>
  <si>
    <t>06-05-2024 14:45</t>
  </si>
  <si>
    <t>06-05-2024 15:00</t>
  </si>
  <si>
    <t>06-05-2024 15:15</t>
  </si>
  <si>
    <t>06-05-2024 15:30</t>
  </si>
  <si>
    <t>06-05-2024 15:45</t>
  </si>
  <si>
    <t>06-05-2024 16:00</t>
  </si>
  <si>
    <t>06-05-2024 16:15</t>
  </si>
  <si>
    <t>06-05-2024 16:30</t>
  </si>
  <si>
    <t>06-05-2024 16:45</t>
  </si>
  <si>
    <t>06-05-2024 17:00</t>
  </si>
  <si>
    <t>06-05-2024 17:15</t>
  </si>
  <si>
    <t>06-05-2024 17:30</t>
  </si>
  <si>
    <t>06-05-2024 17:45</t>
  </si>
  <si>
    <t>06-05-2024 18:00</t>
  </si>
  <si>
    <t>06-05-2024 18:15</t>
  </si>
  <si>
    <t>06-05-2024 18:30</t>
  </si>
  <si>
    <t>06-05-2024 18:45</t>
  </si>
  <si>
    <t>06-05-2024 19:00</t>
  </si>
  <si>
    <t>06-05-2024 19:15</t>
  </si>
  <si>
    <t>06-05-2024 19:30</t>
  </si>
  <si>
    <t>06-05-2024 19:45</t>
  </si>
  <si>
    <t>06-05-2024 20:00</t>
  </si>
  <si>
    <t>06-05-2024 20:15</t>
  </si>
  <si>
    <t>06-05-2024 20:30</t>
  </si>
  <si>
    <t>06-05-2024 20:45</t>
  </si>
  <si>
    <t>06-05-2024 21:00</t>
  </si>
  <si>
    <t>06-05-2024 21:15</t>
  </si>
  <si>
    <t>06-05-2024 21:30</t>
  </si>
  <si>
    <t>06-05-2024 21:45</t>
  </si>
  <si>
    <t>06-05-2024 22:00</t>
  </si>
  <si>
    <t>06-05-2024 22:15</t>
  </si>
  <si>
    <t>06-05-2024 22:30</t>
  </si>
  <si>
    <t>06-05-2024 22:45</t>
  </si>
  <si>
    <t>06-05-2024 23:00</t>
  </si>
  <si>
    <t>06-05-2024 23:15</t>
  </si>
  <si>
    <t>06-05-2024 23:30</t>
  </si>
  <si>
    <t>06-05-2024 23:45</t>
  </si>
  <si>
    <t>06-05-2024 24:00</t>
  </si>
  <si>
    <t>07-05-2024 00:15</t>
  </si>
  <si>
    <t>07-05-2024 00:30</t>
  </si>
  <si>
    <t>07-05-2024 00:45</t>
  </si>
  <si>
    <t>07-05-2024 01:00</t>
  </si>
  <si>
    <t>07-05-2024 01:15</t>
  </si>
  <si>
    <t>07-05-2024 01:30</t>
  </si>
  <si>
    <t>07-05-2024 01:45</t>
  </si>
  <si>
    <t>07-05-2024 02:00</t>
  </si>
  <si>
    <t>07-05-2024 02:15</t>
  </si>
  <si>
    <t>07-05-2024 02:30</t>
  </si>
  <si>
    <t>07-05-2024 02:45</t>
  </si>
  <si>
    <t>07-05-2024 03:00</t>
  </si>
  <si>
    <t>07-05-2024 03:15</t>
  </si>
  <si>
    <t>07-05-2024 03:30</t>
  </si>
  <si>
    <t>07-05-2024 03:45</t>
  </si>
  <si>
    <t>07-05-2024 04:00</t>
  </si>
  <si>
    <t>07-05-2024 04:15</t>
  </si>
  <si>
    <t>07-05-2024 04:30</t>
  </si>
  <si>
    <t>07-05-2024 04:45</t>
  </si>
  <si>
    <t>07-05-2024 05:00</t>
  </si>
  <si>
    <t>07-05-2024 05:15</t>
  </si>
  <si>
    <t>07-05-2024 05:30</t>
  </si>
  <si>
    <t>07-05-2024 05:45</t>
  </si>
  <si>
    <t>07-05-2024 06:00</t>
  </si>
  <si>
    <t>07-05-2024 06:15</t>
  </si>
  <si>
    <t>07-05-2024 06:30</t>
  </si>
  <si>
    <t>07-05-2024 06:45</t>
  </si>
  <si>
    <t>07-05-2024 07:00</t>
  </si>
  <si>
    <t>07-05-2024 07:15</t>
  </si>
  <si>
    <t>07-05-2024 07:30</t>
  </si>
  <si>
    <t>07-05-2024 07:45</t>
  </si>
  <si>
    <t>07-05-2024 08:00</t>
  </si>
  <si>
    <t>07-05-2024 08:15</t>
  </si>
  <si>
    <t>07-05-2024 08:30</t>
  </si>
  <si>
    <t>07-05-2024 08:45</t>
  </si>
  <si>
    <t>07-05-2024 09:00</t>
  </si>
  <si>
    <t>07-05-2024 09:15</t>
  </si>
  <si>
    <t>07-05-2024 09:30</t>
  </si>
  <si>
    <t>07-05-2024 09:45</t>
  </si>
  <si>
    <t>07-05-2024 10:00</t>
  </si>
  <si>
    <t>07-05-2024 10:15</t>
  </si>
  <si>
    <t>07-05-2024 10:30</t>
  </si>
  <si>
    <t>07-05-2024 10:45</t>
  </si>
  <si>
    <t>07-05-2024 11:00</t>
  </si>
  <si>
    <t>07-05-2024 11:15</t>
  </si>
  <si>
    <t>07-05-2024 11:30</t>
  </si>
  <si>
    <t>07-05-2024 11:45</t>
  </si>
  <si>
    <t>07-05-2024 12:00</t>
  </si>
  <si>
    <t>07-05-2024 12:15</t>
  </si>
  <si>
    <t>07-05-2024 12:30</t>
  </si>
  <si>
    <t>07-05-2024 12:45</t>
  </si>
  <si>
    <t>07-05-2024 13:00</t>
  </si>
  <si>
    <t>07-05-2024 13:15</t>
  </si>
  <si>
    <t>07-05-2024 13:30</t>
  </si>
  <si>
    <t>07-05-2024 13:45</t>
  </si>
  <si>
    <t>07-05-2024 14:00</t>
  </si>
  <si>
    <t>07-05-2024 14:15</t>
  </si>
  <si>
    <t>07-05-2024 14:30</t>
  </si>
  <si>
    <t>07-05-2024 14:45</t>
  </si>
  <si>
    <t>07-05-2024 15:00</t>
  </si>
  <si>
    <t>07-05-2024 15:15</t>
  </si>
  <si>
    <t>07-05-2024 15:30</t>
  </si>
  <si>
    <t>07-05-2024 15:45</t>
  </si>
  <si>
    <t>07-05-2024 16:00</t>
  </si>
  <si>
    <t>07-05-2024 16:15</t>
  </si>
  <si>
    <t>07-05-2024 16:30</t>
  </si>
  <si>
    <t>07-05-2024 16:45</t>
  </si>
  <si>
    <t>07-05-2024 17:00</t>
  </si>
  <si>
    <t>07-05-2024 17:15</t>
  </si>
  <si>
    <t>07-05-2024 17:30</t>
  </si>
  <si>
    <t>07-05-2024 17:45</t>
  </si>
  <si>
    <t>07-05-2024 18:00</t>
  </si>
  <si>
    <t>07-05-2024 18:15</t>
  </si>
  <si>
    <t>07-05-2024 18:30</t>
  </si>
  <si>
    <t>07-05-2024 18:45</t>
  </si>
  <si>
    <t>07-05-2024 19:00</t>
  </si>
  <si>
    <t>07-05-2024 19:15</t>
  </si>
  <si>
    <t>07-05-2024 19:30</t>
  </si>
  <si>
    <t>07-05-2024 19:45</t>
  </si>
  <si>
    <t>07-05-2024 20:00</t>
  </si>
  <si>
    <t>07-05-2024 20:15</t>
  </si>
  <si>
    <t>07-05-2024 20:30</t>
  </si>
  <si>
    <t>07-05-2024 20:45</t>
  </si>
  <si>
    <t>07-05-2024 21:00</t>
  </si>
  <si>
    <t>07-05-2024 21:15</t>
  </si>
  <si>
    <t>07-05-2024 21:30</t>
  </si>
  <si>
    <t>07-05-2024 21:45</t>
  </si>
  <si>
    <t>07-05-2024 22:00</t>
  </si>
  <si>
    <t>07-05-2024 22:15</t>
  </si>
  <si>
    <t>07-05-2024 22:30</t>
  </si>
  <si>
    <t>07-05-2024 22:45</t>
  </si>
  <si>
    <t>07-05-2024 23:00</t>
  </si>
  <si>
    <t>07-05-2024 23:15</t>
  </si>
  <si>
    <t>07-05-2024 23:30</t>
  </si>
  <si>
    <t>07-05-2024 23:45</t>
  </si>
  <si>
    <t>07-05-2024 24:00</t>
  </si>
  <si>
    <t>08-05-2024 00:15</t>
  </si>
  <si>
    <t>08-05-2024 00:30</t>
  </si>
  <si>
    <t>08-05-2024 00:45</t>
  </si>
  <si>
    <t>08-05-2024 01:00</t>
  </si>
  <si>
    <t>08-05-2024 01:15</t>
  </si>
  <si>
    <t>08-05-2024 01:30</t>
  </si>
  <si>
    <t>08-05-2024 01:45</t>
  </si>
  <si>
    <t>08-05-2024 02:00</t>
  </si>
  <si>
    <t>08-05-2024 02:15</t>
  </si>
  <si>
    <t>08-05-2024 02:30</t>
  </si>
  <si>
    <t>08-05-2024 02:45</t>
  </si>
  <si>
    <t>08-05-2024 03:00</t>
  </si>
  <si>
    <t>08-05-2024 03:15</t>
  </si>
  <si>
    <t>08-05-2024 03:30</t>
  </si>
  <si>
    <t>08-05-2024 03:45</t>
  </si>
  <si>
    <t>08-05-2024 04:00</t>
  </si>
  <si>
    <t>08-05-2024 04:15</t>
  </si>
  <si>
    <t>08-05-2024 04:30</t>
  </si>
  <si>
    <t>08-05-2024 04:45</t>
  </si>
  <si>
    <t>08-05-2024 05:00</t>
  </si>
  <si>
    <t>08-05-2024 05:15</t>
  </si>
  <si>
    <t>08-05-2024 05:30</t>
  </si>
  <si>
    <t>08-05-2024 05:45</t>
  </si>
  <si>
    <t>08-05-2024 06:00</t>
  </si>
  <si>
    <t>08-05-2024 06:15</t>
  </si>
  <si>
    <t>08-05-2024 06:30</t>
  </si>
  <si>
    <t>08-05-2024 06:45</t>
  </si>
  <si>
    <t>08-05-2024 07:00</t>
  </si>
  <si>
    <t>08-05-2024 07:15</t>
  </si>
  <si>
    <t>08-05-2024 07:30</t>
  </si>
  <si>
    <t>08-05-2024 07:45</t>
  </si>
  <si>
    <t>08-05-2024 08:00</t>
  </si>
  <si>
    <t>08-05-2024 08:15</t>
  </si>
  <si>
    <t>08-05-2024 08:30</t>
  </si>
  <si>
    <t>08-05-2024 08:45</t>
  </si>
  <si>
    <t>08-05-2024 09:00</t>
  </si>
  <si>
    <t>08-05-2024 09:15</t>
  </si>
  <si>
    <t>08-05-2024 09:30</t>
  </si>
  <si>
    <t>08-05-2024 09:45</t>
  </si>
  <si>
    <t>08-05-2024 10:00</t>
  </si>
  <si>
    <t>08-05-2024 10:15</t>
  </si>
  <si>
    <t>08-05-2024 10:30</t>
  </si>
  <si>
    <t>08-05-2024 10:45</t>
  </si>
  <si>
    <t>08-05-2024 11:00</t>
  </si>
  <si>
    <t>08-05-2024 11:15</t>
  </si>
  <si>
    <t>08-05-2024 11:30</t>
  </si>
  <si>
    <t>08-05-2024 11:45</t>
  </si>
  <si>
    <t>08-05-2024 12:00</t>
  </si>
  <si>
    <t>08-05-2024 12:15</t>
  </si>
  <si>
    <t>08-05-2024 12:30</t>
  </si>
  <si>
    <t>08-05-2024 12:45</t>
  </si>
  <si>
    <t>08-05-2024 13:00</t>
  </si>
  <si>
    <t>08-05-2024 13:15</t>
  </si>
  <si>
    <t>08-05-2024 13:30</t>
  </si>
  <si>
    <t>08-05-2024 13:45</t>
  </si>
  <si>
    <t>08-05-2024 14:00</t>
  </si>
  <si>
    <t>08-05-2024 14:15</t>
  </si>
  <si>
    <t>08-05-2024 14:30</t>
  </si>
  <si>
    <t>08-05-2024 14:45</t>
  </si>
  <si>
    <t>08-05-2024 15:00</t>
  </si>
  <si>
    <t>08-05-2024 15:15</t>
  </si>
  <si>
    <t>08-05-2024 15:30</t>
  </si>
  <si>
    <t>08-05-2024 15:45</t>
  </si>
  <si>
    <t>08-05-2024 16:00</t>
  </si>
  <si>
    <t>08-05-2024 16:15</t>
  </si>
  <si>
    <t>08-05-2024 16:30</t>
  </si>
  <si>
    <t>08-05-2024 16:45</t>
  </si>
  <si>
    <t>08-05-2024 17:00</t>
  </si>
  <si>
    <t>08-05-2024 17:15</t>
  </si>
  <si>
    <t>08-05-2024 17:30</t>
  </si>
  <si>
    <t>08-05-2024 17:45</t>
  </si>
  <si>
    <t>08-05-2024 18:00</t>
  </si>
  <si>
    <t>08-05-2024 18:15</t>
  </si>
  <si>
    <t>08-05-2024 18:30</t>
  </si>
  <si>
    <t>08-05-2024 18:45</t>
  </si>
  <si>
    <t>08-05-2024 19:00</t>
  </si>
  <si>
    <t>08-05-2024 19:15</t>
  </si>
  <si>
    <t>08-05-2024 19:30</t>
  </si>
  <si>
    <t>08-05-2024 19:45</t>
  </si>
  <si>
    <t>08-05-2024 20:00</t>
  </si>
  <si>
    <t>08-05-2024 20:15</t>
  </si>
  <si>
    <t>08-05-2024 20:30</t>
  </si>
  <si>
    <t>08-05-2024 20:45</t>
  </si>
  <si>
    <t>08-05-2024 21:00</t>
  </si>
  <si>
    <t>08-05-2024 21:15</t>
  </si>
  <si>
    <t>08-05-2024 21:30</t>
  </si>
  <si>
    <t>08-05-2024 21:45</t>
  </si>
  <si>
    <t>08-05-2024 22:00</t>
  </si>
  <si>
    <t>08-05-2024 22:15</t>
  </si>
  <si>
    <t>08-05-2024 22:30</t>
  </si>
  <si>
    <t>08-05-2024 22:45</t>
  </si>
  <si>
    <t>08-05-2024 23:00</t>
  </si>
  <si>
    <t>08-05-2024 23:15</t>
  </si>
  <si>
    <t>08-05-2024 23:30</t>
  </si>
  <si>
    <t>08-05-2024 23:45</t>
  </si>
  <si>
    <t>08-05-2024 24:00</t>
  </si>
  <si>
    <t>09-05-2024 00:15</t>
  </si>
  <si>
    <t>09-05-2024 00:30</t>
  </si>
  <si>
    <t>09-05-2024 00:45</t>
  </si>
  <si>
    <t>09-05-2024 01:00</t>
  </si>
  <si>
    <t>09-05-2024 01:15</t>
  </si>
  <si>
    <t>09-05-2024 01:30</t>
  </si>
  <si>
    <t>09-05-2024 01:45</t>
  </si>
  <si>
    <t>09-05-2024 02:00</t>
  </si>
  <si>
    <t>09-05-2024 02:15</t>
  </si>
  <si>
    <t>09-05-2024 02:30</t>
  </si>
  <si>
    <t>09-05-2024 02:45</t>
  </si>
  <si>
    <t>09-05-2024 03:00</t>
  </si>
  <si>
    <t>09-05-2024 03:15</t>
  </si>
  <si>
    <t>09-05-2024 03:30</t>
  </si>
  <si>
    <t>09-05-2024 03:45</t>
  </si>
  <si>
    <t>09-05-2024 04:00</t>
  </si>
  <si>
    <t>09-05-2024 04:15</t>
  </si>
  <si>
    <t>09-05-2024 04:30</t>
  </si>
  <si>
    <t>09-05-2024 04:45</t>
  </si>
  <si>
    <t>09-05-2024 05:00</t>
  </si>
  <si>
    <t>09-05-2024 05:15</t>
  </si>
  <si>
    <t>09-05-2024 05:30</t>
  </si>
  <si>
    <t>09-05-2024 05:45</t>
  </si>
  <si>
    <t>09-05-2024 06:00</t>
  </si>
  <si>
    <t>09-05-2024 06:15</t>
  </si>
  <si>
    <t>09-05-2024 06:30</t>
  </si>
  <si>
    <t>09-05-2024 06:45</t>
  </si>
  <si>
    <t>09-05-2024 07:00</t>
  </si>
  <si>
    <t>09-05-2024 07:15</t>
  </si>
  <si>
    <t>09-05-2024 07:30</t>
  </si>
  <si>
    <t>09-05-2024 07:45</t>
  </si>
  <si>
    <t>09-05-2024 08:00</t>
  </si>
  <si>
    <t>09-05-2024 08:15</t>
  </si>
  <si>
    <t>09-05-2024 08:30</t>
  </si>
  <si>
    <t>09-05-2024 08:45</t>
  </si>
  <si>
    <t>09-05-2024 09:00</t>
  </si>
  <si>
    <t>09-05-2024 09:15</t>
  </si>
  <si>
    <t>09-05-2024 09:30</t>
  </si>
  <si>
    <t>09-05-2024 09:45</t>
  </si>
  <si>
    <t>09-05-2024 10:00</t>
  </si>
  <si>
    <t>09-05-2024 10:15</t>
  </si>
  <si>
    <t>09-05-2024 10:30</t>
  </si>
  <si>
    <t>09-05-2024 10:45</t>
  </si>
  <si>
    <t>09-05-2024 11:00</t>
  </si>
  <si>
    <t>09-05-2024 11:15</t>
  </si>
  <si>
    <t>09-05-2024 11:30</t>
  </si>
  <si>
    <t>09-05-2024 11:45</t>
  </si>
  <si>
    <t>09-05-2024 12:00</t>
  </si>
  <si>
    <t>09-05-2024 12:15</t>
  </si>
  <si>
    <t>09-05-2024 12:30</t>
  </si>
  <si>
    <t>09-05-2024 12:45</t>
  </si>
  <si>
    <t>09-05-2024 13:00</t>
  </si>
  <si>
    <t>09-05-2024 13:15</t>
  </si>
  <si>
    <t>09-05-2024 13:30</t>
  </si>
  <si>
    <t>09-05-2024 13:45</t>
  </si>
  <si>
    <t>09-05-2024 14:00</t>
  </si>
  <si>
    <t>09-05-2024 14:15</t>
  </si>
  <si>
    <t>09-05-2024 14:30</t>
  </si>
  <si>
    <t>09-05-2024 14:45</t>
  </si>
  <si>
    <t>09-05-2024 15:00</t>
  </si>
  <si>
    <t>09-05-2024 15:15</t>
  </si>
  <si>
    <t>09-05-2024 15:30</t>
  </si>
  <si>
    <t>09-05-2024 15:45</t>
  </si>
  <si>
    <t>09-05-2024 16:00</t>
  </si>
  <si>
    <t>09-05-2024 16:15</t>
  </si>
  <si>
    <t>09-05-2024 16:30</t>
  </si>
  <si>
    <t>09-05-2024 16:45</t>
  </si>
  <si>
    <t>09-05-2024 17:00</t>
  </si>
  <si>
    <t>09-05-2024 17:15</t>
  </si>
  <si>
    <t>09-05-2024 17:30</t>
  </si>
  <si>
    <t>09-05-2024 17:45</t>
  </si>
  <si>
    <t>09-05-2024 18:00</t>
  </si>
  <si>
    <t>09-05-2024 18:15</t>
  </si>
  <si>
    <t>09-05-2024 18:30</t>
  </si>
  <si>
    <t>09-05-2024 18:45</t>
  </si>
  <si>
    <t>09-05-2024 19:00</t>
  </si>
  <si>
    <t>09-05-2024 19:15</t>
  </si>
  <si>
    <t>09-05-2024 19:30</t>
  </si>
  <si>
    <t>09-05-2024 19:45</t>
  </si>
  <si>
    <t>09-05-2024 20:00</t>
  </si>
  <si>
    <t>09-05-2024 20:15</t>
  </si>
  <si>
    <t>09-05-2024 20:30</t>
  </si>
  <si>
    <t>09-05-2024 20:45</t>
  </si>
  <si>
    <t>09-05-2024 21:00</t>
  </si>
  <si>
    <t>09-05-2024 21:15</t>
  </si>
  <si>
    <t>09-05-2024 21:30</t>
  </si>
  <si>
    <t>09-05-2024 21:45</t>
  </si>
  <si>
    <t>09-05-2024 22:00</t>
  </si>
  <si>
    <t>09-05-2024 22:15</t>
  </si>
  <si>
    <t>09-05-2024 22:30</t>
  </si>
  <si>
    <t>09-05-2024 22:45</t>
  </si>
  <si>
    <t>09-05-2024 23:00</t>
  </si>
  <si>
    <t>09-05-2024 23:15</t>
  </si>
  <si>
    <t>09-05-2024 23:30</t>
  </si>
  <si>
    <t>09-05-2024 23:45</t>
  </si>
  <si>
    <t>09-05-2024 24:00</t>
  </si>
  <si>
    <t>10-05-2024 00:15</t>
  </si>
  <si>
    <t>10-05-2024 00:30</t>
  </si>
  <si>
    <t>10-05-2024 00:45</t>
  </si>
  <si>
    <t>10-05-2024 01:00</t>
  </si>
  <si>
    <t>10-05-2024 01:15</t>
  </si>
  <si>
    <t>10-05-2024 01:30</t>
  </si>
  <si>
    <t>10-05-2024 01:45</t>
  </si>
  <si>
    <t>10-05-2024 02:00</t>
  </si>
  <si>
    <t>10-05-2024 02:15</t>
  </si>
  <si>
    <t>10-05-2024 02:30</t>
  </si>
  <si>
    <t>10-05-2024 02:45</t>
  </si>
  <si>
    <t>10-05-2024 03:00</t>
  </si>
  <si>
    <t>10-05-2024 03:15</t>
  </si>
  <si>
    <t>10-05-2024 03:30</t>
  </si>
  <si>
    <t>10-05-2024 03:45</t>
  </si>
  <si>
    <t>10-05-2024 04:00</t>
  </si>
  <si>
    <t>10-05-2024 04:15</t>
  </si>
  <si>
    <t>10-05-2024 04:30</t>
  </si>
  <si>
    <t>10-05-2024 04:45</t>
  </si>
  <si>
    <t>10-05-2024 05:00</t>
  </si>
  <si>
    <t>10-05-2024 05:15</t>
  </si>
  <si>
    <t>10-05-2024 05:30</t>
  </si>
  <si>
    <t>10-05-2024 05:45</t>
  </si>
  <si>
    <t>10-05-2024 06:00</t>
  </si>
  <si>
    <t>10-05-2024 06:15</t>
  </si>
  <si>
    <t>10-05-2024 06:30</t>
  </si>
  <si>
    <t>10-05-2024 06:45</t>
  </si>
  <si>
    <t>10-05-2024 07:00</t>
  </si>
  <si>
    <t>10-05-2024 07:15</t>
  </si>
  <si>
    <t>10-05-2024 07:30</t>
  </si>
  <si>
    <t>10-05-2024 07:45</t>
  </si>
  <si>
    <t>10-05-2024 08:00</t>
  </si>
  <si>
    <t>10-05-2024 08:15</t>
  </si>
  <si>
    <t>10-05-2024 08:30</t>
  </si>
  <si>
    <t>10-05-2024 08:45</t>
  </si>
  <si>
    <t>10-05-2024 09:00</t>
  </si>
  <si>
    <t>10-05-2024 09:15</t>
  </si>
  <si>
    <t>10-05-2024 09:30</t>
  </si>
  <si>
    <t>10-05-2024 09:45</t>
  </si>
  <si>
    <t>10-05-2024 10:00</t>
  </si>
  <si>
    <t>10-05-2024 10:15</t>
  </si>
  <si>
    <t>10-05-2024 10:30</t>
  </si>
  <si>
    <t>10-05-2024 10:45</t>
  </si>
  <si>
    <t>10-05-2024 11:00</t>
  </si>
  <si>
    <t>10-05-2024 11:15</t>
  </si>
  <si>
    <t>10-05-2024 11:30</t>
  </si>
  <si>
    <t>10-05-2024 11:45</t>
  </si>
  <si>
    <t>10-05-2024 12:00</t>
  </si>
  <si>
    <t>10-05-2024 12:15</t>
  </si>
  <si>
    <t>10-05-2024 12:30</t>
  </si>
  <si>
    <t>10-05-2024 12:45</t>
  </si>
  <si>
    <t>10-05-2024 13:00</t>
  </si>
  <si>
    <t>10-05-2024 13:15</t>
  </si>
  <si>
    <t>10-05-2024 13:30</t>
  </si>
  <si>
    <t>10-05-2024 13:45</t>
  </si>
  <si>
    <t>10-05-2024 14:00</t>
  </si>
  <si>
    <t>10-05-2024 14:15</t>
  </si>
  <si>
    <t>10-05-2024 14:30</t>
  </si>
  <si>
    <t>10-05-2024 14:45</t>
  </si>
  <si>
    <t>10-05-2024 15:00</t>
  </si>
  <si>
    <t>10-05-2024 15:15</t>
  </si>
  <si>
    <t>10-05-2024 15:30</t>
  </si>
  <si>
    <t>10-05-2024 15:45</t>
  </si>
  <si>
    <t>10-05-2024 16:00</t>
  </si>
  <si>
    <t>10-05-2024 16:15</t>
  </si>
  <si>
    <t>10-05-2024 16:30</t>
  </si>
  <si>
    <t>10-05-2024 16:45</t>
  </si>
  <si>
    <t>10-05-2024 17:00</t>
  </si>
  <si>
    <t>10-05-2024 17:15</t>
  </si>
  <si>
    <t>10-05-2024 17:30</t>
  </si>
  <si>
    <t>10-05-2024 17:45</t>
  </si>
  <si>
    <t>10-05-2024 18:00</t>
  </si>
  <si>
    <t>10-05-2024 18:15</t>
  </si>
  <si>
    <t>10-05-2024 18:30</t>
  </si>
  <si>
    <t>10-05-2024 18:45</t>
  </si>
  <si>
    <t>10-05-2024 19:00</t>
  </si>
  <si>
    <t>10-05-2024 19:15</t>
  </si>
  <si>
    <t>10-05-2024 19:30</t>
  </si>
  <si>
    <t>10-05-2024 19:45</t>
  </si>
  <si>
    <t>10-05-2024 20:00</t>
  </si>
  <si>
    <t>10-05-2024 20:15</t>
  </si>
  <si>
    <t>10-05-2024 20:30</t>
  </si>
  <si>
    <t>10-05-2024 20:45</t>
  </si>
  <si>
    <t>10-05-2024 21:00</t>
  </si>
  <si>
    <t>10-05-2024 21:15</t>
  </si>
  <si>
    <t>10-05-2024 21:30</t>
  </si>
  <si>
    <t>10-05-2024 21:45</t>
  </si>
  <si>
    <t>10-05-2024 22:00</t>
  </si>
  <si>
    <t>10-05-2024 22:15</t>
  </si>
  <si>
    <t>10-05-2024 22:30</t>
  </si>
  <si>
    <t>10-05-2024 22:45</t>
  </si>
  <si>
    <t>10-05-2024 23:00</t>
  </si>
  <si>
    <t>10-05-2024 23:15</t>
  </si>
  <si>
    <t>10-05-2024 23:30</t>
  </si>
  <si>
    <t>10-05-2024 23:45</t>
  </si>
  <si>
    <t>10-05-2024 24:00</t>
  </si>
  <si>
    <t>11-05-2024 00:15</t>
  </si>
  <si>
    <t>11-05-2024 00:30</t>
  </si>
  <si>
    <t>11-05-2024 00:45</t>
  </si>
  <si>
    <t>11-05-2024 01:00</t>
  </si>
  <si>
    <t>11-05-2024 01:15</t>
  </si>
  <si>
    <t>11-05-2024 01:30</t>
  </si>
  <si>
    <t>11-05-2024 01:45</t>
  </si>
  <si>
    <t>11-05-2024 02:00</t>
  </si>
  <si>
    <t>11-05-2024 02:15</t>
  </si>
  <si>
    <t>11-05-2024 02:30</t>
  </si>
  <si>
    <t>11-05-2024 02:45</t>
  </si>
  <si>
    <t>11-05-2024 03:00</t>
  </si>
  <si>
    <t>11-05-2024 03:15</t>
  </si>
  <si>
    <t>11-05-2024 03:30</t>
  </si>
  <si>
    <t>11-05-2024 03:45</t>
  </si>
  <si>
    <t>11-05-2024 04:00</t>
  </si>
  <si>
    <t>11-05-2024 04:15</t>
  </si>
  <si>
    <t>11-05-2024 04:30</t>
  </si>
  <si>
    <t>11-05-2024 04:45</t>
  </si>
  <si>
    <t>11-05-2024 05:00</t>
  </si>
  <si>
    <t>11-05-2024 05:15</t>
  </si>
  <si>
    <t>11-05-2024 05:30</t>
  </si>
  <si>
    <t>11-05-2024 05:45</t>
  </si>
  <si>
    <t>11-05-2024 06:00</t>
  </si>
  <si>
    <t>11-05-2024 06:15</t>
  </si>
  <si>
    <t>11-05-2024 06:30</t>
  </si>
  <si>
    <t>11-05-2024 06:45</t>
  </si>
  <si>
    <t>11-05-2024 07:00</t>
  </si>
  <si>
    <t>11-05-2024 07:15</t>
  </si>
  <si>
    <t>11-05-2024 07:30</t>
  </si>
  <si>
    <t>11-05-2024 07:45</t>
  </si>
  <si>
    <t>11-05-2024 08:00</t>
  </si>
  <si>
    <t>11-05-2024 08:15</t>
  </si>
  <si>
    <t>11-05-2024 08:30</t>
  </si>
  <si>
    <t>11-05-2024 08:45</t>
  </si>
  <si>
    <t>11-05-2024 09:00</t>
  </si>
  <si>
    <t>11-05-2024 09:15</t>
  </si>
  <si>
    <t>11-05-2024 09:30</t>
  </si>
  <si>
    <t>11-05-2024 09:45</t>
  </si>
  <si>
    <t>11-05-2024 10:00</t>
  </si>
  <si>
    <t>11-05-2024 10:15</t>
  </si>
  <si>
    <t>11-05-2024 10:30</t>
  </si>
  <si>
    <t>11-05-2024 10:45</t>
  </si>
  <si>
    <t>11-05-2024 11:00</t>
  </si>
  <si>
    <t>11-05-2024 11:15</t>
  </si>
  <si>
    <t>11-05-2024 11:30</t>
  </si>
  <si>
    <t>11-05-2024 11:45</t>
  </si>
  <si>
    <t>11-05-2024 12:00</t>
  </si>
  <si>
    <t>11-05-2024 12:15</t>
  </si>
  <si>
    <t>11-05-2024 12:30</t>
  </si>
  <si>
    <t>11-05-2024 12:45</t>
  </si>
  <si>
    <t>11-05-2024 13:00</t>
  </si>
  <si>
    <t>11-05-2024 13:15</t>
  </si>
  <si>
    <t>11-05-2024 13:30</t>
  </si>
  <si>
    <t>11-05-2024 13:45</t>
  </si>
  <si>
    <t>11-05-2024 14:00</t>
  </si>
  <si>
    <t>11-05-2024 14:15</t>
  </si>
  <si>
    <t>11-05-2024 14:30</t>
  </si>
  <si>
    <t>11-05-2024 14:45</t>
  </si>
  <si>
    <t>11-05-2024 15:00</t>
  </si>
  <si>
    <t>11-05-2024 15:15</t>
  </si>
  <si>
    <t>11-05-2024 15:30</t>
  </si>
  <si>
    <t>11-05-2024 15:45</t>
  </si>
  <si>
    <t>11-05-2024 16:00</t>
  </si>
  <si>
    <t>11-05-2024 16:15</t>
  </si>
  <si>
    <t>11-05-2024 16:30</t>
  </si>
  <si>
    <t>11-05-2024 16:45</t>
  </si>
  <si>
    <t>11-05-2024 17:00</t>
  </si>
  <si>
    <t>11-05-2024 17:15</t>
  </si>
  <si>
    <t>11-05-2024 17:30</t>
  </si>
  <si>
    <t>11-05-2024 17:45</t>
  </si>
  <si>
    <t>11-05-2024 18:00</t>
  </si>
  <si>
    <t>11-05-2024 18:15</t>
  </si>
  <si>
    <t>11-05-2024 18:30</t>
  </si>
  <si>
    <t>11-05-2024 18:45</t>
  </si>
  <si>
    <t>11-05-2024 19:00</t>
  </si>
  <si>
    <t>11-05-2024 19:15</t>
  </si>
  <si>
    <t>11-05-2024 19:30</t>
  </si>
  <si>
    <t>11-05-2024 19:45</t>
  </si>
  <si>
    <t>11-05-2024 20:00</t>
  </si>
  <si>
    <t>11-05-2024 20:15</t>
  </si>
  <si>
    <t>11-05-2024 20:30</t>
  </si>
  <si>
    <t>11-05-2024 20:45</t>
  </si>
  <si>
    <t>11-05-2024 21:00</t>
  </si>
  <si>
    <t>11-05-2024 21:15</t>
  </si>
  <si>
    <t>11-05-2024 21:30</t>
  </si>
  <si>
    <t>11-05-2024 21:45</t>
  </si>
  <si>
    <t>11-05-2024 22:00</t>
  </si>
  <si>
    <t>11-05-2024 22:15</t>
  </si>
  <si>
    <t>11-05-2024 22:30</t>
  </si>
  <si>
    <t>11-05-2024 22:45</t>
  </si>
  <si>
    <t>11-05-2024 23:00</t>
  </si>
  <si>
    <t>11-05-2024 23:15</t>
  </si>
  <si>
    <t>11-05-2024 23:30</t>
  </si>
  <si>
    <t>11-05-2024 23:45</t>
  </si>
  <si>
    <t>11-05-2024 24:00</t>
  </si>
  <si>
    <t>12-05-2024 00:15</t>
  </si>
  <si>
    <t>12-05-2024 00:30</t>
  </si>
  <si>
    <t>12-05-2024 00:45</t>
  </si>
  <si>
    <t>12-05-2024 01:00</t>
  </si>
  <si>
    <t>12-05-2024 01:15</t>
  </si>
  <si>
    <t>12-05-2024 01:30</t>
  </si>
  <si>
    <t>12-05-2024 01:45</t>
  </si>
  <si>
    <t>12-05-2024 02:00</t>
  </si>
  <si>
    <t>12-05-2024 02:15</t>
  </si>
  <si>
    <t>12-05-2024 02:30</t>
  </si>
  <si>
    <t>12-05-2024 02:45</t>
  </si>
  <si>
    <t>12-05-2024 03:00</t>
  </si>
  <si>
    <t>12-05-2024 03:15</t>
  </si>
  <si>
    <t>12-05-2024 03:30</t>
  </si>
  <si>
    <t>12-05-2024 03:45</t>
  </si>
  <si>
    <t>12-05-2024 04:00</t>
  </si>
  <si>
    <t>12-05-2024 04:15</t>
  </si>
  <si>
    <t>12-05-2024 04:30</t>
  </si>
  <si>
    <t>12-05-2024 04:45</t>
  </si>
  <si>
    <t>12-05-2024 05:00</t>
  </si>
  <si>
    <t>12-05-2024 05:15</t>
  </si>
  <si>
    <t>12-05-2024 05:30</t>
  </si>
  <si>
    <t>12-05-2024 05:45</t>
  </si>
  <si>
    <t>12-05-2024 06:00</t>
  </si>
  <si>
    <t>12-05-2024 06:15</t>
  </si>
  <si>
    <t>12-05-2024 06:30</t>
  </si>
  <si>
    <t>12-05-2024 06:45</t>
  </si>
  <si>
    <t>12-05-2024 07:00</t>
  </si>
  <si>
    <t>12-05-2024 07:15</t>
  </si>
  <si>
    <t>12-05-2024 07:30</t>
  </si>
  <si>
    <t>12-05-2024 07:45</t>
  </si>
  <si>
    <t>12-05-2024 08:00</t>
  </si>
  <si>
    <t>12-05-2024 08:15</t>
  </si>
  <si>
    <t>12-05-2024 08:30</t>
  </si>
  <si>
    <t>12-05-2024 08:45</t>
  </si>
  <si>
    <t>12-05-2024 09:00</t>
  </si>
  <si>
    <t>12-05-2024 09:15</t>
  </si>
  <si>
    <t>12-05-2024 09:30</t>
  </si>
  <si>
    <t>12-05-2024 09:45</t>
  </si>
  <si>
    <t>12-05-2024 10:00</t>
  </si>
  <si>
    <t>12-05-2024 10:15</t>
  </si>
  <si>
    <t>12-05-2024 10:30</t>
  </si>
  <si>
    <t>12-05-2024 10:45</t>
  </si>
  <si>
    <t>12-05-2024 11:00</t>
  </si>
  <si>
    <t>12-05-2024 11:15</t>
  </si>
  <si>
    <t>12-05-2024 11:30</t>
  </si>
  <si>
    <t>12-05-2024 11:45</t>
  </si>
  <si>
    <t>12-05-2024 12:00</t>
  </si>
  <si>
    <t>12-05-2024 12:15</t>
  </si>
  <si>
    <t>12-05-2024 12:30</t>
  </si>
  <si>
    <t>12-05-2024 12:45</t>
  </si>
  <si>
    <t>12-05-2024 13:00</t>
  </si>
  <si>
    <t>12-05-2024 13:15</t>
  </si>
  <si>
    <t>12-05-2024 13:30</t>
  </si>
  <si>
    <t>12-05-2024 13:45</t>
  </si>
  <si>
    <t>12-05-2024 14:00</t>
  </si>
  <si>
    <t>12-05-2024 14:15</t>
  </si>
  <si>
    <t>12-05-2024 14:30</t>
  </si>
  <si>
    <t>12-05-2024 14:45</t>
  </si>
  <si>
    <t>12-05-2024 15:00</t>
  </si>
  <si>
    <t>12-05-2024 15:15</t>
  </si>
  <si>
    <t>12-05-2024 15:30</t>
  </si>
  <si>
    <t>12-05-2024 15:45</t>
  </si>
  <si>
    <t>12-05-2024 16:00</t>
  </si>
  <si>
    <t>12-05-2024 16:15</t>
  </si>
  <si>
    <t>12-05-2024 16:30</t>
  </si>
  <si>
    <t>12-05-2024 16:45</t>
  </si>
  <si>
    <t>12-05-2024 17:00</t>
  </si>
  <si>
    <t>12-05-2024 17:15</t>
  </si>
  <si>
    <t>12-05-2024 17:30</t>
  </si>
  <si>
    <t>12-05-2024 17:45</t>
  </si>
  <si>
    <t>12-05-2024 18:00</t>
  </si>
  <si>
    <t>12-05-2024 18:15</t>
  </si>
  <si>
    <t>12-05-2024 18:30</t>
  </si>
  <si>
    <t>12-05-2024 18:45</t>
  </si>
  <si>
    <t>12-05-2024 19:00</t>
  </si>
  <si>
    <t>12-05-2024 19:15</t>
  </si>
  <si>
    <t>12-05-2024 19:30</t>
  </si>
  <si>
    <t>12-05-2024 19:45</t>
  </si>
  <si>
    <t>12-05-2024 20:00</t>
  </si>
  <si>
    <t>12-05-2024 20:15</t>
  </si>
  <si>
    <t>12-05-2024 20:30</t>
  </si>
  <si>
    <t>12-05-2024 20:45</t>
  </si>
  <si>
    <t>12-05-2024 21:00</t>
  </si>
  <si>
    <t>12-05-2024 21:15</t>
  </si>
  <si>
    <t>12-05-2024 21:30</t>
  </si>
  <si>
    <t>12-05-2024 21:45</t>
  </si>
  <si>
    <t>12-05-2024 22:00</t>
  </si>
  <si>
    <t>12-05-2024 22:15</t>
  </si>
  <si>
    <t>12-05-2024 22:30</t>
  </si>
  <si>
    <t>12-05-2024 22:45</t>
  </si>
  <si>
    <t>12-05-2024 23:00</t>
  </si>
  <si>
    <t>12-05-2024 23:15</t>
  </si>
  <si>
    <t>12-05-2024 23:30</t>
  </si>
  <si>
    <t>12-05-2024 23:45</t>
  </si>
  <si>
    <t>12-05-2024 24:00</t>
  </si>
  <si>
    <t>13-05-2024 00:15</t>
  </si>
  <si>
    <t>13-05-2024 00:30</t>
  </si>
  <si>
    <t>13-05-2024 00:45</t>
  </si>
  <si>
    <t>13-05-2024 01:00</t>
  </si>
  <si>
    <t>13-05-2024 01:15</t>
  </si>
  <si>
    <t>13-05-2024 01:30</t>
  </si>
  <si>
    <t>13-05-2024 01:45</t>
  </si>
  <si>
    <t>13-05-2024 02:00</t>
  </si>
  <si>
    <t>13-05-2024 02:15</t>
  </si>
  <si>
    <t>13-05-2024 02:30</t>
  </si>
  <si>
    <t>13-05-2024 02:45</t>
  </si>
  <si>
    <t>13-05-2024 03:00</t>
  </si>
  <si>
    <t>13-05-2024 03:15</t>
  </si>
  <si>
    <t>13-05-2024 03:30</t>
  </si>
  <si>
    <t>13-05-2024 03:45</t>
  </si>
  <si>
    <t>13-05-2024 04:00</t>
  </si>
  <si>
    <t>13-05-2024 04:15</t>
  </si>
  <si>
    <t>13-05-2024 04:30</t>
  </si>
  <si>
    <t>13-05-2024 04:45</t>
  </si>
  <si>
    <t>13-05-2024 05:00</t>
  </si>
  <si>
    <t>13-05-2024 05:15</t>
  </si>
  <si>
    <t>13-05-2024 05:30</t>
  </si>
  <si>
    <t>13-05-2024 05:45</t>
  </si>
  <si>
    <t>13-05-2024 06:00</t>
  </si>
  <si>
    <t>13-05-2024 06:15</t>
  </si>
  <si>
    <t>13-05-2024 06:30</t>
  </si>
  <si>
    <t>13-05-2024 06:45</t>
  </si>
  <si>
    <t>13-05-2024 07:00</t>
  </si>
  <si>
    <t>13-05-2024 07:15</t>
  </si>
  <si>
    <t>13-05-2024 07:30</t>
  </si>
  <si>
    <t>13-05-2024 07:45</t>
  </si>
  <si>
    <t>13-05-2024 08:00</t>
  </si>
  <si>
    <t>13-05-2024 08:15</t>
  </si>
  <si>
    <t>13-05-2024 08:30</t>
  </si>
  <si>
    <t>13-05-2024 08:45</t>
  </si>
  <si>
    <t>13-05-2024 09:00</t>
  </si>
  <si>
    <t>13-05-2024 09:15</t>
  </si>
  <si>
    <t>13-05-2024 09:30</t>
  </si>
  <si>
    <t>13-05-2024 09:45</t>
  </si>
  <si>
    <t>13-05-2024 10:00</t>
  </si>
  <si>
    <t>13-05-2024 10:15</t>
  </si>
  <si>
    <t>13-05-2024 10:30</t>
  </si>
  <si>
    <t>13-05-2024 10:45</t>
  </si>
  <si>
    <t>13-05-2024 11:00</t>
  </si>
  <si>
    <t>13-05-2024 11:15</t>
  </si>
  <si>
    <t>13-05-2024 11:30</t>
  </si>
  <si>
    <t>13-05-2024 11:45</t>
  </si>
  <si>
    <t>13-05-2024 12:00</t>
  </si>
  <si>
    <t>13-05-2024 12:15</t>
  </si>
  <si>
    <t>13-05-2024 12:30</t>
  </si>
  <si>
    <t>13-05-2024 12:45</t>
  </si>
  <si>
    <t>13-05-2024 13:00</t>
  </si>
  <si>
    <t>13-05-2024 13:15</t>
  </si>
  <si>
    <t>13-05-2024 13:30</t>
  </si>
  <si>
    <t>13-05-2024 13:45</t>
  </si>
  <si>
    <t>13-05-2024 14:00</t>
  </si>
  <si>
    <t>13-05-2024 14:15</t>
  </si>
  <si>
    <t>13-05-2024 14:30</t>
  </si>
  <si>
    <t>13-05-2024 14:45</t>
  </si>
  <si>
    <t>13-05-2024 15:00</t>
  </si>
  <si>
    <t>13-05-2024 15:15</t>
  </si>
  <si>
    <t>13-05-2024 15:30</t>
  </si>
  <si>
    <t>13-05-2024 15:45</t>
  </si>
  <si>
    <t>13-05-2024 16:00</t>
  </si>
  <si>
    <t>13-05-2024 16:15</t>
  </si>
  <si>
    <t>13-05-2024 16:30</t>
  </si>
  <si>
    <t>13-05-2024 16:45</t>
  </si>
  <si>
    <t>13-05-2024 17:00</t>
  </si>
  <si>
    <t>13-05-2024 17:15</t>
  </si>
  <si>
    <t>13-05-2024 17:30</t>
  </si>
  <si>
    <t>13-05-2024 17:45</t>
  </si>
  <si>
    <t>13-05-2024 18:00</t>
  </si>
  <si>
    <t>13-05-2024 18:15</t>
  </si>
  <si>
    <t>13-05-2024 18:30</t>
  </si>
  <si>
    <t>13-05-2024 18:45</t>
  </si>
  <si>
    <t>13-05-2024 19:00</t>
  </si>
  <si>
    <t>13-05-2024 19:15</t>
  </si>
  <si>
    <t>13-05-2024 19:30</t>
  </si>
  <si>
    <t>13-05-2024 19:45</t>
  </si>
  <si>
    <t>13-05-2024 20:00</t>
  </si>
  <si>
    <t>13-05-2024 20:15</t>
  </si>
  <si>
    <t>13-05-2024 20:30</t>
  </si>
  <si>
    <t>13-05-2024 20:45</t>
  </si>
  <si>
    <t>13-05-2024 21:00</t>
  </si>
  <si>
    <t>13-05-2024 21:15</t>
  </si>
  <si>
    <t>13-05-2024 21:30</t>
  </si>
  <si>
    <t>13-05-2024 21:45</t>
  </si>
  <si>
    <t>13-05-2024 22:00</t>
  </si>
  <si>
    <t>13-05-2024 22:15</t>
  </si>
  <si>
    <t>13-05-2024 22:30</t>
  </si>
  <si>
    <t>13-05-2024 22:45</t>
  </si>
  <si>
    <t>13-05-2024 23:00</t>
  </si>
  <si>
    <t>13-05-2024 23:15</t>
  </si>
  <si>
    <t>13-05-2024 23:30</t>
  </si>
  <si>
    <t>13-05-2024 23:45</t>
  </si>
  <si>
    <t>13-05-2024 24:00</t>
  </si>
  <si>
    <t>14-05-2024 00:15</t>
  </si>
  <si>
    <t>14-05-2024 00:30</t>
  </si>
  <si>
    <t>14-05-2024 00:45</t>
  </si>
  <si>
    <t>14-05-2024 01:00</t>
  </si>
  <si>
    <t>14-05-2024 01:15</t>
  </si>
  <si>
    <t>14-05-2024 01:30</t>
  </si>
  <si>
    <t>14-05-2024 01:45</t>
  </si>
  <si>
    <t>14-05-2024 02:00</t>
  </si>
  <si>
    <t>14-05-2024 02:15</t>
  </si>
  <si>
    <t>14-05-2024 02:30</t>
  </si>
  <si>
    <t>14-05-2024 02:45</t>
  </si>
  <si>
    <t>14-05-2024 03:00</t>
  </si>
  <si>
    <t>14-05-2024 03:15</t>
  </si>
  <si>
    <t>14-05-2024 03:30</t>
  </si>
  <si>
    <t>14-05-2024 03:45</t>
  </si>
  <si>
    <t>14-05-2024 04:00</t>
  </si>
  <si>
    <t>14-05-2024 04:15</t>
  </si>
  <si>
    <t>14-05-2024 04:30</t>
  </si>
  <si>
    <t>14-05-2024 04:45</t>
  </si>
  <si>
    <t>14-05-2024 05:00</t>
  </si>
  <si>
    <t>14-05-2024 05:15</t>
  </si>
  <si>
    <t>14-05-2024 05:30</t>
  </si>
  <si>
    <t>14-05-2024 05:45</t>
  </si>
  <si>
    <t>14-05-2024 06:00</t>
  </si>
  <si>
    <t>14-05-2024 06:15</t>
  </si>
  <si>
    <t>14-05-2024 06:30</t>
  </si>
  <si>
    <t>14-05-2024 06:45</t>
  </si>
  <si>
    <t>14-05-2024 07:00</t>
  </si>
  <si>
    <t>14-05-2024 07:15</t>
  </si>
  <si>
    <t>14-05-2024 07:30</t>
  </si>
  <si>
    <t>14-05-2024 07:45</t>
  </si>
  <si>
    <t>14-05-2024 08:00</t>
  </si>
  <si>
    <t>14-05-2024 08:15</t>
  </si>
  <si>
    <t>14-05-2024 08:30</t>
  </si>
  <si>
    <t>14-05-2024 08:45</t>
  </si>
  <si>
    <t>14-05-2024 09:00</t>
  </si>
  <si>
    <t>14-05-2024 09:15</t>
  </si>
  <si>
    <t>14-05-2024 09:30</t>
  </si>
  <si>
    <t>14-05-2024 09:45</t>
  </si>
  <si>
    <t>14-05-2024 10:00</t>
  </si>
  <si>
    <t>14-05-2024 10:15</t>
  </si>
  <si>
    <t>14-05-2024 10:30</t>
  </si>
  <si>
    <t>14-05-2024 10:45</t>
  </si>
  <si>
    <t>14-05-2024 11:00</t>
  </si>
  <si>
    <t>14-05-2024 11:15</t>
  </si>
  <si>
    <t>14-05-2024 11:30</t>
  </si>
  <si>
    <t>14-05-2024 11:45</t>
  </si>
  <si>
    <t>14-05-2024 12:00</t>
  </si>
  <si>
    <t>14-05-2024 12:15</t>
  </si>
  <si>
    <t>14-05-2024 12:30</t>
  </si>
  <si>
    <t>14-05-2024 12:45</t>
  </si>
  <si>
    <t>14-05-2024 13:00</t>
  </si>
  <si>
    <t>14-05-2024 13:15</t>
  </si>
  <si>
    <t>14-05-2024 13:30</t>
  </si>
  <si>
    <t>14-05-2024 13:45</t>
  </si>
  <si>
    <t>14-05-2024 14:00</t>
  </si>
  <si>
    <t>14-05-2024 14:15</t>
  </si>
  <si>
    <t>14-05-2024 14:30</t>
  </si>
  <si>
    <t>14-05-2024 14:45</t>
  </si>
  <si>
    <t>14-05-2024 15:00</t>
  </si>
  <si>
    <t>14-05-2024 15:15</t>
  </si>
  <si>
    <t>14-05-2024 15:30</t>
  </si>
  <si>
    <t>14-05-2024 15:45</t>
  </si>
  <si>
    <t>14-05-2024 16:00</t>
  </si>
  <si>
    <t>14-05-2024 16:15</t>
  </si>
  <si>
    <t>14-05-2024 16:30</t>
  </si>
  <si>
    <t>14-05-2024 16:45</t>
  </si>
  <si>
    <t>14-05-2024 17:00</t>
  </si>
  <si>
    <t>14-05-2024 17:15</t>
  </si>
  <si>
    <t>14-05-2024 17:30</t>
  </si>
  <si>
    <t>14-05-2024 17:45</t>
  </si>
  <si>
    <t>14-05-2024 18:00</t>
  </si>
  <si>
    <t>14-05-2024 18:15</t>
  </si>
  <si>
    <t>14-05-2024 18:30</t>
  </si>
  <si>
    <t>14-05-2024 18:45</t>
  </si>
  <si>
    <t>14-05-2024 19:00</t>
  </si>
  <si>
    <t>14-05-2024 19:15</t>
  </si>
  <si>
    <t>14-05-2024 19:30</t>
  </si>
  <si>
    <t>14-05-2024 19:45</t>
  </si>
  <si>
    <t>14-05-2024 20:00</t>
  </si>
  <si>
    <t>14-05-2024 20:15</t>
  </si>
  <si>
    <t>14-05-2024 20:30</t>
  </si>
  <si>
    <t>14-05-2024 20:45</t>
  </si>
  <si>
    <t>14-05-2024 21:00</t>
  </si>
  <si>
    <t>14-05-2024 21:15</t>
  </si>
  <si>
    <t>14-05-2024 21:30</t>
  </si>
  <si>
    <t>14-05-2024 21:45</t>
  </si>
  <si>
    <t>14-05-2024 22:00</t>
  </si>
  <si>
    <t>14-05-2024 22:15</t>
  </si>
  <si>
    <t>14-05-2024 22:30</t>
  </si>
  <si>
    <t>14-05-2024 22:45</t>
  </si>
  <si>
    <t>14-05-2024 23:00</t>
  </si>
  <si>
    <t>14-05-2024 23:15</t>
  </si>
  <si>
    <t>14-05-2024 23:30</t>
  </si>
  <si>
    <t>14-05-2024 23:45</t>
  </si>
  <si>
    <t>14-05-2024 24:00</t>
  </si>
  <si>
    <t>15-05-2024 00:15</t>
  </si>
  <si>
    <t>15-05-2024 00:30</t>
  </si>
  <si>
    <t>15-05-2024 00:45</t>
  </si>
  <si>
    <t>15-05-2024 01:00</t>
  </si>
  <si>
    <t>15-05-2024 01:15</t>
  </si>
  <si>
    <t>15-05-2024 01:30</t>
  </si>
  <si>
    <t>15-05-2024 01:45</t>
  </si>
  <si>
    <t>15-05-2024 02:00</t>
  </si>
  <si>
    <t>15-05-2024 02:15</t>
  </si>
  <si>
    <t>15-05-2024 02:30</t>
  </si>
  <si>
    <t>15-05-2024 02:45</t>
  </si>
  <si>
    <t>15-05-2024 03:00</t>
  </si>
  <si>
    <t>15-05-2024 03:15</t>
  </si>
  <si>
    <t>15-05-2024 03:30</t>
  </si>
  <si>
    <t>15-05-2024 03:45</t>
  </si>
  <si>
    <t>15-05-2024 04:00</t>
  </si>
  <si>
    <t>15-05-2024 04:15</t>
  </si>
  <si>
    <t>15-05-2024 04:30</t>
  </si>
  <si>
    <t>15-05-2024 04:45</t>
  </si>
  <si>
    <t>15-05-2024 05:00</t>
  </si>
  <si>
    <t>15-05-2024 05:15</t>
  </si>
  <si>
    <t>15-05-2024 05:30</t>
  </si>
  <si>
    <t>15-05-2024 05:45</t>
  </si>
  <si>
    <t>15-05-2024 06:00</t>
  </si>
  <si>
    <t>15-05-2024 06:15</t>
  </si>
  <si>
    <t>15-05-2024 06:30</t>
  </si>
  <si>
    <t>15-05-2024 06:45</t>
  </si>
  <si>
    <t>15-05-2024 07:00</t>
  </si>
  <si>
    <t>15-05-2024 07:15</t>
  </si>
  <si>
    <t>15-05-2024 07:30</t>
  </si>
  <si>
    <t>15-05-2024 07:45</t>
  </si>
  <si>
    <t>15-05-2024 08:00</t>
  </si>
  <si>
    <t>15-05-2024 08:15</t>
  </si>
  <si>
    <t>15-05-2024 08:30</t>
  </si>
  <si>
    <t>15-05-2024 08:45</t>
  </si>
  <si>
    <t>15-05-2024 09:00</t>
  </si>
  <si>
    <t>15-05-2024 09:15</t>
  </si>
  <si>
    <t>15-05-2024 09:30</t>
  </si>
  <si>
    <t>15-05-2024 09:45</t>
  </si>
  <si>
    <t>15-05-2024 10:00</t>
  </si>
  <si>
    <t>15-05-2024 10:15</t>
  </si>
  <si>
    <t>15-05-2024 10:30</t>
  </si>
  <si>
    <t>15-05-2024 10:45</t>
  </si>
  <si>
    <t>15-05-2024 11:00</t>
  </si>
  <si>
    <t>15-05-2024 11:15</t>
  </si>
  <si>
    <t>15-05-2024 11:30</t>
  </si>
  <si>
    <t>15-05-2024 11:45</t>
  </si>
  <si>
    <t>15-05-2024 12:00</t>
  </si>
  <si>
    <t>15-05-2024 12:15</t>
  </si>
  <si>
    <t>15-05-2024 12:30</t>
  </si>
  <si>
    <t>15-05-2024 12:45</t>
  </si>
  <si>
    <t>15-05-2024 13:00</t>
  </si>
  <si>
    <t>15-05-2024 13:15</t>
  </si>
  <si>
    <t>15-05-2024 13:30</t>
  </si>
  <si>
    <t>15-05-2024 13:45</t>
  </si>
  <si>
    <t>15-05-2024 14:00</t>
  </si>
  <si>
    <t>15-05-2024 14:15</t>
  </si>
  <si>
    <t>15-05-2024 14:30</t>
  </si>
  <si>
    <t>15-05-2024 14:45</t>
  </si>
  <si>
    <t>15-05-2024 15:00</t>
  </si>
  <si>
    <t>15-05-2024 15:15</t>
  </si>
  <si>
    <t>15-05-2024 15:30</t>
  </si>
  <si>
    <t>15-05-2024 15:45</t>
  </si>
  <si>
    <t>15-05-2024 16:00</t>
  </si>
  <si>
    <t>15-05-2024 16:15</t>
  </si>
  <si>
    <t>15-05-2024 16:30</t>
  </si>
  <si>
    <t>15-05-2024 16:45</t>
  </si>
  <si>
    <t>15-05-2024 17:00</t>
  </si>
  <si>
    <t>15-05-2024 17:15</t>
  </si>
  <si>
    <t>15-05-2024 17:30</t>
  </si>
  <si>
    <t>15-05-2024 17:45</t>
  </si>
  <si>
    <t>15-05-2024 18:00</t>
  </si>
  <si>
    <t>15-05-2024 18:15</t>
  </si>
  <si>
    <t>15-05-2024 18:30</t>
  </si>
  <si>
    <t>15-05-2024 18:45</t>
  </si>
  <si>
    <t>15-05-2024 19:00</t>
  </si>
  <si>
    <t>15-05-2024 19:15</t>
  </si>
  <si>
    <t>15-05-2024 19:30</t>
  </si>
  <si>
    <t>15-05-2024 19:45</t>
  </si>
  <si>
    <t>15-05-2024 20:00</t>
  </si>
  <si>
    <t>15-05-2024 20:15</t>
  </si>
  <si>
    <t>15-05-2024 20:30</t>
  </si>
  <si>
    <t>15-05-2024 20:45</t>
  </si>
  <si>
    <t>15-05-2024 21:00</t>
  </si>
  <si>
    <t>15-05-2024 21:15</t>
  </si>
  <si>
    <t>15-05-2024 21:30</t>
  </si>
  <si>
    <t>15-05-2024 21:45</t>
  </si>
  <si>
    <t>15-05-2024 22:00</t>
  </si>
  <si>
    <t>15-05-2024 22:15</t>
  </si>
  <si>
    <t>15-05-2024 22:30</t>
  </si>
  <si>
    <t>15-05-2024 22:45</t>
  </si>
  <si>
    <t>15-05-2024 23:00</t>
  </si>
  <si>
    <t>15-05-2024 23:15</t>
  </si>
  <si>
    <t>15-05-2024 23:30</t>
  </si>
  <si>
    <t>15-05-2024 23:45</t>
  </si>
  <si>
    <t>15-05-2024 24:00</t>
  </si>
  <si>
    <t>16-05-2024 00:15</t>
  </si>
  <si>
    <t>16-05-2024 00:30</t>
  </si>
  <si>
    <t>16-05-2024 00:45</t>
  </si>
  <si>
    <t>16-05-2024 01:00</t>
  </si>
  <si>
    <t>16-05-2024 01:15</t>
  </si>
  <si>
    <t>16-05-2024 01:30</t>
  </si>
  <si>
    <t>16-05-2024 01:45</t>
  </si>
  <si>
    <t>16-05-2024 02:00</t>
  </si>
  <si>
    <t>16-05-2024 02:15</t>
  </si>
  <si>
    <t>16-05-2024 02:30</t>
  </si>
  <si>
    <t>16-05-2024 02:45</t>
  </si>
  <si>
    <t>16-05-2024 03:00</t>
  </si>
  <si>
    <t>16-05-2024 03:15</t>
  </si>
  <si>
    <t>16-05-2024 03:30</t>
  </si>
  <si>
    <t>16-05-2024 03:45</t>
  </si>
  <si>
    <t>16-05-2024 04:00</t>
  </si>
  <si>
    <t>16-05-2024 04:15</t>
  </si>
  <si>
    <t>16-05-2024 04:30</t>
  </si>
  <si>
    <t>16-05-2024 04:45</t>
  </si>
  <si>
    <t>16-05-2024 05:00</t>
  </si>
  <si>
    <t>16-05-2024 05:15</t>
  </si>
  <si>
    <t>16-05-2024 05:30</t>
  </si>
  <si>
    <t>16-05-2024 05:45</t>
  </si>
  <si>
    <t>16-05-2024 06:00</t>
  </si>
  <si>
    <t>16-05-2024 06:15</t>
  </si>
  <si>
    <t>16-05-2024 06:30</t>
  </si>
  <si>
    <t>16-05-2024 06:45</t>
  </si>
  <si>
    <t>16-05-2024 07:00</t>
  </si>
  <si>
    <t>16-05-2024 07:15</t>
  </si>
  <si>
    <t>16-05-2024 07:30</t>
  </si>
  <si>
    <t>16-05-2024 07:45</t>
  </si>
  <si>
    <t>16-05-2024 08:00</t>
  </si>
  <si>
    <t>16-05-2024 08:15</t>
  </si>
  <si>
    <t>16-05-2024 08:30</t>
  </si>
  <si>
    <t>16-05-2024 08:45</t>
  </si>
  <si>
    <t>16-05-2024 09:00</t>
  </si>
  <si>
    <t>16-05-2024 09:15</t>
  </si>
  <si>
    <t>16-05-2024 09:30</t>
  </si>
  <si>
    <t>16-05-2024 09:45</t>
  </si>
  <si>
    <t>16-05-2024 10:00</t>
  </si>
  <si>
    <t>16-05-2024 10:15</t>
  </si>
  <si>
    <t>16-05-2024 10:30</t>
  </si>
  <si>
    <t>16-05-2024 10:45</t>
  </si>
  <si>
    <t>16-05-2024 11:00</t>
  </si>
  <si>
    <t>16-05-2024 11:15</t>
  </si>
  <si>
    <t>16-05-2024 11:30</t>
  </si>
  <si>
    <t>16-05-2024 11:45</t>
  </si>
  <si>
    <t>16-05-2024 12:00</t>
  </si>
  <si>
    <t>16-05-2024 12:15</t>
  </si>
  <si>
    <t>16-05-2024 12:30</t>
  </si>
  <si>
    <t>16-05-2024 12:45</t>
  </si>
  <si>
    <t>16-05-2024 13:00</t>
  </si>
  <si>
    <t>16-05-2024 13:15</t>
  </si>
  <si>
    <t>16-05-2024 13:30</t>
  </si>
  <si>
    <t>16-05-2024 13:45</t>
  </si>
  <si>
    <t>16-05-2024 14:00</t>
  </si>
  <si>
    <t>16-05-2024 14:15</t>
  </si>
  <si>
    <t>16-05-2024 14:30</t>
  </si>
  <si>
    <t>16-05-2024 14:45</t>
  </si>
  <si>
    <t>16-05-2024 15:00</t>
  </si>
  <si>
    <t>16-05-2024 15:15</t>
  </si>
  <si>
    <t>16-05-2024 15:30</t>
  </si>
  <si>
    <t>16-05-2024 15:45</t>
  </si>
  <si>
    <t>16-05-2024 16:00</t>
  </si>
  <si>
    <t>16-05-2024 16:15</t>
  </si>
  <si>
    <t>16-05-2024 16:30</t>
  </si>
  <si>
    <t>16-05-2024 16:45</t>
  </si>
  <si>
    <t>16-05-2024 17:00</t>
  </si>
  <si>
    <t>16-05-2024 17:15</t>
  </si>
  <si>
    <t>16-05-2024 17:30</t>
  </si>
  <si>
    <t>16-05-2024 17:45</t>
  </si>
  <si>
    <t>16-05-2024 18:00</t>
  </si>
  <si>
    <t>16-05-2024 18:15</t>
  </si>
  <si>
    <t>16-05-2024 18:30</t>
  </si>
  <si>
    <t>16-05-2024 18:45</t>
  </si>
  <si>
    <t>16-05-2024 19:00</t>
  </si>
  <si>
    <t>16-05-2024 19:15</t>
  </si>
  <si>
    <t>16-05-2024 19:30</t>
  </si>
  <si>
    <t>16-05-2024 19:45</t>
  </si>
  <si>
    <t>16-05-2024 20:00</t>
  </si>
  <si>
    <t>16-05-2024 20:15</t>
  </si>
  <si>
    <t>16-05-2024 20:30</t>
  </si>
  <si>
    <t>16-05-2024 20:45</t>
  </si>
  <si>
    <t>16-05-2024 21:00</t>
  </si>
  <si>
    <t>16-05-2024 21:15</t>
  </si>
  <si>
    <t>16-05-2024 21:30</t>
  </si>
  <si>
    <t>16-05-2024 21:45</t>
  </si>
  <si>
    <t>16-05-2024 22:00</t>
  </si>
  <si>
    <t>16-05-2024 22:15</t>
  </si>
  <si>
    <t>16-05-2024 22:30</t>
  </si>
  <si>
    <t>16-05-2024 22:45</t>
  </si>
  <si>
    <t>16-05-2024 23:00</t>
  </si>
  <si>
    <t>16-05-2024 23:15</t>
  </si>
  <si>
    <t>16-05-2024 23:30</t>
  </si>
  <si>
    <t>16-05-2024 23:45</t>
  </si>
  <si>
    <t>16-05-2024 24:00</t>
  </si>
  <si>
    <t>17-05-2024 00:15</t>
  </si>
  <si>
    <t>17-05-2024 00:30</t>
  </si>
  <si>
    <t>17-05-2024 00:45</t>
  </si>
  <si>
    <t>17-05-2024 01:00</t>
  </si>
  <si>
    <t>17-05-2024 01:15</t>
  </si>
  <si>
    <t>17-05-2024 01:30</t>
  </si>
  <si>
    <t>17-05-2024 01:45</t>
  </si>
  <si>
    <t>17-05-2024 02:00</t>
  </si>
  <si>
    <t>17-05-2024 02:15</t>
  </si>
  <si>
    <t>17-05-2024 02:30</t>
  </si>
  <si>
    <t>17-05-2024 02:45</t>
  </si>
  <si>
    <t>17-05-2024 03:00</t>
  </si>
  <si>
    <t>17-05-2024 03:15</t>
  </si>
  <si>
    <t>17-05-2024 03:30</t>
  </si>
  <si>
    <t>17-05-2024 03:45</t>
  </si>
  <si>
    <t>17-05-2024 04:00</t>
  </si>
  <si>
    <t>17-05-2024 04:15</t>
  </si>
  <si>
    <t>17-05-2024 04:30</t>
  </si>
  <si>
    <t>17-05-2024 04:45</t>
  </si>
  <si>
    <t>17-05-2024 05:00</t>
  </si>
  <si>
    <t>17-05-2024 05:15</t>
  </si>
  <si>
    <t>17-05-2024 05:30</t>
  </si>
  <si>
    <t>17-05-2024 05:45</t>
  </si>
  <si>
    <t>17-05-2024 06:00</t>
  </si>
  <si>
    <t>17-05-2024 06:15</t>
  </si>
  <si>
    <t>17-05-2024 06:30</t>
  </si>
  <si>
    <t>17-05-2024 06:45</t>
  </si>
  <si>
    <t>17-05-2024 07:00</t>
  </si>
  <si>
    <t>17-05-2024 07:15</t>
  </si>
  <si>
    <t>17-05-2024 07:30</t>
  </si>
  <si>
    <t>17-05-2024 07:45</t>
  </si>
  <si>
    <t>17-05-2024 08:00</t>
  </si>
  <si>
    <t>17-05-2024 08:15</t>
  </si>
  <si>
    <t>17-05-2024 08:30</t>
  </si>
  <si>
    <t>17-05-2024 08:45</t>
  </si>
  <si>
    <t>17-05-2024 09:00</t>
  </si>
  <si>
    <t>17-05-2024 09:15</t>
  </si>
  <si>
    <t>17-05-2024 09:30</t>
  </si>
  <si>
    <t>17-05-2024 09:45</t>
  </si>
  <si>
    <t>17-05-2024 10:00</t>
  </si>
  <si>
    <t>17-05-2024 10:15</t>
  </si>
  <si>
    <t>17-05-2024 10:30</t>
  </si>
  <si>
    <t>17-05-2024 10:45</t>
  </si>
  <si>
    <t>17-05-2024 11:00</t>
  </si>
  <si>
    <t>17-05-2024 11:15</t>
  </si>
  <si>
    <t>17-05-2024 11:30</t>
  </si>
  <si>
    <t>17-05-2024 11:45</t>
  </si>
  <si>
    <t>17-05-2024 12:00</t>
  </si>
  <si>
    <t>17-05-2024 12:15</t>
  </si>
  <si>
    <t>17-05-2024 12:30</t>
  </si>
  <si>
    <t>17-05-2024 12:45</t>
  </si>
  <si>
    <t>17-05-2024 13:00</t>
  </si>
  <si>
    <t>17-05-2024 13:15</t>
  </si>
  <si>
    <t>17-05-2024 13:30</t>
  </si>
  <si>
    <t>17-05-2024 13:45</t>
  </si>
  <si>
    <t>17-05-2024 14:00</t>
  </si>
  <si>
    <t>17-05-2024 14:15</t>
  </si>
  <si>
    <t>17-05-2024 14:30</t>
  </si>
  <si>
    <t>17-05-2024 14:45</t>
  </si>
  <si>
    <t>17-05-2024 15:00</t>
  </si>
  <si>
    <t>17-05-2024 15:15</t>
  </si>
  <si>
    <t>17-05-2024 15:30</t>
  </si>
  <si>
    <t>17-05-2024 15:45</t>
  </si>
  <si>
    <t>17-05-2024 16:00</t>
  </si>
  <si>
    <t>17-05-2024 16:15</t>
  </si>
  <si>
    <t>17-05-2024 16:30</t>
  </si>
  <si>
    <t>17-05-2024 16:45</t>
  </si>
  <si>
    <t>17-05-2024 17:00</t>
  </si>
  <si>
    <t>17-05-2024 17:15</t>
  </si>
  <si>
    <t>17-05-2024 17:30</t>
  </si>
  <si>
    <t>17-05-2024 17:45</t>
  </si>
  <si>
    <t>17-05-2024 18:00</t>
  </si>
  <si>
    <t>17-05-2024 18:15</t>
  </si>
  <si>
    <t>17-05-2024 18:30</t>
  </si>
  <si>
    <t>17-05-2024 18:45</t>
  </si>
  <si>
    <t>17-05-2024 19:00</t>
  </si>
  <si>
    <t>17-05-2024 19:15</t>
  </si>
  <si>
    <t>17-05-2024 19:30</t>
  </si>
  <si>
    <t>17-05-2024 19:45</t>
  </si>
  <si>
    <t>17-05-2024 20:00</t>
  </si>
  <si>
    <t>17-05-2024 20:15</t>
  </si>
  <si>
    <t>17-05-2024 20:30</t>
  </si>
  <si>
    <t>17-05-2024 20:45</t>
  </si>
  <si>
    <t>17-05-2024 21:00</t>
  </si>
  <si>
    <t>17-05-2024 21:15</t>
  </si>
  <si>
    <t>17-05-2024 21:30</t>
  </si>
  <si>
    <t>17-05-2024 21:45</t>
  </si>
  <si>
    <t>17-05-2024 22:00</t>
  </si>
  <si>
    <t>17-05-2024 22:15</t>
  </si>
  <si>
    <t>17-05-2024 22:30</t>
  </si>
  <si>
    <t>17-05-2024 22:45</t>
  </si>
  <si>
    <t>17-05-2024 23:00</t>
  </si>
  <si>
    <t>17-05-2024 23:15</t>
  </si>
  <si>
    <t>17-05-2024 23:30</t>
  </si>
  <si>
    <t>17-05-2024 23:45</t>
  </si>
  <si>
    <t>17-05-2024 24:00</t>
  </si>
  <si>
    <t>18-05-2024 00:15</t>
  </si>
  <si>
    <t>18-05-2024 00:30</t>
  </si>
  <si>
    <t>18-05-2024 00:45</t>
  </si>
  <si>
    <t>18-05-2024 01:00</t>
  </si>
  <si>
    <t>18-05-2024 01:15</t>
  </si>
  <si>
    <t>18-05-2024 01:30</t>
  </si>
  <si>
    <t>18-05-2024 01:45</t>
  </si>
  <si>
    <t>18-05-2024 02:00</t>
  </si>
  <si>
    <t>18-05-2024 02:15</t>
  </si>
  <si>
    <t>18-05-2024 02:30</t>
  </si>
  <si>
    <t>18-05-2024 02:45</t>
  </si>
  <si>
    <t>18-05-2024 03:00</t>
  </si>
  <si>
    <t>18-05-2024 03:15</t>
  </si>
  <si>
    <t>18-05-2024 03:30</t>
  </si>
  <si>
    <t>18-05-2024 03:45</t>
  </si>
  <si>
    <t>18-05-2024 04:00</t>
  </si>
  <si>
    <t>18-05-2024 04:15</t>
  </si>
  <si>
    <t>18-05-2024 04:30</t>
  </si>
  <si>
    <t>18-05-2024 04:45</t>
  </si>
  <si>
    <t>18-05-2024 05:00</t>
  </si>
  <si>
    <t>18-05-2024 05:15</t>
  </si>
  <si>
    <t>18-05-2024 05:30</t>
  </si>
  <si>
    <t>18-05-2024 05:45</t>
  </si>
  <si>
    <t>18-05-2024 06:00</t>
  </si>
  <si>
    <t>18-05-2024 06:15</t>
  </si>
  <si>
    <t>18-05-2024 06:30</t>
  </si>
  <si>
    <t>18-05-2024 06:45</t>
  </si>
  <si>
    <t>18-05-2024 07:00</t>
  </si>
  <si>
    <t>18-05-2024 07:15</t>
  </si>
  <si>
    <t>18-05-2024 07:30</t>
  </si>
  <si>
    <t>18-05-2024 07:45</t>
  </si>
  <si>
    <t>18-05-2024 08:00</t>
  </si>
  <si>
    <t>18-05-2024 08:15</t>
  </si>
  <si>
    <t>18-05-2024 08:30</t>
  </si>
  <si>
    <t>18-05-2024 08:45</t>
  </si>
  <si>
    <t>18-05-2024 09:00</t>
  </si>
  <si>
    <t>18-05-2024 09:15</t>
  </si>
  <si>
    <t>18-05-2024 09:30</t>
  </si>
  <si>
    <t>18-05-2024 09:45</t>
  </si>
  <si>
    <t>18-05-2024 10:00</t>
  </si>
  <si>
    <t>18-05-2024 10:15</t>
  </si>
  <si>
    <t>18-05-2024 10:30</t>
  </si>
  <si>
    <t>18-05-2024 10:45</t>
  </si>
  <si>
    <t>18-05-2024 11:00</t>
  </si>
  <si>
    <t>18-05-2024 11:15</t>
  </si>
  <si>
    <t>18-05-2024 11:30</t>
  </si>
  <si>
    <t>18-05-2024 11:45</t>
  </si>
  <si>
    <t>18-05-2024 12:00</t>
  </si>
  <si>
    <t>18-05-2024 12:15</t>
  </si>
  <si>
    <t>18-05-2024 12:30</t>
  </si>
  <si>
    <t>18-05-2024 12:45</t>
  </si>
  <si>
    <t>18-05-2024 13:00</t>
  </si>
  <si>
    <t>18-05-2024 13:15</t>
  </si>
  <si>
    <t>18-05-2024 13:30</t>
  </si>
  <si>
    <t>18-05-2024 13:45</t>
  </si>
  <si>
    <t>18-05-2024 14:00</t>
  </si>
  <si>
    <t>18-05-2024 14:15</t>
  </si>
  <si>
    <t>18-05-2024 14:30</t>
  </si>
  <si>
    <t>18-05-2024 14:45</t>
  </si>
  <si>
    <t>18-05-2024 15:00</t>
  </si>
  <si>
    <t>18-05-2024 15:15</t>
  </si>
  <si>
    <t>18-05-2024 15:30</t>
  </si>
  <si>
    <t>18-05-2024 15:45</t>
  </si>
  <si>
    <t>18-05-2024 16:00</t>
  </si>
  <si>
    <t>18-05-2024 16:15</t>
  </si>
  <si>
    <t>18-05-2024 16:30</t>
  </si>
  <si>
    <t>18-05-2024 16:45</t>
  </si>
  <si>
    <t>18-05-2024 17:00</t>
  </si>
  <si>
    <t>18-05-2024 17:15</t>
  </si>
  <si>
    <t>18-05-2024 17:30</t>
  </si>
  <si>
    <t>18-05-2024 17:45</t>
  </si>
  <si>
    <t>18-05-2024 18:00</t>
  </si>
  <si>
    <t>18-05-2024 18:15</t>
  </si>
  <si>
    <t>18-05-2024 18:30</t>
  </si>
  <si>
    <t>18-05-2024 18:45</t>
  </si>
  <si>
    <t>18-05-2024 19:00</t>
  </si>
  <si>
    <t>18-05-2024 19:15</t>
  </si>
  <si>
    <t>18-05-2024 19:30</t>
  </si>
  <si>
    <t>18-05-2024 19:45</t>
  </si>
  <si>
    <t>18-05-2024 20:00</t>
  </si>
  <si>
    <t>18-05-2024 20:15</t>
  </si>
  <si>
    <t>18-05-2024 20:30</t>
  </si>
  <si>
    <t>18-05-2024 20:45</t>
  </si>
  <si>
    <t>18-05-2024 21:00</t>
  </si>
  <si>
    <t>18-05-2024 21:15</t>
  </si>
  <si>
    <t>18-05-2024 21:30</t>
  </si>
  <si>
    <t>18-05-2024 21:45</t>
  </si>
  <si>
    <t>18-05-2024 22:00</t>
  </si>
  <si>
    <t>18-05-2024 22:15</t>
  </si>
  <si>
    <t>18-05-2024 22:30</t>
  </si>
  <si>
    <t>18-05-2024 22:45</t>
  </si>
  <si>
    <t>18-05-2024 23:00</t>
  </si>
  <si>
    <t>18-05-2024 23:15</t>
  </si>
  <si>
    <t>18-05-2024 23:30</t>
  </si>
  <si>
    <t>18-05-2024 23:45</t>
  </si>
  <si>
    <t>18-05-2024 24:00</t>
  </si>
  <si>
    <t>19-05-2024 00:15</t>
  </si>
  <si>
    <t>19-05-2024 00:30</t>
  </si>
  <si>
    <t>19-05-2024 00:45</t>
  </si>
  <si>
    <t>19-05-2024 01:00</t>
  </si>
  <si>
    <t>19-05-2024 01:15</t>
  </si>
  <si>
    <t>19-05-2024 01:30</t>
  </si>
  <si>
    <t>19-05-2024 01:45</t>
  </si>
  <si>
    <t>19-05-2024 02:00</t>
  </si>
  <si>
    <t>19-05-2024 02:15</t>
  </si>
  <si>
    <t>19-05-2024 02:30</t>
  </si>
  <si>
    <t>19-05-2024 02:45</t>
  </si>
  <si>
    <t>19-05-2024 03:00</t>
  </si>
  <si>
    <t>19-05-2024 03:15</t>
  </si>
  <si>
    <t>19-05-2024 03:30</t>
  </si>
  <si>
    <t>19-05-2024 03:45</t>
  </si>
  <si>
    <t>19-05-2024 04:00</t>
  </si>
  <si>
    <t>19-05-2024 04:15</t>
  </si>
  <si>
    <t>19-05-2024 04:30</t>
  </si>
  <si>
    <t>19-05-2024 04:45</t>
  </si>
  <si>
    <t>19-05-2024 05:00</t>
  </si>
  <si>
    <t>19-05-2024 05:15</t>
  </si>
  <si>
    <t>19-05-2024 05:30</t>
  </si>
  <si>
    <t>19-05-2024 05:45</t>
  </si>
  <si>
    <t>19-05-2024 06:00</t>
  </si>
  <si>
    <t>19-05-2024 06:15</t>
  </si>
  <si>
    <t>19-05-2024 06:30</t>
  </si>
  <si>
    <t>19-05-2024 06:45</t>
  </si>
  <si>
    <t>19-05-2024 07:00</t>
  </si>
  <si>
    <t>19-05-2024 07:15</t>
  </si>
  <si>
    <t>19-05-2024 07:30</t>
  </si>
  <si>
    <t>19-05-2024 07:45</t>
  </si>
  <si>
    <t>19-05-2024 08:00</t>
  </si>
  <si>
    <t>19-05-2024 08:15</t>
  </si>
  <si>
    <t>19-05-2024 08:30</t>
  </si>
  <si>
    <t>19-05-2024 08:45</t>
  </si>
  <si>
    <t>19-05-2024 09:00</t>
  </si>
  <si>
    <t>19-05-2024 09:15</t>
  </si>
  <si>
    <t>19-05-2024 09:30</t>
  </si>
  <si>
    <t>19-05-2024 09:45</t>
  </si>
  <si>
    <t>19-05-2024 10:00</t>
  </si>
  <si>
    <t>19-05-2024 10:15</t>
  </si>
  <si>
    <t>19-05-2024 10:30</t>
  </si>
  <si>
    <t>19-05-2024 10:45</t>
  </si>
  <si>
    <t>19-05-2024 11:00</t>
  </si>
  <si>
    <t>19-05-2024 11:15</t>
  </si>
  <si>
    <t>19-05-2024 11:30</t>
  </si>
  <si>
    <t>19-05-2024 11:45</t>
  </si>
  <si>
    <t>19-05-2024 12:00</t>
  </si>
  <si>
    <t>19-05-2024 12:15</t>
  </si>
  <si>
    <t>19-05-2024 12:30</t>
  </si>
  <si>
    <t>19-05-2024 12:45</t>
  </si>
  <si>
    <t>19-05-2024 13:00</t>
  </si>
  <si>
    <t>19-05-2024 13:15</t>
  </si>
  <si>
    <t>19-05-2024 13:30</t>
  </si>
  <si>
    <t>19-05-2024 13:45</t>
  </si>
  <si>
    <t>19-05-2024 14:00</t>
  </si>
  <si>
    <t>19-05-2024 14:15</t>
  </si>
  <si>
    <t>19-05-2024 14:30</t>
  </si>
  <si>
    <t>19-05-2024 14:45</t>
  </si>
  <si>
    <t>19-05-2024 15:00</t>
  </si>
  <si>
    <t>19-05-2024 15:15</t>
  </si>
  <si>
    <t>19-05-2024 15:30</t>
  </si>
  <si>
    <t>19-05-2024 15:45</t>
  </si>
  <si>
    <t>19-05-2024 16:00</t>
  </si>
  <si>
    <t>19-05-2024 16:15</t>
  </si>
  <si>
    <t>19-05-2024 16:30</t>
  </si>
  <si>
    <t>19-05-2024 16:45</t>
  </si>
  <si>
    <t>19-05-2024 17:00</t>
  </si>
  <si>
    <t>19-05-2024 17:15</t>
  </si>
  <si>
    <t>19-05-2024 17:30</t>
  </si>
  <si>
    <t>19-05-2024 17:45</t>
  </si>
  <si>
    <t>19-05-2024 18:00</t>
  </si>
  <si>
    <t>19-05-2024 18:15</t>
  </si>
  <si>
    <t>19-05-2024 18:30</t>
  </si>
  <si>
    <t>19-05-2024 18:45</t>
  </si>
  <si>
    <t>19-05-2024 19:00</t>
  </si>
  <si>
    <t>19-05-2024 19:15</t>
  </si>
  <si>
    <t>19-05-2024 19:30</t>
  </si>
  <si>
    <t>19-05-2024 19:45</t>
  </si>
  <si>
    <t>19-05-2024 20:00</t>
  </si>
  <si>
    <t>19-05-2024 20:15</t>
  </si>
  <si>
    <t>19-05-2024 20:30</t>
  </si>
  <si>
    <t>19-05-2024 20:45</t>
  </si>
  <si>
    <t>19-05-2024 21:00</t>
  </si>
  <si>
    <t>19-05-2024 21:15</t>
  </si>
  <si>
    <t>19-05-2024 21:30</t>
  </si>
  <si>
    <t>19-05-2024 21:45</t>
  </si>
  <si>
    <t>19-05-2024 22:00</t>
  </si>
  <si>
    <t>19-05-2024 22:15</t>
  </si>
  <si>
    <t>19-05-2024 22:30</t>
  </si>
  <si>
    <t>19-05-2024 22:45</t>
  </si>
  <si>
    <t>19-05-2024 23:00</t>
  </si>
  <si>
    <t>19-05-2024 23:15</t>
  </si>
  <si>
    <t>19-05-2024 23:30</t>
  </si>
  <si>
    <t>19-05-2024 23:45</t>
  </si>
  <si>
    <t>19-05-2024 24:00</t>
  </si>
  <si>
    <t>20-05-2024 00:15</t>
  </si>
  <si>
    <t>20-05-2024 00:30</t>
  </si>
  <si>
    <t>20-05-2024 00:45</t>
  </si>
  <si>
    <t>20-05-2024 01:00</t>
  </si>
  <si>
    <t>20-05-2024 01:15</t>
  </si>
  <si>
    <t>20-05-2024 01:30</t>
  </si>
  <si>
    <t>20-05-2024 01:45</t>
  </si>
  <si>
    <t>20-05-2024 02:00</t>
  </si>
  <si>
    <t>20-05-2024 02:15</t>
  </si>
  <si>
    <t>20-05-2024 02:30</t>
  </si>
  <si>
    <t>20-05-2024 02:45</t>
  </si>
  <si>
    <t>20-05-2024 03:00</t>
  </si>
  <si>
    <t>20-05-2024 03:15</t>
  </si>
  <si>
    <t>20-05-2024 03:30</t>
  </si>
  <si>
    <t>20-05-2024 03:45</t>
  </si>
  <si>
    <t>20-05-2024 04:00</t>
  </si>
  <si>
    <t>20-05-2024 04:15</t>
  </si>
  <si>
    <t>20-05-2024 04:30</t>
  </si>
  <si>
    <t>20-05-2024 04:45</t>
  </si>
  <si>
    <t>20-05-2024 05:00</t>
  </si>
  <si>
    <t>20-05-2024 05:15</t>
  </si>
  <si>
    <t>20-05-2024 05:30</t>
  </si>
  <si>
    <t>20-05-2024 05:45</t>
  </si>
  <si>
    <t>20-05-2024 06:00</t>
  </si>
  <si>
    <t>20-05-2024 06:15</t>
  </si>
  <si>
    <t>20-05-2024 06:30</t>
  </si>
  <si>
    <t>20-05-2024 06:45</t>
  </si>
  <si>
    <t>20-05-2024 07:00</t>
  </si>
  <si>
    <t>20-05-2024 07:15</t>
  </si>
  <si>
    <t>20-05-2024 07:30</t>
  </si>
  <si>
    <t>20-05-2024 07:45</t>
  </si>
  <si>
    <t>20-05-2024 08:00</t>
  </si>
  <si>
    <t>20-05-2024 08:15</t>
  </si>
  <si>
    <t>20-05-2024 08:30</t>
  </si>
  <si>
    <t>20-05-2024 08:45</t>
  </si>
  <si>
    <t>20-05-2024 09:00</t>
  </si>
  <si>
    <t>20-05-2024 09:15</t>
  </si>
  <si>
    <t>20-05-2024 09:30</t>
  </si>
  <si>
    <t>20-05-2024 09:45</t>
  </si>
  <si>
    <t>20-05-2024 10:00</t>
  </si>
  <si>
    <t>20-05-2024 10:15</t>
  </si>
  <si>
    <t>20-05-2024 10:30</t>
  </si>
  <si>
    <t>20-05-2024 10:45</t>
  </si>
  <si>
    <t>20-05-2024 11:00</t>
  </si>
  <si>
    <t>20-05-2024 11:15</t>
  </si>
  <si>
    <t>20-05-2024 11:30</t>
  </si>
  <si>
    <t>20-05-2024 11:45</t>
  </si>
  <si>
    <t>20-05-2024 12:00</t>
  </si>
  <si>
    <t>20-05-2024 12:15</t>
  </si>
  <si>
    <t>20-05-2024 12:30</t>
  </si>
  <si>
    <t>20-05-2024 12:45</t>
  </si>
  <si>
    <t>20-05-2024 13:00</t>
  </si>
  <si>
    <t>20-05-2024 13:15</t>
  </si>
  <si>
    <t>20-05-2024 13:30</t>
  </si>
  <si>
    <t>20-05-2024 13:45</t>
  </si>
  <si>
    <t>20-05-2024 14:00</t>
  </si>
  <si>
    <t>20-05-2024 14:15</t>
  </si>
  <si>
    <t>20-05-2024 14:30</t>
  </si>
  <si>
    <t>20-05-2024 14:45</t>
  </si>
  <si>
    <t>20-05-2024 15:00</t>
  </si>
  <si>
    <t>20-05-2024 15:15</t>
  </si>
  <si>
    <t>20-05-2024 15:30</t>
  </si>
  <si>
    <t>20-05-2024 15:45</t>
  </si>
  <si>
    <t>20-05-2024 16:00</t>
  </si>
  <si>
    <t>20-05-2024 16:15</t>
  </si>
  <si>
    <t>20-05-2024 16:30</t>
  </si>
  <si>
    <t>20-05-2024 16:45</t>
  </si>
  <si>
    <t>20-05-2024 17:00</t>
  </si>
  <si>
    <t>20-05-2024 17:15</t>
  </si>
  <si>
    <t>20-05-2024 17:30</t>
  </si>
  <si>
    <t>20-05-2024 17:45</t>
  </si>
  <si>
    <t>20-05-2024 18:00</t>
  </si>
  <si>
    <t>20-05-2024 18:15</t>
  </si>
  <si>
    <t>20-05-2024 18:30</t>
  </si>
  <si>
    <t>20-05-2024 18:45</t>
  </si>
  <si>
    <t>20-05-2024 19:00</t>
  </si>
  <si>
    <t>20-05-2024 19:15</t>
  </si>
  <si>
    <t>20-05-2024 19:30</t>
  </si>
  <si>
    <t>20-05-2024 19:45</t>
  </si>
  <si>
    <t>20-05-2024 20:00</t>
  </si>
  <si>
    <t>20-05-2024 20:15</t>
  </si>
  <si>
    <t>20-05-2024 20:30</t>
  </si>
  <si>
    <t>20-05-2024 20:45</t>
  </si>
  <si>
    <t>20-05-2024 21:00</t>
  </si>
  <si>
    <t>20-05-2024 21:15</t>
  </si>
  <si>
    <t>20-05-2024 21:30</t>
  </si>
  <si>
    <t>20-05-2024 21:45</t>
  </si>
  <si>
    <t>20-05-2024 22:00</t>
  </si>
  <si>
    <t>20-05-2024 22:15</t>
  </si>
  <si>
    <t>20-05-2024 22:30</t>
  </si>
  <si>
    <t>20-05-2024 22:45</t>
  </si>
  <si>
    <t>20-05-2024 23:00</t>
  </si>
  <si>
    <t>20-05-2024 23:15</t>
  </si>
  <si>
    <t>20-05-2024 23:30</t>
  </si>
  <si>
    <t>20-05-2024 23:45</t>
  </si>
  <si>
    <t>20-05-2024 24:00</t>
  </si>
  <si>
    <t>21-05-2024 00:15</t>
  </si>
  <si>
    <t>21-05-2024 00:30</t>
  </si>
  <si>
    <t>21-05-2024 00:45</t>
  </si>
  <si>
    <t>21-05-2024 01:00</t>
  </si>
  <si>
    <t>21-05-2024 01:15</t>
  </si>
  <si>
    <t>21-05-2024 01:30</t>
  </si>
  <si>
    <t>21-05-2024 01:45</t>
  </si>
  <si>
    <t>21-05-2024 02:00</t>
  </si>
  <si>
    <t>21-05-2024 02:15</t>
  </si>
  <si>
    <t>21-05-2024 02:30</t>
  </si>
  <si>
    <t>21-05-2024 02:45</t>
  </si>
  <si>
    <t>21-05-2024 03:00</t>
  </si>
  <si>
    <t>21-05-2024 03:15</t>
  </si>
  <si>
    <t>21-05-2024 03:30</t>
  </si>
  <si>
    <t>21-05-2024 03:45</t>
  </si>
  <si>
    <t>21-05-2024 04:00</t>
  </si>
  <si>
    <t>21-05-2024 04:15</t>
  </si>
  <si>
    <t>21-05-2024 04:30</t>
  </si>
  <si>
    <t>21-05-2024 04:45</t>
  </si>
  <si>
    <t>21-05-2024 05:00</t>
  </si>
  <si>
    <t>21-05-2024 05:15</t>
  </si>
  <si>
    <t>21-05-2024 05:30</t>
  </si>
  <si>
    <t>21-05-2024 05:45</t>
  </si>
  <si>
    <t>21-05-2024 06:00</t>
  </si>
  <si>
    <t>21-05-2024 06:15</t>
  </si>
  <si>
    <t>21-05-2024 06:30</t>
  </si>
  <si>
    <t>21-05-2024 06:45</t>
  </si>
  <si>
    <t>21-05-2024 07:00</t>
  </si>
  <si>
    <t>21-05-2024 07:15</t>
  </si>
  <si>
    <t>21-05-2024 07:30</t>
  </si>
  <si>
    <t>21-05-2024 07:45</t>
  </si>
  <si>
    <t>21-05-2024 08:00</t>
  </si>
  <si>
    <t>21-05-2024 08:15</t>
  </si>
  <si>
    <t>21-05-2024 08:30</t>
  </si>
  <si>
    <t>21-05-2024 08:45</t>
  </si>
  <si>
    <t>21-05-2024 09:00</t>
  </si>
  <si>
    <t>21-05-2024 09:15</t>
  </si>
  <si>
    <t>21-05-2024 09:30</t>
  </si>
  <si>
    <t>21-05-2024 09:45</t>
  </si>
  <si>
    <t>21-05-2024 10:00</t>
  </si>
  <si>
    <t>21-05-2024 10:15</t>
  </si>
  <si>
    <t>21-05-2024 10:30</t>
  </si>
  <si>
    <t>21-05-2024 10:45</t>
  </si>
  <si>
    <t>21-05-2024 11:00</t>
  </si>
  <si>
    <t>21-05-2024 11:15</t>
  </si>
  <si>
    <t>21-05-2024 11:30</t>
  </si>
  <si>
    <t>21-05-2024 11:45</t>
  </si>
  <si>
    <t>21-05-2024 12:00</t>
  </si>
  <si>
    <t>21-05-2024 12:15</t>
  </si>
  <si>
    <t>21-05-2024 12:30</t>
  </si>
  <si>
    <t>21-05-2024 12:45</t>
  </si>
  <si>
    <t>21-05-2024 13:00</t>
  </si>
  <si>
    <t>21-05-2024 13:15</t>
  </si>
  <si>
    <t>21-05-2024 13:30</t>
  </si>
  <si>
    <t>21-05-2024 13:45</t>
  </si>
  <si>
    <t>21-05-2024 14:00</t>
  </si>
  <si>
    <t>21-05-2024 14:15</t>
  </si>
  <si>
    <t>21-05-2024 14:30</t>
  </si>
  <si>
    <t>21-05-2024 14:45</t>
  </si>
  <si>
    <t>21-05-2024 15:00</t>
  </si>
  <si>
    <t>21-05-2024 15:15</t>
  </si>
  <si>
    <t>21-05-2024 15:30</t>
  </si>
  <si>
    <t>21-05-2024 15:45</t>
  </si>
  <si>
    <t>21-05-2024 16:00</t>
  </si>
  <si>
    <t>21-05-2024 16:15</t>
  </si>
  <si>
    <t>21-05-2024 16:30</t>
  </si>
  <si>
    <t>21-05-2024 16:45</t>
  </si>
  <si>
    <t>21-05-2024 17:00</t>
  </si>
  <si>
    <t>21-05-2024 17:15</t>
  </si>
  <si>
    <t>21-05-2024 17:30</t>
  </si>
  <si>
    <t>21-05-2024 17:45</t>
  </si>
  <si>
    <t>21-05-2024 18:00</t>
  </si>
  <si>
    <t>21-05-2024 18:15</t>
  </si>
  <si>
    <t>21-05-2024 18:30</t>
  </si>
  <si>
    <t>21-05-2024 18:45</t>
  </si>
  <si>
    <t>21-05-2024 19:00</t>
  </si>
  <si>
    <t>21-05-2024 19:15</t>
  </si>
  <si>
    <t>21-05-2024 19:30</t>
  </si>
  <si>
    <t>21-05-2024 19:45</t>
  </si>
  <si>
    <t>21-05-2024 20:00</t>
  </si>
  <si>
    <t>21-05-2024 20:15</t>
  </si>
  <si>
    <t>21-05-2024 20:30</t>
  </si>
  <si>
    <t>21-05-2024 20:45</t>
  </si>
  <si>
    <t>21-05-2024 21:00</t>
  </si>
  <si>
    <t>21-05-2024 21:15</t>
  </si>
  <si>
    <t>21-05-2024 21:30</t>
  </si>
  <si>
    <t>21-05-2024 21:45</t>
  </si>
  <si>
    <t>21-05-2024 22:00</t>
  </si>
  <si>
    <t>21-05-2024 22:15</t>
  </si>
  <si>
    <t>21-05-2024 22:30</t>
  </si>
  <si>
    <t>21-05-2024 22:45</t>
  </si>
  <si>
    <t>21-05-2024 23:00</t>
  </si>
  <si>
    <t>21-05-2024 23:15</t>
  </si>
  <si>
    <t>21-05-2024 23:30</t>
  </si>
  <si>
    <t>21-05-2024 23:45</t>
  </si>
  <si>
    <t>21-05-2024 24:00</t>
  </si>
  <si>
    <t>22-05-2024 00:15</t>
  </si>
  <si>
    <t>22-05-2024 00:30</t>
  </si>
  <si>
    <t>22-05-2024 00:45</t>
  </si>
  <si>
    <t>22-05-2024 01:00</t>
  </si>
  <si>
    <t>22-05-2024 01:15</t>
  </si>
  <si>
    <t>22-05-2024 01:30</t>
  </si>
  <si>
    <t>22-05-2024 01:45</t>
  </si>
  <si>
    <t>22-05-2024 02:00</t>
  </si>
  <si>
    <t>22-05-2024 02:15</t>
  </si>
  <si>
    <t>22-05-2024 02:30</t>
  </si>
  <si>
    <t>22-05-2024 02:45</t>
  </si>
  <si>
    <t>22-05-2024 03:00</t>
  </si>
  <si>
    <t>22-05-2024 03:15</t>
  </si>
  <si>
    <t>22-05-2024 03:30</t>
  </si>
  <si>
    <t>22-05-2024 03:45</t>
  </si>
  <si>
    <t>22-05-2024 04:00</t>
  </si>
  <si>
    <t>22-05-2024 04:15</t>
  </si>
  <si>
    <t>22-05-2024 04:30</t>
  </si>
  <si>
    <t>22-05-2024 04:45</t>
  </si>
  <si>
    <t>22-05-2024 05:00</t>
  </si>
  <si>
    <t>22-05-2024 05:15</t>
  </si>
  <si>
    <t>22-05-2024 05:30</t>
  </si>
  <si>
    <t>22-05-2024 05:45</t>
  </si>
  <si>
    <t>22-05-2024 06:00</t>
  </si>
  <si>
    <t>22-05-2024 06:15</t>
  </si>
  <si>
    <t>22-05-2024 06:30</t>
  </si>
  <si>
    <t>22-05-2024 06:45</t>
  </si>
  <si>
    <t>22-05-2024 07:00</t>
  </si>
  <si>
    <t>22-05-2024 07:15</t>
  </si>
  <si>
    <t>22-05-2024 07:30</t>
  </si>
  <si>
    <t>22-05-2024 07:45</t>
  </si>
  <si>
    <t>22-05-2024 08:00</t>
  </si>
  <si>
    <t>22-05-2024 08:15</t>
  </si>
  <si>
    <t>22-05-2024 08:30</t>
  </si>
  <si>
    <t>22-05-2024 08:45</t>
  </si>
  <si>
    <t>22-05-2024 09:00</t>
  </si>
  <si>
    <t>22-05-2024 09:15</t>
  </si>
  <si>
    <t>22-05-2024 09:30</t>
  </si>
  <si>
    <t>22-05-2024 09:45</t>
  </si>
  <si>
    <t>22-05-2024 10:00</t>
  </si>
  <si>
    <t>22-05-2024 10:15</t>
  </si>
  <si>
    <t>22-05-2024 10:30</t>
  </si>
  <si>
    <t>22-05-2024 10:45</t>
  </si>
  <si>
    <t>22-05-2024 11:00</t>
  </si>
  <si>
    <t>22-05-2024 11:15</t>
  </si>
  <si>
    <t>22-05-2024 11:30</t>
  </si>
  <si>
    <t>22-05-2024 11:45</t>
  </si>
  <si>
    <t>22-05-2024 12:00</t>
  </si>
  <si>
    <t>22-05-2024 12:15</t>
  </si>
  <si>
    <t>22-05-2024 12:30</t>
  </si>
  <si>
    <t>22-05-2024 12:45</t>
  </si>
  <si>
    <t>22-05-2024 13:00</t>
  </si>
  <si>
    <t>22-05-2024 13:15</t>
  </si>
  <si>
    <t>22-05-2024 13:30</t>
  </si>
  <si>
    <t>22-05-2024 13:45</t>
  </si>
  <si>
    <t>22-05-2024 14:00</t>
  </si>
  <si>
    <t>22-05-2024 14:15</t>
  </si>
  <si>
    <t>22-05-2024 14:30</t>
  </si>
  <si>
    <t>22-05-2024 14:45</t>
  </si>
  <si>
    <t>22-05-2024 15:00</t>
  </si>
  <si>
    <t>22-05-2024 15:15</t>
  </si>
  <si>
    <t>22-05-2024 15:30</t>
  </si>
  <si>
    <t>22-05-2024 15:45</t>
  </si>
  <si>
    <t>22-05-2024 16:00</t>
  </si>
  <si>
    <t>22-05-2024 16:15</t>
  </si>
  <si>
    <t>22-05-2024 16:30</t>
  </si>
  <si>
    <t>22-05-2024 16:45</t>
  </si>
  <si>
    <t>22-05-2024 17:00</t>
  </si>
  <si>
    <t>22-05-2024 17:15</t>
  </si>
  <si>
    <t>22-05-2024 17:30</t>
  </si>
  <si>
    <t>22-05-2024 17:45</t>
  </si>
  <si>
    <t>22-05-2024 18:00</t>
  </si>
  <si>
    <t>22-05-2024 18:15</t>
  </si>
  <si>
    <t>22-05-2024 18:30</t>
  </si>
  <si>
    <t>22-05-2024 18:45</t>
  </si>
  <si>
    <t>22-05-2024 19:00</t>
  </si>
  <si>
    <t>22-05-2024 19:15</t>
  </si>
  <si>
    <t>22-05-2024 19:30</t>
  </si>
  <si>
    <t>22-05-2024 19:45</t>
  </si>
  <si>
    <t>22-05-2024 20:00</t>
  </si>
  <si>
    <t>22-05-2024 20:15</t>
  </si>
  <si>
    <t>22-05-2024 20:30</t>
  </si>
  <si>
    <t>22-05-2024 20:45</t>
  </si>
  <si>
    <t>22-05-2024 21:00</t>
  </si>
  <si>
    <t>22-05-2024 21:15</t>
  </si>
  <si>
    <t>22-05-2024 21:30</t>
  </si>
  <si>
    <t>22-05-2024 21:45</t>
  </si>
  <si>
    <t>22-05-2024 22:00</t>
  </si>
  <si>
    <t>22-05-2024 22:15</t>
  </si>
  <si>
    <t>22-05-2024 22:30</t>
  </si>
  <si>
    <t>22-05-2024 22:45</t>
  </si>
  <si>
    <t>22-05-2024 23:00</t>
  </si>
  <si>
    <t>22-05-2024 23:15</t>
  </si>
  <si>
    <t>22-05-2024 23:30</t>
  </si>
  <si>
    <t>22-05-2024 23:45</t>
  </si>
  <si>
    <t>22-05-2024 24:00</t>
  </si>
  <si>
    <t>23-05-2024 00:15</t>
  </si>
  <si>
    <t>23-05-2024 00:30</t>
  </si>
  <si>
    <t>23-05-2024 00:45</t>
  </si>
  <si>
    <t>23-05-2024 01:00</t>
  </si>
  <si>
    <t>23-05-2024 01:15</t>
  </si>
  <si>
    <t>23-05-2024 01:30</t>
  </si>
  <si>
    <t>23-05-2024 01:45</t>
  </si>
  <si>
    <t>23-05-2024 02:00</t>
  </si>
  <si>
    <t>23-05-2024 02:15</t>
  </si>
  <si>
    <t>23-05-2024 02:30</t>
  </si>
  <si>
    <t>23-05-2024 02:45</t>
  </si>
  <si>
    <t>23-05-2024 03:00</t>
  </si>
  <si>
    <t>23-05-2024 03:15</t>
  </si>
  <si>
    <t>23-05-2024 03:30</t>
  </si>
  <si>
    <t>23-05-2024 03:45</t>
  </si>
  <si>
    <t>23-05-2024 04:00</t>
  </si>
  <si>
    <t>23-05-2024 04:15</t>
  </si>
  <si>
    <t>23-05-2024 04:30</t>
  </si>
  <si>
    <t>23-05-2024 04:45</t>
  </si>
  <si>
    <t>23-05-2024 05:00</t>
  </si>
  <si>
    <t>23-05-2024 05:15</t>
  </si>
  <si>
    <t>23-05-2024 05:30</t>
  </si>
  <si>
    <t>23-05-2024 05:45</t>
  </si>
  <si>
    <t>23-05-2024 06:00</t>
  </si>
  <si>
    <t>23-05-2024 06:15</t>
  </si>
  <si>
    <t>23-05-2024 06:30</t>
  </si>
  <si>
    <t>23-05-2024 06:45</t>
  </si>
  <si>
    <t>23-05-2024 07:00</t>
  </si>
  <si>
    <t>23-05-2024 07:15</t>
  </si>
  <si>
    <t>23-05-2024 07:30</t>
  </si>
  <si>
    <t>23-05-2024 07:45</t>
  </si>
  <si>
    <t>23-05-2024 08:00</t>
  </si>
  <si>
    <t>23-05-2024 08:15</t>
  </si>
  <si>
    <t>23-05-2024 08:30</t>
  </si>
  <si>
    <t>23-05-2024 08:45</t>
  </si>
  <si>
    <t>23-05-2024 09:00</t>
  </si>
  <si>
    <t>23-05-2024 09:15</t>
  </si>
  <si>
    <t>23-05-2024 09:30</t>
  </si>
  <si>
    <t>23-05-2024 09:45</t>
  </si>
  <si>
    <t>23-05-2024 10:00</t>
  </si>
  <si>
    <t>23-05-2024 10:15</t>
  </si>
  <si>
    <t>23-05-2024 10:30</t>
  </si>
  <si>
    <t>23-05-2024 10:45</t>
  </si>
  <si>
    <t>23-05-2024 11:00</t>
  </si>
  <si>
    <t>23-05-2024 11:15</t>
  </si>
  <si>
    <t>23-05-2024 11:30</t>
  </si>
  <si>
    <t>23-05-2024 11:45</t>
  </si>
  <si>
    <t>23-05-2024 12:00</t>
  </si>
  <si>
    <t>23-05-2024 12:15</t>
  </si>
  <si>
    <t>23-05-2024 12:30</t>
  </si>
  <si>
    <t>23-05-2024 12:45</t>
  </si>
  <si>
    <t>23-05-2024 13:00</t>
  </si>
  <si>
    <t>23-05-2024 13:15</t>
  </si>
  <si>
    <t>23-05-2024 13:30</t>
  </si>
  <si>
    <t>23-05-2024 13:45</t>
  </si>
  <si>
    <t>23-05-2024 14:00</t>
  </si>
  <si>
    <t>23-05-2024 14:15</t>
  </si>
  <si>
    <t>23-05-2024 14:30</t>
  </si>
  <si>
    <t>23-05-2024 14:45</t>
  </si>
  <si>
    <t>23-05-2024 15:00</t>
  </si>
  <si>
    <t>23-05-2024 15:15</t>
  </si>
  <si>
    <t>23-05-2024 15:30</t>
  </si>
  <si>
    <t>23-05-2024 15:45</t>
  </si>
  <si>
    <t>23-05-2024 16:00</t>
  </si>
  <si>
    <t>23-05-2024 16:15</t>
  </si>
  <si>
    <t>23-05-2024 16:30</t>
  </si>
  <si>
    <t>23-05-2024 16:45</t>
  </si>
  <si>
    <t>23-05-2024 17:00</t>
  </si>
  <si>
    <t>23-05-2024 17:15</t>
  </si>
  <si>
    <t>23-05-2024 17:30</t>
  </si>
  <si>
    <t>23-05-2024 17:45</t>
  </si>
  <si>
    <t>23-05-2024 18:00</t>
  </si>
  <si>
    <t>23-05-2024 18:15</t>
  </si>
  <si>
    <t>23-05-2024 18:30</t>
  </si>
  <si>
    <t>23-05-2024 18:45</t>
  </si>
  <si>
    <t>23-05-2024 19:00</t>
  </si>
  <si>
    <t>23-05-2024 19:15</t>
  </si>
  <si>
    <t>23-05-2024 19:30</t>
  </si>
  <si>
    <t>23-05-2024 19:45</t>
  </si>
  <si>
    <t>23-05-2024 20:00</t>
  </si>
  <si>
    <t>23-05-2024 20:15</t>
  </si>
  <si>
    <t>23-05-2024 20:30</t>
  </si>
  <si>
    <t>23-05-2024 20:45</t>
  </si>
  <si>
    <t>23-05-2024 21:00</t>
  </si>
  <si>
    <t>23-05-2024 21:15</t>
  </si>
  <si>
    <t>23-05-2024 21:30</t>
  </si>
  <si>
    <t>23-05-2024 21:45</t>
  </si>
  <si>
    <t>23-05-2024 22:00</t>
  </si>
  <si>
    <t>23-05-2024 22:15</t>
  </si>
  <si>
    <t>23-05-2024 22:30</t>
  </si>
  <si>
    <t>23-05-2024 22:45</t>
  </si>
  <si>
    <t>23-05-2024 23:00</t>
  </si>
  <si>
    <t>23-05-2024 23:15</t>
  </si>
  <si>
    <t>23-05-2024 23:30</t>
  </si>
  <si>
    <t>23-05-2024 23:45</t>
  </si>
  <si>
    <t>23-05-2024 24:00</t>
  </si>
  <si>
    <t>24-05-2024 00:15</t>
  </si>
  <si>
    <t>24-05-2024 00:30</t>
  </si>
  <si>
    <t>24-05-2024 00:45</t>
  </si>
  <si>
    <t>24-05-2024 01:00</t>
  </si>
  <si>
    <t>24-05-2024 01:15</t>
  </si>
  <si>
    <t>24-05-2024 01:30</t>
  </si>
  <si>
    <t>24-05-2024 01:45</t>
  </si>
  <si>
    <t>24-05-2024 02:00</t>
  </si>
  <si>
    <t>24-05-2024 02:15</t>
  </si>
  <si>
    <t>24-05-2024 02:30</t>
  </si>
  <si>
    <t>24-05-2024 02:45</t>
  </si>
  <si>
    <t>24-05-2024 03:00</t>
  </si>
  <si>
    <t>24-05-2024 03:15</t>
  </si>
  <si>
    <t>24-05-2024 03:30</t>
  </si>
  <si>
    <t>24-05-2024 03:45</t>
  </si>
  <si>
    <t>24-05-2024 04:00</t>
  </si>
  <si>
    <t>24-05-2024 04:15</t>
  </si>
  <si>
    <t>24-05-2024 04:30</t>
  </si>
  <si>
    <t>24-05-2024 04:45</t>
  </si>
  <si>
    <t>24-05-2024 05:00</t>
  </si>
  <si>
    <t>24-05-2024 05:15</t>
  </si>
  <si>
    <t>24-05-2024 05:30</t>
  </si>
  <si>
    <t>24-05-2024 05:45</t>
  </si>
  <si>
    <t>24-05-2024 06:00</t>
  </si>
  <si>
    <t>24-05-2024 06:15</t>
  </si>
  <si>
    <t>24-05-2024 06:30</t>
  </si>
  <si>
    <t>24-05-2024 06:45</t>
  </si>
  <si>
    <t>24-05-2024 07:00</t>
  </si>
  <si>
    <t>24-05-2024 07:15</t>
  </si>
  <si>
    <t>24-05-2024 07:30</t>
  </si>
  <si>
    <t>24-05-2024 07:45</t>
  </si>
  <si>
    <t>24-05-2024 08:00</t>
  </si>
  <si>
    <t>24-05-2024 08:15</t>
  </si>
  <si>
    <t>24-05-2024 08:30</t>
  </si>
  <si>
    <t>24-05-2024 08:45</t>
  </si>
  <si>
    <t>24-05-2024 09:00</t>
  </si>
  <si>
    <t>24-05-2024 09:15</t>
  </si>
  <si>
    <t>24-05-2024 09:30</t>
  </si>
  <si>
    <t>24-05-2024 09:45</t>
  </si>
  <si>
    <t>24-05-2024 10:00</t>
  </si>
  <si>
    <t>24-05-2024 10:15</t>
  </si>
  <si>
    <t>24-05-2024 10:30</t>
  </si>
  <si>
    <t>24-05-2024 10:45</t>
  </si>
  <si>
    <t>24-05-2024 11:00</t>
  </si>
  <si>
    <t>24-05-2024 11:15</t>
  </si>
  <si>
    <t>24-05-2024 11:30</t>
  </si>
  <si>
    <t>24-05-2024 11:45</t>
  </si>
  <si>
    <t>24-05-2024 12:00</t>
  </si>
  <si>
    <t>24-05-2024 12:15</t>
  </si>
  <si>
    <t>24-05-2024 12:30</t>
  </si>
  <si>
    <t>24-05-2024 12:45</t>
  </si>
  <si>
    <t>24-05-2024 13:00</t>
  </si>
  <si>
    <t>24-05-2024 13:15</t>
  </si>
  <si>
    <t>24-05-2024 13:30</t>
  </si>
  <si>
    <t>24-05-2024 13:45</t>
  </si>
  <si>
    <t>24-05-2024 14:00</t>
  </si>
  <si>
    <t>24-05-2024 14:15</t>
  </si>
  <si>
    <t>24-05-2024 14:30</t>
  </si>
  <si>
    <t>24-05-2024 14:45</t>
  </si>
  <si>
    <t>24-05-2024 15:00</t>
  </si>
  <si>
    <t>24-05-2024 15:15</t>
  </si>
  <si>
    <t>24-05-2024 15:30</t>
  </si>
  <si>
    <t>24-05-2024 15:45</t>
  </si>
  <si>
    <t>24-05-2024 16:00</t>
  </si>
  <si>
    <t>24-05-2024 16:15</t>
  </si>
  <si>
    <t>24-05-2024 16:30</t>
  </si>
  <si>
    <t>24-05-2024 16:45</t>
  </si>
  <si>
    <t>24-05-2024 17:00</t>
  </si>
  <si>
    <t>24-05-2024 17:15</t>
  </si>
  <si>
    <t>24-05-2024 17:30</t>
  </si>
  <si>
    <t>24-05-2024 17:45</t>
  </si>
  <si>
    <t>24-05-2024 18:00</t>
  </si>
  <si>
    <t>24-05-2024 18:15</t>
  </si>
  <si>
    <t>24-05-2024 18:30</t>
  </si>
  <si>
    <t>24-05-2024 18:45</t>
  </si>
  <si>
    <t>24-05-2024 19:00</t>
  </si>
  <si>
    <t>24-05-2024 19:15</t>
  </si>
  <si>
    <t>24-05-2024 19:30</t>
  </si>
  <si>
    <t>24-05-2024 19:45</t>
  </si>
  <si>
    <t>24-05-2024 20:00</t>
  </si>
  <si>
    <t>24-05-2024 20:15</t>
  </si>
  <si>
    <t>24-05-2024 20:30</t>
  </si>
  <si>
    <t>24-05-2024 20:45</t>
  </si>
  <si>
    <t>24-05-2024 21:00</t>
  </si>
  <si>
    <t>24-05-2024 21:15</t>
  </si>
  <si>
    <t>24-05-2024 21:30</t>
  </si>
  <si>
    <t>24-05-2024 21:45</t>
  </si>
  <si>
    <t>24-05-2024 22:00</t>
  </si>
  <si>
    <t>24-05-2024 22:15</t>
  </si>
  <si>
    <t>24-05-2024 22:30</t>
  </si>
  <si>
    <t>24-05-2024 22:45</t>
  </si>
  <si>
    <t>24-05-2024 23:00</t>
  </si>
  <si>
    <t>24-05-2024 23:15</t>
  </si>
  <si>
    <t>24-05-2024 23:30</t>
  </si>
  <si>
    <t>24-05-2024 23:45</t>
  </si>
  <si>
    <t>24-05-2024 24:00</t>
  </si>
  <si>
    <t>25-05-2024 00:15</t>
  </si>
  <si>
    <t>25-05-2024 00:30</t>
  </si>
  <si>
    <t>25-05-2024 00:45</t>
  </si>
  <si>
    <t>25-05-2024 01:00</t>
  </si>
  <si>
    <t>25-05-2024 01:15</t>
  </si>
  <si>
    <t>25-05-2024 01:30</t>
  </si>
  <si>
    <t>25-05-2024 01:45</t>
  </si>
  <si>
    <t>25-05-2024 02:00</t>
  </si>
  <si>
    <t>25-05-2024 02:15</t>
  </si>
  <si>
    <t>25-05-2024 02:30</t>
  </si>
  <si>
    <t>25-05-2024 02:45</t>
  </si>
  <si>
    <t>25-05-2024 03:00</t>
  </si>
  <si>
    <t>25-05-2024 03:15</t>
  </si>
  <si>
    <t>25-05-2024 03:30</t>
  </si>
  <si>
    <t>25-05-2024 03:45</t>
  </si>
  <si>
    <t>25-05-2024 04:00</t>
  </si>
  <si>
    <t>25-05-2024 04:15</t>
  </si>
  <si>
    <t>25-05-2024 04:30</t>
  </si>
  <si>
    <t>25-05-2024 04:45</t>
  </si>
  <si>
    <t>25-05-2024 05:00</t>
  </si>
  <si>
    <t>25-05-2024 05:15</t>
  </si>
  <si>
    <t>25-05-2024 05:30</t>
  </si>
  <si>
    <t>25-05-2024 05:45</t>
  </si>
  <si>
    <t>25-05-2024 06:00</t>
  </si>
  <si>
    <t>25-05-2024 06:15</t>
  </si>
  <si>
    <t>25-05-2024 06:30</t>
  </si>
  <si>
    <t>25-05-2024 06:45</t>
  </si>
  <si>
    <t>25-05-2024 07:00</t>
  </si>
  <si>
    <t>25-05-2024 07:15</t>
  </si>
  <si>
    <t>25-05-2024 07:30</t>
  </si>
  <si>
    <t>25-05-2024 07:45</t>
  </si>
  <si>
    <t>25-05-2024 08:00</t>
  </si>
  <si>
    <t>25-05-2024 08:15</t>
  </si>
  <si>
    <t>25-05-2024 08:30</t>
  </si>
  <si>
    <t>25-05-2024 08:45</t>
  </si>
  <si>
    <t>25-05-2024 09:00</t>
  </si>
  <si>
    <t>25-05-2024 09:15</t>
  </si>
  <si>
    <t>25-05-2024 09:30</t>
  </si>
  <si>
    <t>25-05-2024 09:45</t>
  </si>
  <si>
    <t>25-05-2024 10:00</t>
  </si>
  <si>
    <t>25-05-2024 10:15</t>
  </si>
  <si>
    <t>25-05-2024 10:30</t>
  </si>
  <si>
    <t>25-05-2024 10:45</t>
  </si>
  <si>
    <t>25-05-2024 11:00</t>
  </si>
  <si>
    <t>25-05-2024 11:15</t>
  </si>
  <si>
    <t>25-05-2024 11:30</t>
  </si>
  <si>
    <t>25-05-2024 11:45</t>
  </si>
  <si>
    <t>25-05-2024 12:00</t>
  </si>
  <si>
    <t>25-05-2024 12:15</t>
  </si>
  <si>
    <t>25-05-2024 12:30</t>
  </si>
  <si>
    <t>25-05-2024 12:45</t>
  </si>
  <si>
    <t>25-05-2024 13:00</t>
  </si>
  <si>
    <t>25-05-2024 13:15</t>
  </si>
  <si>
    <t>25-05-2024 13:30</t>
  </si>
  <si>
    <t>25-05-2024 13:45</t>
  </si>
  <si>
    <t>25-05-2024 14:00</t>
  </si>
  <si>
    <t>25-05-2024 14:15</t>
  </si>
  <si>
    <t>25-05-2024 14:30</t>
  </si>
  <si>
    <t>25-05-2024 14:45</t>
  </si>
  <si>
    <t>25-05-2024 15:00</t>
  </si>
  <si>
    <t>25-05-2024 15:15</t>
  </si>
  <si>
    <t>25-05-2024 15:30</t>
  </si>
  <si>
    <t>25-05-2024 15:45</t>
  </si>
  <si>
    <t>25-05-2024 16:00</t>
  </si>
  <si>
    <t>25-05-2024 16:15</t>
  </si>
  <si>
    <t>25-05-2024 16:30</t>
  </si>
  <si>
    <t>25-05-2024 16:45</t>
  </si>
  <si>
    <t>25-05-2024 17:00</t>
  </si>
  <si>
    <t>25-05-2024 17:15</t>
  </si>
  <si>
    <t>25-05-2024 17:30</t>
  </si>
  <si>
    <t>25-05-2024 17:45</t>
  </si>
  <si>
    <t>25-05-2024 18:00</t>
  </si>
  <si>
    <t>25-05-2024 18:15</t>
  </si>
  <si>
    <t>25-05-2024 18:30</t>
  </si>
  <si>
    <t>25-05-2024 18:45</t>
  </si>
  <si>
    <t>25-05-2024 19:00</t>
  </si>
  <si>
    <t>25-05-2024 19:15</t>
  </si>
  <si>
    <t>25-05-2024 19:30</t>
  </si>
  <si>
    <t>25-05-2024 19:45</t>
  </si>
  <si>
    <t>25-05-2024 20:00</t>
  </si>
  <si>
    <t>25-05-2024 20:15</t>
  </si>
  <si>
    <t>25-05-2024 20:30</t>
  </si>
  <si>
    <t>25-05-2024 20:45</t>
  </si>
  <si>
    <t>25-05-2024 21:00</t>
  </si>
  <si>
    <t>25-05-2024 21:15</t>
  </si>
  <si>
    <t>25-05-2024 21:30</t>
  </si>
  <si>
    <t>25-05-2024 21:45</t>
  </si>
  <si>
    <t>25-05-2024 22:00</t>
  </si>
  <si>
    <t>25-05-2024 22:15</t>
  </si>
  <si>
    <t>25-05-2024 22:30</t>
  </si>
  <si>
    <t>25-05-2024 22:45</t>
  </si>
  <si>
    <t>25-05-2024 23:00</t>
  </si>
  <si>
    <t>25-05-2024 23:15</t>
  </si>
  <si>
    <t>25-05-2024 23:30</t>
  </si>
  <si>
    <t>25-05-2024 23:45</t>
  </si>
  <si>
    <t>25-05-2024 24:00</t>
  </si>
  <si>
    <t>26-05-2024 00:15</t>
  </si>
  <si>
    <t>26-05-2024 00:30</t>
  </si>
  <si>
    <t>26-05-2024 00:45</t>
  </si>
  <si>
    <t>26-05-2024 01:00</t>
  </si>
  <si>
    <t>26-05-2024 01:15</t>
  </si>
  <si>
    <t>26-05-2024 01:30</t>
  </si>
  <si>
    <t>26-05-2024 01:45</t>
  </si>
  <si>
    <t>26-05-2024 02:00</t>
  </si>
  <si>
    <t>26-05-2024 02:15</t>
  </si>
  <si>
    <t>26-05-2024 02:30</t>
  </si>
  <si>
    <t>26-05-2024 02:45</t>
  </si>
  <si>
    <t>26-05-2024 03:00</t>
  </si>
  <si>
    <t>26-05-2024 03:15</t>
  </si>
  <si>
    <t>26-05-2024 03:30</t>
  </si>
  <si>
    <t>26-05-2024 03:45</t>
  </si>
  <si>
    <t>26-05-2024 04:00</t>
  </si>
  <si>
    <t>26-05-2024 04:15</t>
  </si>
  <si>
    <t>26-05-2024 04:30</t>
  </si>
  <si>
    <t>26-05-2024 04:45</t>
  </si>
  <si>
    <t>26-05-2024 05:00</t>
  </si>
  <si>
    <t>26-05-2024 05:15</t>
  </si>
  <si>
    <t>26-05-2024 05:30</t>
  </si>
  <si>
    <t>26-05-2024 05:45</t>
  </si>
  <si>
    <t>26-05-2024 06:00</t>
  </si>
  <si>
    <t>26-05-2024 06:15</t>
  </si>
  <si>
    <t>26-05-2024 06:30</t>
  </si>
  <si>
    <t>26-05-2024 06:45</t>
  </si>
  <si>
    <t>26-05-2024 07:00</t>
  </si>
  <si>
    <t>26-05-2024 07:15</t>
  </si>
  <si>
    <t>26-05-2024 07:30</t>
  </si>
  <si>
    <t>26-05-2024 07:45</t>
  </si>
  <si>
    <t>26-05-2024 08:00</t>
  </si>
  <si>
    <t>26-05-2024 08:15</t>
  </si>
  <si>
    <t>26-05-2024 08:30</t>
  </si>
  <si>
    <t>26-05-2024 08:45</t>
  </si>
  <si>
    <t>26-05-2024 09:00</t>
  </si>
  <si>
    <t>26-05-2024 09:15</t>
  </si>
  <si>
    <t>26-05-2024 09:30</t>
  </si>
  <si>
    <t>26-05-2024 09:45</t>
  </si>
  <si>
    <t>26-05-2024 10:00</t>
  </si>
  <si>
    <t>26-05-2024 10:15</t>
  </si>
  <si>
    <t>26-05-2024 10:30</t>
  </si>
  <si>
    <t>26-05-2024 10:45</t>
  </si>
  <si>
    <t>26-05-2024 11:00</t>
  </si>
  <si>
    <t>26-05-2024 11:15</t>
  </si>
  <si>
    <t>26-05-2024 11:30</t>
  </si>
  <si>
    <t>26-05-2024 11:45</t>
  </si>
  <si>
    <t>26-05-2024 12:00</t>
  </si>
  <si>
    <t>26-05-2024 12:15</t>
  </si>
  <si>
    <t>26-05-2024 12:30</t>
  </si>
  <si>
    <t>26-05-2024 12:45</t>
  </si>
  <si>
    <t>26-05-2024 13:00</t>
  </si>
  <si>
    <t>26-05-2024 13:15</t>
  </si>
  <si>
    <t>26-05-2024 13:30</t>
  </si>
  <si>
    <t>26-05-2024 13:45</t>
  </si>
  <si>
    <t>26-05-2024 14:00</t>
  </si>
  <si>
    <t>26-05-2024 14:15</t>
  </si>
  <si>
    <t>26-05-2024 14:30</t>
  </si>
  <si>
    <t>26-05-2024 14:45</t>
  </si>
  <si>
    <t>26-05-2024 15:00</t>
  </si>
  <si>
    <t>26-05-2024 15:15</t>
  </si>
  <si>
    <t>26-05-2024 15:30</t>
  </si>
  <si>
    <t>26-05-2024 15:45</t>
  </si>
  <si>
    <t>26-05-2024 16:00</t>
  </si>
  <si>
    <t>26-05-2024 16:15</t>
  </si>
  <si>
    <t>26-05-2024 16:30</t>
  </si>
  <si>
    <t>26-05-2024 16:45</t>
  </si>
  <si>
    <t>26-05-2024 17:00</t>
  </si>
  <si>
    <t>26-05-2024 17:15</t>
  </si>
  <si>
    <t>26-05-2024 17:30</t>
  </si>
  <si>
    <t>26-05-2024 17:45</t>
  </si>
  <si>
    <t>26-05-2024 18:00</t>
  </si>
  <si>
    <t>26-05-2024 18:15</t>
  </si>
  <si>
    <t>26-05-2024 18:30</t>
  </si>
  <si>
    <t>26-05-2024 18:45</t>
  </si>
  <si>
    <t>26-05-2024 19:00</t>
  </si>
  <si>
    <t>26-05-2024 19:15</t>
  </si>
  <si>
    <t>26-05-2024 19:30</t>
  </si>
  <si>
    <t>26-05-2024 19:45</t>
  </si>
  <si>
    <t>26-05-2024 20:00</t>
  </si>
  <si>
    <t>26-05-2024 20:15</t>
  </si>
  <si>
    <t>26-05-2024 20:30</t>
  </si>
  <si>
    <t>26-05-2024 20:45</t>
  </si>
  <si>
    <t>26-05-2024 21:00</t>
  </si>
  <si>
    <t>26-05-2024 21:15</t>
  </si>
  <si>
    <t>26-05-2024 21:30</t>
  </si>
  <si>
    <t>26-05-2024 21:45</t>
  </si>
  <si>
    <t>26-05-2024 22:00</t>
  </si>
  <si>
    <t>26-05-2024 22:15</t>
  </si>
  <si>
    <t>26-05-2024 22:30</t>
  </si>
  <si>
    <t>26-05-2024 22:45</t>
  </si>
  <si>
    <t>26-05-2024 23:00</t>
  </si>
  <si>
    <t>26-05-2024 23:15</t>
  </si>
  <si>
    <t>26-05-2024 23:30</t>
  </si>
  <si>
    <t>26-05-2024 23:45</t>
  </si>
  <si>
    <t>26-05-2024 24:00</t>
  </si>
  <si>
    <t>27-05-2024 00:15</t>
  </si>
  <si>
    <t>27-05-2024 00:30</t>
  </si>
  <si>
    <t>27-05-2024 00:45</t>
  </si>
  <si>
    <t>27-05-2024 01:00</t>
  </si>
  <si>
    <t>27-05-2024 01:15</t>
  </si>
  <si>
    <t>27-05-2024 01:30</t>
  </si>
  <si>
    <t>27-05-2024 01:45</t>
  </si>
  <si>
    <t>27-05-2024 02:00</t>
  </si>
  <si>
    <t>27-05-2024 02:15</t>
  </si>
  <si>
    <t>27-05-2024 02:30</t>
  </si>
  <si>
    <t>27-05-2024 02:45</t>
  </si>
  <si>
    <t>27-05-2024 03:00</t>
  </si>
  <si>
    <t>27-05-2024 03:15</t>
  </si>
  <si>
    <t>27-05-2024 03:30</t>
  </si>
  <si>
    <t>27-05-2024 03:45</t>
  </si>
  <si>
    <t>27-05-2024 04:00</t>
  </si>
  <si>
    <t>27-05-2024 04:15</t>
  </si>
  <si>
    <t>27-05-2024 04:30</t>
  </si>
  <si>
    <t>27-05-2024 04:45</t>
  </si>
  <si>
    <t>27-05-2024 05:00</t>
  </si>
  <si>
    <t>27-05-2024 05:15</t>
  </si>
  <si>
    <t>27-05-2024 05:30</t>
  </si>
  <si>
    <t>27-05-2024 05:45</t>
  </si>
  <si>
    <t>27-05-2024 06:00</t>
  </si>
  <si>
    <t>27-05-2024 06:15</t>
  </si>
  <si>
    <t>27-05-2024 06:30</t>
  </si>
  <si>
    <t>27-05-2024 06:45</t>
  </si>
  <si>
    <t>27-05-2024 07:00</t>
  </si>
  <si>
    <t>27-05-2024 07:15</t>
  </si>
  <si>
    <t>27-05-2024 07:30</t>
  </si>
  <si>
    <t>27-05-2024 07:45</t>
  </si>
  <si>
    <t>27-05-2024 08:00</t>
  </si>
  <si>
    <t>27-05-2024 08:15</t>
  </si>
  <si>
    <t>27-05-2024 08:30</t>
  </si>
  <si>
    <t>27-05-2024 08:45</t>
  </si>
  <si>
    <t>27-05-2024 09:00</t>
  </si>
  <si>
    <t>27-05-2024 09:15</t>
  </si>
  <si>
    <t>27-05-2024 09:30</t>
  </si>
  <si>
    <t>27-05-2024 09:45</t>
  </si>
  <si>
    <t>27-05-2024 10:00</t>
  </si>
  <si>
    <t>27-05-2024 10:15</t>
  </si>
  <si>
    <t>27-05-2024 10:30</t>
  </si>
  <si>
    <t>27-05-2024 10:45</t>
  </si>
  <si>
    <t>27-05-2024 11:00</t>
  </si>
  <si>
    <t>27-05-2024 11:15</t>
  </si>
  <si>
    <t>27-05-2024 11:30</t>
  </si>
  <si>
    <t>27-05-2024 11:45</t>
  </si>
  <si>
    <t>27-05-2024 12:00</t>
  </si>
  <si>
    <t>27-05-2024 12:15</t>
  </si>
  <si>
    <t>27-05-2024 12:30</t>
  </si>
  <si>
    <t>27-05-2024 12:45</t>
  </si>
  <si>
    <t>27-05-2024 13:00</t>
  </si>
  <si>
    <t>27-05-2024 13:15</t>
  </si>
  <si>
    <t>27-05-2024 13:30</t>
  </si>
  <si>
    <t>27-05-2024 13:45</t>
  </si>
  <si>
    <t>27-05-2024 14:00</t>
  </si>
  <si>
    <t>27-05-2024 14:15</t>
  </si>
  <si>
    <t>27-05-2024 14:30</t>
  </si>
  <si>
    <t>27-05-2024 14:45</t>
  </si>
  <si>
    <t>27-05-2024 15:00</t>
  </si>
  <si>
    <t>27-05-2024 15:15</t>
  </si>
  <si>
    <t>27-05-2024 15:30</t>
  </si>
  <si>
    <t>27-05-2024 15:45</t>
  </si>
  <si>
    <t>27-05-2024 16:00</t>
  </si>
  <si>
    <t>27-05-2024 16:15</t>
  </si>
  <si>
    <t>27-05-2024 16:30</t>
  </si>
  <si>
    <t>27-05-2024 16:45</t>
  </si>
  <si>
    <t>27-05-2024 17:00</t>
  </si>
  <si>
    <t>27-05-2024 17:15</t>
  </si>
  <si>
    <t>27-05-2024 17:30</t>
  </si>
  <si>
    <t>27-05-2024 17:45</t>
  </si>
  <si>
    <t>27-05-2024 18:00</t>
  </si>
  <si>
    <t>27-05-2024 18:15</t>
  </si>
  <si>
    <t>27-05-2024 18:30</t>
  </si>
  <si>
    <t>27-05-2024 18:45</t>
  </si>
  <si>
    <t>27-05-2024 19:00</t>
  </si>
  <si>
    <t>27-05-2024 19:15</t>
  </si>
  <si>
    <t>27-05-2024 19:30</t>
  </si>
  <si>
    <t>27-05-2024 19:45</t>
  </si>
  <si>
    <t>27-05-2024 20:00</t>
  </si>
  <si>
    <t>27-05-2024 20:15</t>
  </si>
  <si>
    <t>27-05-2024 20:30</t>
  </si>
  <si>
    <t>27-05-2024 20:45</t>
  </si>
  <si>
    <t>27-05-2024 21:00</t>
  </si>
  <si>
    <t>27-05-2024 21:15</t>
  </si>
  <si>
    <t>27-05-2024 21:30</t>
  </si>
  <si>
    <t>27-05-2024 21:45</t>
  </si>
  <si>
    <t>27-05-2024 22:00</t>
  </si>
  <si>
    <t>27-05-2024 22:15</t>
  </si>
  <si>
    <t>27-05-2024 22:30</t>
  </si>
  <si>
    <t>27-05-2024 22:45</t>
  </si>
  <si>
    <t>27-05-2024 23:00</t>
  </si>
  <si>
    <t>27-05-2024 23:15</t>
  </si>
  <si>
    <t>27-05-2024 23:30</t>
  </si>
  <si>
    <t>27-05-2024 23:45</t>
  </si>
  <si>
    <t>27-05-2024 24:00</t>
  </si>
  <si>
    <t>28-05-2024 00:15</t>
  </si>
  <si>
    <t>28-05-2024 00:30</t>
  </si>
  <si>
    <t>28-05-2024 00:45</t>
  </si>
  <si>
    <t>28-05-2024 01:00</t>
  </si>
  <si>
    <t>28-05-2024 01:15</t>
  </si>
  <si>
    <t>28-05-2024 01:30</t>
  </si>
  <si>
    <t>28-05-2024 01:45</t>
  </si>
  <si>
    <t>28-05-2024 02:00</t>
  </si>
  <si>
    <t>28-05-2024 02:15</t>
  </si>
  <si>
    <t>28-05-2024 02:30</t>
  </si>
  <si>
    <t>28-05-2024 02:45</t>
  </si>
  <si>
    <t>28-05-2024 03:00</t>
  </si>
  <si>
    <t>28-05-2024 03:15</t>
  </si>
  <si>
    <t>28-05-2024 03:30</t>
  </si>
  <si>
    <t>28-05-2024 03:45</t>
  </si>
  <si>
    <t>28-05-2024 04:00</t>
  </si>
  <si>
    <t>28-05-2024 04:15</t>
  </si>
  <si>
    <t>28-05-2024 04:30</t>
  </si>
  <si>
    <t>28-05-2024 04:45</t>
  </si>
  <si>
    <t>28-05-2024 05:00</t>
  </si>
  <si>
    <t>28-05-2024 05:15</t>
  </si>
  <si>
    <t>28-05-2024 05:30</t>
  </si>
  <si>
    <t>28-05-2024 05:45</t>
  </si>
  <si>
    <t>28-05-2024 06:00</t>
  </si>
  <si>
    <t>28-05-2024 06:15</t>
  </si>
  <si>
    <t>28-05-2024 06:30</t>
  </si>
  <si>
    <t>28-05-2024 06:45</t>
  </si>
  <si>
    <t>28-05-2024 07:00</t>
  </si>
  <si>
    <t>28-05-2024 07:15</t>
  </si>
  <si>
    <t>28-05-2024 07:30</t>
  </si>
  <si>
    <t>28-05-2024 07:45</t>
  </si>
  <si>
    <t>28-05-2024 08:00</t>
  </si>
  <si>
    <t>28-05-2024 08:15</t>
  </si>
  <si>
    <t>28-05-2024 08:30</t>
  </si>
  <si>
    <t>28-05-2024 08:45</t>
  </si>
  <si>
    <t>28-05-2024 09:00</t>
  </si>
  <si>
    <t>28-05-2024 09:15</t>
  </si>
  <si>
    <t>28-05-2024 09:30</t>
  </si>
  <si>
    <t>28-05-2024 09:45</t>
  </si>
  <si>
    <t>28-05-2024 10:00</t>
  </si>
  <si>
    <t>28-05-2024 10:15</t>
  </si>
  <si>
    <t>28-05-2024 10:30</t>
  </si>
  <si>
    <t>28-05-2024 10:45</t>
  </si>
  <si>
    <t>28-05-2024 11:00</t>
  </si>
  <si>
    <t>28-05-2024 11:15</t>
  </si>
  <si>
    <t>28-05-2024 11:30</t>
  </si>
  <si>
    <t>28-05-2024 11:45</t>
  </si>
  <si>
    <t>28-05-2024 12:00</t>
  </si>
  <si>
    <t>28-05-2024 12:15</t>
  </si>
  <si>
    <t>28-05-2024 12:30</t>
  </si>
  <si>
    <t>28-05-2024 12:45</t>
  </si>
  <si>
    <t>28-05-2024 13:00</t>
  </si>
  <si>
    <t>28-05-2024 13:15</t>
  </si>
  <si>
    <t>28-05-2024 13:30</t>
  </si>
  <si>
    <t>28-05-2024 13:45</t>
  </si>
  <si>
    <t>28-05-2024 14:00</t>
  </si>
  <si>
    <t>28-05-2024 14:15</t>
  </si>
  <si>
    <t>28-05-2024 14:30</t>
  </si>
  <si>
    <t>28-05-2024 14:45</t>
  </si>
  <si>
    <t>28-05-2024 15:00</t>
  </si>
  <si>
    <t>28-05-2024 15:15</t>
  </si>
  <si>
    <t>28-05-2024 15:30</t>
  </si>
  <si>
    <t>28-05-2024 15:45</t>
  </si>
  <si>
    <t>28-05-2024 16:00</t>
  </si>
  <si>
    <t>28-05-2024 16:15</t>
  </si>
  <si>
    <t>28-05-2024 16:30</t>
  </si>
  <si>
    <t>28-05-2024 16:45</t>
  </si>
  <si>
    <t>28-05-2024 17:00</t>
  </si>
  <si>
    <t>28-05-2024 17:15</t>
  </si>
  <si>
    <t>28-05-2024 17:30</t>
  </si>
  <si>
    <t>28-05-2024 17:45</t>
  </si>
  <si>
    <t>28-05-2024 18:00</t>
  </si>
  <si>
    <t>28-05-2024 18:15</t>
  </si>
  <si>
    <t>28-05-2024 18:30</t>
  </si>
  <si>
    <t>28-05-2024 18:45</t>
  </si>
  <si>
    <t>28-05-2024 19:00</t>
  </si>
  <si>
    <t>28-05-2024 19:15</t>
  </si>
  <si>
    <t>28-05-2024 19:30</t>
  </si>
  <si>
    <t>28-05-2024 19:45</t>
  </si>
  <si>
    <t>28-05-2024 20:00</t>
  </si>
  <si>
    <t>28-05-2024 20:15</t>
  </si>
  <si>
    <t>28-05-2024 20:30</t>
  </si>
  <si>
    <t>28-05-2024 20:45</t>
  </si>
  <si>
    <t>28-05-2024 21:00</t>
  </si>
  <si>
    <t>28-05-2024 21:15</t>
  </si>
  <si>
    <t>28-05-2024 21:30</t>
  </si>
  <si>
    <t>28-05-2024 21:45</t>
  </si>
  <si>
    <t>28-05-2024 22:00</t>
  </si>
  <si>
    <t>28-05-2024 22:15</t>
  </si>
  <si>
    <t>28-05-2024 22:30</t>
  </si>
  <si>
    <t>28-05-2024 22:45</t>
  </si>
  <si>
    <t>28-05-2024 23:00</t>
  </si>
  <si>
    <t>28-05-2024 23:15</t>
  </si>
  <si>
    <t>28-05-2024 23:30</t>
  </si>
  <si>
    <t>28-05-2024 23:45</t>
  </si>
  <si>
    <t>28-05-2024 24:00</t>
  </si>
  <si>
    <t>29-05-2024 00:15</t>
  </si>
  <si>
    <t>29-05-2024 00:30</t>
  </si>
  <si>
    <t>29-05-2024 00:45</t>
  </si>
  <si>
    <t>29-05-2024 01:00</t>
  </si>
  <si>
    <t>29-05-2024 01:15</t>
  </si>
  <si>
    <t>29-05-2024 01:30</t>
  </si>
  <si>
    <t>29-05-2024 01:45</t>
  </si>
  <si>
    <t>29-05-2024 02:00</t>
  </si>
  <si>
    <t>29-05-2024 02:15</t>
  </si>
  <si>
    <t>29-05-2024 02:30</t>
  </si>
  <si>
    <t>29-05-2024 02:45</t>
  </si>
  <si>
    <t>29-05-2024 03:00</t>
  </si>
  <si>
    <t>29-05-2024 03:15</t>
  </si>
  <si>
    <t>29-05-2024 03:30</t>
  </si>
  <si>
    <t>29-05-2024 03:45</t>
  </si>
  <si>
    <t>29-05-2024 04:00</t>
  </si>
  <si>
    <t>29-05-2024 04:15</t>
  </si>
  <si>
    <t>29-05-2024 04:30</t>
  </si>
  <si>
    <t>29-05-2024 04:45</t>
  </si>
  <si>
    <t>29-05-2024 05:00</t>
  </si>
  <si>
    <t>29-05-2024 05:15</t>
  </si>
  <si>
    <t>29-05-2024 05:30</t>
  </si>
  <si>
    <t>29-05-2024 05:45</t>
  </si>
  <si>
    <t>29-05-2024 06:00</t>
  </si>
  <si>
    <t>29-05-2024 06:15</t>
  </si>
  <si>
    <t>29-05-2024 06:30</t>
  </si>
  <si>
    <t>29-05-2024 06:45</t>
  </si>
  <si>
    <t>29-05-2024 07:00</t>
  </si>
  <si>
    <t>29-05-2024 07:15</t>
  </si>
  <si>
    <t>29-05-2024 07:30</t>
  </si>
  <si>
    <t>29-05-2024 07:45</t>
  </si>
  <si>
    <t>29-05-2024 08:00</t>
  </si>
  <si>
    <t>29-05-2024 08:15</t>
  </si>
  <si>
    <t>29-05-2024 08:30</t>
  </si>
  <si>
    <t>29-05-2024 08:45</t>
  </si>
  <si>
    <t>29-05-2024 09:00</t>
  </si>
  <si>
    <t>29-05-2024 09:15</t>
  </si>
  <si>
    <t>29-05-2024 09:30</t>
  </si>
  <si>
    <t>29-05-2024 09:45</t>
  </si>
  <si>
    <t>29-05-2024 10:00</t>
  </si>
  <si>
    <t>29-05-2024 10:15</t>
  </si>
  <si>
    <t>29-05-2024 10:30</t>
  </si>
  <si>
    <t>29-05-2024 10:45</t>
  </si>
  <si>
    <t>29-05-2024 11:00</t>
  </si>
  <si>
    <t>29-05-2024 11:15</t>
  </si>
  <si>
    <t>29-05-2024 11:30</t>
  </si>
  <si>
    <t>29-05-2024 11:45</t>
  </si>
  <si>
    <t>29-05-2024 12:00</t>
  </si>
  <si>
    <t>29-05-2024 12:15</t>
  </si>
  <si>
    <t>29-05-2024 12:30</t>
  </si>
  <si>
    <t>29-05-2024 12:45</t>
  </si>
  <si>
    <t>29-05-2024 13:00</t>
  </si>
  <si>
    <t>29-05-2024 13:15</t>
  </si>
  <si>
    <t>29-05-2024 13:30</t>
  </si>
  <si>
    <t>29-05-2024 13:45</t>
  </si>
  <si>
    <t>29-05-2024 14:00</t>
  </si>
  <si>
    <t>29-05-2024 14:15</t>
  </si>
  <si>
    <t>29-05-2024 14:30</t>
  </si>
  <si>
    <t>29-05-2024 14:45</t>
  </si>
  <si>
    <t>29-05-2024 15:00</t>
  </si>
  <si>
    <t>29-05-2024 15:15</t>
  </si>
  <si>
    <t>29-05-2024 15:30</t>
  </si>
  <si>
    <t>29-05-2024 15:45</t>
  </si>
  <si>
    <t>29-05-2024 16:00</t>
  </si>
  <si>
    <t>29-05-2024 16:15</t>
  </si>
  <si>
    <t>29-05-2024 16:30</t>
  </si>
  <si>
    <t>29-05-2024 16:45</t>
  </si>
  <si>
    <t>29-05-2024 17:00</t>
  </si>
  <si>
    <t>29-05-2024 17:15</t>
  </si>
  <si>
    <t>29-05-2024 17:30</t>
  </si>
  <si>
    <t>29-05-2024 17:45</t>
  </si>
  <si>
    <t>29-05-2024 18:00</t>
  </si>
  <si>
    <t>29-05-2024 18:15</t>
  </si>
  <si>
    <t>29-05-2024 18:30</t>
  </si>
  <si>
    <t>29-05-2024 18:45</t>
  </si>
  <si>
    <t>29-05-2024 19:00</t>
  </si>
  <si>
    <t>29-05-2024 19:15</t>
  </si>
  <si>
    <t>29-05-2024 19:30</t>
  </si>
  <si>
    <t>29-05-2024 19:45</t>
  </si>
  <si>
    <t>29-05-2024 20:00</t>
  </si>
  <si>
    <t>29-05-2024 20:15</t>
  </si>
  <si>
    <t>29-05-2024 20:30</t>
  </si>
  <si>
    <t>29-05-2024 20:45</t>
  </si>
  <si>
    <t>29-05-2024 21:00</t>
  </si>
  <si>
    <t>29-05-2024 21:15</t>
  </si>
  <si>
    <t>29-05-2024 21:30</t>
  </si>
  <si>
    <t>29-05-2024 21:45</t>
  </si>
  <si>
    <t>29-05-2024 22:00</t>
  </si>
  <si>
    <t>29-05-2024 22:15</t>
  </si>
  <si>
    <t>29-05-2024 22:30</t>
  </si>
  <si>
    <t>29-05-2024 22:45</t>
  </si>
  <si>
    <t>29-05-2024 23:00</t>
  </si>
  <si>
    <t>29-05-2024 23:15</t>
  </si>
  <si>
    <t>29-05-2024 23:30</t>
  </si>
  <si>
    <t>29-05-2024 23:45</t>
  </si>
  <si>
    <t>29-05-2024 24:00</t>
  </si>
  <si>
    <t>30-05-2024 00:15</t>
  </si>
  <si>
    <t>30-05-2024 00:30</t>
  </si>
  <si>
    <t>30-05-2024 00:45</t>
  </si>
  <si>
    <t>30-05-2024 01:00</t>
  </si>
  <si>
    <t>30-05-2024 01:15</t>
  </si>
  <si>
    <t>30-05-2024 01:30</t>
  </si>
  <si>
    <t>30-05-2024 01:45</t>
  </si>
  <si>
    <t>30-05-2024 02:00</t>
  </si>
  <si>
    <t>30-05-2024 02:15</t>
  </si>
  <si>
    <t>30-05-2024 02:30</t>
  </si>
  <si>
    <t>30-05-2024 02:45</t>
  </si>
  <si>
    <t>30-05-2024 03:00</t>
  </si>
  <si>
    <t>30-05-2024 03:15</t>
  </si>
  <si>
    <t>30-05-2024 03:30</t>
  </si>
  <si>
    <t>30-05-2024 03:45</t>
  </si>
  <si>
    <t>30-05-2024 04:00</t>
  </si>
  <si>
    <t>30-05-2024 04:15</t>
  </si>
  <si>
    <t>30-05-2024 04:30</t>
  </si>
  <si>
    <t>30-05-2024 04:45</t>
  </si>
  <si>
    <t>30-05-2024 05:00</t>
  </si>
  <si>
    <t>30-05-2024 05:15</t>
  </si>
  <si>
    <t>30-05-2024 05:30</t>
  </si>
  <si>
    <t>30-05-2024 05:45</t>
  </si>
  <si>
    <t>30-05-2024 06:00</t>
  </si>
  <si>
    <t>30-05-2024 06:15</t>
  </si>
  <si>
    <t>30-05-2024 06:30</t>
  </si>
  <si>
    <t>30-05-2024 06:45</t>
  </si>
  <si>
    <t>30-05-2024 07:00</t>
  </si>
  <si>
    <t>30-05-2024 07:15</t>
  </si>
  <si>
    <t>30-05-2024 07:30</t>
  </si>
  <si>
    <t>30-05-2024 07:45</t>
  </si>
  <si>
    <t>30-05-2024 08:00</t>
  </si>
  <si>
    <t>30-05-2024 08:15</t>
  </si>
  <si>
    <t>30-05-2024 08:30</t>
  </si>
  <si>
    <t>30-05-2024 08:45</t>
  </si>
  <si>
    <t>30-05-2024 09:00</t>
  </si>
  <si>
    <t>30-05-2024 09:15</t>
  </si>
  <si>
    <t>30-05-2024 09:30</t>
  </si>
  <si>
    <t>30-05-2024 09:45</t>
  </si>
  <si>
    <t>30-05-2024 10:00</t>
  </si>
  <si>
    <t>30-05-2024 10:15</t>
  </si>
  <si>
    <t>30-05-2024 10:30</t>
  </si>
  <si>
    <t>30-05-2024 10:45</t>
  </si>
  <si>
    <t>30-05-2024 11:00</t>
  </si>
  <si>
    <t>30-05-2024 11:15</t>
  </si>
  <si>
    <t>30-05-2024 11:30</t>
  </si>
  <si>
    <t>30-05-2024 11:45</t>
  </si>
  <si>
    <t>30-05-2024 12:00</t>
  </si>
  <si>
    <t>30-05-2024 12:15</t>
  </si>
  <si>
    <t>30-05-2024 12:30</t>
  </si>
  <si>
    <t>30-05-2024 12:45</t>
  </si>
  <si>
    <t>30-05-2024 13:00</t>
  </si>
  <si>
    <t>30-05-2024 13:15</t>
  </si>
  <si>
    <t>30-05-2024 13:30</t>
  </si>
  <si>
    <t>30-05-2024 13:45</t>
  </si>
  <si>
    <t>30-05-2024 14:00</t>
  </si>
  <si>
    <t>30-05-2024 14:15</t>
  </si>
  <si>
    <t>30-05-2024 14:30</t>
  </si>
  <si>
    <t>30-05-2024 14:45</t>
  </si>
  <si>
    <t>30-05-2024 15:00</t>
  </si>
  <si>
    <t>30-05-2024 15:15</t>
  </si>
  <si>
    <t>30-05-2024 15:30</t>
  </si>
  <si>
    <t>30-05-2024 15:45</t>
  </si>
  <si>
    <t>30-05-2024 16:00</t>
  </si>
  <si>
    <t>30-05-2024 16:15</t>
  </si>
  <si>
    <t>30-05-2024 16:30</t>
  </si>
  <si>
    <t>30-05-2024 16:45</t>
  </si>
  <si>
    <t>30-05-2024 17:00</t>
  </si>
  <si>
    <t>30-05-2024 17:15</t>
  </si>
  <si>
    <t>30-05-2024 17:30</t>
  </si>
  <si>
    <t>30-05-2024 17:45</t>
  </si>
  <si>
    <t>30-05-2024 18:00</t>
  </si>
  <si>
    <t>30-05-2024 18:15</t>
  </si>
  <si>
    <t>30-05-2024 18:30</t>
  </si>
  <si>
    <t>30-05-2024 18:45</t>
  </si>
  <si>
    <t>30-05-2024 19:00</t>
  </si>
  <si>
    <t>30-05-2024 19:15</t>
  </si>
  <si>
    <t>30-05-2024 19:30</t>
  </si>
  <si>
    <t>30-05-2024 19:45</t>
  </si>
  <si>
    <t>30-05-2024 20:00</t>
  </si>
  <si>
    <t>30-05-2024 20:15</t>
  </si>
  <si>
    <t>30-05-2024 20:30</t>
  </si>
  <si>
    <t>30-05-2024 20:45</t>
  </si>
  <si>
    <t>30-05-2024 21:00</t>
  </si>
  <si>
    <t>30-05-2024 21:15</t>
  </si>
  <si>
    <t>30-05-2024 21:30</t>
  </si>
  <si>
    <t>30-05-2024 21:45</t>
  </si>
  <si>
    <t>30-05-2024 22:00</t>
  </si>
  <si>
    <t>30-05-2024 22:15</t>
  </si>
  <si>
    <t>30-05-2024 22:30</t>
  </si>
  <si>
    <t>30-05-2024 22:45</t>
  </si>
  <si>
    <t>30-05-2024 23:00</t>
  </si>
  <si>
    <t>30-05-2024 23:15</t>
  </si>
  <si>
    <t>30-05-2024 23:30</t>
  </si>
  <si>
    <t>30-05-2024 23:45</t>
  </si>
  <si>
    <t>30-05-2024 24:00</t>
  </si>
  <si>
    <t>31-05-2024 00:15</t>
  </si>
  <si>
    <t>31-05-2024 00:30</t>
  </si>
  <si>
    <t>31-05-2024 00:45</t>
  </si>
  <si>
    <t>31-05-2024 01:00</t>
  </si>
  <si>
    <t>31-05-2024 01:15</t>
  </si>
  <si>
    <t>31-05-2024 01:30</t>
  </si>
  <si>
    <t>31-05-2024 01:45</t>
  </si>
  <si>
    <t>31-05-2024 02:00</t>
  </si>
  <si>
    <t>31-05-2024 02:15</t>
  </si>
  <si>
    <t>31-05-2024 02:30</t>
  </si>
  <si>
    <t>31-05-2024 02:45</t>
  </si>
  <si>
    <t>31-05-2024 03:00</t>
  </si>
  <si>
    <t>31-05-2024 03:15</t>
  </si>
  <si>
    <t>31-05-2024 03:30</t>
  </si>
  <si>
    <t>31-05-2024 03:45</t>
  </si>
  <si>
    <t>31-05-2024 04:00</t>
  </si>
  <si>
    <t>31-05-2024 04:15</t>
  </si>
  <si>
    <t>31-05-2024 04:30</t>
  </si>
  <si>
    <t>31-05-2024 04:45</t>
  </si>
  <si>
    <t>31-05-2024 05:00</t>
  </si>
  <si>
    <t>31-05-2024 05:15</t>
  </si>
  <si>
    <t>31-05-2024 05:30</t>
  </si>
  <si>
    <t>31-05-2024 05:45</t>
  </si>
  <si>
    <t>31-05-2024 06:00</t>
  </si>
  <si>
    <t>31-05-2024 06:15</t>
  </si>
  <si>
    <t>31-05-2024 06:30</t>
  </si>
  <si>
    <t>31-05-2024 06:45</t>
  </si>
  <si>
    <t>31-05-2024 07:00</t>
  </si>
  <si>
    <t>31-05-2024 07:15</t>
  </si>
  <si>
    <t>31-05-2024 07:30</t>
  </si>
  <si>
    <t>31-05-2024 07:45</t>
  </si>
  <si>
    <t>31-05-2024 08:00</t>
  </si>
  <si>
    <t>31-05-2024 08:15</t>
  </si>
  <si>
    <t>31-05-2024 08:30</t>
  </si>
  <si>
    <t>31-05-2024 08:45</t>
  </si>
  <si>
    <t>31-05-2024 09:00</t>
  </si>
  <si>
    <t>31-05-2024 09:15</t>
  </si>
  <si>
    <t>31-05-2024 09:30</t>
  </si>
  <si>
    <t>31-05-2024 09:45</t>
  </si>
  <si>
    <t>31-05-2024 10:00</t>
  </si>
  <si>
    <t>31-05-2024 10:15</t>
  </si>
  <si>
    <t>31-05-2024 10:30</t>
  </si>
  <si>
    <t>31-05-2024 10:45</t>
  </si>
  <si>
    <t>31-05-2024 11:00</t>
  </si>
  <si>
    <t>31-05-2024 11:15</t>
  </si>
  <si>
    <t>31-05-2024 11:30</t>
  </si>
  <si>
    <t>31-05-2024 11:45</t>
  </si>
  <si>
    <t>31-05-2024 12:00</t>
  </si>
  <si>
    <t>31-05-2024 12:15</t>
  </si>
  <si>
    <t>31-05-2024 12:30</t>
  </si>
  <si>
    <t>31-05-2024 12:45</t>
  </si>
  <si>
    <t>31-05-2024 13:00</t>
  </si>
  <si>
    <t>31-05-2024 13:15</t>
  </si>
  <si>
    <t>31-05-2024 13:30</t>
  </si>
  <si>
    <t>31-05-2024 13:45</t>
  </si>
  <si>
    <t>31-05-2024 14:00</t>
  </si>
  <si>
    <t>31-05-2024 14:15</t>
  </si>
  <si>
    <t>31-05-2024 14:30</t>
  </si>
  <si>
    <t>31-05-2024 14:45</t>
  </si>
  <si>
    <t>31-05-2024 15:00</t>
  </si>
  <si>
    <t>31-05-2024 15:15</t>
  </si>
  <si>
    <t>31-05-2024 15:30</t>
  </si>
  <si>
    <t>31-05-2024 15:45</t>
  </si>
  <si>
    <t>31-05-2024 16:00</t>
  </si>
  <si>
    <t>31-05-2024 16:15</t>
  </si>
  <si>
    <t>31-05-2024 16:30</t>
  </si>
  <si>
    <t>31-05-2024 16:45</t>
  </si>
  <si>
    <t>31-05-2024 17:00</t>
  </si>
  <si>
    <t>31-05-2024 17:15</t>
  </si>
  <si>
    <t>31-05-2024 17:30</t>
  </si>
  <si>
    <t>31-05-2024 17:45</t>
  </si>
  <si>
    <t>31-05-2024 18:00</t>
  </si>
  <si>
    <t>31-05-2024 18:15</t>
  </si>
  <si>
    <t>31-05-2024 18:30</t>
  </si>
  <si>
    <t>31-05-2024 18:45</t>
  </si>
  <si>
    <t>31-05-2024 19:00</t>
  </si>
  <si>
    <t>31-05-2024 19:15</t>
  </si>
  <si>
    <t>31-05-2024 19:30</t>
  </si>
  <si>
    <t>31-05-2024 19:45</t>
  </si>
  <si>
    <t>31-05-2024 20:00</t>
  </si>
  <si>
    <t>31-05-2024 20:15</t>
  </si>
  <si>
    <t>31-05-2024 20:30</t>
  </si>
  <si>
    <t>31-05-2024 20:45</t>
  </si>
  <si>
    <t>31-05-2024 21:00</t>
  </si>
  <si>
    <t>31-05-2024 21:15</t>
  </si>
  <si>
    <t>31-05-2024 21:30</t>
  </si>
  <si>
    <t>31-05-2024 21:45</t>
  </si>
  <si>
    <t>31-05-2024 22:00</t>
  </si>
  <si>
    <t>31-05-2024 22:15</t>
  </si>
  <si>
    <t>31-05-2024 22:30</t>
  </si>
  <si>
    <t>31-05-2024 22:45</t>
  </si>
  <si>
    <t>31-05-2024 23:00</t>
  </si>
  <si>
    <t>31-05-2024 23:15</t>
  </si>
  <si>
    <t>31-05-2024 23:30</t>
  </si>
  <si>
    <t>31-05-2024 23:45</t>
  </si>
  <si>
    <t>31-05-2024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</si>
</sst>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246</v>
      </c>
      <c r="B9" s="64">
        <v>22.4</v>
      </c>
      <c r="C9" s="64">
        <v>35.86</v>
      </c>
      <c r="D9" s="64">
        <v>36.619999999999997</v>
      </c>
      <c r="E9" s="64">
        <v>1.38</v>
      </c>
      <c r="F9" s="64">
        <v>3.09</v>
      </c>
      <c r="G9" s="64">
        <v>78.64</v>
      </c>
      <c r="H9" s="64">
        <v>38.32</v>
      </c>
      <c r="I9" s="64">
        <v>8.8699999999999992</v>
      </c>
      <c r="J9" s="64">
        <v>0.06</v>
      </c>
      <c r="K9" s="64">
        <v>255.99</v>
      </c>
      <c r="L9" s="64">
        <v>28.25</v>
      </c>
      <c r="M9" s="64">
        <v>49.95</v>
      </c>
      <c r="N9" s="64">
        <v>28.3</v>
      </c>
      <c r="O9" s="64">
        <v>0</v>
      </c>
      <c r="P9" s="64">
        <v>1.26</v>
      </c>
      <c r="Q9" s="64">
        <v>9.73</v>
      </c>
      <c r="R9" s="198"/>
      <c r="S9" s="198"/>
      <c r="T9" s="198"/>
      <c r="U9" s="198"/>
    </row>
    <row r="10" spans="1:21" s="12" customFormat="1" x14ac:dyDescent="0.25">
      <c r="A10" s="216" t="s">
        <v>247</v>
      </c>
      <c r="B10" s="64">
        <v>20.69</v>
      </c>
      <c r="C10" s="64">
        <v>32.950000000000003</v>
      </c>
      <c r="D10" s="64">
        <v>33.729999999999997</v>
      </c>
      <c r="E10" s="64">
        <v>1.28</v>
      </c>
      <c r="F10" s="64">
        <v>3.41</v>
      </c>
      <c r="G10" s="64">
        <v>78.45</v>
      </c>
      <c r="H10" s="64">
        <v>38.32</v>
      </c>
      <c r="I10" s="64">
        <v>8.76</v>
      </c>
      <c r="J10" s="64">
        <v>0.17</v>
      </c>
      <c r="K10" s="64">
        <v>49.82</v>
      </c>
      <c r="L10" s="64">
        <v>27.83</v>
      </c>
      <c r="M10" s="64">
        <v>51.98</v>
      </c>
      <c r="N10" s="64">
        <v>28.3</v>
      </c>
      <c r="O10" s="64">
        <v>0</v>
      </c>
      <c r="P10" s="64">
        <v>1.22</v>
      </c>
      <c r="Q10" s="64">
        <v>9.6999999999999993</v>
      </c>
      <c r="R10" s="198"/>
      <c r="S10" s="198"/>
      <c r="T10" s="198"/>
      <c r="U10" s="198"/>
    </row>
    <row r="11" spans="1:21" s="12" customFormat="1" x14ac:dyDescent="0.25">
      <c r="A11" s="216" t="s">
        <v>248</v>
      </c>
      <c r="B11" s="64">
        <v>19.39</v>
      </c>
      <c r="C11" s="64">
        <v>33.909999999999997</v>
      </c>
      <c r="D11" s="64">
        <v>33.19</v>
      </c>
      <c r="E11" s="64">
        <v>0.88</v>
      </c>
      <c r="F11" s="64">
        <v>2.98</v>
      </c>
      <c r="G11" s="64">
        <v>78.45</v>
      </c>
      <c r="H11" s="64">
        <v>38.32</v>
      </c>
      <c r="I11" s="64">
        <v>8.27</v>
      </c>
      <c r="J11" s="64">
        <v>0.15</v>
      </c>
      <c r="K11" s="64">
        <v>354.32</v>
      </c>
      <c r="L11" s="64">
        <v>27.51</v>
      </c>
      <c r="M11" s="64">
        <v>57.69</v>
      </c>
      <c r="N11" s="64">
        <v>28.3</v>
      </c>
      <c r="O11" s="64">
        <v>0</v>
      </c>
      <c r="P11" s="64">
        <v>1.19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6" t="s">
        <v>249</v>
      </c>
      <c r="B12" s="64">
        <v>18.63</v>
      </c>
      <c r="C12" s="64">
        <v>31.42</v>
      </c>
      <c r="D12" s="64">
        <v>31.27</v>
      </c>
      <c r="E12" s="64">
        <v>1.39</v>
      </c>
      <c r="F12" s="64">
        <v>3.01</v>
      </c>
      <c r="G12" s="64">
        <v>78.45</v>
      </c>
      <c r="H12" s="64">
        <v>38.32</v>
      </c>
      <c r="I12" s="64">
        <v>7.83</v>
      </c>
      <c r="J12" s="64">
        <v>0.08</v>
      </c>
      <c r="K12" s="64">
        <v>119.97</v>
      </c>
      <c r="L12" s="64">
        <v>27.33</v>
      </c>
      <c r="M12" s="64">
        <v>54.81</v>
      </c>
      <c r="N12" s="64">
        <v>28</v>
      </c>
      <c r="O12" s="64">
        <v>0</v>
      </c>
      <c r="P12" s="64">
        <v>1.1499999999999999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6" t="s">
        <v>250</v>
      </c>
      <c r="B13" s="64">
        <v>17.55</v>
      </c>
      <c r="C13" s="64">
        <v>27.95</v>
      </c>
      <c r="D13" s="64">
        <v>28.59</v>
      </c>
      <c r="E13" s="64">
        <v>1.08</v>
      </c>
      <c r="F13" s="64">
        <v>3.81</v>
      </c>
      <c r="G13" s="64">
        <v>76.77</v>
      </c>
      <c r="H13" s="64">
        <v>36.9</v>
      </c>
      <c r="I13" s="64">
        <v>7.74</v>
      </c>
      <c r="J13" s="64">
        <v>0.17</v>
      </c>
      <c r="K13" s="64">
        <v>333.81</v>
      </c>
      <c r="L13" s="64">
        <v>27.59</v>
      </c>
      <c r="M13" s="64">
        <v>57.87</v>
      </c>
      <c r="N13" s="64">
        <v>28.2</v>
      </c>
      <c r="O13" s="64">
        <v>0</v>
      </c>
      <c r="P13" s="64">
        <v>0.96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6" t="s">
        <v>251</v>
      </c>
      <c r="B14" s="64">
        <v>16.62</v>
      </c>
      <c r="C14" s="64">
        <v>25.26</v>
      </c>
      <c r="D14" s="64">
        <v>26.44</v>
      </c>
      <c r="E14" s="64">
        <v>1.1499999999999999</v>
      </c>
      <c r="F14" s="64">
        <v>3.43</v>
      </c>
      <c r="G14" s="64">
        <v>73.569999999999993</v>
      </c>
      <c r="H14" s="64">
        <v>34.19</v>
      </c>
      <c r="I14" s="64">
        <v>7.49</v>
      </c>
      <c r="J14" s="64">
        <v>0.14000000000000001</v>
      </c>
      <c r="K14" s="64">
        <v>287.22000000000003</v>
      </c>
      <c r="L14" s="64">
        <v>27.25</v>
      </c>
      <c r="M14" s="64">
        <v>56.64</v>
      </c>
      <c r="N14" s="64">
        <v>28</v>
      </c>
      <c r="O14" s="64">
        <v>0</v>
      </c>
      <c r="P14" s="64">
        <v>0.99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6" t="s">
        <v>252</v>
      </c>
      <c r="B15" s="64">
        <v>15.49</v>
      </c>
      <c r="C15" s="64">
        <v>24.1</v>
      </c>
      <c r="D15" s="64">
        <v>24.94</v>
      </c>
      <c r="E15" s="64">
        <v>1.05</v>
      </c>
      <c r="F15" s="64">
        <v>3.68</v>
      </c>
      <c r="G15" s="64">
        <v>73.569999999999993</v>
      </c>
      <c r="H15" s="64">
        <v>34.19</v>
      </c>
      <c r="I15" s="64">
        <v>7.43</v>
      </c>
      <c r="J15" s="64">
        <v>0.08</v>
      </c>
      <c r="K15" s="64">
        <v>268.32</v>
      </c>
      <c r="L15" s="64">
        <v>27.58</v>
      </c>
      <c r="M15" s="64">
        <v>51.79</v>
      </c>
      <c r="N15" s="64">
        <v>27.6</v>
      </c>
      <c r="O15" s="64">
        <v>0</v>
      </c>
      <c r="P15" s="64">
        <v>0.95</v>
      </c>
      <c r="Q15" s="64">
        <v>9.52</v>
      </c>
      <c r="R15" s="198"/>
      <c r="S15" s="198"/>
      <c r="T15" s="198"/>
      <c r="U15" s="198"/>
    </row>
    <row r="16" spans="1:21" s="12" customFormat="1" x14ac:dyDescent="0.25">
      <c r="A16" s="216" t="s">
        <v>253</v>
      </c>
      <c r="B16" s="64">
        <v>14.07</v>
      </c>
      <c r="C16" s="64">
        <v>23.68</v>
      </c>
      <c r="D16" s="64">
        <v>23.57</v>
      </c>
      <c r="E16" s="64">
        <v>0.95</v>
      </c>
      <c r="F16" s="64">
        <v>3.53</v>
      </c>
      <c r="G16" s="64">
        <v>73.569999999999993</v>
      </c>
      <c r="H16" s="64">
        <v>34.19</v>
      </c>
      <c r="I16" s="64">
        <v>7.53</v>
      </c>
      <c r="J16" s="64">
        <v>0.14000000000000001</v>
      </c>
      <c r="K16" s="64">
        <v>289.08</v>
      </c>
      <c r="L16" s="64">
        <v>28.18</v>
      </c>
      <c r="M16" s="64">
        <v>48.9</v>
      </c>
      <c r="N16" s="64">
        <v>27.7</v>
      </c>
      <c r="O16" s="64">
        <v>0</v>
      </c>
      <c r="P16" s="64">
        <v>0.91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16" t="s">
        <v>254</v>
      </c>
      <c r="B17" s="64">
        <v>12.83</v>
      </c>
      <c r="C17" s="64">
        <v>25.95</v>
      </c>
      <c r="D17" s="64">
        <v>23.77</v>
      </c>
      <c r="E17" s="64">
        <v>1.1499999999999999</v>
      </c>
      <c r="F17" s="64">
        <v>3.35</v>
      </c>
      <c r="G17" s="64">
        <v>73.03</v>
      </c>
      <c r="H17" s="64">
        <v>28.16</v>
      </c>
      <c r="I17" s="64">
        <v>7.13</v>
      </c>
      <c r="J17" s="64">
        <v>0.3</v>
      </c>
      <c r="K17" s="64">
        <v>318.52999999999997</v>
      </c>
      <c r="L17" s="64">
        <v>27.52</v>
      </c>
      <c r="M17" s="64">
        <v>54.49</v>
      </c>
      <c r="N17" s="64">
        <v>28.2</v>
      </c>
      <c r="O17" s="64">
        <v>0</v>
      </c>
      <c r="P17" s="64">
        <v>0.87</v>
      </c>
      <c r="Q17" s="64">
        <v>9.5</v>
      </c>
      <c r="R17" s="198"/>
      <c r="S17" s="198"/>
      <c r="T17" s="198"/>
      <c r="U17" s="198"/>
    </row>
    <row r="18" spans="1:21" s="12" customFormat="1" x14ac:dyDescent="0.25">
      <c r="A18" s="216" t="s">
        <v>255</v>
      </c>
      <c r="B18" s="64">
        <v>12.13</v>
      </c>
      <c r="C18" s="64">
        <v>26.83</v>
      </c>
      <c r="D18" s="64">
        <v>23.67</v>
      </c>
      <c r="E18" s="64">
        <v>0.79</v>
      </c>
      <c r="F18" s="64">
        <v>3.44</v>
      </c>
      <c r="G18" s="64">
        <v>72.010000000000005</v>
      </c>
      <c r="H18" s="64">
        <v>16.690000000000001</v>
      </c>
      <c r="I18" s="64">
        <v>6.6</v>
      </c>
      <c r="J18" s="64">
        <v>0.13</v>
      </c>
      <c r="K18" s="64">
        <v>277.10000000000002</v>
      </c>
      <c r="L18" s="64">
        <v>27.26</v>
      </c>
      <c r="M18" s="64">
        <v>53.92</v>
      </c>
      <c r="N18" s="64">
        <v>28.1</v>
      </c>
      <c r="O18" s="64">
        <v>0</v>
      </c>
      <c r="P18" s="64">
        <v>0.86</v>
      </c>
      <c r="Q18" s="64">
        <v>9.51</v>
      </c>
      <c r="R18" s="198"/>
      <c r="S18" s="198"/>
      <c r="T18" s="198"/>
      <c r="U18" s="198"/>
    </row>
    <row r="19" spans="1:21" s="12" customFormat="1" x14ac:dyDescent="0.25">
      <c r="A19" s="216" t="s">
        <v>256</v>
      </c>
      <c r="B19" s="64">
        <v>11.67</v>
      </c>
      <c r="C19" s="64">
        <v>26.88</v>
      </c>
      <c r="D19" s="64">
        <v>23.32</v>
      </c>
      <c r="E19" s="64">
        <v>0.85</v>
      </c>
      <c r="F19" s="64">
        <v>3.93</v>
      </c>
      <c r="G19" s="64">
        <v>72.010000000000005</v>
      </c>
      <c r="H19" s="64">
        <v>16.690000000000001</v>
      </c>
      <c r="I19" s="64">
        <v>6.36</v>
      </c>
      <c r="J19" s="64">
        <v>0.11</v>
      </c>
      <c r="K19" s="64">
        <v>250.72</v>
      </c>
      <c r="L19" s="64">
        <v>27.56</v>
      </c>
      <c r="M19" s="64">
        <v>51.8</v>
      </c>
      <c r="N19" s="64">
        <v>28.1</v>
      </c>
      <c r="O19" s="64">
        <v>0</v>
      </c>
      <c r="P19" s="64">
        <v>0.85</v>
      </c>
      <c r="Q19" s="64">
        <v>9.52</v>
      </c>
      <c r="R19" s="198"/>
      <c r="S19" s="198"/>
      <c r="T19" s="198"/>
      <c r="U19" s="198"/>
    </row>
    <row r="20" spans="1:21" s="12" customFormat="1" x14ac:dyDescent="0.25">
      <c r="A20" s="216" t="s">
        <v>257</v>
      </c>
      <c r="B20" s="64">
        <v>11.25</v>
      </c>
      <c r="C20" s="64">
        <v>26.37</v>
      </c>
      <c r="D20" s="64">
        <v>22.72</v>
      </c>
      <c r="E20" s="64">
        <v>0.82</v>
      </c>
      <c r="F20" s="64">
        <v>4.03</v>
      </c>
      <c r="G20" s="64">
        <v>72.010000000000005</v>
      </c>
      <c r="H20" s="64">
        <v>16.690000000000001</v>
      </c>
      <c r="I20" s="64">
        <v>6.59</v>
      </c>
      <c r="J20" s="64">
        <v>0.35</v>
      </c>
      <c r="K20" s="64">
        <v>192.61</v>
      </c>
      <c r="L20" s="64">
        <v>27.71</v>
      </c>
      <c r="M20" s="64">
        <v>52.12</v>
      </c>
      <c r="N20" s="64">
        <v>27.6</v>
      </c>
      <c r="O20" s="64">
        <v>0</v>
      </c>
      <c r="P20" s="64">
        <v>0.84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6" t="s">
        <v>258</v>
      </c>
      <c r="B21" s="64">
        <v>10.92</v>
      </c>
      <c r="C21" s="64">
        <v>25.72</v>
      </c>
      <c r="D21" s="64">
        <v>22.11</v>
      </c>
      <c r="E21" s="64">
        <v>1.0900000000000001</v>
      </c>
      <c r="F21" s="64">
        <v>3.76</v>
      </c>
      <c r="G21" s="64">
        <v>72.739999999999995</v>
      </c>
      <c r="H21" s="64">
        <v>23.34</v>
      </c>
      <c r="I21" s="64">
        <v>7.26</v>
      </c>
      <c r="J21" s="64">
        <v>0.31</v>
      </c>
      <c r="K21" s="64">
        <v>184.38</v>
      </c>
      <c r="L21" s="64">
        <v>27.59</v>
      </c>
      <c r="M21" s="64">
        <v>53.39</v>
      </c>
      <c r="N21" s="64">
        <v>28.2</v>
      </c>
      <c r="O21" s="64">
        <v>0</v>
      </c>
      <c r="P21" s="64">
        <v>0.83</v>
      </c>
      <c r="Q21" s="64">
        <v>9.52</v>
      </c>
      <c r="R21" s="198"/>
      <c r="S21" s="198"/>
      <c r="T21" s="198"/>
      <c r="U21" s="198"/>
    </row>
    <row r="22" spans="1:21" s="12" customFormat="1" x14ac:dyDescent="0.25">
      <c r="A22" s="216" t="s">
        <v>259</v>
      </c>
      <c r="B22" s="64">
        <v>10.56</v>
      </c>
      <c r="C22" s="64">
        <v>25.39</v>
      </c>
      <c r="D22" s="64">
        <v>21.65</v>
      </c>
      <c r="E22" s="64">
        <v>0.75</v>
      </c>
      <c r="F22" s="64">
        <v>3.8</v>
      </c>
      <c r="G22" s="64">
        <v>74.13</v>
      </c>
      <c r="H22" s="64">
        <v>36</v>
      </c>
      <c r="I22" s="64">
        <v>7.73</v>
      </c>
      <c r="J22" s="64">
        <v>0.12</v>
      </c>
      <c r="K22" s="64">
        <v>316.86</v>
      </c>
      <c r="L22" s="64">
        <v>27.09</v>
      </c>
      <c r="M22" s="64">
        <v>54.09</v>
      </c>
      <c r="N22" s="64">
        <v>28.7</v>
      </c>
      <c r="O22" s="64">
        <v>0</v>
      </c>
      <c r="P22" s="64">
        <v>0.81</v>
      </c>
      <c r="Q22" s="64">
        <v>9.5500000000000007</v>
      </c>
      <c r="R22" s="198"/>
      <c r="S22" s="198"/>
      <c r="T22" s="198"/>
      <c r="U22" s="198"/>
    </row>
    <row r="23" spans="1:21" s="12" customFormat="1" x14ac:dyDescent="0.25">
      <c r="A23" s="216" t="s">
        <v>260</v>
      </c>
      <c r="B23" s="64">
        <v>10.11</v>
      </c>
      <c r="C23" s="64">
        <v>24.92</v>
      </c>
      <c r="D23" s="64">
        <v>21.05</v>
      </c>
      <c r="E23" s="64">
        <v>0.74</v>
      </c>
      <c r="F23" s="64">
        <v>3.29</v>
      </c>
      <c r="G23" s="64">
        <v>74.13</v>
      </c>
      <c r="H23" s="64">
        <v>36</v>
      </c>
      <c r="I23" s="64">
        <v>8.1300000000000008</v>
      </c>
      <c r="J23" s="64">
        <v>0.09</v>
      </c>
      <c r="K23" s="64">
        <v>236.33</v>
      </c>
      <c r="L23" s="64">
        <v>26.84</v>
      </c>
      <c r="M23" s="64">
        <v>54.95</v>
      </c>
      <c r="N23" s="64">
        <v>28.2</v>
      </c>
      <c r="O23" s="64">
        <v>0</v>
      </c>
      <c r="P23" s="64">
        <v>0.79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16" t="s">
        <v>261</v>
      </c>
      <c r="B24" s="64">
        <v>9.7100000000000009</v>
      </c>
      <c r="C24" s="64">
        <v>24.57</v>
      </c>
      <c r="D24" s="64">
        <v>20.55</v>
      </c>
      <c r="E24" s="64">
        <v>1.64</v>
      </c>
      <c r="F24" s="64">
        <v>3.56</v>
      </c>
      <c r="G24" s="64">
        <v>74.13</v>
      </c>
      <c r="H24" s="64">
        <v>36</v>
      </c>
      <c r="I24" s="64">
        <v>7.32</v>
      </c>
      <c r="J24" s="64">
        <v>7.0000000000000007E-2</v>
      </c>
      <c r="K24" s="64">
        <v>248.93</v>
      </c>
      <c r="L24" s="64">
        <v>26.84</v>
      </c>
      <c r="M24" s="64">
        <v>55.11</v>
      </c>
      <c r="N24" s="64">
        <v>28.3</v>
      </c>
      <c r="O24" s="64">
        <v>0</v>
      </c>
      <c r="P24" s="64">
        <v>0.78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16" t="s">
        <v>262</v>
      </c>
      <c r="B25" s="64">
        <v>9.1300000000000008</v>
      </c>
      <c r="C25" s="64">
        <v>24.02</v>
      </c>
      <c r="D25" s="64">
        <v>19.79</v>
      </c>
      <c r="E25" s="64">
        <v>2.0699999999999998</v>
      </c>
      <c r="F25" s="64">
        <v>3.91</v>
      </c>
      <c r="G25" s="64">
        <v>72.37</v>
      </c>
      <c r="H25" s="64">
        <v>32.78</v>
      </c>
      <c r="I25" s="64">
        <v>7.06</v>
      </c>
      <c r="J25" s="64">
        <v>0.09</v>
      </c>
      <c r="K25" s="64">
        <v>255.51</v>
      </c>
      <c r="L25" s="64">
        <v>26.7</v>
      </c>
      <c r="M25" s="64">
        <v>55.65</v>
      </c>
      <c r="N25" s="64">
        <v>28.2</v>
      </c>
      <c r="O25" s="64">
        <v>0</v>
      </c>
      <c r="P25" s="64">
        <v>0.76</v>
      </c>
      <c r="Q25" s="64">
        <v>9.51</v>
      </c>
      <c r="R25" s="198"/>
      <c r="S25" s="198"/>
      <c r="T25" s="198"/>
      <c r="U25" s="198"/>
    </row>
    <row r="26" spans="1:21" s="12" customFormat="1" x14ac:dyDescent="0.25">
      <c r="A26" s="216" t="s">
        <v>263</v>
      </c>
      <c r="B26" s="64">
        <v>8.42</v>
      </c>
      <c r="C26" s="64">
        <v>24.17</v>
      </c>
      <c r="D26" s="64">
        <v>19.3</v>
      </c>
      <c r="E26" s="64">
        <v>2.0099999999999998</v>
      </c>
      <c r="F26" s="64">
        <v>3.99</v>
      </c>
      <c r="G26" s="64">
        <v>69.02</v>
      </c>
      <c r="H26" s="64">
        <v>26.65</v>
      </c>
      <c r="I26" s="64">
        <v>7.77</v>
      </c>
      <c r="J26" s="64">
        <v>0.15</v>
      </c>
      <c r="K26" s="64">
        <v>177.38</v>
      </c>
      <c r="L26" s="64">
        <v>26.57</v>
      </c>
      <c r="M26" s="64">
        <v>56.74</v>
      </c>
      <c r="N26" s="64">
        <v>28</v>
      </c>
      <c r="O26" s="64">
        <v>0</v>
      </c>
      <c r="P26" s="64">
        <v>0.74</v>
      </c>
      <c r="Q26" s="64">
        <v>9.52</v>
      </c>
      <c r="R26" s="198"/>
      <c r="S26" s="198"/>
      <c r="T26" s="198"/>
      <c r="U26" s="198"/>
    </row>
    <row r="27" spans="1:21" s="12" customFormat="1" x14ac:dyDescent="0.25">
      <c r="A27" s="216" t="s">
        <v>264</v>
      </c>
      <c r="B27" s="64">
        <v>7.83</v>
      </c>
      <c r="C27" s="64">
        <v>28.78</v>
      </c>
      <c r="D27" s="64">
        <v>21.24</v>
      </c>
      <c r="E27" s="64">
        <v>2.1</v>
      </c>
      <c r="F27" s="64">
        <v>4.04</v>
      </c>
      <c r="G27" s="64">
        <v>69.02</v>
      </c>
      <c r="H27" s="64">
        <v>26.65</v>
      </c>
      <c r="I27" s="64">
        <v>8.3000000000000007</v>
      </c>
      <c r="J27" s="64">
        <v>0.34</v>
      </c>
      <c r="K27" s="64">
        <v>160</v>
      </c>
      <c r="L27" s="64">
        <v>26.42</v>
      </c>
      <c r="M27" s="64">
        <v>57.76</v>
      </c>
      <c r="N27" s="64">
        <v>27.7</v>
      </c>
      <c r="O27" s="64">
        <v>0</v>
      </c>
      <c r="P27" s="64">
        <v>0.72</v>
      </c>
      <c r="Q27" s="64">
        <v>9.52</v>
      </c>
      <c r="R27" s="198"/>
      <c r="S27" s="198"/>
      <c r="T27" s="198"/>
      <c r="U27" s="198"/>
    </row>
    <row r="28" spans="1:21" s="12" customFormat="1" x14ac:dyDescent="0.25">
      <c r="A28" s="216" t="s">
        <v>265</v>
      </c>
      <c r="B28" s="64">
        <v>7.3</v>
      </c>
      <c r="C28" s="64">
        <v>28.91</v>
      </c>
      <c r="D28" s="64">
        <v>20.88</v>
      </c>
      <c r="E28" s="64">
        <v>1.87</v>
      </c>
      <c r="F28" s="64">
        <v>3.06</v>
      </c>
      <c r="G28" s="64">
        <v>69.02</v>
      </c>
      <c r="H28" s="64">
        <v>26.65</v>
      </c>
      <c r="I28" s="64">
        <v>8.4700000000000006</v>
      </c>
      <c r="J28" s="64">
        <v>0.05</v>
      </c>
      <c r="K28" s="64">
        <v>270.75</v>
      </c>
      <c r="L28" s="64">
        <v>26.29</v>
      </c>
      <c r="M28" s="64">
        <v>57.64</v>
      </c>
      <c r="N28" s="64">
        <v>28.3</v>
      </c>
      <c r="O28" s="64">
        <v>0</v>
      </c>
      <c r="P28" s="64">
        <v>0.7</v>
      </c>
      <c r="Q28" s="64">
        <v>9.49</v>
      </c>
      <c r="R28" s="198"/>
      <c r="S28" s="198"/>
      <c r="T28" s="198"/>
      <c r="U28" s="198"/>
    </row>
    <row r="29" spans="1:21" s="12" customFormat="1" x14ac:dyDescent="0.25">
      <c r="A29" s="216" t="s">
        <v>266</v>
      </c>
      <c r="B29" s="64">
        <v>6.72</v>
      </c>
      <c r="C29" s="64">
        <v>26.18</v>
      </c>
      <c r="D29" s="64">
        <v>18.98</v>
      </c>
      <c r="E29" s="64">
        <v>2.12</v>
      </c>
      <c r="F29" s="64">
        <v>4.55</v>
      </c>
      <c r="G29" s="64">
        <v>67.239999999999995</v>
      </c>
      <c r="H29" s="64">
        <v>26.44</v>
      </c>
      <c r="I29" s="64">
        <v>8.52</v>
      </c>
      <c r="J29" s="64">
        <v>0.19</v>
      </c>
      <c r="K29" s="64">
        <v>181.6</v>
      </c>
      <c r="L29" s="64">
        <v>26.08</v>
      </c>
      <c r="M29" s="64">
        <v>58.84</v>
      </c>
      <c r="N29" s="64">
        <v>28.3</v>
      </c>
      <c r="O29" s="64">
        <v>0</v>
      </c>
      <c r="P29" s="64">
        <v>0.68</v>
      </c>
      <c r="Q29" s="64">
        <v>9.4700000000000006</v>
      </c>
      <c r="R29" s="198"/>
      <c r="S29" s="198"/>
      <c r="T29" s="198"/>
      <c r="U29" s="198"/>
    </row>
    <row r="30" spans="1:21" s="12" customFormat="1" x14ac:dyDescent="0.25">
      <c r="A30" s="216" t="s">
        <v>267</v>
      </c>
      <c r="B30" s="64">
        <v>6.27</v>
      </c>
      <c r="C30" s="64">
        <v>25.8</v>
      </c>
      <c r="D30" s="64">
        <v>18.43</v>
      </c>
      <c r="E30" s="64">
        <v>1.87</v>
      </c>
      <c r="F30" s="64">
        <v>4.2</v>
      </c>
      <c r="G30" s="64">
        <v>63.85</v>
      </c>
      <c r="H30" s="64">
        <v>26.04</v>
      </c>
      <c r="I30" s="64">
        <v>8.31</v>
      </c>
      <c r="J30" s="64">
        <v>0.2</v>
      </c>
      <c r="K30" s="64">
        <v>201.38</v>
      </c>
      <c r="L30" s="64">
        <v>25.8</v>
      </c>
      <c r="M30" s="64">
        <v>60.97</v>
      </c>
      <c r="N30" s="64">
        <v>31.3</v>
      </c>
      <c r="O30" s="64">
        <v>0</v>
      </c>
      <c r="P30" s="64">
        <v>0.66</v>
      </c>
      <c r="Q30" s="64">
        <v>9.4499999999999993</v>
      </c>
      <c r="R30" s="198"/>
      <c r="S30" s="198"/>
      <c r="T30" s="198"/>
      <c r="U30" s="198"/>
    </row>
    <row r="31" spans="1:21" s="12" customFormat="1" x14ac:dyDescent="0.25">
      <c r="A31" s="216" t="s">
        <v>268</v>
      </c>
      <c r="B31" s="64">
        <v>6</v>
      </c>
      <c r="C31" s="64">
        <v>25.25</v>
      </c>
      <c r="D31" s="64">
        <v>17.920000000000002</v>
      </c>
      <c r="E31" s="64">
        <v>2.33</v>
      </c>
      <c r="F31" s="64">
        <v>3.5</v>
      </c>
      <c r="G31" s="64">
        <v>63.85</v>
      </c>
      <c r="H31" s="64">
        <v>26.04</v>
      </c>
      <c r="I31" s="64">
        <v>8.07</v>
      </c>
      <c r="J31" s="64">
        <v>0.11</v>
      </c>
      <c r="K31" s="64">
        <v>156.47</v>
      </c>
      <c r="L31" s="64">
        <v>25.78</v>
      </c>
      <c r="M31" s="64">
        <v>61.04</v>
      </c>
      <c r="N31" s="64">
        <v>41.6</v>
      </c>
      <c r="O31" s="64">
        <v>0</v>
      </c>
      <c r="P31" s="64">
        <v>0.65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16" t="s">
        <v>269</v>
      </c>
      <c r="B32" s="64">
        <v>5.73</v>
      </c>
      <c r="C32" s="64">
        <v>23.91</v>
      </c>
      <c r="D32" s="64">
        <v>17.010000000000002</v>
      </c>
      <c r="E32" s="64">
        <v>2.15</v>
      </c>
      <c r="F32" s="64">
        <v>3.33</v>
      </c>
      <c r="G32" s="64">
        <v>63.85</v>
      </c>
      <c r="H32" s="64">
        <v>26.04</v>
      </c>
      <c r="I32" s="64">
        <v>7.9</v>
      </c>
      <c r="J32" s="64">
        <v>0.17</v>
      </c>
      <c r="K32" s="64">
        <v>189.88</v>
      </c>
      <c r="L32" s="64">
        <v>25.9</v>
      </c>
      <c r="M32" s="64">
        <v>60.91</v>
      </c>
      <c r="N32" s="64">
        <v>60.4</v>
      </c>
      <c r="O32" s="64">
        <v>0</v>
      </c>
      <c r="P32" s="64">
        <v>0.63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6" t="s">
        <v>270</v>
      </c>
      <c r="B33" s="64">
        <v>5.6</v>
      </c>
      <c r="C33" s="64">
        <v>21.88</v>
      </c>
      <c r="D33" s="64">
        <v>15.84</v>
      </c>
      <c r="E33" s="64">
        <v>1.93</v>
      </c>
      <c r="F33" s="64">
        <v>4.09</v>
      </c>
      <c r="G33" s="64">
        <v>63.8</v>
      </c>
      <c r="H33" s="64">
        <v>24.48</v>
      </c>
      <c r="I33" s="64">
        <v>7.82</v>
      </c>
      <c r="J33" s="64">
        <v>0.12</v>
      </c>
      <c r="K33" s="64">
        <v>191.61</v>
      </c>
      <c r="L33" s="64">
        <v>26.47</v>
      </c>
      <c r="M33" s="64">
        <v>58.23</v>
      </c>
      <c r="N33" s="64">
        <v>93.1</v>
      </c>
      <c r="O33" s="64">
        <v>0</v>
      </c>
      <c r="P33" s="64">
        <v>0.61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6" t="s">
        <v>271</v>
      </c>
      <c r="B34" s="64">
        <v>5.4</v>
      </c>
      <c r="C34" s="64">
        <v>21.03</v>
      </c>
      <c r="D34" s="64">
        <v>15.24</v>
      </c>
      <c r="E34" s="64">
        <v>1.94</v>
      </c>
      <c r="F34" s="64">
        <v>3.62</v>
      </c>
      <c r="G34" s="64">
        <v>63.69</v>
      </c>
      <c r="H34" s="64">
        <v>21.51</v>
      </c>
      <c r="I34" s="64">
        <v>7.47</v>
      </c>
      <c r="J34" s="64">
        <v>0.11</v>
      </c>
      <c r="K34" s="64">
        <v>188.12</v>
      </c>
      <c r="L34" s="64">
        <v>27.25</v>
      </c>
      <c r="M34" s="64">
        <v>54.94</v>
      </c>
      <c r="N34" s="64">
        <v>132.9</v>
      </c>
      <c r="O34" s="64">
        <v>0</v>
      </c>
      <c r="P34" s="64">
        <v>0.6</v>
      </c>
      <c r="Q34" s="64">
        <v>9.34</v>
      </c>
      <c r="R34" s="198"/>
      <c r="S34" s="198"/>
      <c r="T34" s="198"/>
      <c r="U34" s="198"/>
    </row>
    <row r="35" spans="1:21" s="12" customFormat="1" x14ac:dyDescent="0.25">
      <c r="A35" s="216" t="s">
        <v>272</v>
      </c>
      <c r="B35" s="64">
        <v>5.18</v>
      </c>
      <c r="C35" s="64">
        <v>22.15</v>
      </c>
      <c r="D35" s="64">
        <v>15.65</v>
      </c>
      <c r="E35" s="64">
        <v>1.67</v>
      </c>
      <c r="F35" s="64">
        <v>3.69</v>
      </c>
      <c r="G35" s="64">
        <v>63.69</v>
      </c>
      <c r="H35" s="64">
        <v>21.51</v>
      </c>
      <c r="I35" s="64">
        <v>7.43</v>
      </c>
      <c r="J35" s="64">
        <v>0.38</v>
      </c>
      <c r="K35" s="64">
        <v>161.71</v>
      </c>
      <c r="L35" s="64">
        <v>28.04</v>
      </c>
      <c r="M35" s="64">
        <v>52.84</v>
      </c>
      <c r="N35" s="64">
        <v>179.3</v>
      </c>
      <c r="O35" s="64">
        <v>0</v>
      </c>
      <c r="P35" s="64">
        <v>0.59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16" t="s">
        <v>273</v>
      </c>
      <c r="B36" s="64">
        <v>5.03</v>
      </c>
      <c r="C36" s="64">
        <v>23.72</v>
      </c>
      <c r="D36" s="64">
        <v>16.34</v>
      </c>
      <c r="E36" s="64">
        <v>1.35</v>
      </c>
      <c r="F36" s="64">
        <v>3.4</v>
      </c>
      <c r="G36" s="64">
        <v>63.69</v>
      </c>
      <c r="H36" s="64">
        <v>21.51</v>
      </c>
      <c r="I36" s="64">
        <v>7.2</v>
      </c>
      <c r="J36" s="64">
        <v>0.47</v>
      </c>
      <c r="K36" s="64">
        <v>184.74</v>
      </c>
      <c r="L36" s="64">
        <v>28.62</v>
      </c>
      <c r="M36" s="64">
        <v>51.01</v>
      </c>
      <c r="N36" s="64">
        <v>230.9</v>
      </c>
      <c r="O36" s="64">
        <v>0</v>
      </c>
      <c r="P36" s="64">
        <v>0.57999999999999996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6" t="s">
        <v>274</v>
      </c>
      <c r="B37" s="64">
        <v>3.37</v>
      </c>
      <c r="C37" s="64">
        <v>19.260000000000002</v>
      </c>
      <c r="D37" s="64">
        <v>12.69</v>
      </c>
      <c r="E37" s="64">
        <v>1.74</v>
      </c>
      <c r="F37" s="64">
        <v>3.45</v>
      </c>
      <c r="G37" s="64">
        <v>63.04</v>
      </c>
      <c r="H37" s="64">
        <v>21.06</v>
      </c>
      <c r="I37" s="64">
        <v>6.95</v>
      </c>
      <c r="J37" s="64">
        <v>0.25</v>
      </c>
      <c r="K37" s="64">
        <v>207.89</v>
      </c>
      <c r="L37" s="64">
        <v>29.49</v>
      </c>
      <c r="M37" s="64">
        <v>47.92</v>
      </c>
      <c r="N37" s="64">
        <v>288.5</v>
      </c>
      <c r="O37" s="64">
        <v>0</v>
      </c>
      <c r="P37" s="64">
        <v>0.59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6" t="s">
        <v>275</v>
      </c>
      <c r="B38" s="64">
        <v>4.0999999999999996</v>
      </c>
      <c r="C38" s="64">
        <v>22.52</v>
      </c>
      <c r="D38" s="64">
        <v>14.98</v>
      </c>
      <c r="E38" s="64">
        <v>1.78</v>
      </c>
      <c r="F38" s="64">
        <v>3.94</v>
      </c>
      <c r="G38" s="64">
        <v>61.81</v>
      </c>
      <c r="H38" s="64">
        <v>20.190000000000001</v>
      </c>
      <c r="I38" s="64">
        <v>7.05</v>
      </c>
      <c r="J38" s="64">
        <v>0.06</v>
      </c>
      <c r="K38" s="64">
        <v>278.47000000000003</v>
      </c>
      <c r="L38" s="64">
        <v>30.47</v>
      </c>
      <c r="M38" s="64">
        <v>45.31</v>
      </c>
      <c r="N38" s="64">
        <v>345.4</v>
      </c>
      <c r="O38" s="64">
        <v>0</v>
      </c>
      <c r="P38" s="64">
        <v>0.61</v>
      </c>
      <c r="Q38" s="64">
        <v>9.43</v>
      </c>
      <c r="R38" s="198"/>
      <c r="S38" s="198"/>
      <c r="T38" s="198"/>
      <c r="U38" s="198"/>
    </row>
    <row r="39" spans="1:21" s="12" customFormat="1" x14ac:dyDescent="0.25">
      <c r="A39" s="216" t="s">
        <v>276</v>
      </c>
      <c r="B39" s="64">
        <v>4</v>
      </c>
      <c r="C39" s="64">
        <v>23.7</v>
      </c>
      <c r="D39" s="64">
        <v>15.51</v>
      </c>
      <c r="E39" s="64">
        <v>1.82</v>
      </c>
      <c r="F39" s="64">
        <v>4.0199999999999996</v>
      </c>
      <c r="G39" s="64">
        <v>61.81</v>
      </c>
      <c r="H39" s="64">
        <v>20.190000000000001</v>
      </c>
      <c r="I39" s="64">
        <v>7.37</v>
      </c>
      <c r="J39" s="64">
        <v>0.24</v>
      </c>
      <c r="K39" s="64">
        <v>204.85</v>
      </c>
      <c r="L39" s="64">
        <v>31.04</v>
      </c>
      <c r="M39" s="64">
        <v>41.83</v>
      </c>
      <c r="N39" s="64">
        <v>405.3</v>
      </c>
      <c r="O39" s="64">
        <v>0</v>
      </c>
      <c r="P39" s="64">
        <v>0.6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6" t="s">
        <v>277</v>
      </c>
      <c r="B40" s="64">
        <v>3.35</v>
      </c>
      <c r="C40" s="64">
        <v>23.58</v>
      </c>
      <c r="D40" s="64">
        <v>14.93</v>
      </c>
      <c r="E40" s="64">
        <v>1.66</v>
      </c>
      <c r="F40" s="64">
        <v>4.72</v>
      </c>
      <c r="G40" s="64">
        <v>61.81</v>
      </c>
      <c r="H40" s="64">
        <v>20.190000000000001</v>
      </c>
      <c r="I40" s="64">
        <v>7.52</v>
      </c>
      <c r="J40" s="64">
        <v>0.09</v>
      </c>
      <c r="K40" s="64">
        <v>236.86</v>
      </c>
      <c r="L40" s="64">
        <v>31.74</v>
      </c>
      <c r="M40" s="64">
        <v>37.39</v>
      </c>
      <c r="N40" s="64">
        <v>462.5</v>
      </c>
      <c r="O40" s="64">
        <v>0</v>
      </c>
      <c r="P40" s="64">
        <v>0.57999999999999996</v>
      </c>
      <c r="Q40" s="64">
        <v>9.42</v>
      </c>
      <c r="R40" s="198"/>
      <c r="S40" s="198"/>
      <c r="T40" s="198"/>
      <c r="U40" s="198"/>
    </row>
    <row r="41" spans="1:21" s="12" customFormat="1" x14ac:dyDescent="0.25">
      <c r="A41" s="216" t="s">
        <v>278</v>
      </c>
      <c r="B41" s="64">
        <v>2.57</v>
      </c>
      <c r="C41" s="64">
        <v>23.73</v>
      </c>
      <c r="D41" s="64">
        <v>14.38</v>
      </c>
      <c r="E41" s="64">
        <v>1.36</v>
      </c>
      <c r="F41" s="64">
        <v>5.81</v>
      </c>
      <c r="G41" s="64">
        <v>58.53</v>
      </c>
      <c r="H41" s="64">
        <v>26.87</v>
      </c>
      <c r="I41" s="64">
        <v>7.48</v>
      </c>
      <c r="J41" s="64">
        <v>0.09</v>
      </c>
      <c r="K41" s="64">
        <v>278.95999999999998</v>
      </c>
      <c r="L41" s="64">
        <v>32.46</v>
      </c>
      <c r="M41" s="64">
        <v>34.729999999999997</v>
      </c>
      <c r="N41" s="64">
        <v>521.6</v>
      </c>
      <c r="O41" s="64">
        <v>0</v>
      </c>
      <c r="P41" s="64">
        <v>0.55000000000000004</v>
      </c>
      <c r="Q41" s="64">
        <v>9.4</v>
      </c>
      <c r="R41" s="198"/>
      <c r="S41" s="198"/>
      <c r="T41" s="198"/>
      <c r="U41" s="198"/>
    </row>
    <row r="42" spans="1:21" s="12" customFormat="1" x14ac:dyDescent="0.25">
      <c r="A42" s="216" t="s">
        <v>279</v>
      </c>
      <c r="B42" s="64">
        <v>1.88</v>
      </c>
      <c r="C42" s="64">
        <v>23.9</v>
      </c>
      <c r="D42" s="64">
        <v>13.91</v>
      </c>
      <c r="E42" s="64">
        <v>1.33</v>
      </c>
      <c r="F42" s="64">
        <v>7.21</v>
      </c>
      <c r="G42" s="64">
        <v>52.27</v>
      </c>
      <c r="H42" s="64">
        <v>39.57</v>
      </c>
      <c r="I42" s="64">
        <v>7.17</v>
      </c>
      <c r="J42" s="64">
        <v>0.03</v>
      </c>
      <c r="K42" s="64">
        <v>0.79</v>
      </c>
      <c r="L42" s="64">
        <v>32.9</v>
      </c>
      <c r="M42" s="64">
        <v>33</v>
      </c>
      <c r="N42" s="64">
        <v>576.20000000000005</v>
      </c>
      <c r="O42" s="64">
        <v>0</v>
      </c>
      <c r="P42" s="64">
        <v>0.51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6" t="s">
        <v>280</v>
      </c>
      <c r="B43" s="64">
        <v>1.49</v>
      </c>
      <c r="C43" s="64">
        <v>23.23</v>
      </c>
      <c r="D43" s="64">
        <v>13.25</v>
      </c>
      <c r="E43" s="64">
        <v>1.02</v>
      </c>
      <c r="F43" s="64">
        <v>7.44</v>
      </c>
      <c r="G43" s="64">
        <v>52.27</v>
      </c>
      <c r="H43" s="64">
        <v>39.57</v>
      </c>
      <c r="I43" s="64">
        <v>6.68</v>
      </c>
      <c r="J43" s="64">
        <v>7.0000000000000007E-2</v>
      </c>
      <c r="K43" s="64">
        <v>260.3</v>
      </c>
      <c r="L43" s="64">
        <v>32.99</v>
      </c>
      <c r="M43" s="64">
        <v>31.79</v>
      </c>
      <c r="N43" s="64">
        <v>632.5</v>
      </c>
      <c r="O43" s="64">
        <v>0</v>
      </c>
      <c r="P43" s="64">
        <v>0.49</v>
      </c>
      <c r="Q43" s="64">
        <v>9.3800000000000008</v>
      </c>
      <c r="R43" s="198"/>
      <c r="S43" s="198"/>
      <c r="T43" s="198"/>
      <c r="U43" s="198"/>
    </row>
    <row r="44" spans="1:21" s="12" customFormat="1" x14ac:dyDescent="0.25">
      <c r="A44" s="216" t="s">
        <v>281</v>
      </c>
      <c r="B44" s="64">
        <v>1.28</v>
      </c>
      <c r="C44" s="64">
        <v>21.79</v>
      </c>
      <c r="D44" s="64">
        <v>12.33</v>
      </c>
      <c r="E44" s="64">
        <v>1.29</v>
      </c>
      <c r="F44" s="64">
        <v>7.65</v>
      </c>
      <c r="G44" s="64">
        <v>52.27</v>
      </c>
      <c r="H44" s="64">
        <v>39.57</v>
      </c>
      <c r="I44" s="64">
        <v>6.03</v>
      </c>
      <c r="J44" s="64">
        <v>0.27</v>
      </c>
      <c r="K44" s="64">
        <v>12.77</v>
      </c>
      <c r="L44" s="64">
        <v>34.020000000000003</v>
      </c>
      <c r="M44" s="64">
        <v>30.86</v>
      </c>
      <c r="N44" s="64">
        <v>670</v>
      </c>
      <c r="O44" s="64">
        <v>0</v>
      </c>
      <c r="P44" s="64">
        <v>0.46</v>
      </c>
      <c r="Q44" s="64">
        <v>9.34</v>
      </c>
      <c r="R44" s="198"/>
      <c r="S44" s="198"/>
      <c r="T44" s="198"/>
      <c r="U44" s="198"/>
    </row>
    <row r="45" spans="1:21" s="12" customFormat="1" x14ac:dyDescent="0.25">
      <c r="A45" s="216" t="s">
        <v>282</v>
      </c>
      <c r="B45" s="64">
        <v>1.28</v>
      </c>
      <c r="C45" s="64">
        <v>21.57</v>
      </c>
      <c r="D45" s="64">
        <v>12.22</v>
      </c>
      <c r="E45" s="64">
        <v>1.5</v>
      </c>
      <c r="F45" s="64">
        <v>8.5399999999999991</v>
      </c>
      <c r="G45" s="64">
        <v>52.45</v>
      </c>
      <c r="H45" s="64">
        <v>43.4</v>
      </c>
      <c r="I45" s="64">
        <v>5.41</v>
      </c>
      <c r="J45" s="64">
        <v>0.21</v>
      </c>
      <c r="K45" s="64">
        <v>11.37</v>
      </c>
      <c r="L45" s="64">
        <v>34.03</v>
      </c>
      <c r="M45" s="64">
        <v>29.94</v>
      </c>
      <c r="N45" s="64">
        <v>719.3</v>
      </c>
      <c r="O45" s="64">
        <v>0</v>
      </c>
      <c r="P45" s="64">
        <v>0.45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6" t="s">
        <v>283</v>
      </c>
      <c r="B46" s="64">
        <v>1.1399999999999999</v>
      </c>
      <c r="C46" s="64">
        <v>21.37</v>
      </c>
      <c r="D46" s="64">
        <v>12</v>
      </c>
      <c r="E46" s="64">
        <v>1.45</v>
      </c>
      <c r="F46" s="64">
        <v>9.35</v>
      </c>
      <c r="G46" s="64">
        <v>52.8</v>
      </c>
      <c r="H46" s="64">
        <v>50.69</v>
      </c>
      <c r="I46" s="64">
        <v>5.01</v>
      </c>
      <c r="J46" s="64">
        <v>0.12</v>
      </c>
      <c r="K46" s="64">
        <v>18.25</v>
      </c>
      <c r="L46" s="64">
        <v>34.36</v>
      </c>
      <c r="M46" s="64">
        <v>28.71</v>
      </c>
      <c r="N46" s="64">
        <v>756.3</v>
      </c>
      <c r="O46" s="64">
        <v>0</v>
      </c>
      <c r="P46" s="64">
        <v>0.43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6" t="s">
        <v>284</v>
      </c>
      <c r="B47" s="64">
        <v>1.04</v>
      </c>
      <c r="C47" s="64">
        <v>21.3</v>
      </c>
      <c r="D47" s="64">
        <v>11.89</v>
      </c>
      <c r="E47" s="64">
        <v>1.93</v>
      </c>
      <c r="F47" s="64">
        <v>10.55</v>
      </c>
      <c r="G47" s="64">
        <v>52.8</v>
      </c>
      <c r="H47" s="64">
        <v>50.69</v>
      </c>
      <c r="I47" s="64">
        <v>4.57</v>
      </c>
      <c r="J47" s="64">
        <v>0.11</v>
      </c>
      <c r="K47" s="64">
        <v>356.16</v>
      </c>
      <c r="L47" s="64">
        <v>34.69</v>
      </c>
      <c r="M47" s="64">
        <v>26.67</v>
      </c>
      <c r="N47" s="64">
        <v>794.2</v>
      </c>
      <c r="O47" s="64">
        <v>0</v>
      </c>
      <c r="P47" s="64">
        <v>0.42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16" t="s">
        <v>285</v>
      </c>
      <c r="B48" s="64">
        <v>1.08</v>
      </c>
      <c r="C48" s="64">
        <v>26.11</v>
      </c>
      <c r="D48" s="64">
        <v>14.43</v>
      </c>
      <c r="E48" s="64">
        <v>1.72</v>
      </c>
      <c r="F48" s="64">
        <v>8.84</v>
      </c>
      <c r="G48" s="64">
        <v>52.8</v>
      </c>
      <c r="H48" s="64">
        <v>50.69</v>
      </c>
      <c r="I48" s="64">
        <v>4.07</v>
      </c>
      <c r="J48" s="64">
        <v>0.38</v>
      </c>
      <c r="K48" s="64">
        <v>324.64999999999998</v>
      </c>
      <c r="L48" s="64">
        <v>36.97</v>
      </c>
      <c r="M48" s="64">
        <v>24.63</v>
      </c>
      <c r="N48" s="64">
        <v>822</v>
      </c>
      <c r="O48" s="64">
        <v>0</v>
      </c>
      <c r="P48" s="64">
        <v>0.42</v>
      </c>
      <c r="Q48" s="64">
        <v>9.3000000000000007</v>
      </c>
      <c r="R48" s="198"/>
      <c r="S48" s="198"/>
      <c r="T48" s="198"/>
      <c r="U48" s="198"/>
    </row>
    <row r="49" spans="1:21" s="12" customFormat="1" x14ac:dyDescent="0.25">
      <c r="A49" s="216" t="s">
        <v>286</v>
      </c>
      <c r="B49" s="64">
        <v>1.26</v>
      </c>
      <c r="C49" s="64">
        <v>27.93</v>
      </c>
      <c r="D49" s="64">
        <v>15.52</v>
      </c>
      <c r="E49" s="64">
        <v>1.84</v>
      </c>
      <c r="F49" s="64">
        <v>7.37</v>
      </c>
      <c r="G49" s="64">
        <v>51.05</v>
      </c>
      <c r="H49" s="64">
        <v>40.409999999999997</v>
      </c>
      <c r="I49" s="64">
        <v>3.77</v>
      </c>
      <c r="J49" s="64">
        <v>0.66</v>
      </c>
      <c r="K49" s="64">
        <v>317.32</v>
      </c>
      <c r="L49" s="64">
        <v>37.42</v>
      </c>
      <c r="M49" s="64">
        <v>21.82</v>
      </c>
      <c r="N49" s="64">
        <v>849.6</v>
      </c>
      <c r="O49" s="64">
        <v>0</v>
      </c>
      <c r="P49" s="64">
        <v>0.42</v>
      </c>
      <c r="Q49" s="64">
        <v>9.33</v>
      </c>
      <c r="R49" s="198"/>
      <c r="S49" s="198"/>
      <c r="T49" s="198"/>
      <c r="U49" s="198"/>
    </row>
    <row r="50" spans="1:21" s="12" customFormat="1" x14ac:dyDescent="0.25">
      <c r="A50" s="216" t="s">
        <v>287</v>
      </c>
      <c r="B50" s="64">
        <v>0.83</v>
      </c>
      <c r="C50" s="64">
        <v>25.14</v>
      </c>
      <c r="D50" s="64">
        <v>13.72</v>
      </c>
      <c r="E50" s="64">
        <v>1.65</v>
      </c>
      <c r="F50" s="64">
        <v>8.5299999999999994</v>
      </c>
      <c r="G50" s="64">
        <v>47.72</v>
      </c>
      <c r="H50" s="64">
        <v>20.84</v>
      </c>
      <c r="I50" s="64">
        <v>3.51</v>
      </c>
      <c r="J50" s="64">
        <v>0.45</v>
      </c>
      <c r="K50" s="64">
        <v>314.60000000000002</v>
      </c>
      <c r="L50" s="64">
        <v>37.64</v>
      </c>
      <c r="M50" s="64">
        <v>18.66</v>
      </c>
      <c r="N50" s="64">
        <v>881.2</v>
      </c>
      <c r="O50" s="64">
        <v>0</v>
      </c>
      <c r="P50" s="64">
        <v>0.43</v>
      </c>
      <c r="Q50" s="64">
        <v>9.3000000000000007</v>
      </c>
      <c r="R50" s="198"/>
      <c r="S50" s="198"/>
      <c r="T50" s="198"/>
      <c r="U50" s="198"/>
    </row>
    <row r="51" spans="1:21" s="12" customFormat="1" x14ac:dyDescent="0.25">
      <c r="A51" s="216" t="s">
        <v>288</v>
      </c>
      <c r="B51" s="64">
        <v>0.85</v>
      </c>
      <c r="C51" s="64">
        <v>25.96</v>
      </c>
      <c r="D51" s="64">
        <v>14.17</v>
      </c>
      <c r="E51" s="64">
        <v>1.74</v>
      </c>
      <c r="F51" s="64">
        <v>9.9</v>
      </c>
      <c r="G51" s="64">
        <v>47.72</v>
      </c>
      <c r="H51" s="64">
        <v>20.84</v>
      </c>
      <c r="I51" s="64">
        <v>3.12</v>
      </c>
      <c r="J51" s="64">
        <v>0.24</v>
      </c>
      <c r="K51" s="64">
        <v>334.52</v>
      </c>
      <c r="L51" s="64">
        <v>36.65</v>
      </c>
      <c r="M51" s="64">
        <v>18.600000000000001</v>
      </c>
      <c r="N51" s="64">
        <v>897.8</v>
      </c>
      <c r="O51" s="64">
        <v>0</v>
      </c>
      <c r="P51" s="64">
        <v>0.42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6" t="s">
        <v>289</v>
      </c>
      <c r="B52" s="64">
        <v>0.97</v>
      </c>
      <c r="C52" s="64">
        <v>27.15</v>
      </c>
      <c r="D52" s="64">
        <v>14.89</v>
      </c>
      <c r="E52" s="64">
        <v>1.96</v>
      </c>
      <c r="F52" s="64">
        <v>10.43</v>
      </c>
      <c r="G52" s="64">
        <v>47.72</v>
      </c>
      <c r="H52" s="64">
        <v>20.84</v>
      </c>
      <c r="I52" s="64">
        <v>3.07</v>
      </c>
      <c r="J52" s="64">
        <v>0.34</v>
      </c>
      <c r="K52" s="64">
        <v>341.59</v>
      </c>
      <c r="L52" s="64">
        <v>37.51</v>
      </c>
      <c r="M52" s="64">
        <v>17.91</v>
      </c>
      <c r="N52" s="64">
        <v>910.9</v>
      </c>
      <c r="O52" s="64">
        <v>0</v>
      </c>
      <c r="P52" s="64">
        <v>0.44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6" t="s">
        <v>290</v>
      </c>
      <c r="B53" s="64">
        <v>1</v>
      </c>
      <c r="C53" s="64">
        <v>27.23</v>
      </c>
      <c r="D53" s="64">
        <v>14.95</v>
      </c>
      <c r="E53" s="64">
        <v>1.69</v>
      </c>
      <c r="F53" s="64">
        <v>9.94</v>
      </c>
      <c r="G53" s="64">
        <v>47.01</v>
      </c>
      <c r="H53" s="64">
        <v>46.42</v>
      </c>
      <c r="I53" s="64">
        <v>3.13</v>
      </c>
      <c r="J53" s="64">
        <v>0.31</v>
      </c>
      <c r="K53" s="64">
        <v>323.33999999999997</v>
      </c>
      <c r="L53" s="64">
        <v>38.6</v>
      </c>
      <c r="M53" s="64">
        <v>17.07</v>
      </c>
      <c r="N53" s="64">
        <v>906.6</v>
      </c>
      <c r="O53" s="64">
        <v>0</v>
      </c>
      <c r="P53" s="64">
        <v>0.45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16" t="s">
        <v>291</v>
      </c>
      <c r="B54" s="64">
        <v>1.01</v>
      </c>
      <c r="C54" s="64">
        <v>28.2</v>
      </c>
      <c r="D54" s="64">
        <v>15.46</v>
      </c>
      <c r="E54" s="64">
        <v>1.58</v>
      </c>
      <c r="F54" s="64">
        <v>10.47</v>
      </c>
      <c r="G54" s="214" t="s">
        <v>42</v>
      </c>
      <c r="H54" s="214" t="s">
        <v>42</v>
      </c>
      <c r="I54" s="64">
        <v>3.14</v>
      </c>
      <c r="J54" s="64">
        <v>0.33</v>
      </c>
      <c r="K54" s="64">
        <v>0.22</v>
      </c>
      <c r="L54" s="64">
        <v>37.69</v>
      </c>
      <c r="M54" s="64">
        <v>17.11</v>
      </c>
      <c r="N54" s="64">
        <v>921.4</v>
      </c>
      <c r="O54" s="64">
        <v>0</v>
      </c>
      <c r="P54" s="64">
        <v>0.46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16" t="s">
        <v>292</v>
      </c>
      <c r="B55" s="64">
        <v>1.02</v>
      </c>
      <c r="C55" s="64">
        <v>29.13</v>
      </c>
      <c r="D55" s="64">
        <v>15.95</v>
      </c>
      <c r="E55" s="64">
        <v>1.71</v>
      </c>
      <c r="F55" s="64">
        <v>12.15</v>
      </c>
      <c r="G55" s="214" t="s">
        <v>42</v>
      </c>
      <c r="H55" s="214" t="s">
        <v>42</v>
      </c>
      <c r="I55" s="64">
        <v>3.26</v>
      </c>
      <c r="J55" s="64">
        <v>0.15</v>
      </c>
      <c r="K55" s="64">
        <v>338.92</v>
      </c>
      <c r="L55" s="64">
        <v>37.19</v>
      </c>
      <c r="M55" s="64">
        <v>17.78</v>
      </c>
      <c r="N55" s="64">
        <v>926.9</v>
      </c>
      <c r="O55" s="64">
        <v>0</v>
      </c>
      <c r="P55" s="64">
        <v>0.47</v>
      </c>
      <c r="Q55" s="64">
        <v>9.2200000000000006</v>
      </c>
      <c r="R55" s="198"/>
      <c r="S55" s="198"/>
      <c r="T55" s="198"/>
      <c r="U55" s="198"/>
    </row>
    <row r="56" spans="1:21" s="12" customFormat="1" x14ac:dyDescent="0.25">
      <c r="A56" s="216" t="s">
        <v>293</v>
      </c>
      <c r="B56" s="64">
        <v>0.98</v>
      </c>
      <c r="C56" s="64">
        <v>30.11</v>
      </c>
      <c r="D56" s="64">
        <v>16.440000000000001</v>
      </c>
      <c r="E56" s="64">
        <v>2.12</v>
      </c>
      <c r="F56" s="64">
        <v>13.87</v>
      </c>
      <c r="G56" s="214" t="s">
        <v>42</v>
      </c>
      <c r="H56" s="214" t="s">
        <v>42</v>
      </c>
      <c r="I56" s="64">
        <v>3.41</v>
      </c>
      <c r="J56" s="64">
        <v>0.43</v>
      </c>
      <c r="K56" s="64">
        <v>333.03</v>
      </c>
      <c r="L56" s="64">
        <v>37.880000000000003</v>
      </c>
      <c r="M56" s="64">
        <v>18.489999999999998</v>
      </c>
      <c r="N56" s="64">
        <v>755.5</v>
      </c>
      <c r="O56" s="64">
        <v>0</v>
      </c>
      <c r="P56" s="64">
        <v>0.47</v>
      </c>
      <c r="Q56" s="64">
        <v>9.23</v>
      </c>
      <c r="R56" s="198"/>
      <c r="S56" s="198"/>
      <c r="T56" s="198"/>
      <c r="U56" s="198"/>
    </row>
    <row r="57" spans="1:21" s="12" customFormat="1" x14ac:dyDescent="0.25">
      <c r="A57" s="216" t="s">
        <v>294</v>
      </c>
      <c r="B57" s="64">
        <v>0.98</v>
      </c>
      <c r="C57" s="64">
        <v>31.09</v>
      </c>
      <c r="D57" s="64">
        <v>16.95</v>
      </c>
      <c r="E57" s="64">
        <v>2.63</v>
      </c>
      <c r="F57" s="64">
        <v>13.65</v>
      </c>
      <c r="G57" s="214" t="s">
        <v>42</v>
      </c>
      <c r="H57" s="214" t="s">
        <v>42</v>
      </c>
      <c r="I57" s="64">
        <v>3.42</v>
      </c>
      <c r="J57" s="64">
        <v>0.18</v>
      </c>
      <c r="K57" s="64">
        <v>305.08</v>
      </c>
      <c r="L57" s="64">
        <v>37.159999999999997</v>
      </c>
      <c r="M57" s="64">
        <v>17.97</v>
      </c>
      <c r="N57" s="64">
        <v>793.8</v>
      </c>
      <c r="O57" s="64">
        <v>0</v>
      </c>
      <c r="P57" s="64">
        <v>0.47</v>
      </c>
      <c r="Q57" s="64">
        <v>9.23</v>
      </c>
      <c r="R57" s="198"/>
      <c r="S57" s="198"/>
      <c r="T57" s="198"/>
      <c r="U57" s="198"/>
    </row>
    <row r="58" spans="1:21" s="12" customFormat="1" x14ac:dyDescent="0.25">
      <c r="A58" s="216" t="s">
        <v>295</v>
      </c>
      <c r="B58" s="64">
        <v>1</v>
      </c>
      <c r="C58" s="64">
        <v>31.53</v>
      </c>
      <c r="D58" s="64">
        <v>17.190000000000001</v>
      </c>
      <c r="E58" s="64">
        <v>2.4700000000000002</v>
      </c>
      <c r="F58" s="64">
        <v>12.61</v>
      </c>
      <c r="G58" s="214" t="s">
        <v>42</v>
      </c>
      <c r="H58" s="214" t="s">
        <v>42</v>
      </c>
      <c r="I58" s="64">
        <v>3.43</v>
      </c>
      <c r="J58" s="64">
        <v>0.31</v>
      </c>
      <c r="K58" s="64">
        <v>346.94</v>
      </c>
      <c r="L58" s="64">
        <v>37.909999999999997</v>
      </c>
      <c r="M58" s="64">
        <v>18.16</v>
      </c>
      <c r="N58" s="64">
        <v>793</v>
      </c>
      <c r="O58" s="64">
        <v>0</v>
      </c>
      <c r="P58" s="64">
        <v>0.47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6" t="s">
        <v>296</v>
      </c>
      <c r="B59" s="64">
        <v>1.08</v>
      </c>
      <c r="C59" s="64">
        <v>31.6</v>
      </c>
      <c r="D59" s="64">
        <v>17.29</v>
      </c>
      <c r="E59" s="64">
        <v>2.1</v>
      </c>
      <c r="F59" s="64">
        <v>12.41</v>
      </c>
      <c r="G59" s="214" t="s">
        <v>42</v>
      </c>
      <c r="H59" s="214" t="s">
        <v>42</v>
      </c>
      <c r="I59" s="64">
        <v>3.37</v>
      </c>
      <c r="J59" s="64">
        <v>0.17</v>
      </c>
      <c r="K59" s="64">
        <v>350.02</v>
      </c>
      <c r="L59" s="64">
        <v>38.03</v>
      </c>
      <c r="M59" s="64">
        <v>17.27</v>
      </c>
      <c r="N59" s="64">
        <v>844.2</v>
      </c>
      <c r="O59" s="64">
        <v>0</v>
      </c>
      <c r="P59" s="64">
        <v>0.47</v>
      </c>
      <c r="Q59" s="64">
        <v>9.27</v>
      </c>
      <c r="R59" s="198"/>
      <c r="S59" s="198"/>
      <c r="T59" s="198"/>
      <c r="U59" s="198"/>
    </row>
    <row r="60" spans="1:21" s="12" customFormat="1" x14ac:dyDescent="0.25">
      <c r="A60" s="216" t="s">
        <v>297</v>
      </c>
      <c r="B60" s="64">
        <v>1.05</v>
      </c>
      <c r="C60" s="64">
        <v>32.04</v>
      </c>
      <c r="D60" s="64">
        <v>17.5</v>
      </c>
      <c r="E60" s="64">
        <v>2.4700000000000002</v>
      </c>
      <c r="F60" s="64">
        <v>13.16</v>
      </c>
      <c r="G60" s="214" t="s">
        <v>42</v>
      </c>
      <c r="H60" s="214" t="s">
        <v>42</v>
      </c>
      <c r="I60" s="64">
        <v>3.36</v>
      </c>
      <c r="J60" s="64">
        <v>0.21</v>
      </c>
      <c r="K60" s="64">
        <v>345.65</v>
      </c>
      <c r="L60" s="64">
        <v>38.020000000000003</v>
      </c>
      <c r="M60" s="64">
        <v>16.559999999999999</v>
      </c>
      <c r="N60" s="64">
        <v>853.2</v>
      </c>
      <c r="O60" s="64">
        <v>0</v>
      </c>
      <c r="P60" s="64">
        <v>0.48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6" t="s">
        <v>298</v>
      </c>
      <c r="B61" s="64">
        <v>1.05</v>
      </c>
      <c r="C61" s="64">
        <v>34</v>
      </c>
      <c r="D61" s="64">
        <v>18.53</v>
      </c>
      <c r="E61" s="64">
        <v>2.59</v>
      </c>
      <c r="F61" s="64">
        <v>13.02</v>
      </c>
      <c r="G61" s="214" t="s">
        <v>42</v>
      </c>
      <c r="H61" s="214" t="s">
        <v>42</v>
      </c>
      <c r="I61" s="64">
        <v>3.41</v>
      </c>
      <c r="J61" s="64">
        <v>0.23</v>
      </c>
      <c r="K61" s="64">
        <v>0.28000000000000003</v>
      </c>
      <c r="L61" s="64">
        <v>38.74</v>
      </c>
      <c r="M61" s="64">
        <v>15.22</v>
      </c>
      <c r="N61" s="64">
        <v>847.8</v>
      </c>
      <c r="O61" s="64">
        <v>0</v>
      </c>
      <c r="P61" s="64">
        <v>0.45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6" t="s">
        <v>299</v>
      </c>
      <c r="B62" s="64">
        <v>1.06</v>
      </c>
      <c r="C62" s="64">
        <v>33.869999999999997</v>
      </c>
      <c r="D62" s="64">
        <v>18.47</v>
      </c>
      <c r="E62" s="64">
        <v>2.56</v>
      </c>
      <c r="F62" s="64">
        <v>12.13</v>
      </c>
      <c r="G62" s="214" t="s">
        <v>42</v>
      </c>
      <c r="H62" s="214" t="s">
        <v>42</v>
      </c>
      <c r="I62" s="64">
        <v>3.44</v>
      </c>
      <c r="J62" s="64">
        <v>0.53</v>
      </c>
      <c r="K62" s="64">
        <v>319.64</v>
      </c>
      <c r="L62" s="64">
        <v>39.270000000000003</v>
      </c>
      <c r="M62" s="64">
        <v>14.22</v>
      </c>
      <c r="N62" s="64">
        <v>826.6</v>
      </c>
      <c r="O62" s="64">
        <v>0</v>
      </c>
      <c r="P62" s="64">
        <v>0.47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16" t="s">
        <v>300</v>
      </c>
      <c r="B63" s="64">
        <v>1.1000000000000001</v>
      </c>
      <c r="C63" s="64">
        <v>34.19</v>
      </c>
      <c r="D63" s="64">
        <v>18.66</v>
      </c>
      <c r="E63" s="64">
        <v>2.78</v>
      </c>
      <c r="F63" s="64">
        <v>10.83</v>
      </c>
      <c r="G63" s="214" t="s">
        <v>42</v>
      </c>
      <c r="H63" s="214" t="s">
        <v>42</v>
      </c>
      <c r="I63" s="64">
        <v>3.42</v>
      </c>
      <c r="J63" s="64">
        <v>0.61</v>
      </c>
      <c r="K63" s="64">
        <v>315.69</v>
      </c>
      <c r="L63" s="64">
        <v>39.68</v>
      </c>
      <c r="M63" s="64">
        <v>14.05</v>
      </c>
      <c r="N63" s="64">
        <v>785.6</v>
      </c>
      <c r="O63" s="64">
        <v>0</v>
      </c>
      <c r="P63" s="64">
        <v>0.48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6" t="s">
        <v>301</v>
      </c>
      <c r="B64" s="64">
        <v>1.1000000000000001</v>
      </c>
      <c r="C64" s="64">
        <v>33.909999999999997</v>
      </c>
      <c r="D64" s="64">
        <v>18.52</v>
      </c>
      <c r="E64" s="64">
        <v>2.57</v>
      </c>
      <c r="F64" s="64">
        <v>10.52</v>
      </c>
      <c r="G64" s="214" t="s">
        <v>42</v>
      </c>
      <c r="H64" s="214" t="s">
        <v>42</v>
      </c>
      <c r="I64" s="64">
        <v>3.44</v>
      </c>
      <c r="J64" s="64">
        <v>0.43</v>
      </c>
      <c r="K64" s="64">
        <v>312.97000000000003</v>
      </c>
      <c r="L64" s="64">
        <v>39.18</v>
      </c>
      <c r="M64" s="64">
        <v>13.96</v>
      </c>
      <c r="N64" s="64">
        <v>706.8</v>
      </c>
      <c r="O64" s="64">
        <v>0</v>
      </c>
      <c r="P64" s="64">
        <v>0.48</v>
      </c>
      <c r="Q64" s="64">
        <v>9.36</v>
      </c>
      <c r="R64" s="198"/>
      <c r="S64" s="198"/>
      <c r="T64" s="198"/>
      <c r="U64" s="198"/>
    </row>
    <row r="65" spans="1:21" s="12" customFormat="1" x14ac:dyDescent="0.25">
      <c r="A65" s="216" t="s">
        <v>302</v>
      </c>
      <c r="B65" s="64">
        <v>1.08</v>
      </c>
      <c r="C65" s="64">
        <v>33.6</v>
      </c>
      <c r="D65" s="64">
        <v>18.329999999999998</v>
      </c>
      <c r="E65" s="64">
        <v>2.3199999999999998</v>
      </c>
      <c r="F65" s="64">
        <v>11.09</v>
      </c>
      <c r="G65" s="64">
        <v>50.64</v>
      </c>
      <c r="H65" s="64">
        <v>12.07</v>
      </c>
      <c r="I65" s="64">
        <v>3.44</v>
      </c>
      <c r="J65" s="64">
        <v>0.19</v>
      </c>
      <c r="K65" s="64">
        <v>353.72</v>
      </c>
      <c r="L65" s="64">
        <v>38.090000000000003</v>
      </c>
      <c r="M65" s="64">
        <v>14.95</v>
      </c>
      <c r="N65" s="64">
        <v>634.29999999999995</v>
      </c>
      <c r="O65" s="64">
        <v>0</v>
      </c>
      <c r="P65" s="64">
        <v>0.46</v>
      </c>
      <c r="Q65" s="64">
        <v>9.36</v>
      </c>
      <c r="R65" s="198"/>
      <c r="S65" s="198"/>
      <c r="T65" s="198"/>
      <c r="U65" s="198"/>
    </row>
    <row r="66" spans="1:21" s="12" customFormat="1" x14ac:dyDescent="0.25">
      <c r="A66" s="216" t="s">
        <v>303</v>
      </c>
      <c r="B66" s="64">
        <v>1.03</v>
      </c>
      <c r="C66" s="64">
        <v>33.35</v>
      </c>
      <c r="D66" s="64">
        <v>18.170000000000002</v>
      </c>
      <c r="E66" s="64">
        <v>2.5099999999999998</v>
      </c>
      <c r="F66" s="64">
        <v>12.24</v>
      </c>
      <c r="G66" s="64">
        <v>52.31</v>
      </c>
      <c r="H66" s="64">
        <v>35.04</v>
      </c>
      <c r="I66" s="64">
        <v>3.42</v>
      </c>
      <c r="J66" s="64">
        <v>0.24</v>
      </c>
      <c r="K66" s="64">
        <v>2.2400000000000002</v>
      </c>
      <c r="L66" s="64">
        <v>37.83</v>
      </c>
      <c r="M66" s="64">
        <v>14.72</v>
      </c>
      <c r="N66" s="64">
        <v>432.1</v>
      </c>
      <c r="O66" s="64">
        <v>0</v>
      </c>
      <c r="P66" s="64">
        <v>0.44</v>
      </c>
      <c r="Q66" s="64">
        <v>9.36</v>
      </c>
      <c r="R66" s="198"/>
      <c r="S66" s="198"/>
      <c r="T66" s="198"/>
      <c r="U66" s="198"/>
    </row>
    <row r="67" spans="1:21" s="12" customFormat="1" x14ac:dyDescent="0.25">
      <c r="A67" s="216" t="s">
        <v>304</v>
      </c>
      <c r="B67" s="64">
        <v>0.99</v>
      </c>
      <c r="C67" s="64">
        <v>34.020000000000003</v>
      </c>
      <c r="D67" s="64">
        <v>18.489999999999998</v>
      </c>
      <c r="E67" s="64">
        <v>2.41</v>
      </c>
      <c r="F67" s="64">
        <v>12.51</v>
      </c>
      <c r="G67" s="64">
        <v>52.31</v>
      </c>
      <c r="H67" s="64">
        <v>35.04</v>
      </c>
      <c r="I67" s="64">
        <v>3.36</v>
      </c>
      <c r="J67" s="64">
        <v>0.28000000000000003</v>
      </c>
      <c r="K67" s="64">
        <v>348.1</v>
      </c>
      <c r="L67" s="64">
        <v>37.85</v>
      </c>
      <c r="M67" s="64">
        <v>12.7</v>
      </c>
      <c r="N67" s="64">
        <v>328.7</v>
      </c>
      <c r="O67" s="64">
        <v>0</v>
      </c>
      <c r="P67" s="64">
        <v>0.44</v>
      </c>
      <c r="Q67" s="64">
        <v>9.35</v>
      </c>
      <c r="R67" s="198"/>
      <c r="S67" s="198"/>
      <c r="T67" s="198"/>
      <c r="U67" s="198"/>
    </row>
    <row r="68" spans="1:21" s="12" customFormat="1" x14ac:dyDescent="0.25">
      <c r="A68" s="216" t="s">
        <v>305</v>
      </c>
      <c r="B68" s="64">
        <v>1</v>
      </c>
      <c r="C68" s="64">
        <v>33.71</v>
      </c>
      <c r="D68" s="64">
        <v>18.34</v>
      </c>
      <c r="E68" s="64">
        <v>2.5</v>
      </c>
      <c r="F68" s="64">
        <v>13.32</v>
      </c>
      <c r="G68" s="64">
        <v>52.31</v>
      </c>
      <c r="H68" s="64">
        <v>35.04</v>
      </c>
      <c r="I68" s="64">
        <v>3.2</v>
      </c>
      <c r="J68" s="64">
        <v>0.21</v>
      </c>
      <c r="K68" s="64">
        <v>341.34</v>
      </c>
      <c r="L68" s="64">
        <v>37.72</v>
      </c>
      <c r="M68" s="64">
        <v>12.38</v>
      </c>
      <c r="N68" s="64">
        <v>432.1</v>
      </c>
      <c r="O68" s="64">
        <v>0</v>
      </c>
      <c r="P68" s="64">
        <v>0.41</v>
      </c>
      <c r="Q68" s="64">
        <v>9.35</v>
      </c>
      <c r="R68" s="198"/>
      <c r="S68" s="198"/>
      <c r="T68" s="198"/>
      <c r="U68" s="198"/>
    </row>
    <row r="69" spans="1:21" s="12" customFormat="1" x14ac:dyDescent="0.25">
      <c r="A69" s="216" t="s">
        <v>306</v>
      </c>
      <c r="B69" s="64">
        <v>1.08</v>
      </c>
      <c r="C69" s="64">
        <v>34.76</v>
      </c>
      <c r="D69" s="64">
        <v>18.95</v>
      </c>
      <c r="E69" s="64">
        <v>2.34</v>
      </c>
      <c r="F69" s="64">
        <v>11.93</v>
      </c>
      <c r="G69" s="64">
        <v>51.12</v>
      </c>
      <c r="H69" s="64">
        <v>35.04</v>
      </c>
      <c r="I69" s="64">
        <v>3.09</v>
      </c>
      <c r="J69" s="64">
        <v>0.35</v>
      </c>
      <c r="K69" s="64">
        <v>334.12</v>
      </c>
      <c r="L69" s="64">
        <v>38.130000000000003</v>
      </c>
      <c r="M69" s="64">
        <v>12.65</v>
      </c>
      <c r="N69" s="64">
        <v>289</v>
      </c>
      <c r="O69" s="64">
        <v>0</v>
      </c>
      <c r="P69" s="64">
        <v>0.41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16" t="s">
        <v>307</v>
      </c>
      <c r="B70" s="64">
        <v>1.22</v>
      </c>
      <c r="C70" s="64">
        <v>36.33</v>
      </c>
      <c r="D70" s="64">
        <v>19.88</v>
      </c>
      <c r="E70" s="64">
        <v>2.5299999999999998</v>
      </c>
      <c r="F70" s="64">
        <v>10.61</v>
      </c>
      <c r="G70" s="214" t="s">
        <v>42</v>
      </c>
      <c r="H70" s="214" t="s">
        <v>42</v>
      </c>
      <c r="I70" s="64">
        <v>2.94</v>
      </c>
      <c r="J70" s="64">
        <v>0.26</v>
      </c>
      <c r="K70" s="64">
        <v>329.8</v>
      </c>
      <c r="L70" s="64">
        <v>37.56</v>
      </c>
      <c r="M70" s="64">
        <v>12.7</v>
      </c>
      <c r="N70" s="64">
        <v>325.60000000000002</v>
      </c>
      <c r="O70" s="64">
        <v>0</v>
      </c>
      <c r="P70" s="64">
        <v>0.4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6" t="s">
        <v>308</v>
      </c>
      <c r="B71" s="64">
        <v>1.18</v>
      </c>
      <c r="C71" s="64">
        <v>37.03</v>
      </c>
      <c r="D71" s="64">
        <v>20.21</v>
      </c>
      <c r="E71" s="64">
        <v>2.31</v>
      </c>
      <c r="F71" s="64">
        <v>10.72</v>
      </c>
      <c r="G71" s="214" t="s">
        <v>42</v>
      </c>
      <c r="H71" s="214" t="s">
        <v>42</v>
      </c>
      <c r="I71" s="64">
        <v>2.87</v>
      </c>
      <c r="J71" s="64">
        <v>0.31</v>
      </c>
      <c r="K71" s="64">
        <v>347.56</v>
      </c>
      <c r="L71" s="64">
        <v>37.43</v>
      </c>
      <c r="M71" s="64">
        <v>12.39</v>
      </c>
      <c r="N71" s="64">
        <v>242.6</v>
      </c>
      <c r="O71" s="64">
        <v>0</v>
      </c>
      <c r="P71" s="64">
        <v>0.39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6" t="s">
        <v>309</v>
      </c>
      <c r="B72" s="64">
        <v>1.1200000000000001</v>
      </c>
      <c r="C72" s="64">
        <v>36.31</v>
      </c>
      <c r="D72" s="64">
        <v>19.79</v>
      </c>
      <c r="E72" s="64">
        <v>1.65</v>
      </c>
      <c r="F72" s="64">
        <v>10.47</v>
      </c>
      <c r="G72" s="214" t="s">
        <v>42</v>
      </c>
      <c r="H72" s="214" t="s">
        <v>42</v>
      </c>
      <c r="I72" s="64">
        <v>2.74</v>
      </c>
      <c r="J72" s="64">
        <v>0.2</v>
      </c>
      <c r="K72" s="64">
        <v>4.22</v>
      </c>
      <c r="L72" s="64">
        <v>37.159999999999997</v>
      </c>
      <c r="M72" s="64">
        <v>12.56</v>
      </c>
      <c r="N72" s="64">
        <v>190.5</v>
      </c>
      <c r="O72" s="64">
        <v>0</v>
      </c>
      <c r="P72" s="64">
        <v>0.37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6" t="s">
        <v>310</v>
      </c>
      <c r="B73" s="64">
        <v>1.1599999999999999</v>
      </c>
      <c r="C73" s="64">
        <v>32.67</v>
      </c>
      <c r="D73" s="64">
        <v>17.920000000000002</v>
      </c>
      <c r="E73" s="64">
        <v>1.5</v>
      </c>
      <c r="F73" s="64">
        <v>11</v>
      </c>
      <c r="G73" s="214" t="s">
        <v>42</v>
      </c>
      <c r="H73" s="214" t="s">
        <v>42</v>
      </c>
      <c r="I73" s="64">
        <v>2.64</v>
      </c>
      <c r="J73" s="64">
        <v>0.3</v>
      </c>
      <c r="K73" s="64">
        <v>7.35</v>
      </c>
      <c r="L73" s="64">
        <v>37.04</v>
      </c>
      <c r="M73" s="64">
        <v>12.8</v>
      </c>
      <c r="N73" s="64">
        <v>175.7</v>
      </c>
      <c r="O73" s="64">
        <v>0</v>
      </c>
      <c r="P73" s="64">
        <v>0.36</v>
      </c>
      <c r="Q73" s="64">
        <v>9.35</v>
      </c>
      <c r="R73" s="198"/>
      <c r="S73" s="198"/>
      <c r="T73" s="198"/>
      <c r="U73" s="198"/>
    </row>
    <row r="74" spans="1:21" s="12" customFormat="1" x14ac:dyDescent="0.25">
      <c r="A74" s="216" t="s">
        <v>311</v>
      </c>
      <c r="B74" s="64">
        <v>1.21</v>
      </c>
      <c r="C74" s="64">
        <v>32.65</v>
      </c>
      <c r="D74" s="64">
        <v>17.95</v>
      </c>
      <c r="E74" s="64">
        <v>1.49</v>
      </c>
      <c r="F74" s="64">
        <v>11.53</v>
      </c>
      <c r="G74" s="214" t="s">
        <v>42</v>
      </c>
      <c r="H74" s="214" t="s">
        <v>42</v>
      </c>
      <c r="I74" s="64">
        <v>2.52</v>
      </c>
      <c r="J74" s="64">
        <v>0.39</v>
      </c>
      <c r="K74" s="64">
        <v>333.05</v>
      </c>
      <c r="L74" s="64">
        <v>36.9</v>
      </c>
      <c r="M74" s="64">
        <v>13.32</v>
      </c>
      <c r="N74" s="64">
        <v>144.6</v>
      </c>
      <c r="O74" s="64">
        <v>0</v>
      </c>
      <c r="P74" s="64">
        <v>0.34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16" t="s">
        <v>312</v>
      </c>
      <c r="B75" s="64">
        <v>1.33</v>
      </c>
      <c r="C75" s="64">
        <v>33.61</v>
      </c>
      <c r="D75" s="64">
        <v>18.54</v>
      </c>
      <c r="E75" s="64">
        <v>1.18</v>
      </c>
      <c r="F75" s="64">
        <v>10.220000000000001</v>
      </c>
      <c r="G75" s="214" t="s">
        <v>42</v>
      </c>
      <c r="H75" s="214" t="s">
        <v>42</v>
      </c>
      <c r="I75" s="64">
        <v>2.38</v>
      </c>
      <c r="J75" s="64">
        <v>0.59</v>
      </c>
      <c r="K75" s="64">
        <v>320.35000000000002</v>
      </c>
      <c r="L75" s="64">
        <v>36.549999999999997</v>
      </c>
      <c r="M75" s="64">
        <v>13.88</v>
      </c>
      <c r="N75" s="64">
        <v>126.9</v>
      </c>
      <c r="O75" s="64">
        <v>0</v>
      </c>
      <c r="P75" s="64">
        <v>0.33</v>
      </c>
      <c r="Q75" s="64">
        <v>9.3800000000000008</v>
      </c>
      <c r="R75" s="198"/>
      <c r="S75" s="198"/>
      <c r="T75" s="198"/>
      <c r="U75" s="198"/>
    </row>
    <row r="76" spans="1:21" s="12" customFormat="1" x14ac:dyDescent="0.25">
      <c r="A76" s="216" t="s">
        <v>313</v>
      </c>
      <c r="B76" s="64">
        <v>1.49</v>
      </c>
      <c r="C76" s="64">
        <v>32.72</v>
      </c>
      <c r="D76" s="64">
        <v>18.21</v>
      </c>
      <c r="E76" s="64">
        <v>1.29</v>
      </c>
      <c r="F76" s="64">
        <v>8.68</v>
      </c>
      <c r="G76" s="214" t="s">
        <v>42</v>
      </c>
      <c r="H76" s="214" t="s">
        <v>42</v>
      </c>
      <c r="I76" s="64">
        <v>2.2200000000000002</v>
      </c>
      <c r="J76" s="64">
        <v>0.77</v>
      </c>
      <c r="K76" s="64">
        <v>312.95</v>
      </c>
      <c r="L76" s="64">
        <v>36.049999999999997</v>
      </c>
      <c r="M76" s="64">
        <v>14.7</v>
      </c>
      <c r="N76" s="64">
        <v>118.2</v>
      </c>
      <c r="O76" s="64">
        <v>0</v>
      </c>
      <c r="P76" s="64">
        <v>0.32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6" t="s">
        <v>314</v>
      </c>
      <c r="B77" s="64">
        <v>1.75</v>
      </c>
      <c r="C77" s="64">
        <v>32.78</v>
      </c>
      <c r="D77" s="64">
        <v>18.46</v>
      </c>
      <c r="E77" s="64">
        <v>1.1299999999999999</v>
      </c>
      <c r="F77" s="64">
        <v>7.08</v>
      </c>
      <c r="G77" s="64">
        <v>47.09</v>
      </c>
      <c r="H77" s="64">
        <v>12.14</v>
      </c>
      <c r="I77" s="64">
        <v>2.1</v>
      </c>
      <c r="J77" s="64">
        <v>1.1499999999999999</v>
      </c>
      <c r="K77" s="64">
        <v>308.93</v>
      </c>
      <c r="L77" s="64">
        <v>35.6</v>
      </c>
      <c r="M77" s="64">
        <v>14.87</v>
      </c>
      <c r="N77" s="64">
        <v>108.2</v>
      </c>
      <c r="O77" s="64">
        <v>0</v>
      </c>
      <c r="P77" s="64">
        <v>0.32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6" t="s">
        <v>315</v>
      </c>
      <c r="B78" s="64">
        <v>1.95</v>
      </c>
      <c r="C78" s="64">
        <v>32.299999999999997</v>
      </c>
      <c r="D78" s="64">
        <v>18.36</v>
      </c>
      <c r="E78" s="64">
        <v>1.08</v>
      </c>
      <c r="F78" s="64">
        <v>6.39</v>
      </c>
      <c r="G78" s="64">
        <v>45.11</v>
      </c>
      <c r="H78" s="64">
        <v>33.369999999999997</v>
      </c>
      <c r="I78" s="64">
        <v>2.04</v>
      </c>
      <c r="J78" s="64">
        <v>1.26</v>
      </c>
      <c r="K78" s="64">
        <v>312.82</v>
      </c>
      <c r="L78" s="64">
        <v>35.04</v>
      </c>
      <c r="M78" s="64">
        <v>14.82</v>
      </c>
      <c r="N78" s="64">
        <v>92.2</v>
      </c>
      <c r="O78" s="64">
        <v>0</v>
      </c>
      <c r="P78" s="64">
        <v>0.32</v>
      </c>
      <c r="Q78" s="64">
        <v>9.42</v>
      </c>
      <c r="R78" s="198"/>
      <c r="S78" s="198"/>
      <c r="T78" s="198"/>
      <c r="U78" s="198"/>
    </row>
    <row r="79" spans="1:21" s="12" customFormat="1" x14ac:dyDescent="0.25">
      <c r="A79" s="216" t="s">
        <v>316</v>
      </c>
      <c r="B79" s="64">
        <v>2.21</v>
      </c>
      <c r="C79" s="64">
        <v>32.869999999999997</v>
      </c>
      <c r="D79" s="64">
        <v>18.86</v>
      </c>
      <c r="E79" s="64">
        <v>1.1299999999999999</v>
      </c>
      <c r="F79" s="64">
        <v>6.14</v>
      </c>
      <c r="G79" s="64">
        <v>45.11</v>
      </c>
      <c r="H79" s="64">
        <v>33.369999999999997</v>
      </c>
      <c r="I79" s="64">
        <v>2.04</v>
      </c>
      <c r="J79" s="64">
        <v>1.1100000000000001</v>
      </c>
      <c r="K79" s="64">
        <v>310.88</v>
      </c>
      <c r="L79" s="64">
        <v>34.619999999999997</v>
      </c>
      <c r="M79" s="64">
        <v>15.18</v>
      </c>
      <c r="N79" s="64">
        <v>80.3</v>
      </c>
      <c r="O79" s="64">
        <v>0</v>
      </c>
      <c r="P79" s="64">
        <v>0.32</v>
      </c>
      <c r="Q79" s="64">
        <v>9.44</v>
      </c>
      <c r="R79" s="198"/>
      <c r="S79" s="198"/>
      <c r="T79" s="198"/>
      <c r="U79" s="198"/>
    </row>
    <row r="80" spans="1:21" s="12" customFormat="1" x14ac:dyDescent="0.25">
      <c r="A80" s="216" t="s">
        <v>317</v>
      </c>
      <c r="B80" s="64">
        <v>2.4</v>
      </c>
      <c r="C80" s="64">
        <v>36.25</v>
      </c>
      <c r="D80" s="64">
        <v>20.78</v>
      </c>
      <c r="E80" s="64">
        <v>1.18</v>
      </c>
      <c r="F80" s="64">
        <v>5.13</v>
      </c>
      <c r="G80" s="64">
        <v>45.11</v>
      </c>
      <c r="H80" s="64">
        <v>33.369999999999997</v>
      </c>
      <c r="I80" s="64">
        <v>2.0299999999999998</v>
      </c>
      <c r="J80" s="64">
        <v>0.87</v>
      </c>
      <c r="K80" s="64">
        <v>310.68</v>
      </c>
      <c r="L80" s="64">
        <v>34.18</v>
      </c>
      <c r="M80" s="64">
        <v>15.27</v>
      </c>
      <c r="N80" s="64">
        <v>65.599999999999994</v>
      </c>
      <c r="O80" s="64">
        <v>0</v>
      </c>
      <c r="P80" s="64">
        <v>0.33</v>
      </c>
      <c r="Q80" s="64">
        <v>9.5</v>
      </c>
      <c r="R80" s="198"/>
      <c r="S80" s="198"/>
      <c r="T80" s="198"/>
      <c r="U80" s="198"/>
    </row>
    <row r="81" spans="1:26" s="12" customFormat="1" x14ac:dyDescent="0.25">
      <c r="A81" s="216" t="s">
        <v>318</v>
      </c>
      <c r="B81" s="64">
        <v>2.4700000000000002</v>
      </c>
      <c r="C81" s="64">
        <v>41.26</v>
      </c>
      <c r="D81" s="64">
        <v>23.46</v>
      </c>
      <c r="E81" s="64">
        <v>1.32</v>
      </c>
      <c r="F81" s="64">
        <v>5.17</v>
      </c>
      <c r="G81" s="214" t="s">
        <v>42</v>
      </c>
      <c r="H81" s="214" t="s">
        <v>42</v>
      </c>
      <c r="I81" s="64">
        <v>2</v>
      </c>
      <c r="J81" s="64">
        <v>0.94</v>
      </c>
      <c r="K81" s="64">
        <v>311.13</v>
      </c>
      <c r="L81" s="64">
        <v>33.65</v>
      </c>
      <c r="M81" s="64">
        <v>16.079999999999998</v>
      </c>
      <c r="N81" s="64">
        <v>54.8</v>
      </c>
      <c r="O81" s="64">
        <v>0</v>
      </c>
      <c r="P81" s="64">
        <v>0.35</v>
      </c>
      <c r="Q81" s="64">
        <v>9.57</v>
      </c>
      <c r="R81" s="198"/>
      <c r="S81" s="198"/>
      <c r="T81" s="198"/>
      <c r="U81" s="198"/>
    </row>
    <row r="82" spans="1:26" s="12" customFormat="1" x14ac:dyDescent="0.25">
      <c r="A82" s="216" t="s">
        <v>319</v>
      </c>
      <c r="B82" s="64">
        <v>2.78</v>
      </c>
      <c r="C82" s="64">
        <v>41.02</v>
      </c>
      <c r="D82" s="64">
        <v>23.58</v>
      </c>
      <c r="E82" s="64">
        <v>1.38</v>
      </c>
      <c r="F82" s="64">
        <v>5.31</v>
      </c>
      <c r="G82" s="214" t="s">
        <v>42</v>
      </c>
      <c r="H82" s="214" t="s">
        <v>42</v>
      </c>
      <c r="I82" s="64">
        <v>2.08</v>
      </c>
      <c r="J82" s="64">
        <v>0.91</v>
      </c>
      <c r="K82" s="64">
        <v>311.22000000000003</v>
      </c>
      <c r="L82" s="64">
        <v>33.15</v>
      </c>
      <c r="M82" s="64">
        <v>16.559999999999999</v>
      </c>
      <c r="N82" s="64">
        <v>49.8</v>
      </c>
      <c r="O82" s="64">
        <v>0</v>
      </c>
      <c r="P82" s="64">
        <v>0.37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6" t="s">
        <v>320</v>
      </c>
      <c r="B83" s="64">
        <v>2.96</v>
      </c>
      <c r="C83" s="64">
        <v>38.15</v>
      </c>
      <c r="D83" s="64">
        <v>22.23</v>
      </c>
      <c r="E83" s="64">
        <v>1.26</v>
      </c>
      <c r="F83" s="64">
        <v>5.24</v>
      </c>
      <c r="G83" s="214" t="s">
        <v>42</v>
      </c>
      <c r="H83" s="214" t="s">
        <v>42</v>
      </c>
      <c r="I83" s="64">
        <v>2.2999999999999998</v>
      </c>
      <c r="J83" s="64">
        <v>0.77</v>
      </c>
      <c r="K83" s="64">
        <v>310.45999999999998</v>
      </c>
      <c r="L83" s="64">
        <v>32.78</v>
      </c>
      <c r="M83" s="64">
        <v>16.86</v>
      </c>
      <c r="N83" s="64">
        <v>48.7</v>
      </c>
      <c r="O83" s="64">
        <v>0</v>
      </c>
      <c r="P83" s="64">
        <v>0.39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6" t="s">
        <v>321</v>
      </c>
      <c r="B84" s="64">
        <v>3.08</v>
      </c>
      <c r="C84" s="64">
        <v>36.58</v>
      </c>
      <c r="D84" s="64">
        <v>21.5</v>
      </c>
      <c r="E84" s="64">
        <v>0.99</v>
      </c>
      <c r="F84" s="64">
        <v>4.91</v>
      </c>
      <c r="G84" s="214" t="s">
        <v>42</v>
      </c>
      <c r="H84" s="214" t="s">
        <v>42</v>
      </c>
      <c r="I84" s="64">
        <v>2.3199999999999998</v>
      </c>
      <c r="J84" s="64">
        <v>0.83</v>
      </c>
      <c r="K84" s="64">
        <v>309.7</v>
      </c>
      <c r="L84" s="64">
        <v>32.57</v>
      </c>
      <c r="M84" s="64">
        <v>16.760000000000002</v>
      </c>
      <c r="N84" s="64">
        <v>49.9</v>
      </c>
      <c r="O84" s="64">
        <v>0</v>
      </c>
      <c r="P84" s="64">
        <v>0.4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6" t="s">
        <v>322</v>
      </c>
      <c r="B85" s="64">
        <v>3.17</v>
      </c>
      <c r="C85" s="64">
        <v>37.03</v>
      </c>
      <c r="D85" s="64">
        <v>21.81</v>
      </c>
      <c r="E85" s="64">
        <v>1.18</v>
      </c>
      <c r="F85" s="64">
        <v>4.96</v>
      </c>
      <c r="G85" s="214" t="s">
        <v>42</v>
      </c>
      <c r="H85" s="214" t="s">
        <v>42</v>
      </c>
      <c r="I85" s="64">
        <v>2.17</v>
      </c>
      <c r="J85" s="64">
        <v>0.43</v>
      </c>
      <c r="K85" s="64">
        <v>320.29000000000002</v>
      </c>
      <c r="L85" s="64">
        <v>32.39</v>
      </c>
      <c r="M85" s="64">
        <v>17.2</v>
      </c>
      <c r="N85" s="64">
        <v>52.3</v>
      </c>
      <c r="O85" s="64">
        <v>0</v>
      </c>
      <c r="P85" s="64">
        <v>0.41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6" t="s">
        <v>323</v>
      </c>
      <c r="B86" s="64">
        <v>3.7</v>
      </c>
      <c r="C86" s="64">
        <v>37.96</v>
      </c>
      <c r="D86" s="64">
        <v>22.72</v>
      </c>
      <c r="E86" s="64">
        <v>0.56000000000000005</v>
      </c>
      <c r="F86" s="64">
        <v>4.51</v>
      </c>
      <c r="G86" s="214" t="s">
        <v>42</v>
      </c>
      <c r="H86" s="214" t="s">
        <v>42</v>
      </c>
      <c r="I86" s="64">
        <v>2.23</v>
      </c>
      <c r="J86" s="64">
        <v>0.38</v>
      </c>
      <c r="K86" s="64">
        <v>326.93</v>
      </c>
      <c r="L86" s="64">
        <v>32.18</v>
      </c>
      <c r="M86" s="64">
        <v>17.38</v>
      </c>
      <c r="N86" s="64">
        <v>54.7</v>
      </c>
      <c r="O86" s="64">
        <v>0</v>
      </c>
      <c r="P86" s="64">
        <v>0.44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6" t="s">
        <v>324</v>
      </c>
      <c r="B87" s="64">
        <v>6.05</v>
      </c>
      <c r="C87" s="64">
        <v>39.67</v>
      </c>
      <c r="D87" s="64">
        <v>25.5</v>
      </c>
      <c r="E87" s="64">
        <v>1.06</v>
      </c>
      <c r="F87" s="64">
        <v>4.2699999999999996</v>
      </c>
      <c r="G87" s="214" t="s">
        <v>42</v>
      </c>
      <c r="H87" s="214" t="s">
        <v>42</v>
      </c>
      <c r="I87" s="64">
        <v>2.31</v>
      </c>
      <c r="J87" s="64">
        <v>0.33</v>
      </c>
      <c r="K87" s="64">
        <v>331.4</v>
      </c>
      <c r="L87" s="64">
        <v>31.96</v>
      </c>
      <c r="M87" s="64">
        <v>17.77</v>
      </c>
      <c r="N87" s="64">
        <v>55.8</v>
      </c>
      <c r="O87" s="64">
        <v>0</v>
      </c>
      <c r="P87" s="64">
        <v>0.46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16" t="s">
        <v>325</v>
      </c>
      <c r="B88" s="64">
        <v>6.64</v>
      </c>
      <c r="C88" s="64">
        <v>39.99</v>
      </c>
      <c r="D88" s="64">
        <v>26.14</v>
      </c>
      <c r="E88" s="64">
        <v>1.05</v>
      </c>
      <c r="F88" s="64">
        <v>4.0999999999999996</v>
      </c>
      <c r="G88" s="214" t="s">
        <v>42</v>
      </c>
      <c r="H88" s="214" t="s">
        <v>42</v>
      </c>
      <c r="I88" s="64">
        <v>2.4700000000000002</v>
      </c>
      <c r="J88" s="64">
        <v>0.33</v>
      </c>
      <c r="K88" s="64">
        <v>316.99</v>
      </c>
      <c r="L88" s="64">
        <v>31.66</v>
      </c>
      <c r="M88" s="64">
        <v>18.420000000000002</v>
      </c>
      <c r="N88" s="64">
        <v>57.2</v>
      </c>
      <c r="O88" s="64">
        <v>0</v>
      </c>
      <c r="P88" s="64">
        <v>0.49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6" t="s">
        <v>326</v>
      </c>
      <c r="B89" s="64">
        <v>6.63</v>
      </c>
      <c r="C89" s="64">
        <v>40.36</v>
      </c>
      <c r="D89" s="64">
        <v>26.32</v>
      </c>
      <c r="E89" s="64">
        <v>0.98</v>
      </c>
      <c r="F89" s="64">
        <v>3.66</v>
      </c>
      <c r="G89" s="214" t="s">
        <v>42</v>
      </c>
      <c r="H89" s="214" t="s">
        <v>42</v>
      </c>
      <c r="I89" s="64">
        <v>2.58</v>
      </c>
      <c r="J89" s="64">
        <v>0.45</v>
      </c>
      <c r="K89" s="64">
        <v>311.27999999999997</v>
      </c>
      <c r="L89" s="64">
        <v>31.27</v>
      </c>
      <c r="M89" s="64">
        <v>19.39</v>
      </c>
      <c r="N89" s="64">
        <v>64.099999999999994</v>
      </c>
      <c r="O89" s="64">
        <v>0</v>
      </c>
      <c r="P89" s="64">
        <v>0.52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6" t="s">
        <v>327</v>
      </c>
      <c r="B90" s="64">
        <v>6.39</v>
      </c>
      <c r="C90" s="64">
        <v>39.35</v>
      </c>
      <c r="D90" s="64">
        <v>25.6</v>
      </c>
      <c r="E90" s="64">
        <v>0.48</v>
      </c>
      <c r="F90" s="64">
        <v>3.93</v>
      </c>
      <c r="G90" s="214" t="s">
        <v>42</v>
      </c>
      <c r="H90" s="214" t="s">
        <v>42</v>
      </c>
      <c r="I90" s="64">
        <v>2.71</v>
      </c>
      <c r="J90" s="64">
        <v>0.27</v>
      </c>
      <c r="K90" s="64">
        <v>314.5</v>
      </c>
      <c r="L90" s="64">
        <v>31.02</v>
      </c>
      <c r="M90" s="64">
        <v>20.04</v>
      </c>
      <c r="N90" s="64">
        <v>67.8</v>
      </c>
      <c r="O90" s="64">
        <v>0</v>
      </c>
      <c r="P90" s="64">
        <v>0.56999999999999995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6" t="s">
        <v>328</v>
      </c>
      <c r="B91" s="64">
        <v>6.46</v>
      </c>
      <c r="C91" s="64">
        <v>37.020000000000003</v>
      </c>
      <c r="D91" s="64">
        <v>24.44</v>
      </c>
      <c r="E91" s="64">
        <v>0.51</v>
      </c>
      <c r="F91" s="64">
        <v>4.09</v>
      </c>
      <c r="G91" s="214" t="s">
        <v>42</v>
      </c>
      <c r="H91" s="214" t="s">
        <v>42</v>
      </c>
      <c r="I91" s="64">
        <v>2.89</v>
      </c>
      <c r="J91" s="64">
        <v>0.21</v>
      </c>
      <c r="K91" s="64">
        <v>308.70999999999998</v>
      </c>
      <c r="L91" s="64">
        <v>30.76</v>
      </c>
      <c r="M91" s="64">
        <v>20.54</v>
      </c>
      <c r="N91" s="64">
        <v>71.2</v>
      </c>
      <c r="O91" s="64">
        <v>0</v>
      </c>
      <c r="P91" s="64">
        <v>0.63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6" t="s">
        <v>329</v>
      </c>
      <c r="B92" s="64">
        <v>7.63</v>
      </c>
      <c r="C92" s="64">
        <v>37.18</v>
      </c>
      <c r="D92" s="64">
        <v>25.46</v>
      </c>
      <c r="E92" s="64">
        <v>0.31</v>
      </c>
      <c r="F92" s="64">
        <v>3.8</v>
      </c>
      <c r="G92" s="214" t="s">
        <v>42</v>
      </c>
      <c r="H92" s="214" t="s">
        <v>42</v>
      </c>
      <c r="I92" s="64">
        <v>3.16</v>
      </c>
      <c r="J92" s="64">
        <v>0.26</v>
      </c>
      <c r="K92" s="64">
        <v>308.77</v>
      </c>
      <c r="L92" s="64">
        <v>30.45</v>
      </c>
      <c r="M92" s="64">
        <v>21.12</v>
      </c>
      <c r="N92" s="64">
        <v>72.900000000000006</v>
      </c>
      <c r="O92" s="64">
        <v>0</v>
      </c>
      <c r="P92" s="64">
        <v>0.69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6" t="s">
        <v>330</v>
      </c>
      <c r="B93" s="64">
        <v>9.48</v>
      </c>
      <c r="C93" s="64">
        <v>37.5</v>
      </c>
      <c r="D93" s="64">
        <v>27.12</v>
      </c>
      <c r="E93" s="64">
        <v>0.63</v>
      </c>
      <c r="F93" s="64">
        <v>3.55</v>
      </c>
      <c r="G93" s="214" t="s">
        <v>42</v>
      </c>
      <c r="H93" s="214" t="s">
        <v>42</v>
      </c>
      <c r="I93" s="64">
        <v>3.65</v>
      </c>
      <c r="J93" s="64">
        <v>0.2</v>
      </c>
      <c r="K93" s="64">
        <v>299.92</v>
      </c>
      <c r="L93" s="64">
        <v>30.15</v>
      </c>
      <c r="M93" s="64">
        <v>21.83</v>
      </c>
      <c r="N93" s="64">
        <v>71.3</v>
      </c>
      <c r="O93" s="64">
        <v>0</v>
      </c>
      <c r="P93" s="64">
        <v>0.77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6" t="s">
        <v>331</v>
      </c>
      <c r="B94" s="64">
        <v>11.35</v>
      </c>
      <c r="C94" s="64">
        <v>37.71</v>
      </c>
      <c r="D94" s="64">
        <v>28.72</v>
      </c>
      <c r="E94" s="64">
        <v>0.57999999999999996</v>
      </c>
      <c r="F94" s="64">
        <v>3.37</v>
      </c>
      <c r="G94" s="214" t="s">
        <v>42</v>
      </c>
      <c r="H94" s="214" t="s">
        <v>42</v>
      </c>
      <c r="I94" s="64">
        <v>4.46</v>
      </c>
      <c r="J94" s="64">
        <v>0.21</v>
      </c>
      <c r="K94" s="64">
        <v>316.2</v>
      </c>
      <c r="L94" s="64">
        <v>29.91</v>
      </c>
      <c r="M94" s="64">
        <v>22.32</v>
      </c>
      <c r="N94" s="64">
        <v>69.400000000000006</v>
      </c>
      <c r="O94" s="64">
        <v>0</v>
      </c>
      <c r="P94" s="64">
        <v>0.74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6" t="s">
        <v>332</v>
      </c>
      <c r="B95" s="64">
        <v>12.56</v>
      </c>
      <c r="C95" s="64">
        <v>37.56</v>
      </c>
      <c r="D95" s="64">
        <v>29.61</v>
      </c>
      <c r="E95" s="64">
        <v>0.91</v>
      </c>
      <c r="F95" s="64">
        <v>3.54</v>
      </c>
      <c r="G95" s="214" t="s">
        <v>42</v>
      </c>
      <c r="H95" s="214" t="s">
        <v>42</v>
      </c>
      <c r="I95" s="64">
        <v>4.91</v>
      </c>
      <c r="J95" s="64">
        <v>0.28000000000000003</v>
      </c>
      <c r="K95" s="64">
        <v>308.45</v>
      </c>
      <c r="L95" s="64">
        <v>29.67</v>
      </c>
      <c r="M95" s="64">
        <v>23.28</v>
      </c>
      <c r="N95" s="64">
        <v>74</v>
      </c>
      <c r="O95" s="64">
        <v>0</v>
      </c>
      <c r="P95" s="64">
        <v>0.76</v>
      </c>
      <c r="Q95" s="64">
        <v>9.74</v>
      </c>
      <c r="R95" s="198"/>
      <c r="S95" s="198"/>
      <c r="T95" s="198"/>
      <c r="U95" s="198"/>
    </row>
    <row r="96" spans="1:26" s="12" customFormat="1" x14ac:dyDescent="0.25">
      <c r="A96" s="216" t="s">
        <v>333</v>
      </c>
      <c r="B96" s="64">
        <v>13.42</v>
      </c>
      <c r="C96" s="64">
        <v>37.39</v>
      </c>
      <c r="D96" s="64">
        <v>30.22</v>
      </c>
      <c r="E96" s="64">
        <v>0.95</v>
      </c>
      <c r="F96" s="64">
        <v>3.38</v>
      </c>
      <c r="G96" s="214" t="s">
        <v>42</v>
      </c>
      <c r="H96" s="214" t="s">
        <v>42</v>
      </c>
      <c r="I96" s="64">
        <v>4.7699999999999996</v>
      </c>
      <c r="J96" s="64">
        <v>0.3</v>
      </c>
      <c r="K96" s="64">
        <v>309.11</v>
      </c>
      <c r="L96" s="64">
        <v>29.47</v>
      </c>
      <c r="M96" s="64">
        <v>23.62</v>
      </c>
      <c r="N96" s="64">
        <v>80.900000000000006</v>
      </c>
      <c r="O96" s="64">
        <v>0</v>
      </c>
      <c r="P96" s="64">
        <v>0.77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334</v>
      </c>
      <c r="B97" s="64">
        <v>14.01</v>
      </c>
      <c r="C97" s="64">
        <v>37.25</v>
      </c>
      <c r="D97" s="64">
        <v>30.61</v>
      </c>
      <c r="E97" s="64">
        <v>0.84</v>
      </c>
      <c r="F97" s="64">
        <v>3.32</v>
      </c>
      <c r="G97" s="64">
        <v>47.09</v>
      </c>
      <c r="H97" s="64">
        <v>49.93</v>
      </c>
      <c r="I97" s="64">
        <v>4.99</v>
      </c>
      <c r="J97" s="64">
        <v>0.49</v>
      </c>
      <c r="K97" s="64">
        <v>314.98</v>
      </c>
      <c r="L97" s="64">
        <v>29.22</v>
      </c>
      <c r="M97" s="64">
        <v>24.01</v>
      </c>
      <c r="N97" s="64">
        <v>82.8</v>
      </c>
      <c r="O97" s="64">
        <v>0</v>
      </c>
      <c r="P97" s="64">
        <v>0.77</v>
      </c>
      <c r="Q97" s="64">
        <v>9.7799999999999994</v>
      </c>
      <c r="R97" s="198"/>
      <c r="S97" s="198"/>
      <c r="T97" s="198"/>
      <c r="U97" s="198"/>
    </row>
    <row r="98" spans="1:33" s="12" customFormat="1" x14ac:dyDescent="0.25">
      <c r="A98" s="216" t="s">
        <v>335</v>
      </c>
      <c r="B98" s="64">
        <v>14.81</v>
      </c>
      <c r="C98" s="64">
        <v>37.53</v>
      </c>
      <c r="D98" s="64">
        <v>31.4</v>
      </c>
      <c r="E98" s="64">
        <v>0.97</v>
      </c>
      <c r="F98" s="64">
        <v>3.19</v>
      </c>
      <c r="G98" s="64">
        <v>54.11</v>
      </c>
      <c r="H98" s="64">
        <v>49.93</v>
      </c>
      <c r="I98" s="64">
        <v>4.97</v>
      </c>
      <c r="J98" s="64">
        <v>0.18</v>
      </c>
      <c r="K98" s="64">
        <v>319.52</v>
      </c>
      <c r="L98" s="64">
        <v>29.02</v>
      </c>
      <c r="M98" s="64">
        <v>24.15</v>
      </c>
      <c r="N98" s="64">
        <v>85.1</v>
      </c>
      <c r="O98" s="64">
        <v>0</v>
      </c>
      <c r="P98" s="64">
        <v>0.8</v>
      </c>
      <c r="Q98" s="64">
        <v>9.81</v>
      </c>
      <c r="R98" s="198"/>
      <c r="S98" s="198"/>
      <c r="T98" s="198"/>
      <c r="U98" s="198"/>
    </row>
    <row r="99" spans="1:33" s="12" customFormat="1" x14ac:dyDescent="0.25">
      <c r="A99" s="216" t="s">
        <v>336</v>
      </c>
      <c r="B99" s="64">
        <v>16.63</v>
      </c>
      <c r="C99" s="64">
        <v>38.950000000000003</v>
      </c>
      <c r="D99" s="64">
        <v>33.61</v>
      </c>
      <c r="E99" s="64">
        <v>1.05</v>
      </c>
      <c r="F99" s="64">
        <v>3.75</v>
      </c>
      <c r="G99" s="64">
        <v>54.11</v>
      </c>
      <c r="H99" s="64">
        <v>49.93</v>
      </c>
      <c r="I99" s="64">
        <v>5.16</v>
      </c>
      <c r="J99" s="64">
        <v>0.33</v>
      </c>
      <c r="K99" s="64">
        <v>317.56</v>
      </c>
      <c r="L99" s="64">
        <v>28.75</v>
      </c>
      <c r="M99" s="64">
        <v>25.04</v>
      </c>
      <c r="N99" s="64">
        <v>82.2</v>
      </c>
      <c r="O99" s="64">
        <v>0</v>
      </c>
      <c r="P99" s="64">
        <v>0.82</v>
      </c>
      <c r="Q99" s="64">
        <v>9.82</v>
      </c>
      <c r="R99" s="198"/>
      <c r="S99" s="198"/>
      <c r="T99" s="198"/>
      <c r="U99" s="198"/>
    </row>
    <row r="100" spans="1:33" s="12" customFormat="1" x14ac:dyDescent="0.25">
      <c r="A100" s="216" t="s">
        <v>337</v>
      </c>
      <c r="B100" s="64">
        <v>17.22</v>
      </c>
      <c r="C100" s="64">
        <v>40.25</v>
      </c>
      <c r="D100" s="64">
        <v>34.76</v>
      </c>
      <c r="E100" s="64">
        <v>1.38</v>
      </c>
      <c r="F100" s="64">
        <v>3.88</v>
      </c>
      <c r="G100" s="64">
        <v>54.11</v>
      </c>
      <c r="H100" s="64">
        <v>49.93</v>
      </c>
      <c r="I100" s="64">
        <v>5.5</v>
      </c>
      <c r="J100" s="64">
        <v>0.24</v>
      </c>
      <c r="K100" s="64">
        <v>312.27999999999997</v>
      </c>
      <c r="L100" s="64">
        <v>28.47</v>
      </c>
      <c r="M100" s="64">
        <v>25.09</v>
      </c>
      <c r="N100" s="64">
        <v>80.099999999999994</v>
      </c>
      <c r="O100" s="64">
        <v>0</v>
      </c>
      <c r="P100" s="64">
        <v>0.81</v>
      </c>
      <c r="Q100" s="64">
        <v>9.8699999999999992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338</v>
      </c>
      <c r="B101" s="64">
        <v>17.239999999999998</v>
      </c>
      <c r="C101" s="64">
        <v>40.79</v>
      </c>
      <c r="D101" s="64">
        <v>35.049999999999997</v>
      </c>
      <c r="E101" s="64">
        <v>0.87</v>
      </c>
      <c r="F101" s="64">
        <v>3.57</v>
      </c>
      <c r="G101" s="64">
        <v>53.77</v>
      </c>
      <c r="H101" s="64">
        <v>49.93</v>
      </c>
      <c r="I101" s="64">
        <v>6</v>
      </c>
      <c r="J101" s="64">
        <v>0.1</v>
      </c>
      <c r="K101" s="64">
        <v>309.3</v>
      </c>
      <c r="L101" s="64">
        <v>28.27</v>
      </c>
      <c r="M101" s="64">
        <v>25.1</v>
      </c>
      <c r="N101" s="64">
        <v>78.599999999999994</v>
      </c>
      <c r="O101" s="64">
        <v>0</v>
      </c>
      <c r="P101" s="64">
        <v>0.8</v>
      </c>
      <c r="Q101" s="64">
        <v>9.8699999999999992</v>
      </c>
      <c r="R101" s="198"/>
      <c r="S101" s="198"/>
      <c r="T101" s="198"/>
      <c r="U101" s="198"/>
    </row>
    <row r="102" spans="1:33" s="12" customFormat="1" x14ac:dyDescent="0.25">
      <c r="A102" s="216" t="s">
        <v>339</v>
      </c>
      <c r="B102" s="64">
        <v>18.399999999999999</v>
      </c>
      <c r="C102" s="64">
        <v>41.51</v>
      </c>
      <c r="D102" s="64">
        <v>36.36</v>
      </c>
      <c r="E102" s="64">
        <v>0.9</v>
      </c>
      <c r="F102" s="64">
        <v>3.31</v>
      </c>
      <c r="G102" s="214" t="s">
        <v>42</v>
      </c>
      <c r="H102" s="214" t="s">
        <v>42</v>
      </c>
      <c r="I102" s="64">
        <v>5.88</v>
      </c>
      <c r="J102" s="64">
        <v>0.2</v>
      </c>
      <c r="K102" s="64">
        <v>295.83</v>
      </c>
      <c r="L102" s="64">
        <v>27.97</v>
      </c>
      <c r="M102" s="64">
        <v>26.24</v>
      </c>
      <c r="N102" s="64">
        <v>80.2</v>
      </c>
      <c r="O102" s="64">
        <v>0</v>
      </c>
      <c r="P102" s="64">
        <v>0.81</v>
      </c>
      <c r="Q102" s="64">
        <v>9.86</v>
      </c>
      <c r="R102" s="198"/>
      <c r="S102" s="198"/>
      <c r="T102" s="198"/>
      <c r="U102" s="198"/>
    </row>
    <row r="103" spans="1:33" s="12" customFormat="1" x14ac:dyDescent="0.25">
      <c r="A103" s="216" t="s">
        <v>340</v>
      </c>
      <c r="B103" s="64">
        <v>19.02</v>
      </c>
      <c r="C103" s="64">
        <v>42.19</v>
      </c>
      <c r="D103" s="64">
        <v>37.22</v>
      </c>
      <c r="E103" s="64">
        <v>0.74</v>
      </c>
      <c r="F103" s="64">
        <v>3.33</v>
      </c>
      <c r="G103" s="214" t="s">
        <v>42</v>
      </c>
      <c r="H103" s="214" t="s">
        <v>42</v>
      </c>
      <c r="I103" s="64">
        <v>5.8</v>
      </c>
      <c r="J103" s="64">
        <v>0.32</v>
      </c>
      <c r="K103" s="64">
        <v>309.86</v>
      </c>
      <c r="L103" s="64">
        <v>27.77</v>
      </c>
      <c r="M103" s="64">
        <v>27.07</v>
      </c>
      <c r="N103" s="64">
        <v>76.900000000000006</v>
      </c>
      <c r="O103" s="64">
        <v>0</v>
      </c>
      <c r="P103" s="64">
        <v>0.79</v>
      </c>
      <c r="Q103" s="64">
        <v>9.8800000000000008</v>
      </c>
      <c r="R103" s="198"/>
      <c r="S103" s="198"/>
      <c r="T103" s="198"/>
      <c r="U103" s="198"/>
    </row>
    <row r="104" spans="1:33" s="12" customFormat="1" x14ac:dyDescent="0.25">
      <c r="A104" s="216" t="s">
        <v>341</v>
      </c>
      <c r="B104" s="64">
        <v>17.98</v>
      </c>
      <c r="C104" s="64">
        <v>42.3</v>
      </c>
      <c r="D104" s="64">
        <v>36.44</v>
      </c>
      <c r="E104" s="64">
        <v>0.65</v>
      </c>
      <c r="F104" s="64">
        <v>4.07</v>
      </c>
      <c r="G104" s="214" t="s">
        <v>42</v>
      </c>
      <c r="H104" s="214" t="s">
        <v>42</v>
      </c>
      <c r="I104" s="64">
        <v>6.05</v>
      </c>
      <c r="J104" s="64">
        <v>0.23</v>
      </c>
      <c r="K104" s="64">
        <v>319.86</v>
      </c>
      <c r="L104" s="64">
        <v>27.8</v>
      </c>
      <c r="M104" s="64">
        <v>26.02</v>
      </c>
      <c r="N104" s="64">
        <v>73.900000000000006</v>
      </c>
      <c r="O104" s="64">
        <v>0</v>
      </c>
      <c r="P104" s="64">
        <v>0.77</v>
      </c>
      <c r="Q104" s="64">
        <v>9.9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0.83</v>
      </c>
      <c r="C106" s="67">
        <f>MIN(C9:C104)</f>
        <v>19.260000000000002</v>
      </c>
      <c r="D106" s="67">
        <f t="shared" ref="D106:Q106" si="0">MIN(D9:D104)</f>
        <v>11.89</v>
      </c>
      <c r="E106" s="67">
        <f t="shared" si="0"/>
        <v>0.31</v>
      </c>
      <c r="F106" s="67">
        <f t="shared" si="0"/>
        <v>2.98</v>
      </c>
      <c r="G106" s="67">
        <f t="shared" si="0"/>
        <v>45.11</v>
      </c>
      <c r="H106" s="67">
        <f t="shared" si="0"/>
        <v>12.07</v>
      </c>
      <c r="I106" s="67">
        <f t="shared" si="0"/>
        <v>2</v>
      </c>
      <c r="J106" s="67">
        <f t="shared" si="0"/>
        <v>0.03</v>
      </c>
      <c r="K106" s="67">
        <f t="shared" si="0"/>
        <v>0.22</v>
      </c>
      <c r="L106" s="67">
        <f t="shared" si="0"/>
        <v>25.78</v>
      </c>
      <c r="M106" s="67">
        <f t="shared" si="0"/>
        <v>12.38</v>
      </c>
      <c r="N106" s="67">
        <f t="shared" si="0"/>
        <v>27.6</v>
      </c>
      <c r="O106" s="67">
        <f t="shared" si="0"/>
        <v>0</v>
      </c>
      <c r="P106" s="67">
        <f t="shared" si="0"/>
        <v>0.32</v>
      </c>
      <c r="Q106" s="67">
        <f t="shared" si="0"/>
        <v>9.16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22.4</v>
      </c>
      <c r="C107" s="66">
        <f t="shared" ref="C107:Q107" si="1">MAX(C9:C104)</f>
        <v>42.3</v>
      </c>
      <c r="D107" s="66">
        <f t="shared" si="1"/>
        <v>37.22</v>
      </c>
      <c r="E107" s="66">
        <f t="shared" si="1"/>
        <v>2.78</v>
      </c>
      <c r="F107" s="66">
        <f t="shared" si="1"/>
        <v>13.87</v>
      </c>
      <c r="G107" s="66">
        <f t="shared" si="1"/>
        <v>78.64</v>
      </c>
      <c r="H107" s="66">
        <f t="shared" si="1"/>
        <v>50.69</v>
      </c>
      <c r="I107" s="66">
        <f t="shared" si="1"/>
        <v>8.8699999999999992</v>
      </c>
      <c r="J107" s="66">
        <f t="shared" si="1"/>
        <v>1.26</v>
      </c>
      <c r="K107" s="66">
        <f t="shared" si="1"/>
        <v>356.16</v>
      </c>
      <c r="L107" s="66">
        <f t="shared" si="1"/>
        <v>39.68</v>
      </c>
      <c r="M107" s="66">
        <f t="shared" si="1"/>
        <v>61.04</v>
      </c>
      <c r="N107" s="66">
        <f t="shared" si="1"/>
        <v>926.9</v>
      </c>
      <c r="O107" s="66">
        <f t="shared" si="1"/>
        <v>0</v>
      </c>
      <c r="P107" s="66">
        <f t="shared" si="1"/>
        <v>1.26</v>
      </c>
      <c r="Q107" s="66">
        <f t="shared" si="1"/>
        <v>9.9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6.4357291666666674</v>
      </c>
      <c r="C108" s="67">
        <f t="shared" ref="C108:Q108" si="2">AVERAGE(C9:C104)</f>
        <v>30.980833333333333</v>
      </c>
      <c r="D108" s="67">
        <f t="shared" si="2"/>
        <v>21.267291666666665</v>
      </c>
      <c r="E108" s="67">
        <f t="shared" si="2"/>
        <v>1.4954166666666666</v>
      </c>
      <c r="F108" s="67">
        <f t="shared" si="2"/>
        <v>6.4506249999999996</v>
      </c>
      <c r="G108" s="67">
        <f t="shared" si="2"/>
        <v>61.168305084745775</v>
      </c>
      <c r="H108" s="67">
        <f t="shared" si="2"/>
        <v>32.114915254237289</v>
      </c>
      <c r="I108" s="67">
        <f t="shared" si="2"/>
        <v>4.9870833333333353</v>
      </c>
      <c r="J108" s="67">
        <f t="shared" si="2"/>
        <v>0.31270833333333331</v>
      </c>
      <c r="K108" s="67">
        <f t="shared" si="2"/>
        <v>259.23572916666677</v>
      </c>
      <c r="L108" s="67">
        <f t="shared" si="2"/>
        <v>32.100416666666668</v>
      </c>
      <c r="M108" s="67">
        <f t="shared" si="2"/>
        <v>30.890416666666663</v>
      </c>
      <c r="N108" s="67">
        <f t="shared" si="2"/>
        <v>284.12187499999993</v>
      </c>
      <c r="O108" s="67">
        <f t="shared" si="2"/>
        <v>0</v>
      </c>
      <c r="P108" s="67">
        <f t="shared" si="2"/>
        <v>0.60114583333333316</v>
      </c>
      <c r="Q108" s="67">
        <f t="shared" si="2"/>
        <v>9.4803125000000019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6.1111876259497535</v>
      </c>
      <c r="C109" s="67">
        <f t="shared" ref="C109:Q109" si="3">STDEV(C9:C104)</f>
        <v>6.3021347538862154</v>
      </c>
      <c r="D109" s="67">
        <f t="shared" si="3"/>
        <v>6.4549407399402483</v>
      </c>
      <c r="E109" s="67">
        <f t="shared" si="3"/>
        <v>0.60630531941496046</v>
      </c>
      <c r="F109" s="67">
        <f t="shared" si="3"/>
        <v>3.498651112252142</v>
      </c>
      <c r="G109" s="67">
        <f t="shared" si="3"/>
        <v>10.695090906183202</v>
      </c>
      <c r="H109" s="67">
        <f t="shared" si="3"/>
        <v>10.713464356928485</v>
      </c>
      <c r="I109" s="67">
        <f t="shared" si="3"/>
        <v>2.2223249639991844</v>
      </c>
      <c r="J109" s="67">
        <f t="shared" si="3"/>
        <v>0.2506768906556246</v>
      </c>
      <c r="K109" s="67">
        <f t="shared" si="3"/>
        <v>100.81430795221335</v>
      </c>
      <c r="L109" s="67">
        <f t="shared" si="3"/>
        <v>4.4087668443363173</v>
      </c>
      <c r="M109" s="67">
        <f t="shared" si="3"/>
        <v>17.13506352278349</v>
      </c>
      <c r="N109" s="67">
        <f t="shared" si="3"/>
        <v>318.9456304774497</v>
      </c>
      <c r="O109" s="67">
        <f t="shared" si="3"/>
        <v>0</v>
      </c>
      <c r="P109" s="67">
        <f t="shared" si="3"/>
        <v>0.21897786377750961</v>
      </c>
      <c r="Q109" s="67">
        <f t="shared" si="3"/>
        <v>0.1729828292361017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COUNT(G9:G104)+37</f>
        <v>96</v>
      </c>
      <c r="H110" s="66">
        <f>COUNT(H9:H104)+37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342</v>
      </c>
      <c r="B9" s="64">
        <v>16.46</v>
      </c>
      <c r="C9" s="64">
        <v>42.1</v>
      </c>
      <c r="D9" s="64">
        <v>35.119999999999997</v>
      </c>
      <c r="E9" s="64">
        <v>1.35</v>
      </c>
      <c r="F9" s="64">
        <v>3.93</v>
      </c>
      <c r="G9" s="217" t="s">
        <v>42</v>
      </c>
      <c r="H9" s="217" t="s">
        <v>42</v>
      </c>
      <c r="I9" s="64">
        <v>6.22</v>
      </c>
      <c r="J9" s="64">
        <v>0.54</v>
      </c>
      <c r="K9" s="64">
        <v>309.52999999999997</v>
      </c>
      <c r="L9" s="64">
        <v>27.73</v>
      </c>
      <c r="M9" s="64">
        <v>25.52</v>
      </c>
      <c r="N9" s="64">
        <v>74.3</v>
      </c>
      <c r="O9" s="64">
        <v>0</v>
      </c>
      <c r="P9" s="64">
        <v>0.75</v>
      </c>
      <c r="Q9" s="64">
        <v>9.8800000000000008</v>
      </c>
      <c r="R9" s="198"/>
      <c r="S9" s="198"/>
      <c r="T9" s="198"/>
      <c r="U9" s="198"/>
    </row>
    <row r="10" spans="1:21" s="12" customFormat="1" x14ac:dyDescent="0.25">
      <c r="A10" s="216" t="s">
        <v>343</v>
      </c>
      <c r="B10" s="64">
        <v>14.7</v>
      </c>
      <c r="C10" s="64">
        <v>41.44</v>
      </c>
      <c r="D10" s="64">
        <v>33.35</v>
      </c>
      <c r="E10" s="64">
        <v>1.4</v>
      </c>
      <c r="F10" s="64">
        <v>3.85</v>
      </c>
      <c r="G10" s="217" t="s">
        <v>42</v>
      </c>
      <c r="H10" s="217" t="s">
        <v>42</v>
      </c>
      <c r="I10" s="64">
        <v>6.22</v>
      </c>
      <c r="J10" s="64">
        <v>0.45</v>
      </c>
      <c r="K10" s="64">
        <v>308.95999999999998</v>
      </c>
      <c r="L10" s="64">
        <v>27.28</v>
      </c>
      <c r="M10" s="64">
        <v>26.83</v>
      </c>
      <c r="N10" s="64">
        <v>68.099999999999994</v>
      </c>
      <c r="O10" s="64">
        <v>0</v>
      </c>
      <c r="P10" s="64">
        <v>0.72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6" t="s">
        <v>344</v>
      </c>
      <c r="B11" s="64">
        <v>13.14</v>
      </c>
      <c r="C11" s="64">
        <v>40.94</v>
      </c>
      <c r="D11" s="64">
        <v>31.85</v>
      </c>
      <c r="E11" s="64">
        <v>1.06</v>
      </c>
      <c r="F11" s="64">
        <v>3.69</v>
      </c>
      <c r="G11" s="217" t="s">
        <v>42</v>
      </c>
      <c r="H11" s="217" t="s">
        <v>42</v>
      </c>
      <c r="I11" s="64">
        <v>6.12</v>
      </c>
      <c r="J11" s="64">
        <v>0.28000000000000003</v>
      </c>
      <c r="K11" s="64">
        <v>312.23</v>
      </c>
      <c r="L11" s="64">
        <v>26.85</v>
      </c>
      <c r="M11" s="64">
        <v>28.58</v>
      </c>
      <c r="N11" s="64">
        <v>48.9</v>
      </c>
      <c r="O11" s="64">
        <v>0</v>
      </c>
      <c r="P11" s="64">
        <v>0.69</v>
      </c>
      <c r="Q11" s="64">
        <v>9.83</v>
      </c>
      <c r="R11" s="198"/>
      <c r="S11" s="198"/>
      <c r="T11" s="198"/>
      <c r="U11" s="198"/>
    </row>
    <row r="12" spans="1:21" s="12" customFormat="1" x14ac:dyDescent="0.25">
      <c r="A12" s="216" t="s">
        <v>345</v>
      </c>
      <c r="B12" s="64">
        <v>11.83</v>
      </c>
      <c r="C12" s="64">
        <v>40.5</v>
      </c>
      <c r="D12" s="64">
        <v>30.56</v>
      </c>
      <c r="E12" s="64">
        <v>1.19</v>
      </c>
      <c r="F12" s="64">
        <v>3.68</v>
      </c>
      <c r="G12" s="217" t="s">
        <v>42</v>
      </c>
      <c r="H12" s="217" t="s">
        <v>42</v>
      </c>
      <c r="I12" s="64">
        <v>5.97</v>
      </c>
      <c r="J12" s="64">
        <v>0.34</v>
      </c>
      <c r="K12" s="64">
        <v>304.27999999999997</v>
      </c>
      <c r="L12" s="64">
        <v>26.78</v>
      </c>
      <c r="M12" s="64">
        <v>28.08</v>
      </c>
      <c r="N12" s="64">
        <v>47.3</v>
      </c>
      <c r="O12" s="64">
        <v>0</v>
      </c>
      <c r="P12" s="64">
        <v>0.67</v>
      </c>
      <c r="Q12" s="64">
        <v>9.8000000000000007</v>
      </c>
      <c r="R12" s="198"/>
      <c r="S12" s="198"/>
      <c r="T12" s="198"/>
      <c r="U12" s="198"/>
    </row>
    <row r="13" spans="1:21" s="12" customFormat="1" x14ac:dyDescent="0.25">
      <c r="A13" s="216" t="s">
        <v>346</v>
      </c>
      <c r="B13" s="64">
        <v>10.82</v>
      </c>
      <c r="C13" s="64">
        <v>38.340000000000003</v>
      </c>
      <c r="D13" s="64">
        <v>28.63</v>
      </c>
      <c r="E13" s="64">
        <v>1.25</v>
      </c>
      <c r="F13" s="64">
        <v>3.67</v>
      </c>
      <c r="G13" s="217" t="s">
        <v>42</v>
      </c>
      <c r="H13" s="217" t="s">
        <v>42</v>
      </c>
      <c r="I13" s="64">
        <v>5.88</v>
      </c>
      <c r="J13" s="64">
        <v>0.85</v>
      </c>
      <c r="K13" s="64">
        <v>323.42</v>
      </c>
      <c r="L13" s="64">
        <v>26.51</v>
      </c>
      <c r="M13" s="64">
        <v>28.71</v>
      </c>
      <c r="N13" s="64">
        <v>48.4</v>
      </c>
      <c r="O13" s="64">
        <v>0</v>
      </c>
      <c r="P13" s="64">
        <v>0.62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6" t="s">
        <v>347</v>
      </c>
      <c r="B14" s="64">
        <v>10.06</v>
      </c>
      <c r="C14" s="64">
        <v>36.68</v>
      </c>
      <c r="D14" s="64">
        <v>27.16</v>
      </c>
      <c r="E14" s="64">
        <v>0.99</v>
      </c>
      <c r="F14" s="64">
        <v>3.58</v>
      </c>
      <c r="G14" s="217" t="s">
        <v>42</v>
      </c>
      <c r="H14" s="217" t="s">
        <v>42</v>
      </c>
      <c r="I14" s="64">
        <v>5.79</v>
      </c>
      <c r="J14" s="64">
        <v>0.67</v>
      </c>
      <c r="K14" s="64">
        <v>310.74</v>
      </c>
      <c r="L14" s="64">
        <v>26.37</v>
      </c>
      <c r="M14" s="64">
        <v>27.88</v>
      </c>
      <c r="N14" s="64">
        <v>62.8</v>
      </c>
      <c r="O14" s="64">
        <v>0</v>
      </c>
      <c r="P14" s="64">
        <v>0.62</v>
      </c>
      <c r="Q14" s="64">
        <v>9.76</v>
      </c>
      <c r="R14" s="198"/>
      <c r="S14" s="198"/>
      <c r="T14" s="198"/>
      <c r="U14" s="198"/>
    </row>
    <row r="15" spans="1:21" s="12" customFormat="1" x14ac:dyDescent="0.25">
      <c r="A15" s="216" t="s">
        <v>348</v>
      </c>
      <c r="B15" s="64">
        <v>9.27</v>
      </c>
      <c r="C15" s="64">
        <v>35.590000000000003</v>
      </c>
      <c r="D15" s="64">
        <v>25.94</v>
      </c>
      <c r="E15" s="64">
        <v>0.99</v>
      </c>
      <c r="F15" s="64">
        <v>3.6</v>
      </c>
      <c r="G15" s="217" t="s">
        <v>42</v>
      </c>
      <c r="H15" s="217" t="s">
        <v>42</v>
      </c>
      <c r="I15" s="64">
        <v>5.71</v>
      </c>
      <c r="J15" s="64">
        <v>0.66</v>
      </c>
      <c r="K15" s="64">
        <v>310.14999999999998</v>
      </c>
      <c r="L15" s="64">
        <v>26.32</v>
      </c>
      <c r="M15" s="64">
        <v>27.94</v>
      </c>
      <c r="N15" s="64">
        <v>66.900000000000006</v>
      </c>
      <c r="O15" s="64">
        <v>0</v>
      </c>
      <c r="P15" s="64">
        <v>0.61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6" t="s">
        <v>349</v>
      </c>
      <c r="B16" s="64">
        <v>8.66</v>
      </c>
      <c r="C16" s="64">
        <v>34.53</v>
      </c>
      <c r="D16" s="64">
        <v>24.9</v>
      </c>
      <c r="E16" s="64">
        <v>0.94</v>
      </c>
      <c r="F16" s="64">
        <v>3.42</v>
      </c>
      <c r="G16" s="217" t="s">
        <v>42</v>
      </c>
      <c r="H16" s="217" t="s">
        <v>42</v>
      </c>
      <c r="I16" s="64">
        <v>5.88</v>
      </c>
      <c r="J16" s="64">
        <v>0.55000000000000004</v>
      </c>
      <c r="K16" s="64">
        <v>306.94</v>
      </c>
      <c r="L16" s="64">
        <v>26.07</v>
      </c>
      <c r="M16" s="64">
        <v>28.53</v>
      </c>
      <c r="N16" s="64">
        <v>67.400000000000006</v>
      </c>
      <c r="O16" s="64">
        <v>0</v>
      </c>
      <c r="P16" s="64">
        <v>0.59</v>
      </c>
      <c r="Q16" s="64">
        <v>9.74</v>
      </c>
      <c r="R16" s="198"/>
      <c r="S16" s="198"/>
      <c r="T16" s="198"/>
      <c r="U16" s="198"/>
    </row>
    <row r="17" spans="1:21" s="12" customFormat="1" x14ac:dyDescent="0.25">
      <c r="A17" s="216" t="s">
        <v>350</v>
      </c>
      <c r="B17" s="64">
        <v>8.17</v>
      </c>
      <c r="C17" s="64">
        <v>33.33</v>
      </c>
      <c r="D17" s="64">
        <v>23.89</v>
      </c>
      <c r="E17" s="64">
        <v>1.1499999999999999</v>
      </c>
      <c r="F17" s="64">
        <v>3.65</v>
      </c>
      <c r="G17" s="217" t="s">
        <v>42</v>
      </c>
      <c r="H17" s="217" t="s">
        <v>42</v>
      </c>
      <c r="I17" s="64">
        <v>5.86</v>
      </c>
      <c r="J17" s="64">
        <v>0.41</v>
      </c>
      <c r="K17" s="64">
        <v>306.85000000000002</v>
      </c>
      <c r="L17" s="64">
        <v>25.71</v>
      </c>
      <c r="M17" s="64">
        <v>29.65</v>
      </c>
      <c r="N17" s="64">
        <v>67.7</v>
      </c>
      <c r="O17" s="64">
        <v>0</v>
      </c>
      <c r="P17" s="64">
        <v>0.56999999999999995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6" t="s">
        <v>351</v>
      </c>
      <c r="B18" s="64">
        <v>7.92</v>
      </c>
      <c r="C18" s="64">
        <v>32.33</v>
      </c>
      <c r="D18" s="64">
        <v>23.16</v>
      </c>
      <c r="E18" s="64">
        <v>1.04</v>
      </c>
      <c r="F18" s="64">
        <v>3.43</v>
      </c>
      <c r="G18" s="217" t="s">
        <v>42</v>
      </c>
      <c r="H18" s="217" t="s">
        <v>42</v>
      </c>
      <c r="I18" s="64">
        <v>5.8</v>
      </c>
      <c r="J18" s="64">
        <v>0.47</v>
      </c>
      <c r="K18" s="64">
        <v>322.41000000000003</v>
      </c>
      <c r="L18" s="64">
        <v>25.34</v>
      </c>
      <c r="M18" s="64">
        <v>31.31</v>
      </c>
      <c r="N18" s="64">
        <v>64</v>
      </c>
      <c r="O18" s="64">
        <v>0</v>
      </c>
      <c r="P18" s="64">
        <v>0.56000000000000005</v>
      </c>
      <c r="Q18" s="64">
        <v>9.73</v>
      </c>
      <c r="R18" s="198"/>
      <c r="S18" s="198"/>
      <c r="T18" s="198"/>
      <c r="U18" s="198"/>
    </row>
    <row r="19" spans="1:21" s="12" customFormat="1" x14ac:dyDescent="0.25">
      <c r="A19" s="216" t="s">
        <v>352</v>
      </c>
      <c r="B19" s="64">
        <v>7.82</v>
      </c>
      <c r="C19" s="64">
        <v>31.34</v>
      </c>
      <c r="D19" s="64">
        <v>22.56</v>
      </c>
      <c r="E19" s="64">
        <v>1.1499999999999999</v>
      </c>
      <c r="F19" s="64">
        <v>3.4</v>
      </c>
      <c r="G19" s="217" t="s">
        <v>42</v>
      </c>
      <c r="H19" s="217" t="s">
        <v>42</v>
      </c>
      <c r="I19" s="64">
        <v>5.71</v>
      </c>
      <c r="J19" s="64">
        <v>0.52</v>
      </c>
      <c r="K19" s="64">
        <v>328.17</v>
      </c>
      <c r="L19" s="64">
        <v>25.13</v>
      </c>
      <c r="M19" s="64">
        <v>32.450000000000003</v>
      </c>
      <c r="N19" s="64">
        <v>60.6</v>
      </c>
      <c r="O19" s="64">
        <v>0</v>
      </c>
      <c r="P19" s="64">
        <v>0.54</v>
      </c>
      <c r="Q19" s="64">
        <v>9.73</v>
      </c>
      <c r="R19" s="198"/>
      <c r="S19" s="198"/>
      <c r="T19" s="198"/>
      <c r="U19" s="198"/>
    </row>
    <row r="20" spans="1:21" s="12" customFormat="1" x14ac:dyDescent="0.25">
      <c r="A20" s="216" t="s">
        <v>353</v>
      </c>
      <c r="B20" s="64">
        <v>7.55</v>
      </c>
      <c r="C20" s="64">
        <v>30.39</v>
      </c>
      <c r="D20" s="64">
        <v>21.85</v>
      </c>
      <c r="E20" s="64">
        <v>1.19</v>
      </c>
      <c r="F20" s="64">
        <v>3.79</v>
      </c>
      <c r="G20" s="217" t="s">
        <v>42</v>
      </c>
      <c r="H20" s="217" t="s">
        <v>42</v>
      </c>
      <c r="I20" s="64">
        <v>5.37</v>
      </c>
      <c r="J20" s="64">
        <v>0.71</v>
      </c>
      <c r="K20" s="64">
        <v>319.37</v>
      </c>
      <c r="L20" s="64">
        <v>25.01</v>
      </c>
      <c r="M20" s="64">
        <v>30.79</v>
      </c>
      <c r="N20" s="64">
        <v>62.9</v>
      </c>
      <c r="O20" s="64">
        <v>0</v>
      </c>
      <c r="P20" s="64">
        <v>0.54</v>
      </c>
      <c r="Q20" s="64">
        <v>9.73</v>
      </c>
      <c r="R20" s="198"/>
      <c r="S20" s="198"/>
      <c r="T20" s="198"/>
      <c r="U20" s="198"/>
    </row>
    <row r="21" spans="1:21" s="12" customFormat="1" x14ac:dyDescent="0.25">
      <c r="A21" s="216" t="s">
        <v>354</v>
      </c>
      <c r="B21" s="64">
        <v>6.85</v>
      </c>
      <c r="C21" s="64">
        <v>29.58</v>
      </c>
      <c r="D21" s="64">
        <v>20.87</v>
      </c>
      <c r="E21" s="64">
        <v>1.01</v>
      </c>
      <c r="F21" s="64">
        <v>3.93</v>
      </c>
      <c r="G21" s="217" t="s">
        <v>42</v>
      </c>
      <c r="H21" s="217" t="s">
        <v>42</v>
      </c>
      <c r="I21" s="64">
        <v>5.31</v>
      </c>
      <c r="J21" s="64">
        <v>0.57999999999999996</v>
      </c>
      <c r="K21" s="64">
        <v>313.7</v>
      </c>
      <c r="L21" s="64">
        <v>24.81</v>
      </c>
      <c r="M21" s="64">
        <v>30.91</v>
      </c>
      <c r="N21" s="64">
        <v>68.2</v>
      </c>
      <c r="O21" s="64">
        <v>0</v>
      </c>
      <c r="P21" s="64">
        <v>0.51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6" t="s">
        <v>355</v>
      </c>
      <c r="B22" s="64">
        <v>6.04</v>
      </c>
      <c r="C22" s="64">
        <v>30.11</v>
      </c>
      <c r="D22" s="64">
        <v>20.49</v>
      </c>
      <c r="E22" s="64">
        <v>0.85</v>
      </c>
      <c r="F22" s="64">
        <v>3.88</v>
      </c>
      <c r="G22" s="217" t="s">
        <v>42</v>
      </c>
      <c r="H22" s="217" t="s">
        <v>42</v>
      </c>
      <c r="I22" s="64">
        <v>6.22</v>
      </c>
      <c r="J22" s="64">
        <v>0.34</v>
      </c>
      <c r="K22" s="64">
        <v>303.02999999999997</v>
      </c>
      <c r="L22" s="64">
        <v>24.64</v>
      </c>
      <c r="M22" s="64">
        <v>30.65</v>
      </c>
      <c r="N22" s="64">
        <v>69.599999999999994</v>
      </c>
      <c r="O22" s="64">
        <v>0</v>
      </c>
      <c r="P22" s="64">
        <v>0.5</v>
      </c>
      <c r="Q22" s="64">
        <v>9.75</v>
      </c>
      <c r="R22" s="198"/>
      <c r="S22" s="198"/>
      <c r="T22" s="198"/>
      <c r="U22" s="198"/>
    </row>
    <row r="23" spans="1:21" s="12" customFormat="1" x14ac:dyDescent="0.25">
      <c r="A23" s="216" t="s">
        <v>356</v>
      </c>
      <c r="B23" s="64">
        <v>5.45</v>
      </c>
      <c r="C23" s="64">
        <v>29.86</v>
      </c>
      <c r="D23" s="64">
        <v>19.89</v>
      </c>
      <c r="E23" s="64">
        <v>1.05</v>
      </c>
      <c r="F23" s="64">
        <v>3.98</v>
      </c>
      <c r="G23" s="217" t="s">
        <v>42</v>
      </c>
      <c r="H23" s="217" t="s">
        <v>42</v>
      </c>
      <c r="I23" s="64">
        <v>6.3</v>
      </c>
      <c r="J23" s="64">
        <v>0.1</v>
      </c>
      <c r="K23" s="64">
        <v>267.62</v>
      </c>
      <c r="L23" s="64">
        <v>24.44</v>
      </c>
      <c r="M23" s="64">
        <v>30.73</v>
      </c>
      <c r="N23" s="64">
        <v>62.6</v>
      </c>
      <c r="O23" s="64">
        <v>0</v>
      </c>
      <c r="P23" s="64">
        <v>0.47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6" t="s">
        <v>357</v>
      </c>
      <c r="B24" s="64">
        <v>5.3</v>
      </c>
      <c r="C24" s="64">
        <v>29.69</v>
      </c>
      <c r="D24" s="64">
        <v>19.68</v>
      </c>
      <c r="E24" s="64">
        <v>1.77</v>
      </c>
      <c r="F24" s="64">
        <v>3.91</v>
      </c>
      <c r="G24" s="217" t="s">
        <v>42</v>
      </c>
      <c r="H24" s="217" t="s">
        <v>42</v>
      </c>
      <c r="I24" s="64">
        <v>6.11</v>
      </c>
      <c r="J24" s="64">
        <v>0.16</v>
      </c>
      <c r="K24" s="64">
        <v>227.55</v>
      </c>
      <c r="L24" s="64">
        <v>24.42</v>
      </c>
      <c r="M24" s="64">
        <v>30.93</v>
      </c>
      <c r="N24" s="64">
        <v>63.5</v>
      </c>
      <c r="O24" s="64">
        <v>0</v>
      </c>
      <c r="P24" s="64">
        <v>0.46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16" t="s">
        <v>358</v>
      </c>
      <c r="B25" s="64">
        <v>5.26</v>
      </c>
      <c r="C25" s="64">
        <v>29.43</v>
      </c>
      <c r="D25" s="64">
        <v>19.510000000000002</v>
      </c>
      <c r="E25" s="64">
        <v>1.52</v>
      </c>
      <c r="F25" s="64">
        <v>3.68</v>
      </c>
      <c r="G25" s="217" t="s">
        <v>42</v>
      </c>
      <c r="H25" s="217" t="s">
        <v>42</v>
      </c>
      <c r="I25" s="64">
        <v>5.9</v>
      </c>
      <c r="J25" s="64">
        <v>0.13</v>
      </c>
      <c r="K25" s="64">
        <v>244.59</v>
      </c>
      <c r="L25" s="64">
        <v>24.27</v>
      </c>
      <c r="M25" s="64">
        <v>32.58</v>
      </c>
      <c r="N25" s="64">
        <v>63.9</v>
      </c>
      <c r="O25" s="64">
        <v>0</v>
      </c>
      <c r="P25" s="64">
        <v>0.44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6" t="s">
        <v>359</v>
      </c>
      <c r="B26" s="64">
        <v>5.5</v>
      </c>
      <c r="C26" s="64">
        <v>29.38</v>
      </c>
      <c r="D26" s="64">
        <v>19.68</v>
      </c>
      <c r="E26" s="64">
        <v>1.28</v>
      </c>
      <c r="F26" s="64">
        <v>3.73</v>
      </c>
      <c r="G26" s="217" t="s">
        <v>42</v>
      </c>
      <c r="H26" s="217" t="s">
        <v>42</v>
      </c>
      <c r="I26" s="64">
        <v>6</v>
      </c>
      <c r="J26" s="64">
        <v>0.21</v>
      </c>
      <c r="K26" s="64">
        <v>217.9</v>
      </c>
      <c r="L26" s="64">
        <v>23.85</v>
      </c>
      <c r="M26" s="64">
        <v>35.9</v>
      </c>
      <c r="N26" s="64">
        <v>61.8</v>
      </c>
      <c r="O26" s="64">
        <v>0</v>
      </c>
      <c r="P26" s="64">
        <v>0.44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6" t="s">
        <v>360</v>
      </c>
      <c r="B27" s="64">
        <v>5.7</v>
      </c>
      <c r="C27" s="64">
        <v>29.75</v>
      </c>
      <c r="D27" s="64">
        <v>20.04</v>
      </c>
      <c r="E27" s="64">
        <v>1.87</v>
      </c>
      <c r="F27" s="64">
        <v>3.8</v>
      </c>
      <c r="G27" s="217" t="s">
        <v>42</v>
      </c>
      <c r="H27" s="217" t="s">
        <v>42</v>
      </c>
      <c r="I27" s="64">
        <v>5.88</v>
      </c>
      <c r="J27" s="64">
        <v>0.21</v>
      </c>
      <c r="K27" s="64">
        <v>226.29</v>
      </c>
      <c r="L27" s="64">
        <v>23.5</v>
      </c>
      <c r="M27" s="64">
        <v>36.659999999999997</v>
      </c>
      <c r="N27" s="64">
        <v>62.8</v>
      </c>
      <c r="O27" s="64">
        <v>0</v>
      </c>
      <c r="P27" s="64">
        <v>0.43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6" t="s">
        <v>361</v>
      </c>
      <c r="B28" s="64">
        <v>6.29</v>
      </c>
      <c r="C28" s="64">
        <v>30.48</v>
      </c>
      <c r="D28" s="64">
        <v>20.89</v>
      </c>
      <c r="E28" s="64">
        <v>1.55</v>
      </c>
      <c r="F28" s="64">
        <v>3.11</v>
      </c>
      <c r="G28" s="217" t="s">
        <v>42</v>
      </c>
      <c r="H28" s="217" t="s">
        <v>42</v>
      </c>
      <c r="I28" s="64">
        <v>5.99</v>
      </c>
      <c r="J28" s="64">
        <v>0.33</v>
      </c>
      <c r="K28" s="64">
        <v>231.24</v>
      </c>
      <c r="L28" s="64">
        <v>23.47</v>
      </c>
      <c r="M28" s="64">
        <v>39.75</v>
      </c>
      <c r="N28" s="64">
        <v>64.099999999999994</v>
      </c>
      <c r="O28" s="64">
        <v>0</v>
      </c>
      <c r="P28" s="64">
        <v>0.42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6" t="s">
        <v>362</v>
      </c>
      <c r="B29" s="64">
        <v>7.25</v>
      </c>
      <c r="C29" s="64">
        <v>30.7</v>
      </c>
      <c r="D29" s="64">
        <v>21.77</v>
      </c>
      <c r="E29" s="64">
        <v>1.5</v>
      </c>
      <c r="F29" s="64">
        <v>3.15</v>
      </c>
      <c r="G29" s="217" t="s">
        <v>42</v>
      </c>
      <c r="H29" s="217" t="s">
        <v>42</v>
      </c>
      <c r="I29" s="64">
        <v>5.92</v>
      </c>
      <c r="J29" s="64">
        <v>0.19</v>
      </c>
      <c r="K29" s="64">
        <v>256.76</v>
      </c>
      <c r="L29" s="64">
        <v>23.09</v>
      </c>
      <c r="M29" s="64">
        <v>42.01</v>
      </c>
      <c r="N29" s="64">
        <v>61.5</v>
      </c>
      <c r="O29" s="64">
        <v>0</v>
      </c>
      <c r="P29" s="64">
        <v>0.42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6" t="s">
        <v>363</v>
      </c>
      <c r="B30" s="64">
        <v>8.42</v>
      </c>
      <c r="C30" s="64">
        <v>30.9</v>
      </c>
      <c r="D30" s="64">
        <v>22.82</v>
      </c>
      <c r="E30" s="64">
        <v>1.84</v>
      </c>
      <c r="F30" s="64">
        <v>3.56</v>
      </c>
      <c r="G30" s="217" t="s">
        <v>42</v>
      </c>
      <c r="H30" s="217" t="s">
        <v>42</v>
      </c>
      <c r="I30" s="64">
        <v>5.94</v>
      </c>
      <c r="J30" s="64">
        <v>0.04</v>
      </c>
      <c r="K30" s="64">
        <v>262.83</v>
      </c>
      <c r="L30" s="64">
        <v>22.9</v>
      </c>
      <c r="M30" s="64">
        <v>35</v>
      </c>
      <c r="N30" s="64">
        <v>61.3</v>
      </c>
      <c r="O30" s="64">
        <v>0</v>
      </c>
      <c r="P30" s="64">
        <v>0.43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6" t="s">
        <v>364</v>
      </c>
      <c r="B31" s="64">
        <v>8.8800000000000008</v>
      </c>
      <c r="C31" s="64">
        <v>30.23</v>
      </c>
      <c r="D31" s="64">
        <v>22.84</v>
      </c>
      <c r="E31" s="64">
        <v>1.63</v>
      </c>
      <c r="F31" s="64">
        <v>3.71</v>
      </c>
      <c r="G31" s="217" t="s">
        <v>42</v>
      </c>
      <c r="H31" s="217" t="s">
        <v>42</v>
      </c>
      <c r="I31" s="64">
        <v>6.05</v>
      </c>
      <c r="J31" s="64">
        <v>0.27</v>
      </c>
      <c r="K31" s="64">
        <v>335.62</v>
      </c>
      <c r="L31" s="64">
        <v>23.04</v>
      </c>
      <c r="M31" s="64">
        <v>32.979999999999997</v>
      </c>
      <c r="N31" s="64">
        <v>77</v>
      </c>
      <c r="O31" s="64">
        <v>0</v>
      </c>
      <c r="P31" s="64">
        <v>0.43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6" t="s">
        <v>365</v>
      </c>
      <c r="B32" s="64">
        <v>9.2899999999999991</v>
      </c>
      <c r="C32" s="64">
        <v>29.75</v>
      </c>
      <c r="D32" s="64">
        <v>22.92</v>
      </c>
      <c r="E32" s="64">
        <v>1.81</v>
      </c>
      <c r="F32" s="64">
        <v>3.73</v>
      </c>
      <c r="G32" s="217" t="s">
        <v>42</v>
      </c>
      <c r="H32" s="217" t="s">
        <v>42</v>
      </c>
      <c r="I32" s="64">
        <v>6.01</v>
      </c>
      <c r="J32" s="64">
        <v>0.3</v>
      </c>
      <c r="K32" s="64">
        <v>324.58999999999997</v>
      </c>
      <c r="L32" s="64">
        <v>23.6</v>
      </c>
      <c r="M32" s="64">
        <v>30.4</v>
      </c>
      <c r="N32" s="64">
        <v>101.3</v>
      </c>
      <c r="O32" s="64">
        <v>0</v>
      </c>
      <c r="P32" s="64">
        <v>0.43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6" t="s">
        <v>366</v>
      </c>
      <c r="B33" s="64">
        <v>9.61</v>
      </c>
      <c r="C33" s="64">
        <v>30.01</v>
      </c>
      <c r="D33" s="64">
        <v>23.3</v>
      </c>
      <c r="E33" s="64">
        <v>1.62</v>
      </c>
      <c r="F33" s="64">
        <v>3.76</v>
      </c>
      <c r="G33" s="217" t="s">
        <v>42</v>
      </c>
      <c r="H33" s="217" t="s">
        <v>42</v>
      </c>
      <c r="I33" s="64">
        <v>5.67</v>
      </c>
      <c r="J33" s="64">
        <v>0.26</v>
      </c>
      <c r="K33" s="64">
        <v>318.79000000000002</v>
      </c>
      <c r="L33" s="64">
        <v>24.55</v>
      </c>
      <c r="M33" s="64">
        <v>29.19</v>
      </c>
      <c r="N33" s="64">
        <v>137.1</v>
      </c>
      <c r="O33" s="64">
        <v>0</v>
      </c>
      <c r="P33" s="64">
        <v>0.43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6" t="s">
        <v>367</v>
      </c>
      <c r="B34" s="64">
        <v>9.93</v>
      </c>
      <c r="C34" s="64">
        <v>30</v>
      </c>
      <c r="D34" s="64">
        <v>23.56</v>
      </c>
      <c r="E34" s="64">
        <v>1.83</v>
      </c>
      <c r="F34" s="64">
        <v>3.41</v>
      </c>
      <c r="G34" s="217" t="s">
        <v>42</v>
      </c>
      <c r="H34" s="217" t="s">
        <v>42</v>
      </c>
      <c r="I34" s="64">
        <v>5.77</v>
      </c>
      <c r="J34" s="64">
        <v>0.53</v>
      </c>
      <c r="K34" s="64">
        <v>339.19</v>
      </c>
      <c r="L34" s="64">
        <v>25.95</v>
      </c>
      <c r="M34" s="64">
        <v>26.17</v>
      </c>
      <c r="N34" s="64">
        <v>180.8</v>
      </c>
      <c r="O34" s="64">
        <v>0</v>
      </c>
      <c r="P34" s="64">
        <v>0.44</v>
      </c>
      <c r="Q34" s="64">
        <v>9.7100000000000009</v>
      </c>
      <c r="R34" s="198"/>
      <c r="S34" s="198"/>
      <c r="T34" s="198"/>
      <c r="U34" s="198"/>
    </row>
    <row r="35" spans="1:21" s="12" customFormat="1" x14ac:dyDescent="0.25">
      <c r="A35" s="216" t="s">
        <v>368</v>
      </c>
      <c r="B35" s="64">
        <v>10.33</v>
      </c>
      <c r="C35" s="64">
        <v>29.86</v>
      </c>
      <c r="D35" s="64">
        <v>23.81</v>
      </c>
      <c r="E35" s="64">
        <v>1.73</v>
      </c>
      <c r="F35" s="64">
        <v>3.31</v>
      </c>
      <c r="G35" s="217" t="s">
        <v>42</v>
      </c>
      <c r="H35" s="217" t="s">
        <v>42</v>
      </c>
      <c r="I35" s="64">
        <v>6</v>
      </c>
      <c r="J35" s="64">
        <v>0.5</v>
      </c>
      <c r="K35" s="64">
        <v>329.67</v>
      </c>
      <c r="L35" s="64">
        <v>27.91</v>
      </c>
      <c r="M35" s="64">
        <v>23.83</v>
      </c>
      <c r="N35" s="64">
        <v>228.2</v>
      </c>
      <c r="O35" s="64">
        <v>0</v>
      </c>
      <c r="P35" s="64">
        <v>0.46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16" t="s">
        <v>369</v>
      </c>
      <c r="B36" s="64">
        <v>11.13</v>
      </c>
      <c r="C36" s="64">
        <v>30</v>
      </c>
      <c r="D36" s="64">
        <v>24.52</v>
      </c>
      <c r="E36" s="64">
        <v>1.81</v>
      </c>
      <c r="F36" s="64">
        <v>3.28</v>
      </c>
      <c r="G36" s="217" t="s">
        <v>42</v>
      </c>
      <c r="H36" s="217" t="s">
        <v>42</v>
      </c>
      <c r="I36" s="64">
        <v>6.46</v>
      </c>
      <c r="J36" s="64">
        <v>0.57999999999999996</v>
      </c>
      <c r="K36" s="64">
        <v>347.68</v>
      </c>
      <c r="L36" s="64">
        <v>29.33</v>
      </c>
      <c r="M36" s="64">
        <v>22.14</v>
      </c>
      <c r="N36" s="64">
        <v>262.89999999999998</v>
      </c>
      <c r="O36" s="64">
        <v>0</v>
      </c>
      <c r="P36" s="64">
        <v>0.48</v>
      </c>
      <c r="Q36" s="64">
        <v>9.6999999999999993</v>
      </c>
      <c r="R36" s="198"/>
      <c r="S36" s="198"/>
      <c r="T36" s="198"/>
      <c r="U36" s="198"/>
    </row>
    <row r="37" spans="1:21" s="12" customFormat="1" x14ac:dyDescent="0.25">
      <c r="A37" s="216" t="s">
        <v>370</v>
      </c>
      <c r="B37" s="64">
        <v>12</v>
      </c>
      <c r="C37" s="64">
        <v>30.73</v>
      </c>
      <c r="D37" s="64">
        <v>25.6</v>
      </c>
      <c r="E37" s="64">
        <v>2.11</v>
      </c>
      <c r="F37" s="64">
        <v>3.6</v>
      </c>
      <c r="G37" s="217" t="s">
        <v>42</v>
      </c>
      <c r="H37" s="217" t="s">
        <v>42</v>
      </c>
      <c r="I37" s="64">
        <v>6.89</v>
      </c>
      <c r="J37" s="64">
        <v>0.99</v>
      </c>
      <c r="K37" s="64">
        <v>352.62</v>
      </c>
      <c r="L37" s="64">
        <v>30.24</v>
      </c>
      <c r="M37" s="64">
        <v>17.190000000000001</v>
      </c>
      <c r="N37" s="64">
        <v>327</v>
      </c>
      <c r="O37" s="64">
        <v>0</v>
      </c>
      <c r="P37" s="64">
        <v>0.49</v>
      </c>
      <c r="Q37" s="64">
        <v>9.6999999999999993</v>
      </c>
      <c r="R37" s="198"/>
      <c r="S37" s="198"/>
      <c r="T37" s="198"/>
      <c r="U37" s="198"/>
    </row>
    <row r="38" spans="1:21" s="12" customFormat="1" x14ac:dyDescent="0.25">
      <c r="A38" s="216" t="s">
        <v>371</v>
      </c>
      <c r="B38" s="64">
        <v>12.68</v>
      </c>
      <c r="C38" s="64">
        <v>32.17</v>
      </c>
      <c r="D38" s="64">
        <v>26.9</v>
      </c>
      <c r="E38" s="64">
        <v>2.14</v>
      </c>
      <c r="F38" s="64">
        <v>3.41</v>
      </c>
      <c r="G38" s="217" t="s">
        <v>42</v>
      </c>
      <c r="H38" s="217" t="s">
        <v>42</v>
      </c>
      <c r="I38" s="64">
        <v>7.34</v>
      </c>
      <c r="J38" s="64">
        <v>0.75</v>
      </c>
      <c r="K38" s="64">
        <v>357.16</v>
      </c>
      <c r="L38" s="64">
        <v>31.04</v>
      </c>
      <c r="M38" s="64">
        <v>15.78</v>
      </c>
      <c r="N38" s="64">
        <v>378.9</v>
      </c>
      <c r="O38" s="64">
        <v>0</v>
      </c>
      <c r="P38" s="64">
        <v>0.53</v>
      </c>
      <c r="Q38" s="64">
        <v>9.7200000000000006</v>
      </c>
      <c r="R38" s="198"/>
      <c r="S38" s="198"/>
      <c r="T38" s="198"/>
      <c r="U38" s="198"/>
    </row>
    <row r="39" spans="1:21" s="12" customFormat="1" x14ac:dyDescent="0.25">
      <c r="A39" s="216" t="s">
        <v>372</v>
      </c>
      <c r="B39" s="64">
        <v>12.78</v>
      </c>
      <c r="C39" s="64">
        <v>33.299999999999997</v>
      </c>
      <c r="D39" s="64">
        <v>27.57</v>
      </c>
      <c r="E39" s="64">
        <v>2.12</v>
      </c>
      <c r="F39" s="64">
        <v>3.2</v>
      </c>
      <c r="G39" s="217" t="s">
        <v>42</v>
      </c>
      <c r="H39" s="217" t="s">
        <v>42</v>
      </c>
      <c r="I39" s="64">
        <v>7.89</v>
      </c>
      <c r="J39" s="64">
        <v>0.95</v>
      </c>
      <c r="K39" s="64">
        <v>355.78</v>
      </c>
      <c r="L39" s="64">
        <v>31.65</v>
      </c>
      <c r="M39" s="64">
        <v>15.75</v>
      </c>
      <c r="N39" s="64">
        <v>431.6</v>
      </c>
      <c r="O39" s="64">
        <v>0</v>
      </c>
      <c r="P39" s="64">
        <v>0.55000000000000004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6" t="s">
        <v>373</v>
      </c>
      <c r="B40" s="64">
        <v>12.65</v>
      </c>
      <c r="C40" s="64">
        <v>35.630000000000003</v>
      </c>
      <c r="D40" s="64">
        <v>28.68</v>
      </c>
      <c r="E40" s="64">
        <v>2.06</v>
      </c>
      <c r="F40" s="64">
        <v>3.47</v>
      </c>
      <c r="G40" s="217" t="s">
        <v>42</v>
      </c>
      <c r="H40" s="217" t="s">
        <v>42</v>
      </c>
      <c r="I40" s="64">
        <v>8.16</v>
      </c>
      <c r="J40" s="64">
        <v>1.01</v>
      </c>
      <c r="K40" s="64">
        <v>352.92</v>
      </c>
      <c r="L40" s="64">
        <v>32.200000000000003</v>
      </c>
      <c r="M40" s="64">
        <v>15.5</v>
      </c>
      <c r="N40" s="64">
        <v>491.7</v>
      </c>
      <c r="O40" s="64">
        <v>0</v>
      </c>
      <c r="P40" s="64">
        <v>0.56000000000000005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6" t="s">
        <v>374</v>
      </c>
      <c r="B41" s="64">
        <v>12.19</v>
      </c>
      <c r="C41" s="64">
        <v>37.049999999999997</v>
      </c>
      <c r="D41" s="64">
        <v>29.05</v>
      </c>
      <c r="E41" s="64">
        <v>2.81</v>
      </c>
      <c r="F41" s="64">
        <v>3.57</v>
      </c>
      <c r="G41" s="217" t="s">
        <v>42</v>
      </c>
      <c r="H41" s="217" t="s">
        <v>42</v>
      </c>
      <c r="I41" s="64">
        <v>8.1999999999999993</v>
      </c>
      <c r="J41" s="64">
        <v>1.35</v>
      </c>
      <c r="K41" s="64">
        <v>350.74</v>
      </c>
      <c r="L41" s="64">
        <v>33.97</v>
      </c>
      <c r="M41" s="64">
        <v>14.38</v>
      </c>
      <c r="N41" s="64">
        <v>548.29999999999995</v>
      </c>
      <c r="O41" s="64">
        <v>0</v>
      </c>
      <c r="P41" s="64">
        <v>0.57999999999999996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6" t="s">
        <v>375</v>
      </c>
      <c r="B42" s="64">
        <v>11.35</v>
      </c>
      <c r="C42" s="64">
        <v>38.64</v>
      </c>
      <c r="D42" s="64">
        <v>29.21</v>
      </c>
      <c r="E42" s="64">
        <v>2.93</v>
      </c>
      <c r="F42" s="64">
        <v>4.08</v>
      </c>
      <c r="G42" s="217" t="s">
        <v>42</v>
      </c>
      <c r="H42" s="217" t="s">
        <v>42</v>
      </c>
      <c r="I42" s="64">
        <v>8.15</v>
      </c>
      <c r="J42" s="64">
        <v>0.96</v>
      </c>
      <c r="K42" s="64">
        <v>355.75</v>
      </c>
      <c r="L42" s="64">
        <v>34.340000000000003</v>
      </c>
      <c r="M42" s="64">
        <v>14.1</v>
      </c>
      <c r="N42" s="64">
        <v>602</v>
      </c>
      <c r="O42" s="64">
        <v>0</v>
      </c>
      <c r="P42" s="64">
        <v>0.59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6" t="s">
        <v>376</v>
      </c>
      <c r="B43" s="64">
        <v>10.44</v>
      </c>
      <c r="C43" s="64">
        <v>39.81</v>
      </c>
      <c r="D43" s="64">
        <v>29.09</v>
      </c>
      <c r="E43" s="64">
        <v>2.68</v>
      </c>
      <c r="F43" s="64">
        <v>3.94</v>
      </c>
      <c r="G43" s="217" t="s">
        <v>42</v>
      </c>
      <c r="H43" s="217" t="s">
        <v>42</v>
      </c>
      <c r="I43" s="64">
        <v>8.01</v>
      </c>
      <c r="J43" s="64">
        <v>0.59</v>
      </c>
      <c r="K43" s="64">
        <v>5.57</v>
      </c>
      <c r="L43" s="64">
        <v>33.22</v>
      </c>
      <c r="M43" s="64">
        <v>15.22</v>
      </c>
      <c r="N43" s="64">
        <v>651.4</v>
      </c>
      <c r="O43" s="64">
        <v>0</v>
      </c>
      <c r="P43" s="64">
        <v>0.59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6" t="s">
        <v>377</v>
      </c>
      <c r="B44" s="64">
        <v>9.14</v>
      </c>
      <c r="C44" s="64">
        <v>41.14</v>
      </c>
      <c r="D44" s="64">
        <v>28.74</v>
      </c>
      <c r="E44" s="64">
        <v>2.13</v>
      </c>
      <c r="F44" s="64">
        <v>4.4000000000000004</v>
      </c>
      <c r="G44" s="217" t="s">
        <v>42</v>
      </c>
      <c r="H44" s="217" t="s">
        <v>42</v>
      </c>
      <c r="I44" s="64">
        <v>7.97</v>
      </c>
      <c r="J44" s="64">
        <v>0.48</v>
      </c>
      <c r="K44" s="64">
        <v>11.97</v>
      </c>
      <c r="L44" s="64">
        <v>34.409999999999997</v>
      </c>
      <c r="M44" s="64">
        <v>15.15</v>
      </c>
      <c r="N44" s="64">
        <v>695.8</v>
      </c>
      <c r="O44" s="64">
        <v>0</v>
      </c>
      <c r="P44" s="64">
        <v>0.59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6" t="s">
        <v>378</v>
      </c>
      <c r="B45" s="64">
        <v>8.1999999999999993</v>
      </c>
      <c r="C45" s="64">
        <v>42.04</v>
      </c>
      <c r="D45" s="64">
        <v>28.46</v>
      </c>
      <c r="E45" s="64">
        <v>2.15</v>
      </c>
      <c r="F45" s="64">
        <v>4.1399999999999997</v>
      </c>
      <c r="G45" s="217" t="s">
        <v>42</v>
      </c>
      <c r="H45" s="217" t="s">
        <v>42</v>
      </c>
      <c r="I45" s="64">
        <v>7.88</v>
      </c>
      <c r="J45" s="64">
        <v>0.55000000000000004</v>
      </c>
      <c r="K45" s="64">
        <v>16.68</v>
      </c>
      <c r="L45" s="64">
        <v>33.56</v>
      </c>
      <c r="M45" s="64">
        <v>16.77</v>
      </c>
      <c r="N45" s="64">
        <v>738.6</v>
      </c>
      <c r="O45" s="64">
        <v>0</v>
      </c>
      <c r="P45" s="64">
        <v>0.59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6" t="s">
        <v>379</v>
      </c>
      <c r="B46" s="64">
        <v>7.29</v>
      </c>
      <c r="C46" s="64">
        <v>43.11</v>
      </c>
      <c r="D46" s="64">
        <v>28.29</v>
      </c>
      <c r="E46" s="64">
        <v>2.17</v>
      </c>
      <c r="F46" s="64">
        <v>4.38</v>
      </c>
      <c r="G46" s="217" t="s">
        <v>42</v>
      </c>
      <c r="H46" s="217" t="s">
        <v>42</v>
      </c>
      <c r="I46" s="64">
        <v>7.8</v>
      </c>
      <c r="J46" s="64">
        <v>0.81</v>
      </c>
      <c r="K46" s="64">
        <v>0.88</v>
      </c>
      <c r="L46" s="64">
        <v>35.4</v>
      </c>
      <c r="M46" s="64">
        <v>13.96</v>
      </c>
      <c r="N46" s="64">
        <v>768.4</v>
      </c>
      <c r="O46" s="64">
        <v>0</v>
      </c>
      <c r="P46" s="64">
        <v>0.59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6" t="s">
        <v>380</v>
      </c>
      <c r="B47" s="64">
        <v>6.13</v>
      </c>
      <c r="C47" s="64">
        <v>43.92</v>
      </c>
      <c r="D47" s="64">
        <v>27.78</v>
      </c>
      <c r="E47" s="64">
        <v>2.2799999999999998</v>
      </c>
      <c r="F47" s="64">
        <v>4.49</v>
      </c>
      <c r="G47" s="217" t="s">
        <v>42</v>
      </c>
      <c r="H47" s="217" t="s">
        <v>42</v>
      </c>
      <c r="I47" s="64">
        <v>7.9</v>
      </c>
      <c r="J47" s="64">
        <v>0.64</v>
      </c>
      <c r="K47" s="64">
        <v>20.399999999999999</v>
      </c>
      <c r="L47" s="64">
        <v>34.5</v>
      </c>
      <c r="M47" s="64">
        <v>13.62</v>
      </c>
      <c r="N47" s="64">
        <v>802.5</v>
      </c>
      <c r="O47" s="64">
        <v>0</v>
      </c>
      <c r="P47" s="64">
        <v>0.57999999999999996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6" t="s">
        <v>381</v>
      </c>
      <c r="B48" s="64">
        <v>4.9400000000000004</v>
      </c>
      <c r="C48" s="64">
        <v>44.04</v>
      </c>
      <c r="D48" s="64">
        <v>26.89</v>
      </c>
      <c r="E48" s="64">
        <v>2.16</v>
      </c>
      <c r="F48" s="64">
        <v>5.09</v>
      </c>
      <c r="G48" s="217" t="s">
        <v>42</v>
      </c>
      <c r="H48" s="217" t="s">
        <v>42</v>
      </c>
      <c r="I48" s="64">
        <v>7.83</v>
      </c>
      <c r="J48" s="64">
        <v>0.82</v>
      </c>
      <c r="K48" s="64">
        <v>66.45</v>
      </c>
      <c r="L48" s="64">
        <v>34.700000000000003</v>
      </c>
      <c r="M48" s="64">
        <v>13.95</v>
      </c>
      <c r="N48" s="64">
        <v>840.7</v>
      </c>
      <c r="O48" s="64">
        <v>0</v>
      </c>
      <c r="P48" s="64">
        <v>0.57999999999999996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6" t="s">
        <v>382</v>
      </c>
      <c r="B49" s="64">
        <v>3.9</v>
      </c>
      <c r="C49" s="64">
        <v>43.9</v>
      </c>
      <c r="D49" s="64">
        <v>25.98</v>
      </c>
      <c r="E49" s="64">
        <v>2.2400000000000002</v>
      </c>
      <c r="F49" s="64">
        <v>4.43</v>
      </c>
      <c r="G49" s="217" t="s">
        <v>42</v>
      </c>
      <c r="H49" s="217" t="s">
        <v>42</v>
      </c>
      <c r="I49" s="64">
        <v>7.85</v>
      </c>
      <c r="J49" s="64">
        <v>0.6</v>
      </c>
      <c r="K49" s="64">
        <v>81.489999999999995</v>
      </c>
      <c r="L49" s="64">
        <v>34.51</v>
      </c>
      <c r="M49" s="64">
        <v>14.29</v>
      </c>
      <c r="N49" s="64">
        <v>874.8</v>
      </c>
      <c r="O49" s="64">
        <v>0</v>
      </c>
      <c r="P49" s="64">
        <v>0.56999999999999995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6" t="s">
        <v>383</v>
      </c>
      <c r="B50" s="64">
        <v>3.53</v>
      </c>
      <c r="C50" s="64">
        <v>42.34</v>
      </c>
      <c r="D50" s="64">
        <v>24.88</v>
      </c>
      <c r="E50" s="64">
        <v>2.0499999999999998</v>
      </c>
      <c r="F50" s="64">
        <v>4.28</v>
      </c>
      <c r="G50" s="217" t="s">
        <v>42</v>
      </c>
      <c r="H50" s="217" t="s">
        <v>42</v>
      </c>
      <c r="I50" s="64">
        <v>7.93</v>
      </c>
      <c r="J50" s="64">
        <v>0.77</v>
      </c>
      <c r="K50" s="64">
        <v>17.28</v>
      </c>
      <c r="L50" s="64">
        <v>35.020000000000003</v>
      </c>
      <c r="M50" s="64">
        <v>12.99</v>
      </c>
      <c r="N50" s="64">
        <v>910.7</v>
      </c>
      <c r="O50" s="64">
        <v>0</v>
      </c>
      <c r="P50" s="64">
        <v>0.56999999999999995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6" t="s">
        <v>384</v>
      </c>
      <c r="B51" s="64">
        <v>3.1</v>
      </c>
      <c r="C51" s="64">
        <v>42.55</v>
      </c>
      <c r="D51" s="64">
        <v>24.64</v>
      </c>
      <c r="E51" s="64">
        <v>2.29</v>
      </c>
      <c r="F51" s="64">
        <v>21.73</v>
      </c>
      <c r="G51" s="217" t="s">
        <v>42</v>
      </c>
      <c r="H51" s="217" t="s">
        <v>42</v>
      </c>
      <c r="I51" s="64">
        <v>8.19</v>
      </c>
      <c r="J51" s="64">
        <v>0.48</v>
      </c>
      <c r="K51" s="64">
        <v>65.790000000000006</v>
      </c>
      <c r="L51" s="64">
        <v>35.68</v>
      </c>
      <c r="M51" s="64">
        <v>12.74</v>
      </c>
      <c r="N51" s="64">
        <v>933.7</v>
      </c>
      <c r="O51" s="64">
        <v>0</v>
      </c>
      <c r="P51" s="64">
        <v>0.55000000000000004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6" t="s">
        <v>385</v>
      </c>
      <c r="B52" s="64">
        <v>2.1</v>
      </c>
      <c r="C52" s="64">
        <v>47.92</v>
      </c>
      <c r="D52" s="64">
        <v>26.64</v>
      </c>
      <c r="E52" s="64">
        <v>2.1</v>
      </c>
      <c r="F52" s="64">
        <v>23.29</v>
      </c>
      <c r="G52" s="217" t="s">
        <v>42</v>
      </c>
      <c r="H52" s="217" t="s">
        <v>42</v>
      </c>
      <c r="I52" s="64">
        <v>8.6199999999999992</v>
      </c>
      <c r="J52" s="64">
        <v>0.28000000000000003</v>
      </c>
      <c r="K52" s="64">
        <v>90.83</v>
      </c>
      <c r="L52" s="64">
        <v>36.54</v>
      </c>
      <c r="M52" s="64">
        <v>13.12</v>
      </c>
      <c r="N52" s="64">
        <v>949.2</v>
      </c>
      <c r="O52" s="64">
        <v>0</v>
      </c>
      <c r="P52" s="64">
        <v>0.51</v>
      </c>
      <c r="Q52" s="64">
        <v>9.48</v>
      </c>
      <c r="R52" s="198"/>
      <c r="S52" s="198"/>
      <c r="T52" s="198"/>
      <c r="U52" s="198"/>
    </row>
    <row r="53" spans="1:21" s="12" customFormat="1" x14ac:dyDescent="0.25">
      <c r="A53" s="216" t="s">
        <v>386</v>
      </c>
      <c r="B53" s="64">
        <v>2.0099999999999998</v>
      </c>
      <c r="C53" s="64">
        <v>46.7</v>
      </c>
      <c r="D53" s="64">
        <v>25.93</v>
      </c>
      <c r="E53" s="218" t="s">
        <v>40</v>
      </c>
      <c r="F53" s="64">
        <v>15.77</v>
      </c>
      <c r="G53" s="217" t="s">
        <v>42</v>
      </c>
      <c r="H53" s="217" t="s">
        <v>42</v>
      </c>
      <c r="I53" s="64">
        <v>7.79</v>
      </c>
      <c r="J53" s="64">
        <v>0.38</v>
      </c>
      <c r="K53" s="64">
        <v>55.85</v>
      </c>
      <c r="L53" s="64">
        <v>36.29</v>
      </c>
      <c r="M53" s="64">
        <v>11.95</v>
      </c>
      <c r="N53" s="64">
        <v>954.4</v>
      </c>
      <c r="O53" s="64">
        <v>0</v>
      </c>
      <c r="P53" s="64">
        <v>0.49</v>
      </c>
      <c r="Q53" s="64">
        <v>9.4600000000000009</v>
      </c>
      <c r="R53" s="198"/>
      <c r="S53" s="198"/>
      <c r="T53" s="198"/>
      <c r="U53" s="198"/>
    </row>
    <row r="54" spans="1:21" s="12" customFormat="1" x14ac:dyDescent="0.25">
      <c r="A54" s="216" t="s">
        <v>387</v>
      </c>
      <c r="B54" s="64">
        <v>2.2000000000000002</v>
      </c>
      <c r="C54" s="64">
        <v>46.38</v>
      </c>
      <c r="D54" s="64">
        <v>25.91</v>
      </c>
      <c r="E54" s="218" t="s">
        <v>40</v>
      </c>
      <c r="F54" s="64">
        <v>11.73</v>
      </c>
      <c r="G54" s="217" t="s">
        <v>42</v>
      </c>
      <c r="H54" s="217" t="s">
        <v>42</v>
      </c>
      <c r="I54" s="64">
        <v>6.28</v>
      </c>
      <c r="J54" s="64">
        <v>0.92</v>
      </c>
      <c r="K54" s="64">
        <v>351.53</v>
      </c>
      <c r="L54" s="64">
        <v>38.04</v>
      </c>
      <c r="M54" s="64">
        <v>9.77</v>
      </c>
      <c r="N54" s="64">
        <v>960.5</v>
      </c>
      <c r="O54" s="64">
        <v>0</v>
      </c>
      <c r="P54" s="64">
        <v>0.49</v>
      </c>
      <c r="Q54" s="64">
        <v>9.48</v>
      </c>
      <c r="R54" s="198"/>
      <c r="S54" s="198"/>
      <c r="T54" s="198"/>
      <c r="U54" s="198"/>
    </row>
    <row r="55" spans="1:21" s="12" customFormat="1" x14ac:dyDescent="0.25">
      <c r="A55" s="216" t="s">
        <v>388</v>
      </c>
      <c r="B55" s="64">
        <v>2.5099999999999998</v>
      </c>
      <c r="C55" s="64">
        <v>46.29</v>
      </c>
      <c r="D55" s="64">
        <v>26.12</v>
      </c>
      <c r="E55" s="218" t="s">
        <v>40</v>
      </c>
      <c r="F55" s="64">
        <v>8.4499999999999993</v>
      </c>
      <c r="G55" s="217" t="s">
        <v>42</v>
      </c>
      <c r="H55" s="217" t="s">
        <v>42</v>
      </c>
      <c r="I55" s="64">
        <v>7.55</v>
      </c>
      <c r="J55" s="64">
        <v>0.45</v>
      </c>
      <c r="K55" s="64">
        <v>359.92</v>
      </c>
      <c r="L55" s="64">
        <v>38.17</v>
      </c>
      <c r="M55" s="64">
        <v>9.33</v>
      </c>
      <c r="N55" s="64">
        <v>978</v>
      </c>
      <c r="O55" s="64">
        <v>0</v>
      </c>
      <c r="P55" s="64">
        <v>0.5</v>
      </c>
      <c r="Q55" s="64">
        <v>9.5399999999999991</v>
      </c>
      <c r="R55" s="198"/>
      <c r="S55" s="198"/>
      <c r="T55" s="198"/>
      <c r="U55" s="198"/>
    </row>
    <row r="56" spans="1:21" s="12" customFormat="1" x14ac:dyDescent="0.25">
      <c r="A56" s="216" t="s">
        <v>389</v>
      </c>
      <c r="B56" s="64">
        <v>2.62</v>
      </c>
      <c r="C56" s="64">
        <v>47.81</v>
      </c>
      <c r="D56" s="64">
        <v>27</v>
      </c>
      <c r="E56" s="218" t="s">
        <v>40</v>
      </c>
      <c r="F56" s="64">
        <v>8.17</v>
      </c>
      <c r="G56" s="217" t="s">
        <v>42</v>
      </c>
      <c r="H56" s="217" t="s">
        <v>42</v>
      </c>
      <c r="I56" s="64">
        <v>9.56</v>
      </c>
      <c r="J56" s="64">
        <v>0.51</v>
      </c>
      <c r="K56" s="64">
        <v>354.26</v>
      </c>
      <c r="L56" s="64">
        <v>38.28</v>
      </c>
      <c r="M56" s="64">
        <v>10.47</v>
      </c>
      <c r="N56" s="64">
        <v>956.3</v>
      </c>
      <c r="O56" s="64">
        <v>0</v>
      </c>
      <c r="P56" s="64">
        <v>0.53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6" t="s">
        <v>390</v>
      </c>
      <c r="B57" s="64">
        <v>2.56</v>
      </c>
      <c r="C57" s="64">
        <v>48.15</v>
      </c>
      <c r="D57" s="64">
        <v>27.12</v>
      </c>
      <c r="E57" s="64">
        <v>5.22</v>
      </c>
      <c r="F57" s="64">
        <v>6.88</v>
      </c>
      <c r="G57" s="217" t="s">
        <v>42</v>
      </c>
      <c r="H57" s="217" t="s">
        <v>42</v>
      </c>
      <c r="I57" s="64">
        <v>11.4</v>
      </c>
      <c r="J57" s="64">
        <v>1.02</v>
      </c>
      <c r="K57" s="64">
        <v>99.43</v>
      </c>
      <c r="L57" s="64">
        <v>36.15</v>
      </c>
      <c r="M57" s="64">
        <v>10.220000000000001</v>
      </c>
      <c r="N57" s="64">
        <v>956.1</v>
      </c>
      <c r="O57" s="64">
        <v>0</v>
      </c>
      <c r="P57" s="64">
        <v>0.53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6" t="s">
        <v>391</v>
      </c>
      <c r="B58" s="218" t="s">
        <v>40</v>
      </c>
      <c r="C58" s="218" t="s">
        <v>40</v>
      </c>
      <c r="D58" s="218" t="s">
        <v>40</v>
      </c>
      <c r="E58" s="64">
        <v>3.11</v>
      </c>
      <c r="F58" s="64">
        <v>7.72</v>
      </c>
      <c r="G58" s="217" t="s">
        <v>42</v>
      </c>
      <c r="H58" s="217" t="s">
        <v>42</v>
      </c>
      <c r="I58" s="64">
        <v>12.96</v>
      </c>
      <c r="J58" s="64">
        <v>0.9</v>
      </c>
      <c r="K58" s="64">
        <v>359.05</v>
      </c>
      <c r="L58" s="64">
        <v>37.049999999999997</v>
      </c>
      <c r="M58" s="64">
        <v>10.4</v>
      </c>
      <c r="N58" s="64">
        <v>924.3</v>
      </c>
      <c r="O58" s="64">
        <v>0</v>
      </c>
      <c r="P58" s="64">
        <v>0.5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6" t="s">
        <v>392</v>
      </c>
      <c r="B59" s="218" t="s">
        <v>40</v>
      </c>
      <c r="C59" s="218" t="s">
        <v>40</v>
      </c>
      <c r="D59" s="218" t="s">
        <v>40</v>
      </c>
      <c r="E59" s="64">
        <v>2.72</v>
      </c>
      <c r="F59" s="64">
        <v>7.55</v>
      </c>
      <c r="G59" s="217" t="s">
        <v>42</v>
      </c>
      <c r="H59" s="217" t="s">
        <v>42</v>
      </c>
      <c r="I59" s="64">
        <v>14.55</v>
      </c>
      <c r="J59" s="64">
        <v>0.23</v>
      </c>
      <c r="K59" s="64">
        <v>132.22999999999999</v>
      </c>
      <c r="L59" s="64">
        <v>37.74</v>
      </c>
      <c r="M59" s="64">
        <v>9.51</v>
      </c>
      <c r="N59" s="64">
        <v>880.6</v>
      </c>
      <c r="O59" s="64">
        <v>0</v>
      </c>
      <c r="P59" s="64">
        <v>0.49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6" t="s">
        <v>393</v>
      </c>
      <c r="B60" s="218" t="s">
        <v>40</v>
      </c>
      <c r="C60" s="218" t="s">
        <v>40</v>
      </c>
      <c r="D60" s="218" t="s">
        <v>40</v>
      </c>
      <c r="E60" s="64">
        <v>2.5499999999999998</v>
      </c>
      <c r="F60" s="64">
        <v>7.64</v>
      </c>
      <c r="G60" s="217" t="s">
        <v>42</v>
      </c>
      <c r="H60" s="217" t="s">
        <v>42</v>
      </c>
      <c r="I60" s="64">
        <v>15.46</v>
      </c>
      <c r="J60" s="64">
        <v>0.49</v>
      </c>
      <c r="K60" s="64">
        <v>101.12</v>
      </c>
      <c r="L60" s="64">
        <v>36.49</v>
      </c>
      <c r="M60" s="64">
        <v>10.16</v>
      </c>
      <c r="N60" s="64">
        <v>815.5</v>
      </c>
      <c r="O60" s="64">
        <v>0</v>
      </c>
      <c r="P60" s="64">
        <v>0.48</v>
      </c>
      <c r="Q60" s="64">
        <v>9.66</v>
      </c>
      <c r="R60" s="198"/>
      <c r="S60" s="198"/>
      <c r="T60" s="198"/>
      <c r="U60" s="198"/>
    </row>
    <row r="61" spans="1:21" s="12" customFormat="1" x14ac:dyDescent="0.25">
      <c r="A61" s="216" t="s">
        <v>394</v>
      </c>
      <c r="B61" s="218" t="s">
        <v>40</v>
      </c>
      <c r="C61" s="218" t="s">
        <v>40</v>
      </c>
      <c r="D61" s="218" t="s">
        <v>40</v>
      </c>
      <c r="E61" s="64">
        <v>3.03</v>
      </c>
      <c r="F61" s="64">
        <v>9.16</v>
      </c>
      <c r="G61" s="217" t="s">
        <v>42</v>
      </c>
      <c r="H61" s="217" t="s">
        <v>42</v>
      </c>
      <c r="I61" s="64">
        <v>17.079999999999998</v>
      </c>
      <c r="J61" s="64">
        <v>0.54</v>
      </c>
      <c r="K61" s="64">
        <v>343.23</v>
      </c>
      <c r="L61" s="64">
        <v>37.630000000000003</v>
      </c>
      <c r="M61" s="64">
        <v>11.18</v>
      </c>
      <c r="N61" s="64">
        <v>794.4</v>
      </c>
      <c r="O61" s="64">
        <v>0</v>
      </c>
      <c r="P61" s="64">
        <v>0.4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6" t="s">
        <v>395</v>
      </c>
      <c r="B62" s="64">
        <v>1.69</v>
      </c>
      <c r="C62" s="64">
        <v>45.35</v>
      </c>
      <c r="D62" s="64">
        <v>24.97</v>
      </c>
      <c r="E62" s="64">
        <v>2.97</v>
      </c>
      <c r="F62" s="64">
        <v>8.98</v>
      </c>
      <c r="G62" s="217" t="s">
        <v>42</v>
      </c>
      <c r="H62" s="217" t="s">
        <v>42</v>
      </c>
      <c r="I62" s="64">
        <v>18.02</v>
      </c>
      <c r="J62" s="64">
        <v>1.0900000000000001</v>
      </c>
      <c r="K62" s="64">
        <v>340.04</v>
      </c>
      <c r="L62" s="64">
        <v>39.15</v>
      </c>
      <c r="M62" s="64">
        <v>8.93</v>
      </c>
      <c r="N62" s="64">
        <v>799.7</v>
      </c>
      <c r="O62" s="64">
        <v>0</v>
      </c>
      <c r="P62" s="218" t="s">
        <v>40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6" t="s">
        <v>396</v>
      </c>
      <c r="B63" s="64">
        <v>1.79</v>
      </c>
      <c r="C63" s="64">
        <v>43.64</v>
      </c>
      <c r="D63" s="64">
        <v>24.15</v>
      </c>
      <c r="E63" s="64">
        <v>6.93</v>
      </c>
      <c r="F63" s="64">
        <v>8.4499999999999993</v>
      </c>
      <c r="G63" s="217" t="s">
        <v>42</v>
      </c>
      <c r="H63" s="217" t="s">
        <v>42</v>
      </c>
      <c r="I63" s="64">
        <v>18.399999999999999</v>
      </c>
      <c r="J63" s="64">
        <v>0.66</v>
      </c>
      <c r="K63" s="64">
        <v>359.04</v>
      </c>
      <c r="L63" s="64">
        <v>39.44</v>
      </c>
      <c r="M63" s="64">
        <v>8.58</v>
      </c>
      <c r="N63" s="64">
        <v>791.5</v>
      </c>
      <c r="O63" s="64">
        <v>0</v>
      </c>
      <c r="P63" s="218" t="s">
        <v>40</v>
      </c>
      <c r="Q63" s="64">
        <v>9.67</v>
      </c>
      <c r="R63" s="198"/>
      <c r="S63" s="198"/>
      <c r="T63" s="198"/>
      <c r="U63" s="198"/>
    </row>
    <row r="64" spans="1:21" s="12" customFormat="1" x14ac:dyDescent="0.25">
      <c r="A64" s="216" t="s">
        <v>397</v>
      </c>
      <c r="B64" s="64">
        <v>1.83</v>
      </c>
      <c r="C64" s="64">
        <v>42.64</v>
      </c>
      <c r="D64" s="64">
        <v>23.67</v>
      </c>
      <c r="E64" s="64">
        <v>3.24</v>
      </c>
      <c r="F64" s="64">
        <v>9.99</v>
      </c>
      <c r="G64" s="217" t="s">
        <v>42</v>
      </c>
      <c r="H64" s="217" t="s">
        <v>42</v>
      </c>
      <c r="I64" s="64">
        <v>19.07</v>
      </c>
      <c r="J64" s="64">
        <v>0.2</v>
      </c>
      <c r="K64" s="64">
        <v>338.76</v>
      </c>
      <c r="L64" s="64">
        <v>37.76</v>
      </c>
      <c r="M64" s="64">
        <v>9.58</v>
      </c>
      <c r="N64" s="64">
        <v>753.9</v>
      </c>
      <c r="O64" s="64">
        <v>0</v>
      </c>
      <c r="P64" s="64">
        <v>1.99</v>
      </c>
      <c r="Q64" s="64">
        <v>9.68</v>
      </c>
      <c r="R64" s="198"/>
      <c r="S64" s="198"/>
      <c r="T64" s="198"/>
      <c r="U64" s="198"/>
    </row>
    <row r="65" spans="1:21" s="12" customFormat="1" x14ac:dyDescent="0.25">
      <c r="A65" s="216" t="s">
        <v>398</v>
      </c>
      <c r="B65" s="64">
        <v>1.56</v>
      </c>
      <c r="C65" s="64">
        <v>40.96</v>
      </c>
      <c r="D65" s="64">
        <v>22.57</v>
      </c>
      <c r="E65" s="64">
        <v>3.03</v>
      </c>
      <c r="F65" s="64">
        <v>11.33</v>
      </c>
      <c r="G65" s="217" t="s">
        <v>42</v>
      </c>
      <c r="H65" s="217" t="s">
        <v>42</v>
      </c>
      <c r="I65" s="64">
        <v>19.41</v>
      </c>
      <c r="J65" s="64">
        <v>1.21</v>
      </c>
      <c r="K65" s="64">
        <v>331.41</v>
      </c>
      <c r="L65" s="64">
        <v>38.549999999999997</v>
      </c>
      <c r="M65" s="64">
        <v>9.39</v>
      </c>
      <c r="N65" s="64">
        <v>596.1</v>
      </c>
      <c r="O65" s="64">
        <v>0</v>
      </c>
      <c r="P65" s="64">
        <v>0.45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6" t="s">
        <v>399</v>
      </c>
      <c r="B66" s="64">
        <v>1.71</v>
      </c>
      <c r="C66" s="64">
        <v>40.53</v>
      </c>
      <c r="D66" s="64">
        <v>22.47</v>
      </c>
      <c r="E66" s="64">
        <v>2.62</v>
      </c>
      <c r="F66" s="64">
        <v>8.85</v>
      </c>
      <c r="G66" s="217" t="s">
        <v>42</v>
      </c>
      <c r="H66" s="217" t="s">
        <v>42</v>
      </c>
      <c r="I66" s="64">
        <v>18.61</v>
      </c>
      <c r="J66" s="64">
        <v>0.8</v>
      </c>
      <c r="K66" s="64">
        <v>339.46</v>
      </c>
      <c r="L66" s="64">
        <v>38.020000000000003</v>
      </c>
      <c r="M66" s="64">
        <v>9.31</v>
      </c>
      <c r="N66" s="64">
        <v>400.5</v>
      </c>
      <c r="O66" s="64">
        <v>0</v>
      </c>
      <c r="P66" s="64">
        <v>0.45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6" t="s">
        <v>400</v>
      </c>
      <c r="B67" s="64">
        <v>2.11</v>
      </c>
      <c r="C67" s="64">
        <v>42.73</v>
      </c>
      <c r="D67" s="64">
        <v>23.93</v>
      </c>
      <c r="E67" s="64">
        <v>2.63</v>
      </c>
      <c r="F67" s="64">
        <v>7.07</v>
      </c>
      <c r="G67" s="217" t="s">
        <v>42</v>
      </c>
      <c r="H67" s="217" t="s">
        <v>42</v>
      </c>
      <c r="I67" s="64">
        <v>16.52</v>
      </c>
      <c r="J67" s="64">
        <v>0.52</v>
      </c>
      <c r="K67" s="64">
        <v>329.3</v>
      </c>
      <c r="L67" s="64">
        <v>38.18</v>
      </c>
      <c r="M67" s="64">
        <v>9.2100000000000009</v>
      </c>
      <c r="N67" s="64">
        <v>311.3</v>
      </c>
      <c r="O67" s="64">
        <v>0</v>
      </c>
      <c r="P67" s="64">
        <v>0.44</v>
      </c>
      <c r="Q67" s="64">
        <v>9.67</v>
      </c>
      <c r="R67" s="198"/>
      <c r="S67" s="198"/>
      <c r="T67" s="198"/>
      <c r="U67" s="198"/>
    </row>
    <row r="68" spans="1:21" s="12" customFormat="1" x14ac:dyDescent="0.25">
      <c r="A68" s="216" t="s">
        <v>401</v>
      </c>
      <c r="B68" s="64">
        <v>2.5099999999999998</v>
      </c>
      <c r="C68" s="64">
        <v>42.65</v>
      </c>
      <c r="D68" s="64">
        <v>24.22</v>
      </c>
      <c r="E68" s="64">
        <v>2.85</v>
      </c>
      <c r="F68" s="64">
        <v>5.91</v>
      </c>
      <c r="G68" s="218" t="s">
        <v>40</v>
      </c>
      <c r="H68" s="218" t="s">
        <v>40</v>
      </c>
      <c r="I68" s="64">
        <v>15.67</v>
      </c>
      <c r="J68" s="64">
        <v>0.95</v>
      </c>
      <c r="K68" s="64">
        <v>344.49</v>
      </c>
      <c r="L68" s="64">
        <v>37.729999999999997</v>
      </c>
      <c r="M68" s="64">
        <v>10.14</v>
      </c>
      <c r="N68" s="64">
        <v>392.7</v>
      </c>
      <c r="O68" s="64">
        <v>0</v>
      </c>
      <c r="P68" s="64">
        <v>0.45</v>
      </c>
      <c r="Q68" s="64">
        <v>9.75</v>
      </c>
      <c r="R68" s="198"/>
      <c r="S68" s="198"/>
      <c r="T68" s="198"/>
      <c r="U68" s="198"/>
    </row>
    <row r="69" spans="1:21" s="12" customFormat="1" x14ac:dyDescent="0.25">
      <c r="A69" s="216" t="s">
        <v>402</v>
      </c>
      <c r="B69" s="64">
        <v>2.7</v>
      </c>
      <c r="C69" s="64">
        <v>44.73</v>
      </c>
      <c r="D69" s="64">
        <v>25.46</v>
      </c>
      <c r="E69" s="64">
        <v>2.86</v>
      </c>
      <c r="F69" s="64">
        <v>7.36</v>
      </c>
      <c r="G69" s="218" t="s">
        <v>40</v>
      </c>
      <c r="H69" s="218" t="s">
        <v>40</v>
      </c>
      <c r="I69" s="64">
        <v>14.37</v>
      </c>
      <c r="J69" s="64">
        <v>0.48</v>
      </c>
      <c r="K69" s="64">
        <v>321.16000000000003</v>
      </c>
      <c r="L69" s="64">
        <v>37.79</v>
      </c>
      <c r="M69" s="64">
        <v>9.31</v>
      </c>
      <c r="N69" s="64">
        <v>354.8</v>
      </c>
      <c r="O69" s="64">
        <v>0</v>
      </c>
      <c r="P69" s="64">
        <v>0.48</v>
      </c>
      <c r="Q69" s="64">
        <v>9.77</v>
      </c>
      <c r="R69" s="198"/>
      <c r="S69" s="198"/>
      <c r="T69" s="198"/>
      <c r="U69" s="198"/>
    </row>
    <row r="70" spans="1:21" s="12" customFormat="1" x14ac:dyDescent="0.25">
      <c r="A70" s="216" t="s">
        <v>403</v>
      </c>
      <c r="B70" s="64">
        <v>2.4700000000000002</v>
      </c>
      <c r="C70" s="64">
        <v>45.16</v>
      </c>
      <c r="D70" s="64">
        <v>25.49</v>
      </c>
      <c r="E70" s="64">
        <v>2.74</v>
      </c>
      <c r="F70" s="64">
        <v>6.4</v>
      </c>
      <c r="G70" s="218" t="s">
        <v>40</v>
      </c>
      <c r="H70" s="218" t="s">
        <v>40</v>
      </c>
      <c r="I70" s="64">
        <v>12.97</v>
      </c>
      <c r="J70" s="64">
        <v>0.37</v>
      </c>
      <c r="K70" s="64">
        <v>332.65</v>
      </c>
      <c r="L70" s="64">
        <v>37.11</v>
      </c>
      <c r="M70" s="64">
        <v>10.32</v>
      </c>
      <c r="N70" s="64">
        <v>352.5</v>
      </c>
      <c r="O70" s="64">
        <v>0</v>
      </c>
      <c r="P70" s="64">
        <v>0.49</v>
      </c>
      <c r="Q70" s="64">
        <v>9.81</v>
      </c>
      <c r="R70" s="198"/>
      <c r="S70" s="198"/>
      <c r="T70" s="198"/>
      <c r="U70" s="198"/>
    </row>
    <row r="71" spans="1:21" s="12" customFormat="1" x14ac:dyDescent="0.25">
      <c r="A71" s="216" t="s">
        <v>404</v>
      </c>
      <c r="B71" s="64">
        <v>2.56</v>
      </c>
      <c r="C71" s="64">
        <v>43.66</v>
      </c>
      <c r="D71" s="64">
        <v>24.78</v>
      </c>
      <c r="E71" s="64">
        <v>2.87</v>
      </c>
      <c r="F71" s="64">
        <v>6.03</v>
      </c>
      <c r="G71" s="218" t="s">
        <v>40</v>
      </c>
      <c r="H71" s="218" t="s">
        <v>40</v>
      </c>
      <c r="I71" s="64">
        <v>12.44</v>
      </c>
      <c r="J71" s="64">
        <v>1.0900000000000001</v>
      </c>
      <c r="K71" s="64">
        <v>316.10000000000002</v>
      </c>
      <c r="L71" s="64">
        <v>37</v>
      </c>
      <c r="M71" s="64">
        <v>10.31</v>
      </c>
      <c r="N71" s="64">
        <v>216.6</v>
      </c>
      <c r="O71" s="64">
        <v>0</v>
      </c>
      <c r="P71" s="64">
        <v>0.49</v>
      </c>
      <c r="Q71" s="64">
        <v>9.84</v>
      </c>
      <c r="R71" s="198"/>
      <c r="S71" s="198"/>
      <c r="T71" s="198"/>
      <c r="U71" s="198"/>
    </row>
    <row r="72" spans="1:21" s="12" customFormat="1" x14ac:dyDescent="0.25">
      <c r="A72" s="216" t="s">
        <v>405</v>
      </c>
      <c r="B72" s="64">
        <v>2.2599999999999998</v>
      </c>
      <c r="C72" s="64">
        <v>42.75</v>
      </c>
      <c r="D72" s="64">
        <v>24.07</v>
      </c>
      <c r="E72" s="64">
        <v>1.77</v>
      </c>
      <c r="F72" s="64">
        <v>8.4</v>
      </c>
      <c r="G72" s="64">
        <v>62.26</v>
      </c>
      <c r="H72" s="64">
        <v>42.41</v>
      </c>
      <c r="I72" s="64">
        <v>11.58</v>
      </c>
      <c r="J72" s="64">
        <v>1.28</v>
      </c>
      <c r="K72" s="64">
        <v>332.35</v>
      </c>
      <c r="L72" s="64">
        <v>36.42</v>
      </c>
      <c r="M72" s="64">
        <v>10.01</v>
      </c>
      <c r="N72" s="64">
        <v>206</v>
      </c>
      <c r="O72" s="64">
        <v>0</v>
      </c>
      <c r="P72" s="64">
        <v>0.49</v>
      </c>
      <c r="Q72" s="64">
        <v>9.83</v>
      </c>
      <c r="R72" s="198"/>
      <c r="S72" s="198"/>
      <c r="T72" s="198"/>
      <c r="U72" s="198"/>
    </row>
    <row r="73" spans="1:21" s="12" customFormat="1" x14ac:dyDescent="0.25">
      <c r="A73" s="216" t="s">
        <v>406</v>
      </c>
      <c r="B73" s="64">
        <v>2.1</v>
      </c>
      <c r="C73" s="64">
        <v>42.28</v>
      </c>
      <c r="D73" s="64">
        <v>23.69</v>
      </c>
      <c r="E73" s="64">
        <v>1.04</v>
      </c>
      <c r="F73" s="64">
        <v>6.92</v>
      </c>
      <c r="G73" s="64">
        <v>62.26</v>
      </c>
      <c r="H73" s="64">
        <v>42.41</v>
      </c>
      <c r="I73" s="64">
        <v>11.74</v>
      </c>
      <c r="J73" s="64">
        <v>0.57999999999999996</v>
      </c>
      <c r="K73" s="64">
        <v>316.75</v>
      </c>
      <c r="L73" s="64">
        <v>36.18</v>
      </c>
      <c r="M73" s="64">
        <v>10.47</v>
      </c>
      <c r="N73" s="64">
        <v>168</v>
      </c>
      <c r="O73" s="64">
        <v>0</v>
      </c>
      <c r="P73" s="64">
        <v>0.48</v>
      </c>
      <c r="Q73" s="64">
        <v>9.85</v>
      </c>
      <c r="R73" s="198"/>
      <c r="S73" s="198"/>
      <c r="T73" s="198"/>
      <c r="U73" s="198"/>
    </row>
    <row r="74" spans="1:21" s="12" customFormat="1" x14ac:dyDescent="0.25">
      <c r="A74" s="216" t="s">
        <v>407</v>
      </c>
      <c r="B74" s="64">
        <v>2.37</v>
      </c>
      <c r="C74" s="64">
        <v>40.96</v>
      </c>
      <c r="D74" s="64">
        <v>23.22</v>
      </c>
      <c r="E74" s="64">
        <v>1.1399999999999999</v>
      </c>
      <c r="F74" s="64">
        <v>6.09</v>
      </c>
      <c r="G74" s="64">
        <v>62.26</v>
      </c>
      <c r="H74" s="64">
        <v>42.41</v>
      </c>
      <c r="I74" s="64">
        <v>11.07</v>
      </c>
      <c r="J74" s="64">
        <v>0.98</v>
      </c>
      <c r="K74" s="64">
        <v>151.44999999999999</v>
      </c>
      <c r="L74" s="64">
        <v>35.64</v>
      </c>
      <c r="M74" s="64">
        <v>9.31</v>
      </c>
      <c r="N74" s="64">
        <v>112.1</v>
      </c>
      <c r="O74" s="64">
        <v>0</v>
      </c>
      <c r="P74" s="64">
        <v>0.49</v>
      </c>
      <c r="Q74" s="64">
        <v>9.86</v>
      </c>
      <c r="R74" s="198"/>
      <c r="S74" s="198"/>
      <c r="T74" s="198"/>
      <c r="U74" s="198"/>
    </row>
    <row r="75" spans="1:21" s="12" customFormat="1" x14ac:dyDescent="0.25">
      <c r="A75" s="216" t="s">
        <v>408</v>
      </c>
      <c r="B75" s="64">
        <v>2.4300000000000002</v>
      </c>
      <c r="C75" s="64">
        <v>39.630000000000003</v>
      </c>
      <c r="D75" s="64">
        <v>22.57</v>
      </c>
      <c r="E75" s="64">
        <v>1.46</v>
      </c>
      <c r="F75" s="64">
        <v>5.85</v>
      </c>
      <c r="G75" s="64">
        <v>62.26</v>
      </c>
      <c r="H75" s="64">
        <v>42.41</v>
      </c>
      <c r="I75" s="64">
        <v>10.72</v>
      </c>
      <c r="J75" s="64">
        <v>0.56999999999999995</v>
      </c>
      <c r="K75" s="64">
        <v>155.5</v>
      </c>
      <c r="L75" s="64">
        <v>35.4</v>
      </c>
      <c r="M75" s="64">
        <v>8.91</v>
      </c>
      <c r="N75" s="64">
        <v>89.4</v>
      </c>
      <c r="O75" s="64">
        <v>0</v>
      </c>
      <c r="P75" s="64">
        <v>0.47</v>
      </c>
      <c r="Q75" s="64">
        <v>9.8800000000000008</v>
      </c>
      <c r="R75" s="198"/>
      <c r="S75" s="198"/>
      <c r="T75" s="198"/>
      <c r="U75" s="198"/>
    </row>
    <row r="76" spans="1:21" s="12" customFormat="1" x14ac:dyDescent="0.25">
      <c r="A76" s="216" t="s">
        <v>409</v>
      </c>
      <c r="B76" s="64">
        <v>2.12</v>
      </c>
      <c r="C76" s="64">
        <v>37.840000000000003</v>
      </c>
      <c r="D76" s="64">
        <v>21.39</v>
      </c>
      <c r="E76" s="64">
        <v>1.77</v>
      </c>
      <c r="F76" s="64">
        <v>20.63</v>
      </c>
      <c r="G76" s="64">
        <v>67.099999999999994</v>
      </c>
      <c r="H76" s="64">
        <v>33.67</v>
      </c>
      <c r="I76" s="64">
        <v>10.3</v>
      </c>
      <c r="J76" s="64">
        <v>0.79</v>
      </c>
      <c r="K76" s="64">
        <v>160.66</v>
      </c>
      <c r="L76" s="64">
        <v>35.18</v>
      </c>
      <c r="M76" s="64">
        <v>9.18</v>
      </c>
      <c r="N76" s="64">
        <v>79.2</v>
      </c>
      <c r="O76" s="64">
        <v>0</v>
      </c>
      <c r="P76" s="64">
        <v>0.43</v>
      </c>
      <c r="Q76" s="64">
        <v>9.84</v>
      </c>
      <c r="R76" s="198"/>
      <c r="S76" s="198"/>
      <c r="T76" s="198"/>
      <c r="U76" s="198"/>
    </row>
    <row r="77" spans="1:21" s="12" customFormat="1" x14ac:dyDescent="0.25">
      <c r="A77" s="216" t="s">
        <v>410</v>
      </c>
      <c r="B77" s="64">
        <v>1.32</v>
      </c>
      <c r="C77" s="64">
        <v>36.630000000000003</v>
      </c>
      <c r="D77" s="64">
        <v>20.12</v>
      </c>
      <c r="E77" s="64">
        <v>1.95</v>
      </c>
      <c r="F77" s="64">
        <v>22.39</v>
      </c>
      <c r="G77" s="64">
        <v>70.48</v>
      </c>
      <c r="H77" s="64">
        <v>27.57</v>
      </c>
      <c r="I77" s="64">
        <v>10.14</v>
      </c>
      <c r="J77" s="64">
        <v>0.53</v>
      </c>
      <c r="K77" s="64">
        <v>148.72999999999999</v>
      </c>
      <c r="L77" s="64">
        <v>35.01</v>
      </c>
      <c r="M77" s="64">
        <v>9.44</v>
      </c>
      <c r="N77" s="64">
        <v>75.8</v>
      </c>
      <c r="O77" s="64">
        <v>0</v>
      </c>
      <c r="P77" s="64">
        <v>0.37</v>
      </c>
      <c r="Q77" s="64">
        <v>9.65</v>
      </c>
      <c r="R77" s="198"/>
      <c r="S77" s="198"/>
      <c r="T77" s="198"/>
      <c r="U77" s="198"/>
    </row>
    <row r="78" spans="1:21" s="12" customFormat="1" x14ac:dyDescent="0.25">
      <c r="A78" s="216" t="s">
        <v>411</v>
      </c>
      <c r="B78" s="64">
        <v>1.28</v>
      </c>
      <c r="C78" s="64">
        <v>35.380000000000003</v>
      </c>
      <c r="D78" s="64">
        <v>19.43</v>
      </c>
      <c r="E78" s="64">
        <v>1.46</v>
      </c>
      <c r="F78" s="64">
        <v>12.76</v>
      </c>
      <c r="G78" s="64">
        <v>70.48</v>
      </c>
      <c r="H78" s="64">
        <v>27.57</v>
      </c>
      <c r="I78" s="64">
        <v>8.98</v>
      </c>
      <c r="J78" s="64">
        <v>0.56000000000000005</v>
      </c>
      <c r="K78" s="64">
        <v>155.24</v>
      </c>
      <c r="L78" s="64">
        <v>34.67</v>
      </c>
      <c r="M78" s="64">
        <v>10.27</v>
      </c>
      <c r="N78" s="64">
        <v>58.2</v>
      </c>
      <c r="O78" s="64">
        <v>0</v>
      </c>
      <c r="P78" s="64">
        <v>0.36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6" t="s">
        <v>412</v>
      </c>
      <c r="B79" s="64">
        <v>1.46</v>
      </c>
      <c r="C79" s="64">
        <v>35.49</v>
      </c>
      <c r="D79" s="64">
        <v>19.63</v>
      </c>
      <c r="E79" s="64">
        <v>1.19</v>
      </c>
      <c r="F79" s="64">
        <v>8.74</v>
      </c>
      <c r="G79" s="64">
        <v>70.48</v>
      </c>
      <c r="H79" s="64">
        <v>27.57</v>
      </c>
      <c r="I79" s="64">
        <v>6.76</v>
      </c>
      <c r="J79" s="64">
        <v>0.51</v>
      </c>
      <c r="K79" s="64">
        <v>154.94</v>
      </c>
      <c r="L79" s="64">
        <v>34.24</v>
      </c>
      <c r="M79" s="64">
        <v>12.8</v>
      </c>
      <c r="N79" s="64">
        <v>46.9</v>
      </c>
      <c r="O79" s="64">
        <v>0</v>
      </c>
      <c r="P79" s="64">
        <v>0.37</v>
      </c>
      <c r="Q79" s="64">
        <v>9.57</v>
      </c>
      <c r="R79" s="198"/>
      <c r="S79" s="198"/>
      <c r="T79" s="198"/>
      <c r="U79" s="198"/>
    </row>
    <row r="80" spans="1:21" s="12" customFormat="1" x14ac:dyDescent="0.25">
      <c r="A80" s="216" t="s">
        <v>413</v>
      </c>
      <c r="B80" s="64">
        <v>1.63</v>
      </c>
      <c r="C80" s="64">
        <v>39.270000000000003</v>
      </c>
      <c r="D80" s="64">
        <v>21.75</v>
      </c>
      <c r="E80" s="64">
        <v>1.51</v>
      </c>
      <c r="F80" s="64">
        <v>7.06</v>
      </c>
      <c r="G80" s="64">
        <v>68.61</v>
      </c>
      <c r="H80" s="64">
        <v>34.85</v>
      </c>
      <c r="I80" s="64">
        <v>6.57</v>
      </c>
      <c r="J80" s="64">
        <v>0.09</v>
      </c>
      <c r="K80" s="64">
        <v>208.93</v>
      </c>
      <c r="L80" s="64">
        <v>33.14</v>
      </c>
      <c r="M80" s="64">
        <v>17.02</v>
      </c>
      <c r="N80" s="64">
        <v>35.1</v>
      </c>
      <c r="O80" s="64">
        <v>0</v>
      </c>
      <c r="P80" s="64">
        <v>0.38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6" t="s">
        <v>414</v>
      </c>
      <c r="B81" s="64">
        <v>2.67</v>
      </c>
      <c r="C81" s="64">
        <v>44.71</v>
      </c>
      <c r="D81" s="64">
        <v>25.42</v>
      </c>
      <c r="E81" s="64">
        <v>1.45</v>
      </c>
      <c r="F81" s="64">
        <v>5.48</v>
      </c>
      <c r="G81" s="64">
        <v>67.31</v>
      </c>
      <c r="H81" s="64">
        <v>39.93</v>
      </c>
      <c r="I81" s="64">
        <v>6.48</v>
      </c>
      <c r="J81" s="64">
        <v>0.13</v>
      </c>
      <c r="K81" s="64">
        <v>303.41000000000003</v>
      </c>
      <c r="L81" s="64">
        <v>31.37</v>
      </c>
      <c r="M81" s="64">
        <v>25.27</v>
      </c>
      <c r="N81" s="64">
        <v>24.3</v>
      </c>
      <c r="O81" s="64">
        <v>0</v>
      </c>
      <c r="P81" s="64">
        <v>0.46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6" t="s">
        <v>415</v>
      </c>
      <c r="B82" s="64">
        <v>4.2300000000000004</v>
      </c>
      <c r="C82" s="64">
        <v>51</v>
      </c>
      <c r="D82" s="64">
        <v>29.96</v>
      </c>
      <c r="E82" s="64">
        <v>1.54</v>
      </c>
      <c r="F82" s="64">
        <v>4.21</v>
      </c>
      <c r="G82" s="64">
        <v>67.31</v>
      </c>
      <c r="H82" s="64">
        <v>39.93</v>
      </c>
      <c r="I82" s="64">
        <v>6.56</v>
      </c>
      <c r="J82" s="64">
        <v>0.21</v>
      </c>
      <c r="K82" s="64">
        <v>347.3</v>
      </c>
      <c r="L82" s="64">
        <v>30.18</v>
      </c>
      <c r="M82" s="64">
        <v>32.18</v>
      </c>
      <c r="N82" s="64">
        <v>17.600000000000001</v>
      </c>
      <c r="O82" s="64">
        <v>0</v>
      </c>
      <c r="P82" s="64">
        <v>0.56000000000000005</v>
      </c>
      <c r="Q82" s="64">
        <v>9.68</v>
      </c>
      <c r="R82" s="198"/>
      <c r="S82" s="198"/>
      <c r="T82" s="198"/>
      <c r="U82" s="198"/>
    </row>
    <row r="83" spans="1:26" s="12" customFormat="1" x14ac:dyDescent="0.25">
      <c r="A83" s="216" t="s">
        <v>416</v>
      </c>
      <c r="B83" s="64">
        <v>7.51</v>
      </c>
      <c r="C83" s="64">
        <v>55.26</v>
      </c>
      <c r="D83" s="64">
        <v>34.82</v>
      </c>
      <c r="E83" s="64">
        <v>1.21</v>
      </c>
      <c r="F83" s="64">
        <v>4.12</v>
      </c>
      <c r="G83" s="64">
        <v>67.31</v>
      </c>
      <c r="H83" s="64">
        <v>39.93</v>
      </c>
      <c r="I83" s="64">
        <v>6.96</v>
      </c>
      <c r="J83" s="64">
        <v>0.1</v>
      </c>
      <c r="K83" s="64">
        <v>28.03</v>
      </c>
      <c r="L83" s="64">
        <v>29.29</v>
      </c>
      <c r="M83" s="64">
        <v>33.130000000000003</v>
      </c>
      <c r="N83" s="64">
        <v>15.5</v>
      </c>
      <c r="O83" s="64">
        <v>0</v>
      </c>
      <c r="P83" s="64">
        <v>0.71</v>
      </c>
      <c r="Q83" s="64">
        <v>9.73</v>
      </c>
      <c r="R83" s="198"/>
      <c r="S83" s="198"/>
      <c r="T83" s="198"/>
      <c r="U83" s="198"/>
    </row>
    <row r="84" spans="1:26" s="12" customFormat="1" x14ac:dyDescent="0.25">
      <c r="A84" s="216" t="s">
        <v>417</v>
      </c>
      <c r="B84" s="64">
        <v>12.05</v>
      </c>
      <c r="C84" s="64">
        <v>57.87</v>
      </c>
      <c r="D84" s="64">
        <v>39.82</v>
      </c>
      <c r="E84" s="64">
        <v>1.45</v>
      </c>
      <c r="F84" s="64">
        <v>3.16</v>
      </c>
      <c r="G84" s="64">
        <v>79.38</v>
      </c>
      <c r="H84" s="64">
        <v>40.99</v>
      </c>
      <c r="I84" s="64">
        <v>7.35</v>
      </c>
      <c r="J84" s="64">
        <v>0.43</v>
      </c>
      <c r="K84" s="64">
        <v>311.48</v>
      </c>
      <c r="L84" s="64">
        <v>28.78</v>
      </c>
      <c r="M84" s="64">
        <v>34.01</v>
      </c>
      <c r="N84" s="64">
        <v>14.3</v>
      </c>
      <c r="O84" s="64">
        <v>0</v>
      </c>
      <c r="P84" s="64">
        <v>0.82</v>
      </c>
      <c r="Q84" s="64">
        <v>9.81</v>
      </c>
      <c r="R84" s="198"/>
      <c r="S84" s="198"/>
      <c r="T84" s="198"/>
      <c r="U84" s="198"/>
    </row>
    <row r="85" spans="1:26" s="12" customFormat="1" x14ac:dyDescent="0.25">
      <c r="A85" s="216" t="s">
        <v>418</v>
      </c>
      <c r="B85" s="64">
        <v>13.76</v>
      </c>
      <c r="C85" s="64">
        <v>59.32</v>
      </c>
      <c r="D85" s="64">
        <v>41.94</v>
      </c>
      <c r="E85" s="64">
        <v>1.74</v>
      </c>
      <c r="F85" s="64">
        <v>3.76</v>
      </c>
      <c r="G85" s="64">
        <v>87.8</v>
      </c>
      <c r="H85" s="64">
        <v>41.73</v>
      </c>
      <c r="I85" s="64">
        <v>7.76</v>
      </c>
      <c r="J85" s="64">
        <v>1.61</v>
      </c>
      <c r="K85" s="64">
        <v>316.66000000000003</v>
      </c>
      <c r="L85" s="64">
        <v>30.57</v>
      </c>
      <c r="M85" s="64">
        <v>16.059999999999999</v>
      </c>
      <c r="N85" s="64">
        <v>10.4</v>
      </c>
      <c r="O85" s="64">
        <v>0</v>
      </c>
      <c r="P85" s="64">
        <v>0.75</v>
      </c>
      <c r="Q85" s="64">
        <v>9.89</v>
      </c>
      <c r="R85" s="198"/>
      <c r="S85" s="198"/>
      <c r="T85" s="198"/>
      <c r="U85" s="198"/>
    </row>
    <row r="86" spans="1:26" s="12" customFormat="1" x14ac:dyDescent="0.25">
      <c r="A86" s="216" t="s">
        <v>419</v>
      </c>
      <c r="B86" s="64">
        <v>11.72</v>
      </c>
      <c r="C86" s="64">
        <v>58.98</v>
      </c>
      <c r="D86" s="64">
        <v>40.130000000000003</v>
      </c>
      <c r="E86" s="64">
        <v>1.57</v>
      </c>
      <c r="F86" s="64">
        <v>3.41</v>
      </c>
      <c r="G86" s="64">
        <v>87.8</v>
      </c>
      <c r="H86" s="64">
        <v>41.73</v>
      </c>
      <c r="I86" s="64">
        <v>7.95</v>
      </c>
      <c r="J86" s="64">
        <v>1.32</v>
      </c>
      <c r="K86" s="64">
        <v>322.44</v>
      </c>
      <c r="L86" s="64">
        <v>30.65</v>
      </c>
      <c r="M86" s="64">
        <v>15.18</v>
      </c>
      <c r="N86" s="64">
        <v>14.3</v>
      </c>
      <c r="O86" s="64">
        <v>0</v>
      </c>
      <c r="P86" s="64">
        <v>0.78</v>
      </c>
      <c r="Q86" s="64">
        <v>9.94</v>
      </c>
      <c r="R86" s="198"/>
      <c r="S86" s="198"/>
      <c r="T86" s="198"/>
      <c r="U86" s="198"/>
    </row>
    <row r="87" spans="1:26" s="12" customFormat="1" x14ac:dyDescent="0.25">
      <c r="A87" s="216" t="s">
        <v>420</v>
      </c>
      <c r="B87" s="64">
        <v>10.72</v>
      </c>
      <c r="C87" s="64">
        <v>55.87</v>
      </c>
      <c r="D87" s="64">
        <v>37.71</v>
      </c>
      <c r="E87" s="64">
        <v>1.49</v>
      </c>
      <c r="F87" s="64">
        <v>3.69</v>
      </c>
      <c r="G87" s="64">
        <v>87.8</v>
      </c>
      <c r="H87" s="64">
        <v>41.73</v>
      </c>
      <c r="I87" s="64">
        <v>7.42</v>
      </c>
      <c r="J87" s="64">
        <v>1.24</v>
      </c>
      <c r="K87" s="64">
        <v>330.07</v>
      </c>
      <c r="L87" s="64">
        <v>30.24</v>
      </c>
      <c r="M87" s="64">
        <v>15.23</v>
      </c>
      <c r="N87" s="64">
        <v>14.5</v>
      </c>
      <c r="O87" s="64">
        <v>0</v>
      </c>
      <c r="P87" s="64">
        <v>0.78</v>
      </c>
      <c r="Q87" s="64">
        <v>9.8800000000000008</v>
      </c>
      <c r="R87" s="198"/>
      <c r="S87" s="198"/>
      <c r="T87" s="198"/>
      <c r="U87" s="198"/>
    </row>
    <row r="88" spans="1:26" s="12" customFormat="1" x14ac:dyDescent="0.25">
      <c r="A88" s="216" t="s">
        <v>421</v>
      </c>
      <c r="B88" s="64">
        <v>10.32</v>
      </c>
      <c r="C88" s="64">
        <v>53.34</v>
      </c>
      <c r="D88" s="64">
        <v>36.07</v>
      </c>
      <c r="E88" s="64">
        <v>0.74</v>
      </c>
      <c r="F88" s="64">
        <v>3.44</v>
      </c>
      <c r="G88" s="64">
        <v>79.8</v>
      </c>
      <c r="H88" s="64">
        <v>48.33</v>
      </c>
      <c r="I88" s="64">
        <v>7.11</v>
      </c>
      <c r="J88" s="64">
        <v>0.95</v>
      </c>
      <c r="K88" s="64">
        <v>314.20999999999998</v>
      </c>
      <c r="L88" s="64">
        <v>29.88</v>
      </c>
      <c r="M88" s="64">
        <v>15.17</v>
      </c>
      <c r="N88" s="64">
        <v>14.5</v>
      </c>
      <c r="O88" s="64">
        <v>0</v>
      </c>
      <c r="P88" s="64">
        <v>0.78</v>
      </c>
      <c r="Q88" s="64">
        <v>9.84</v>
      </c>
      <c r="R88" s="198"/>
      <c r="S88" s="198"/>
      <c r="T88" s="198"/>
      <c r="U88" s="198"/>
    </row>
    <row r="89" spans="1:26" s="12" customFormat="1" x14ac:dyDescent="0.25">
      <c r="A89" s="216" t="s">
        <v>422</v>
      </c>
      <c r="B89" s="64">
        <v>9.86</v>
      </c>
      <c r="C89" s="64">
        <v>50.88</v>
      </c>
      <c r="D89" s="64">
        <v>34.42</v>
      </c>
      <c r="E89" s="64">
        <v>1.29</v>
      </c>
      <c r="F89" s="64">
        <v>3.68</v>
      </c>
      <c r="G89" s="64">
        <v>74.209999999999994</v>
      </c>
      <c r="H89" s="64">
        <v>52.93</v>
      </c>
      <c r="I89" s="64">
        <v>6.96</v>
      </c>
      <c r="J89" s="64">
        <v>0.6</v>
      </c>
      <c r="K89" s="64">
        <v>310.2</v>
      </c>
      <c r="L89" s="64">
        <v>29.68</v>
      </c>
      <c r="M89" s="64">
        <v>15.11</v>
      </c>
      <c r="N89" s="64">
        <v>14.7</v>
      </c>
      <c r="O89" s="64">
        <v>0</v>
      </c>
      <c r="P89" s="64">
        <v>0.77</v>
      </c>
      <c r="Q89" s="64">
        <v>9.8000000000000007</v>
      </c>
      <c r="R89" s="198"/>
      <c r="S89" s="198"/>
      <c r="T89" s="198"/>
      <c r="U89" s="198"/>
    </row>
    <row r="90" spans="1:26" s="12" customFormat="1" x14ac:dyDescent="0.25">
      <c r="A90" s="216" t="s">
        <v>423</v>
      </c>
      <c r="B90" s="64">
        <v>9.6</v>
      </c>
      <c r="C90" s="64">
        <v>48.64</v>
      </c>
      <c r="D90" s="64">
        <v>33.03</v>
      </c>
      <c r="E90" s="64">
        <v>1.45</v>
      </c>
      <c r="F90" s="64">
        <v>3.69</v>
      </c>
      <c r="G90" s="64">
        <v>74.209999999999994</v>
      </c>
      <c r="H90" s="64">
        <v>52.93</v>
      </c>
      <c r="I90" s="64">
        <v>6.92</v>
      </c>
      <c r="J90" s="64">
        <v>0.56999999999999995</v>
      </c>
      <c r="K90" s="64">
        <v>313.77</v>
      </c>
      <c r="L90" s="64">
        <v>29.41</v>
      </c>
      <c r="M90" s="64">
        <v>15.34</v>
      </c>
      <c r="N90" s="64">
        <v>14.6</v>
      </c>
      <c r="O90" s="64">
        <v>0</v>
      </c>
      <c r="P90" s="64">
        <v>0.78</v>
      </c>
      <c r="Q90" s="64">
        <v>9.81</v>
      </c>
      <c r="R90" s="198"/>
      <c r="S90" s="198"/>
      <c r="T90" s="198"/>
      <c r="U90" s="198"/>
    </row>
    <row r="91" spans="1:26" s="12" customFormat="1" x14ac:dyDescent="0.25">
      <c r="A91" s="216" t="s">
        <v>424</v>
      </c>
      <c r="B91" s="64">
        <v>9.73</v>
      </c>
      <c r="C91" s="64">
        <v>46.88</v>
      </c>
      <c r="D91" s="64">
        <v>32.21</v>
      </c>
      <c r="E91" s="64">
        <v>0.79</v>
      </c>
      <c r="F91" s="64">
        <v>3.43</v>
      </c>
      <c r="G91" s="64">
        <v>74.209999999999994</v>
      </c>
      <c r="H91" s="64">
        <v>52.93</v>
      </c>
      <c r="I91" s="64">
        <v>6.84</v>
      </c>
      <c r="J91" s="64">
        <v>0.63</v>
      </c>
      <c r="K91" s="64">
        <v>316.29000000000002</v>
      </c>
      <c r="L91" s="64">
        <v>29.01</v>
      </c>
      <c r="M91" s="64">
        <v>16.11</v>
      </c>
      <c r="N91" s="64">
        <v>14.3</v>
      </c>
      <c r="O91" s="64">
        <v>0</v>
      </c>
      <c r="P91" s="64">
        <v>0.79</v>
      </c>
      <c r="Q91" s="64">
        <v>9.7799999999999994</v>
      </c>
      <c r="R91" s="198"/>
      <c r="S91" s="198"/>
      <c r="T91" s="198"/>
      <c r="U91" s="198"/>
    </row>
    <row r="92" spans="1:26" s="12" customFormat="1" x14ac:dyDescent="0.25">
      <c r="A92" s="216" t="s">
        <v>425</v>
      </c>
      <c r="B92" s="64">
        <v>10.130000000000001</v>
      </c>
      <c r="C92" s="64">
        <v>45.42</v>
      </c>
      <c r="D92" s="64">
        <v>31.77</v>
      </c>
      <c r="E92" s="64">
        <v>0.92</v>
      </c>
      <c r="F92" s="64">
        <v>3.21</v>
      </c>
      <c r="G92" s="217" t="s">
        <v>42</v>
      </c>
      <c r="H92" s="217" t="s">
        <v>42</v>
      </c>
      <c r="I92" s="64">
        <v>6.97</v>
      </c>
      <c r="J92" s="64">
        <v>0.61</v>
      </c>
      <c r="K92" s="64">
        <v>319.62</v>
      </c>
      <c r="L92" s="64">
        <v>28.57</v>
      </c>
      <c r="M92" s="64">
        <v>16.97</v>
      </c>
      <c r="N92" s="64">
        <v>14.6</v>
      </c>
      <c r="O92" s="64">
        <v>0</v>
      </c>
      <c r="P92" s="64">
        <v>0.8</v>
      </c>
      <c r="Q92" s="64">
        <v>9.8000000000000007</v>
      </c>
      <c r="R92" s="198"/>
      <c r="S92" s="198"/>
      <c r="T92" s="198"/>
      <c r="U92" s="198"/>
    </row>
    <row r="93" spans="1:26" s="12" customFormat="1" x14ac:dyDescent="0.25">
      <c r="A93" s="216" t="s">
        <v>426</v>
      </c>
      <c r="B93" s="64">
        <v>10.78</v>
      </c>
      <c r="C93" s="64">
        <v>44.16</v>
      </c>
      <c r="D93" s="64">
        <v>31.64</v>
      </c>
      <c r="E93" s="64">
        <v>1.1000000000000001</v>
      </c>
      <c r="F93" s="64">
        <v>3.37</v>
      </c>
      <c r="G93" s="217" t="s">
        <v>42</v>
      </c>
      <c r="H93" s="217" t="s">
        <v>42</v>
      </c>
      <c r="I93" s="64">
        <v>7.48</v>
      </c>
      <c r="J93" s="64">
        <v>0.56000000000000005</v>
      </c>
      <c r="K93" s="64">
        <v>315.26</v>
      </c>
      <c r="L93" s="64">
        <v>28.35</v>
      </c>
      <c r="M93" s="64">
        <v>17.13</v>
      </c>
      <c r="N93" s="64">
        <v>14.4</v>
      </c>
      <c r="O93" s="64">
        <v>0</v>
      </c>
      <c r="P93" s="64">
        <v>0.81</v>
      </c>
      <c r="Q93" s="64">
        <v>9.7899999999999991</v>
      </c>
      <c r="R93" s="198"/>
      <c r="S93" s="198"/>
      <c r="T93" s="198"/>
      <c r="U93" s="198"/>
    </row>
    <row r="94" spans="1:26" s="12" customFormat="1" x14ac:dyDescent="0.25">
      <c r="A94" s="216" t="s">
        <v>427</v>
      </c>
      <c r="B94" s="64">
        <v>11.32</v>
      </c>
      <c r="C94" s="64">
        <v>43.44</v>
      </c>
      <c r="D94" s="64">
        <v>31.69</v>
      </c>
      <c r="E94" s="64">
        <v>0.92</v>
      </c>
      <c r="F94" s="64">
        <v>3.64</v>
      </c>
      <c r="G94" s="217" t="s">
        <v>42</v>
      </c>
      <c r="H94" s="217" t="s">
        <v>42</v>
      </c>
      <c r="I94" s="64">
        <v>7.5</v>
      </c>
      <c r="J94" s="64">
        <v>0.79</v>
      </c>
      <c r="K94" s="64">
        <v>323.58</v>
      </c>
      <c r="L94" s="64">
        <v>28.25</v>
      </c>
      <c r="M94" s="64">
        <v>17.39</v>
      </c>
      <c r="N94" s="64">
        <v>13.9</v>
      </c>
      <c r="O94" s="64">
        <v>0</v>
      </c>
      <c r="P94" s="64">
        <v>0.82</v>
      </c>
      <c r="Q94" s="64">
        <v>9.7899999999999991</v>
      </c>
      <c r="R94" s="198"/>
      <c r="S94" s="198"/>
      <c r="T94" s="198"/>
      <c r="U94" s="198"/>
    </row>
    <row r="95" spans="1:26" s="12" customFormat="1" x14ac:dyDescent="0.25">
      <c r="A95" s="216" t="s">
        <v>428</v>
      </c>
      <c r="B95" s="64">
        <v>11.02</v>
      </c>
      <c r="C95" s="64">
        <v>43.65</v>
      </c>
      <c r="D95" s="64">
        <v>31.56</v>
      </c>
      <c r="E95" s="64">
        <v>1.1200000000000001</v>
      </c>
      <c r="F95" s="64">
        <v>4.01</v>
      </c>
      <c r="G95" s="217" t="s">
        <v>42</v>
      </c>
      <c r="H95" s="217" t="s">
        <v>42</v>
      </c>
      <c r="I95" s="64">
        <v>7.51</v>
      </c>
      <c r="J95" s="64">
        <v>0.78</v>
      </c>
      <c r="K95" s="64">
        <v>315.01</v>
      </c>
      <c r="L95" s="64">
        <v>27.91</v>
      </c>
      <c r="M95" s="64">
        <v>17.54</v>
      </c>
      <c r="N95" s="64">
        <v>14.1</v>
      </c>
      <c r="O95" s="64">
        <v>0</v>
      </c>
      <c r="P95" s="64">
        <v>0.81</v>
      </c>
      <c r="Q95" s="64">
        <v>9.7899999999999991</v>
      </c>
      <c r="R95" s="198"/>
      <c r="S95" s="198"/>
      <c r="T95" s="198"/>
      <c r="U95" s="198"/>
    </row>
    <row r="96" spans="1:26" s="12" customFormat="1" x14ac:dyDescent="0.25">
      <c r="A96" s="216" t="s">
        <v>429</v>
      </c>
      <c r="B96" s="64">
        <v>10.119999999999999</v>
      </c>
      <c r="C96" s="64">
        <v>43.62</v>
      </c>
      <c r="D96" s="64">
        <v>30.83</v>
      </c>
      <c r="E96" s="64">
        <v>1.1200000000000001</v>
      </c>
      <c r="F96" s="64">
        <v>3.68</v>
      </c>
      <c r="G96" s="64">
        <v>62.92</v>
      </c>
      <c r="H96" s="64">
        <v>85.74</v>
      </c>
      <c r="I96" s="64">
        <v>7.46</v>
      </c>
      <c r="J96" s="64">
        <v>0.52</v>
      </c>
      <c r="K96" s="64">
        <v>314.36</v>
      </c>
      <c r="L96" s="64">
        <v>27.59</v>
      </c>
      <c r="M96" s="64">
        <v>17.97</v>
      </c>
      <c r="N96" s="64">
        <v>14.8</v>
      </c>
      <c r="O96" s="64">
        <v>0</v>
      </c>
      <c r="P96" s="64">
        <v>0.81</v>
      </c>
      <c r="Q96" s="64">
        <v>9.7899999999999991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430</v>
      </c>
      <c r="B97" s="64">
        <v>9.5</v>
      </c>
      <c r="C97" s="64">
        <v>43.35</v>
      </c>
      <c r="D97" s="64">
        <v>30.19</v>
      </c>
      <c r="E97" s="64">
        <v>1.21</v>
      </c>
      <c r="F97" s="64">
        <v>4.03</v>
      </c>
      <c r="G97" s="64">
        <v>63.35</v>
      </c>
      <c r="H97" s="64">
        <v>55.21</v>
      </c>
      <c r="I97" s="64">
        <v>7.27</v>
      </c>
      <c r="J97" s="64">
        <v>0.5</v>
      </c>
      <c r="K97" s="64">
        <v>321.87</v>
      </c>
      <c r="L97" s="64">
        <v>27.54</v>
      </c>
      <c r="M97" s="64">
        <v>18.21</v>
      </c>
      <c r="N97" s="64">
        <v>14.6</v>
      </c>
      <c r="O97" s="64">
        <v>0</v>
      </c>
      <c r="P97" s="64">
        <v>0.8</v>
      </c>
      <c r="Q97" s="64">
        <v>9.77</v>
      </c>
      <c r="R97" s="198"/>
      <c r="S97" s="198"/>
      <c r="T97" s="198"/>
      <c r="U97" s="198"/>
    </row>
    <row r="98" spans="1:33" s="12" customFormat="1" x14ac:dyDescent="0.25">
      <c r="A98" s="216" t="s">
        <v>431</v>
      </c>
      <c r="B98" s="64">
        <v>9.0500000000000007</v>
      </c>
      <c r="C98" s="64">
        <v>43.18</v>
      </c>
      <c r="D98" s="64">
        <v>29.74</v>
      </c>
      <c r="E98" s="64">
        <v>0.89</v>
      </c>
      <c r="F98" s="64">
        <v>3.79</v>
      </c>
      <c r="G98" s="64">
        <v>63.35</v>
      </c>
      <c r="H98" s="64">
        <v>55.21</v>
      </c>
      <c r="I98" s="64">
        <v>7.11</v>
      </c>
      <c r="J98" s="64">
        <v>0.32</v>
      </c>
      <c r="K98" s="64">
        <v>314.14</v>
      </c>
      <c r="L98" s="64">
        <v>27.31</v>
      </c>
      <c r="M98" s="64">
        <v>18.55</v>
      </c>
      <c r="N98" s="64">
        <v>14.8</v>
      </c>
      <c r="O98" s="64">
        <v>0</v>
      </c>
      <c r="P98" s="64">
        <v>0.79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6" t="s">
        <v>432</v>
      </c>
      <c r="B99" s="64">
        <v>9.36</v>
      </c>
      <c r="C99" s="64">
        <v>43.53</v>
      </c>
      <c r="D99" s="64">
        <v>30.16</v>
      </c>
      <c r="E99" s="64">
        <v>1.04</v>
      </c>
      <c r="F99" s="64">
        <v>3.84</v>
      </c>
      <c r="G99" s="64">
        <v>63.35</v>
      </c>
      <c r="H99" s="64">
        <v>55.21</v>
      </c>
      <c r="I99" s="64">
        <v>6.97</v>
      </c>
      <c r="J99" s="64">
        <v>0.61</v>
      </c>
      <c r="K99" s="64">
        <v>322.55</v>
      </c>
      <c r="L99" s="64">
        <v>27.13</v>
      </c>
      <c r="M99" s="64">
        <v>18.5</v>
      </c>
      <c r="N99" s="64">
        <v>14.2</v>
      </c>
      <c r="O99" s="64">
        <v>0</v>
      </c>
      <c r="P99" s="64">
        <v>0.78</v>
      </c>
      <c r="Q99" s="64">
        <v>9.69</v>
      </c>
      <c r="R99" s="198"/>
      <c r="S99" s="198"/>
      <c r="T99" s="198"/>
      <c r="U99" s="198"/>
    </row>
    <row r="100" spans="1:33" s="12" customFormat="1" x14ac:dyDescent="0.25">
      <c r="A100" s="216" t="s">
        <v>433</v>
      </c>
      <c r="B100" s="64">
        <v>11.37</v>
      </c>
      <c r="C100" s="64">
        <v>44.38</v>
      </c>
      <c r="D100" s="64">
        <v>32.229999999999997</v>
      </c>
      <c r="E100" s="64">
        <v>0.98</v>
      </c>
      <c r="F100" s="64">
        <v>3.82</v>
      </c>
      <c r="G100" s="64">
        <v>60.97</v>
      </c>
      <c r="H100" s="64">
        <v>40.340000000000003</v>
      </c>
      <c r="I100" s="64">
        <v>6.76</v>
      </c>
      <c r="J100" s="64">
        <v>0.63</v>
      </c>
      <c r="K100" s="64">
        <v>342.12</v>
      </c>
      <c r="L100" s="64">
        <v>27.23</v>
      </c>
      <c r="M100" s="64">
        <v>18.14</v>
      </c>
      <c r="N100" s="64">
        <v>13.9</v>
      </c>
      <c r="O100" s="64">
        <v>0</v>
      </c>
      <c r="P100" s="64">
        <v>0.76</v>
      </c>
      <c r="Q100" s="64">
        <v>9.6999999999999993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434</v>
      </c>
      <c r="B101" s="64">
        <v>10.81</v>
      </c>
      <c r="C101" s="64">
        <v>44.87</v>
      </c>
      <c r="D101" s="64">
        <v>32.03</v>
      </c>
      <c r="E101" s="64">
        <v>1.1100000000000001</v>
      </c>
      <c r="F101" s="64">
        <v>4.04</v>
      </c>
      <c r="G101" s="64">
        <v>59.3</v>
      </c>
      <c r="H101" s="64">
        <v>29.96</v>
      </c>
      <c r="I101" s="64">
        <v>6.43</v>
      </c>
      <c r="J101" s="64">
        <v>1.59</v>
      </c>
      <c r="K101" s="64">
        <v>329.87</v>
      </c>
      <c r="L101" s="64">
        <v>27.82</v>
      </c>
      <c r="M101" s="64">
        <v>15.38</v>
      </c>
      <c r="N101" s="64">
        <v>11.2</v>
      </c>
      <c r="O101" s="64">
        <v>0</v>
      </c>
      <c r="P101" s="64">
        <v>0.73</v>
      </c>
      <c r="Q101" s="64">
        <v>9.73</v>
      </c>
      <c r="R101" s="198"/>
      <c r="S101" s="198"/>
      <c r="T101" s="198"/>
      <c r="U101" s="198"/>
    </row>
    <row r="102" spans="1:33" s="12" customFormat="1" x14ac:dyDescent="0.25">
      <c r="A102" s="216" t="s">
        <v>435</v>
      </c>
      <c r="B102" s="64">
        <v>7.86</v>
      </c>
      <c r="C102" s="64">
        <v>44.88</v>
      </c>
      <c r="D102" s="64">
        <v>29.67</v>
      </c>
      <c r="E102" s="64">
        <v>1.05</v>
      </c>
      <c r="F102" s="64">
        <v>4.71</v>
      </c>
      <c r="G102" s="64">
        <v>59.3</v>
      </c>
      <c r="H102" s="64">
        <v>29.96</v>
      </c>
      <c r="I102" s="64">
        <v>6.42</v>
      </c>
      <c r="J102" s="64">
        <v>1.66</v>
      </c>
      <c r="K102" s="64">
        <v>334.54</v>
      </c>
      <c r="L102" s="64">
        <v>28.2</v>
      </c>
      <c r="M102" s="64">
        <v>15.15</v>
      </c>
      <c r="N102" s="64">
        <v>13.9</v>
      </c>
      <c r="O102" s="64">
        <v>0</v>
      </c>
      <c r="P102" s="64">
        <v>0.67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6" t="s">
        <v>436</v>
      </c>
      <c r="B103" s="64">
        <v>5.38</v>
      </c>
      <c r="C103" s="64">
        <v>44.61</v>
      </c>
      <c r="D103" s="64">
        <v>27.54</v>
      </c>
      <c r="E103" s="64">
        <v>0.57999999999999996</v>
      </c>
      <c r="F103" s="64">
        <v>4.9800000000000004</v>
      </c>
      <c r="G103" s="64">
        <v>59.3</v>
      </c>
      <c r="H103" s="64">
        <v>29.96</v>
      </c>
      <c r="I103" s="64">
        <v>6.27</v>
      </c>
      <c r="J103" s="64">
        <v>1.22</v>
      </c>
      <c r="K103" s="64">
        <v>329.75</v>
      </c>
      <c r="L103" s="64">
        <v>27.55</v>
      </c>
      <c r="M103" s="64">
        <v>17.2</v>
      </c>
      <c r="N103" s="64">
        <v>15.4</v>
      </c>
      <c r="O103" s="64">
        <v>0</v>
      </c>
      <c r="P103" s="64">
        <v>0.64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6" t="s">
        <v>437</v>
      </c>
      <c r="B104" s="64">
        <v>4.0199999999999996</v>
      </c>
      <c r="C104" s="64">
        <v>43.48</v>
      </c>
      <c r="D104" s="64">
        <v>25.86</v>
      </c>
      <c r="E104" s="64">
        <v>2.25</v>
      </c>
      <c r="F104" s="64">
        <v>5.0199999999999996</v>
      </c>
      <c r="G104" s="64">
        <v>55.68</v>
      </c>
      <c r="H104" s="64">
        <v>16.149999999999999</v>
      </c>
      <c r="I104" s="64">
        <v>5.89</v>
      </c>
      <c r="J104" s="64">
        <v>1.25</v>
      </c>
      <c r="K104" s="64">
        <v>334.03</v>
      </c>
      <c r="L104" s="64">
        <v>26.89</v>
      </c>
      <c r="M104" s="64">
        <v>18.600000000000001</v>
      </c>
      <c r="N104" s="64">
        <v>14.9</v>
      </c>
      <c r="O104" s="64">
        <v>0</v>
      </c>
      <c r="P104" s="64">
        <v>0.61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1.28</v>
      </c>
      <c r="C106" s="67">
        <f>MIN(C9:C104)</f>
        <v>29.38</v>
      </c>
      <c r="D106" s="67">
        <f t="shared" ref="D106:Q106" si="0">MIN(D9:D104)</f>
        <v>19.43</v>
      </c>
      <c r="E106" s="67">
        <f t="shared" si="0"/>
        <v>0.57999999999999996</v>
      </c>
      <c r="F106" s="67">
        <f t="shared" si="0"/>
        <v>3.11</v>
      </c>
      <c r="G106" s="67">
        <f t="shared" si="0"/>
        <v>55.68</v>
      </c>
      <c r="H106" s="67">
        <f t="shared" si="0"/>
        <v>16.149999999999999</v>
      </c>
      <c r="I106" s="67">
        <f t="shared" si="0"/>
        <v>5.31</v>
      </c>
      <c r="J106" s="67">
        <f t="shared" si="0"/>
        <v>0.04</v>
      </c>
      <c r="K106" s="67">
        <f t="shared" si="0"/>
        <v>0.88</v>
      </c>
      <c r="L106" s="67">
        <f t="shared" si="0"/>
        <v>22.9</v>
      </c>
      <c r="M106" s="67">
        <f t="shared" si="0"/>
        <v>8.58</v>
      </c>
      <c r="N106" s="67">
        <f t="shared" si="0"/>
        <v>10.4</v>
      </c>
      <c r="O106" s="67">
        <f t="shared" si="0"/>
        <v>0</v>
      </c>
      <c r="P106" s="67">
        <f t="shared" si="0"/>
        <v>0.36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16.46</v>
      </c>
      <c r="C107" s="66">
        <f t="shared" ref="C107:Q107" si="1">MAX(C9:C104)</f>
        <v>59.32</v>
      </c>
      <c r="D107" s="66">
        <f t="shared" si="1"/>
        <v>41.94</v>
      </c>
      <c r="E107" s="66">
        <f t="shared" si="1"/>
        <v>6.93</v>
      </c>
      <c r="F107" s="66">
        <f t="shared" si="1"/>
        <v>23.29</v>
      </c>
      <c r="G107" s="66">
        <f t="shared" si="1"/>
        <v>87.8</v>
      </c>
      <c r="H107" s="66">
        <f t="shared" si="1"/>
        <v>85.74</v>
      </c>
      <c r="I107" s="66">
        <f t="shared" si="1"/>
        <v>19.41</v>
      </c>
      <c r="J107" s="66">
        <f t="shared" si="1"/>
        <v>1.66</v>
      </c>
      <c r="K107" s="66">
        <f t="shared" si="1"/>
        <v>359.92</v>
      </c>
      <c r="L107" s="66">
        <f t="shared" si="1"/>
        <v>39.44</v>
      </c>
      <c r="M107" s="66">
        <f t="shared" si="1"/>
        <v>42.01</v>
      </c>
      <c r="N107" s="66">
        <f t="shared" si="1"/>
        <v>978</v>
      </c>
      <c r="O107" s="66">
        <f t="shared" si="1"/>
        <v>0</v>
      </c>
      <c r="P107" s="66">
        <f t="shared" si="1"/>
        <v>1.99</v>
      </c>
      <c r="Q107" s="66">
        <f t="shared" si="1"/>
        <v>9.94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7.0949999999999989</v>
      </c>
      <c r="C108" s="67">
        <f t="shared" ref="C108:Q108" si="2">AVERAGE(C9:C104)</f>
        <v>40.526739130434791</v>
      </c>
      <c r="D108" s="67">
        <f t="shared" si="2"/>
        <v>26.783260869565222</v>
      </c>
      <c r="E108" s="67">
        <f t="shared" si="2"/>
        <v>1.809347826086956</v>
      </c>
      <c r="F108" s="67">
        <f t="shared" si="2"/>
        <v>5.8292708333333323</v>
      </c>
      <c r="G108" s="67">
        <f t="shared" si="2"/>
        <v>68.649999999999991</v>
      </c>
      <c r="H108" s="67">
        <f t="shared" si="2"/>
        <v>41.782758620689656</v>
      </c>
      <c r="I108" s="67">
        <f t="shared" si="2"/>
        <v>8.5103125000000013</v>
      </c>
      <c r="J108" s="67">
        <f t="shared" si="2"/>
        <v>0.63270833333333354</v>
      </c>
      <c r="K108" s="67">
        <f t="shared" si="2"/>
        <v>266.00572916666658</v>
      </c>
      <c r="L108" s="67">
        <f t="shared" si="2"/>
        <v>30.955208333333335</v>
      </c>
      <c r="M108" s="67">
        <f t="shared" si="2"/>
        <v>19.120937500000007</v>
      </c>
      <c r="N108" s="67">
        <f t="shared" si="2"/>
        <v>288.80520833333333</v>
      </c>
      <c r="O108" s="67">
        <f t="shared" si="2"/>
        <v>0</v>
      </c>
      <c r="P108" s="67">
        <f t="shared" si="2"/>
        <v>0.58499999999999996</v>
      </c>
      <c r="Q108" s="67">
        <f t="shared" si="2"/>
        <v>9.7079166666666659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3.9902409798059923</v>
      </c>
      <c r="C109" s="67">
        <f t="shared" ref="C109:Q109" si="3">STDEV(C9:C104)</f>
        <v>7.4509583584040513</v>
      </c>
      <c r="D109" s="67">
        <f t="shared" si="3"/>
        <v>4.9811539571053176</v>
      </c>
      <c r="E109" s="67">
        <f t="shared" si="3"/>
        <v>0.93328064204097294</v>
      </c>
      <c r="F109" s="67">
        <f t="shared" si="3"/>
        <v>4.1592535374794268</v>
      </c>
      <c r="G109" s="67">
        <f t="shared" si="3"/>
        <v>8.9044599579569663</v>
      </c>
      <c r="H109" s="67">
        <f t="shared" si="3"/>
        <v>12.955431540629618</v>
      </c>
      <c r="I109" s="67">
        <f t="shared" si="3"/>
        <v>3.5528291034269954</v>
      </c>
      <c r="J109" s="67">
        <f t="shared" si="3"/>
        <v>0.35756333017763337</v>
      </c>
      <c r="K109" s="67">
        <f t="shared" si="3"/>
        <v>105.86876536289066</v>
      </c>
      <c r="L109" s="67">
        <f t="shared" si="3"/>
        <v>4.9646934455988578</v>
      </c>
      <c r="M109" s="67">
        <f t="shared" si="3"/>
        <v>8.9544395432039412</v>
      </c>
      <c r="N109" s="67">
        <f t="shared" si="3"/>
        <v>339.21495354631674</v>
      </c>
      <c r="O109" s="67">
        <f t="shared" si="3"/>
        <v>0</v>
      </c>
      <c r="P109" s="67">
        <f t="shared" si="3"/>
        <v>0.19693757539421092</v>
      </c>
      <c r="Q109" s="67">
        <f t="shared" si="3"/>
        <v>9.6299059039690618E-2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COUNT(C9:C104)+4</f>
        <v>96</v>
      </c>
      <c r="D110" s="66">
        <f>COUNT(D9:D104)+4</f>
        <v>96</v>
      </c>
      <c r="E110" s="66">
        <f>COUNT(E9:E104)+4</f>
        <v>96</v>
      </c>
      <c r="F110" s="66">
        <f t="shared" ref="F110:Q110" si="4">COUNT(F9:F104)</f>
        <v>96</v>
      </c>
      <c r="G110" s="66">
        <f>COUNT(G9:G104)+67</f>
        <v>96</v>
      </c>
      <c r="H110" s="66">
        <f>COUNT(H9:H104)+67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COUNT(P9:P104)+2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438</v>
      </c>
      <c r="B9" s="64">
        <v>3.44</v>
      </c>
      <c r="C9" s="64">
        <v>41.29</v>
      </c>
      <c r="D9" s="64">
        <v>24.25</v>
      </c>
      <c r="E9" s="64">
        <v>1.99</v>
      </c>
      <c r="F9" s="64">
        <v>4.21</v>
      </c>
      <c r="G9" s="64">
        <v>53.16</v>
      </c>
      <c r="H9" s="64">
        <v>6.5</v>
      </c>
      <c r="I9" s="64">
        <v>5.57</v>
      </c>
      <c r="J9" s="64">
        <v>1</v>
      </c>
      <c r="K9" s="64">
        <v>342.09</v>
      </c>
      <c r="L9" s="64">
        <v>26.51</v>
      </c>
      <c r="M9" s="64">
        <v>20.36</v>
      </c>
      <c r="N9" s="64">
        <v>14.9</v>
      </c>
      <c r="O9" s="64">
        <v>0</v>
      </c>
      <c r="P9" s="64">
        <v>0.6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6" t="s">
        <v>439</v>
      </c>
      <c r="B10" s="64">
        <v>3.42</v>
      </c>
      <c r="C10" s="64">
        <v>39.58</v>
      </c>
      <c r="D10" s="64">
        <v>23.34</v>
      </c>
      <c r="E10" s="64">
        <v>1.7</v>
      </c>
      <c r="F10" s="64">
        <v>3.91</v>
      </c>
      <c r="G10" s="64">
        <v>53.16</v>
      </c>
      <c r="H10" s="64">
        <v>6.5</v>
      </c>
      <c r="I10" s="64">
        <v>5.36</v>
      </c>
      <c r="J10" s="64">
        <v>0.87</v>
      </c>
      <c r="K10" s="64">
        <v>332.58</v>
      </c>
      <c r="L10" s="64">
        <v>26.17</v>
      </c>
      <c r="M10" s="64">
        <v>21.26</v>
      </c>
      <c r="N10" s="64">
        <v>14.8</v>
      </c>
      <c r="O10" s="64">
        <v>0</v>
      </c>
      <c r="P10" s="64">
        <v>0.6</v>
      </c>
      <c r="Q10" s="64">
        <v>9.57</v>
      </c>
      <c r="R10" s="198"/>
      <c r="S10" s="198"/>
      <c r="T10" s="198"/>
      <c r="U10" s="198"/>
    </row>
    <row r="11" spans="1:21" s="12" customFormat="1" x14ac:dyDescent="0.25">
      <c r="A11" s="216" t="s">
        <v>440</v>
      </c>
      <c r="B11" s="64">
        <v>3.43</v>
      </c>
      <c r="C11" s="64">
        <v>37.86</v>
      </c>
      <c r="D11" s="64">
        <v>22.45</v>
      </c>
      <c r="E11" s="64">
        <v>1.91</v>
      </c>
      <c r="F11" s="64">
        <v>3.92</v>
      </c>
      <c r="G11" s="64">
        <v>53.16</v>
      </c>
      <c r="H11" s="64">
        <v>6.5</v>
      </c>
      <c r="I11" s="64">
        <v>5.41</v>
      </c>
      <c r="J11" s="64">
        <v>1.21</v>
      </c>
      <c r="K11" s="64">
        <v>344.05</v>
      </c>
      <c r="L11" s="64">
        <v>25.98</v>
      </c>
      <c r="M11" s="64">
        <v>21.73</v>
      </c>
      <c r="N11" s="64">
        <v>14</v>
      </c>
      <c r="O11" s="64">
        <v>0</v>
      </c>
      <c r="P11" s="64">
        <v>0.59</v>
      </c>
      <c r="Q11" s="64">
        <v>9.58</v>
      </c>
      <c r="R11" s="198"/>
      <c r="S11" s="198"/>
      <c r="T11" s="198"/>
      <c r="U11" s="198"/>
    </row>
    <row r="12" spans="1:21" s="12" customFormat="1" x14ac:dyDescent="0.25">
      <c r="A12" s="216" t="s">
        <v>441</v>
      </c>
      <c r="B12" s="64">
        <v>3.49</v>
      </c>
      <c r="C12" s="64">
        <v>36.46</v>
      </c>
      <c r="D12" s="64">
        <v>21.77</v>
      </c>
      <c r="E12" s="64">
        <v>1.85</v>
      </c>
      <c r="F12" s="64">
        <v>3.47</v>
      </c>
      <c r="G12" s="64">
        <v>65.75</v>
      </c>
      <c r="H12" s="64">
        <v>22.68</v>
      </c>
      <c r="I12" s="64">
        <v>5.32</v>
      </c>
      <c r="J12" s="64">
        <v>0.87</v>
      </c>
      <c r="K12" s="64">
        <v>346.22</v>
      </c>
      <c r="L12" s="64">
        <v>26.03</v>
      </c>
      <c r="M12" s="64">
        <v>22.32</v>
      </c>
      <c r="N12" s="64">
        <v>14.9</v>
      </c>
      <c r="O12" s="64">
        <v>0</v>
      </c>
      <c r="P12" s="64">
        <v>0.57999999999999996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6" t="s">
        <v>442</v>
      </c>
      <c r="B13" s="64">
        <v>3.57</v>
      </c>
      <c r="C13" s="64">
        <v>35.53</v>
      </c>
      <c r="D13" s="64">
        <v>21.35</v>
      </c>
      <c r="E13" s="64">
        <v>1.68</v>
      </c>
      <c r="F13" s="64">
        <v>3.95</v>
      </c>
      <c r="G13" s="64">
        <v>74.53</v>
      </c>
      <c r="H13" s="64">
        <v>33.97</v>
      </c>
      <c r="I13" s="64">
        <v>5.62</v>
      </c>
      <c r="J13" s="64">
        <v>1.1599999999999999</v>
      </c>
      <c r="K13" s="64">
        <v>346.35</v>
      </c>
      <c r="L13" s="64">
        <v>25.9</v>
      </c>
      <c r="M13" s="64">
        <v>22.05</v>
      </c>
      <c r="N13" s="64">
        <v>14.3</v>
      </c>
      <c r="O13" s="64">
        <v>0</v>
      </c>
      <c r="P13" s="64">
        <v>0.55000000000000004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6" t="s">
        <v>443</v>
      </c>
      <c r="B14" s="64">
        <v>3.55</v>
      </c>
      <c r="C14" s="64">
        <v>34.44</v>
      </c>
      <c r="D14" s="64">
        <v>20.76</v>
      </c>
      <c r="E14" s="64">
        <v>1.78</v>
      </c>
      <c r="F14" s="64">
        <v>4.0199999999999996</v>
      </c>
      <c r="G14" s="64">
        <v>74.53</v>
      </c>
      <c r="H14" s="64">
        <v>33.97</v>
      </c>
      <c r="I14" s="64">
        <v>5.66</v>
      </c>
      <c r="J14" s="64">
        <v>0.97</v>
      </c>
      <c r="K14" s="64">
        <v>349.63</v>
      </c>
      <c r="L14" s="64">
        <v>25.69</v>
      </c>
      <c r="M14" s="64">
        <v>22.07</v>
      </c>
      <c r="N14" s="64">
        <v>14.7</v>
      </c>
      <c r="O14" s="64">
        <v>0</v>
      </c>
      <c r="P14" s="64">
        <v>0.56000000000000005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6" t="s">
        <v>444</v>
      </c>
      <c r="B15" s="64">
        <v>3.46</v>
      </c>
      <c r="C15" s="64">
        <v>33.44</v>
      </c>
      <c r="D15" s="64">
        <v>20.170000000000002</v>
      </c>
      <c r="E15" s="64">
        <v>1.94</v>
      </c>
      <c r="F15" s="64">
        <v>3.84</v>
      </c>
      <c r="G15" s="64">
        <v>74.53</v>
      </c>
      <c r="H15" s="64">
        <v>33.97</v>
      </c>
      <c r="I15" s="64">
        <v>5.7</v>
      </c>
      <c r="J15" s="64">
        <v>0.95</v>
      </c>
      <c r="K15" s="64">
        <v>357.36</v>
      </c>
      <c r="L15" s="64">
        <v>25.75</v>
      </c>
      <c r="M15" s="64">
        <v>20.95</v>
      </c>
      <c r="N15" s="64">
        <v>14.8</v>
      </c>
      <c r="O15" s="64">
        <v>0</v>
      </c>
      <c r="P15" s="64">
        <v>0.55000000000000004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16" t="s">
        <v>445</v>
      </c>
      <c r="B16" s="64">
        <v>3.46</v>
      </c>
      <c r="C16" s="64">
        <v>32.78</v>
      </c>
      <c r="D16" s="64">
        <v>19.82</v>
      </c>
      <c r="E16" s="64">
        <v>1.99</v>
      </c>
      <c r="F16" s="64">
        <v>3.51</v>
      </c>
      <c r="G16" s="64">
        <v>77.62</v>
      </c>
      <c r="H16" s="64">
        <v>32.729999999999997</v>
      </c>
      <c r="I16" s="64">
        <v>5.86</v>
      </c>
      <c r="J16" s="64">
        <v>0.62</v>
      </c>
      <c r="K16" s="64">
        <v>356.06</v>
      </c>
      <c r="L16" s="64">
        <v>25.81</v>
      </c>
      <c r="M16" s="64">
        <v>21.08</v>
      </c>
      <c r="N16" s="64">
        <v>15.1</v>
      </c>
      <c r="O16" s="64">
        <v>0</v>
      </c>
      <c r="P16" s="64">
        <v>0.55000000000000004</v>
      </c>
      <c r="Q16" s="64">
        <v>9.58</v>
      </c>
      <c r="R16" s="198"/>
      <c r="S16" s="198"/>
      <c r="T16" s="198"/>
      <c r="U16" s="198"/>
    </row>
    <row r="17" spans="1:21" s="12" customFormat="1" x14ac:dyDescent="0.25">
      <c r="A17" s="216" t="s">
        <v>446</v>
      </c>
      <c r="B17" s="64">
        <v>3.55</v>
      </c>
      <c r="C17" s="64">
        <v>33.69</v>
      </c>
      <c r="D17" s="64">
        <v>20.37</v>
      </c>
      <c r="E17" s="64">
        <v>2.56</v>
      </c>
      <c r="F17" s="64">
        <v>3.46</v>
      </c>
      <c r="G17" s="64">
        <v>79.77</v>
      </c>
      <c r="H17" s="64">
        <v>31.87</v>
      </c>
      <c r="I17" s="64">
        <v>6.05</v>
      </c>
      <c r="J17" s="64">
        <v>0.96</v>
      </c>
      <c r="K17" s="64">
        <v>357.78</v>
      </c>
      <c r="L17" s="64">
        <v>26.01</v>
      </c>
      <c r="M17" s="64">
        <v>17.920000000000002</v>
      </c>
      <c r="N17" s="64">
        <v>14</v>
      </c>
      <c r="O17" s="64">
        <v>0</v>
      </c>
      <c r="P17" s="64">
        <v>0.55000000000000004</v>
      </c>
      <c r="Q17" s="64">
        <v>9.59</v>
      </c>
      <c r="R17" s="198"/>
      <c r="S17" s="198"/>
      <c r="T17" s="198"/>
      <c r="U17" s="198"/>
    </row>
    <row r="18" spans="1:21" s="12" customFormat="1" x14ac:dyDescent="0.25">
      <c r="A18" s="216" t="s">
        <v>447</v>
      </c>
      <c r="B18" s="64">
        <v>3.6</v>
      </c>
      <c r="C18" s="64">
        <v>34.159999999999997</v>
      </c>
      <c r="D18" s="64">
        <v>20.65</v>
      </c>
      <c r="E18" s="64">
        <v>2.16</v>
      </c>
      <c r="F18" s="64">
        <v>3.79</v>
      </c>
      <c r="G18" s="64">
        <v>79.77</v>
      </c>
      <c r="H18" s="64">
        <v>31.87</v>
      </c>
      <c r="I18" s="64">
        <v>5.98</v>
      </c>
      <c r="J18" s="64">
        <v>0.76</v>
      </c>
      <c r="K18" s="64">
        <v>355.91</v>
      </c>
      <c r="L18" s="64">
        <v>26.08</v>
      </c>
      <c r="M18" s="64">
        <v>17.27</v>
      </c>
      <c r="N18" s="64">
        <v>14.9</v>
      </c>
      <c r="O18" s="64">
        <v>0</v>
      </c>
      <c r="P18" s="64">
        <v>0.55000000000000004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6" t="s">
        <v>448</v>
      </c>
      <c r="B19" s="64">
        <v>3.43</v>
      </c>
      <c r="C19" s="64">
        <v>34.11</v>
      </c>
      <c r="D19" s="64">
        <v>20.49</v>
      </c>
      <c r="E19" s="64">
        <v>2.39</v>
      </c>
      <c r="F19" s="64">
        <v>4.0999999999999996</v>
      </c>
      <c r="G19" s="64">
        <v>79.77</v>
      </c>
      <c r="H19" s="64">
        <v>31.87</v>
      </c>
      <c r="I19" s="64">
        <v>6.12</v>
      </c>
      <c r="J19" s="64">
        <v>0.28999999999999998</v>
      </c>
      <c r="K19" s="64">
        <v>64.06</v>
      </c>
      <c r="L19" s="64">
        <v>25.57</v>
      </c>
      <c r="M19" s="64">
        <v>18.79</v>
      </c>
      <c r="N19" s="64">
        <v>15.4</v>
      </c>
      <c r="O19" s="64">
        <v>0</v>
      </c>
      <c r="P19" s="64">
        <v>0.53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6" t="s">
        <v>449</v>
      </c>
      <c r="B20" s="64">
        <v>3.48</v>
      </c>
      <c r="C20" s="64">
        <v>34.89</v>
      </c>
      <c r="D20" s="64">
        <v>20.94</v>
      </c>
      <c r="E20" s="64">
        <v>2.33</v>
      </c>
      <c r="F20" s="64">
        <v>3.8</v>
      </c>
      <c r="G20" s="64">
        <v>88.14</v>
      </c>
      <c r="H20" s="64">
        <v>37.729999999999997</v>
      </c>
      <c r="I20" s="64">
        <v>6.15</v>
      </c>
      <c r="J20" s="64">
        <v>0.24</v>
      </c>
      <c r="K20" s="64">
        <v>32.86</v>
      </c>
      <c r="L20" s="64">
        <v>25.34</v>
      </c>
      <c r="M20" s="64">
        <v>19.09</v>
      </c>
      <c r="N20" s="64">
        <v>15.3</v>
      </c>
      <c r="O20" s="64">
        <v>0</v>
      </c>
      <c r="P20" s="64">
        <v>0.53</v>
      </c>
      <c r="Q20" s="64">
        <v>9.5399999999999991</v>
      </c>
      <c r="R20" s="198"/>
      <c r="S20" s="198"/>
      <c r="T20" s="198"/>
      <c r="U20" s="198"/>
    </row>
    <row r="21" spans="1:21" s="12" customFormat="1" x14ac:dyDescent="0.25">
      <c r="A21" s="216" t="s">
        <v>450</v>
      </c>
      <c r="B21" s="64">
        <v>4.0599999999999996</v>
      </c>
      <c r="C21" s="64">
        <v>36.21</v>
      </c>
      <c r="D21" s="64">
        <v>22.09</v>
      </c>
      <c r="E21" s="64">
        <v>2.4700000000000002</v>
      </c>
      <c r="F21" s="64">
        <v>3.14</v>
      </c>
      <c r="G21" s="64">
        <v>93.98</v>
      </c>
      <c r="H21" s="64">
        <v>41.82</v>
      </c>
      <c r="I21" s="64">
        <v>6.2</v>
      </c>
      <c r="J21" s="64">
        <v>0.26</v>
      </c>
      <c r="K21" s="64">
        <v>50.75</v>
      </c>
      <c r="L21" s="64">
        <v>25.18</v>
      </c>
      <c r="M21" s="64">
        <v>18.28</v>
      </c>
      <c r="N21" s="64">
        <v>15</v>
      </c>
      <c r="O21" s="64">
        <v>0</v>
      </c>
      <c r="P21" s="64">
        <v>0.54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6" t="s">
        <v>451</v>
      </c>
      <c r="B22" s="64">
        <v>4.2300000000000004</v>
      </c>
      <c r="C22" s="64">
        <v>36.270000000000003</v>
      </c>
      <c r="D22" s="64">
        <v>22.26</v>
      </c>
      <c r="E22" s="64">
        <v>2.39</v>
      </c>
      <c r="F22" s="64">
        <v>3.22</v>
      </c>
      <c r="G22" s="64">
        <v>93.98</v>
      </c>
      <c r="H22" s="64">
        <v>41.82</v>
      </c>
      <c r="I22" s="64">
        <v>6.15</v>
      </c>
      <c r="J22" s="64">
        <v>0.24</v>
      </c>
      <c r="K22" s="64">
        <v>57.56</v>
      </c>
      <c r="L22" s="64">
        <v>24.96</v>
      </c>
      <c r="M22" s="64">
        <v>18.37</v>
      </c>
      <c r="N22" s="64">
        <v>15</v>
      </c>
      <c r="O22" s="64">
        <v>0</v>
      </c>
      <c r="P22" s="64">
        <v>0.57999999999999996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16" t="s">
        <v>452</v>
      </c>
      <c r="B23" s="64">
        <v>4.12</v>
      </c>
      <c r="C23" s="64">
        <v>36.19</v>
      </c>
      <c r="D23" s="64">
        <v>22.13</v>
      </c>
      <c r="E23" s="64">
        <v>2.39</v>
      </c>
      <c r="F23" s="64">
        <v>4.34</v>
      </c>
      <c r="G23" s="64">
        <v>93.98</v>
      </c>
      <c r="H23" s="64">
        <v>41.82</v>
      </c>
      <c r="I23" s="64">
        <v>6.22</v>
      </c>
      <c r="J23" s="64">
        <v>0.34</v>
      </c>
      <c r="K23" s="64">
        <v>86.53</v>
      </c>
      <c r="L23" s="64">
        <v>24.96</v>
      </c>
      <c r="M23" s="64">
        <v>18.670000000000002</v>
      </c>
      <c r="N23" s="64">
        <v>14.8</v>
      </c>
      <c r="O23" s="64">
        <v>0</v>
      </c>
      <c r="P23" s="64">
        <v>0.63</v>
      </c>
      <c r="Q23" s="64">
        <v>9.58</v>
      </c>
      <c r="R23" s="198"/>
      <c r="S23" s="198"/>
      <c r="T23" s="198"/>
      <c r="U23" s="198"/>
    </row>
    <row r="24" spans="1:21" s="12" customFormat="1" x14ac:dyDescent="0.25">
      <c r="A24" s="216" t="s">
        <v>453</v>
      </c>
      <c r="B24" s="64">
        <v>4.01</v>
      </c>
      <c r="C24" s="64">
        <v>35.83</v>
      </c>
      <c r="D24" s="64">
        <v>21.85</v>
      </c>
      <c r="E24" s="64">
        <v>2.7</v>
      </c>
      <c r="F24" s="64">
        <v>3.81</v>
      </c>
      <c r="G24" s="64">
        <v>95.84</v>
      </c>
      <c r="H24" s="64">
        <v>37.99</v>
      </c>
      <c r="I24" s="64">
        <v>6.2</v>
      </c>
      <c r="J24" s="64">
        <v>0.09</v>
      </c>
      <c r="K24" s="64">
        <v>204.04</v>
      </c>
      <c r="L24" s="64">
        <v>24.41</v>
      </c>
      <c r="M24" s="64">
        <v>21.06</v>
      </c>
      <c r="N24" s="64">
        <v>15.5</v>
      </c>
      <c r="O24" s="64">
        <v>0</v>
      </c>
      <c r="P24" s="64">
        <v>0.66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16" t="s">
        <v>454</v>
      </c>
      <c r="B25" s="64">
        <v>4.0199999999999996</v>
      </c>
      <c r="C25" s="64">
        <v>35.340000000000003</v>
      </c>
      <c r="D25" s="64">
        <v>21.61</v>
      </c>
      <c r="E25" s="64">
        <v>2.27</v>
      </c>
      <c r="F25" s="64">
        <v>3.75</v>
      </c>
      <c r="G25" s="64">
        <v>97.14</v>
      </c>
      <c r="H25" s="64">
        <v>35.32</v>
      </c>
      <c r="I25" s="64">
        <v>6.14</v>
      </c>
      <c r="J25" s="64">
        <v>0.3</v>
      </c>
      <c r="K25" s="64">
        <v>223.77</v>
      </c>
      <c r="L25" s="64">
        <v>23.89</v>
      </c>
      <c r="M25" s="64">
        <v>23.17</v>
      </c>
      <c r="N25" s="64">
        <v>15.2</v>
      </c>
      <c r="O25" s="64">
        <v>0</v>
      </c>
      <c r="P25" s="64">
        <v>0.71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6" t="s">
        <v>455</v>
      </c>
      <c r="B26" s="64">
        <v>4.3099999999999996</v>
      </c>
      <c r="C26" s="64">
        <v>35.18</v>
      </c>
      <c r="D26" s="64">
        <v>21.76</v>
      </c>
      <c r="E26" s="64">
        <v>2.46</v>
      </c>
      <c r="F26" s="64">
        <v>3.4</v>
      </c>
      <c r="G26" s="64">
        <v>97.14</v>
      </c>
      <c r="H26" s="64">
        <v>35.32</v>
      </c>
      <c r="I26" s="64">
        <v>6.11</v>
      </c>
      <c r="J26" s="64">
        <v>0.5</v>
      </c>
      <c r="K26" s="64">
        <v>196.86</v>
      </c>
      <c r="L26" s="64">
        <v>23.06</v>
      </c>
      <c r="M26" s="64">
        <v>31.69</v>
      </c>
      <c r="N26" s="64">
        <v>15.1</v>
      </c>
      <c r="O26" s="64">
        <v>0</v>
      </c>
      <c r="P26" s="64">
        <v>0.74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6" t="s">
        <v>456</v>
      </c>
      <c r="B27" s="64">
        <v>4.71</v>
      </c>
      <c r="C27" s="64">
        <v>33.99</v>
      </c>
      <c r="D27" s="64">
        <v>21.45</v>
      </c>
      <c r="E27" s="64">
        <v>2.16</v>
      </c>
      <c r="F27" s="64">
        <v>3.33</v>
      </c>
      <c r="G27" s="64">
        <v>97.14</v>
      </c>
      <c r="H27" s="64">
        <v>35.32</v>
      </c>
      <c r="I27" s="64">
        <v>6.04</v>
      </c>
      <c r="J27" s="64">
        <v>0.14000000000000001</v>
      </c>
      <c r="K27" s="64">
        <v>340.57</v>
      </c>
      <c r="L27" s="64">
        <v>21.93</v>
      </c>
      <c r="M27" s="64">
        <v>37</v>
      </c>
      <c r="N27" s="64">
        <v>16</v>
      </c>
      <c r="O27" s="64">
        <v>0</v>
      </c>
      <c r="P27" s="64">
        <v>0.73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16" t="s">
        <v>457</v>
      </c>
      <c r="B28" s="64">
        <v>5.37</v>
      </c>
      <c r="C28" s="64">
        <v>32.82</v>
      </c>
      <c r="D28" s="64">
        <v>21.37</v>
      </c>
      <c r="E28" s="64">
        <v>1.56</v>
      </c>
      <c r="F28" s="64">
        <v>3.38</v>
      </c>
      <c r="G28" s="64">
        <v>102.65</v>
      </c>
      <c r="H28" s="64">
        <v>36.42</v>
      </c>
      <c r="I28" s="64">
        <v>5.89</v>
      </c>
      <c r="J28" s="64">
        <v>0.15</v>
      </c>
      <c r="K28" s="64">
        <v>256.22000000000003</v>
      </c>
      <c r="L28" s="64">
        <v>21.23</v>
      </c>
      <c r="M28" s="64">
        <v>38.31</v>
      </c>
      <c r="N28" s="64">
        <v>15.4</v>
      </c>
      <c r="O28" s="64">
        <v>0</v>
      </c>
      <c r="P28" s="64">
        <v>0.72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6" t="s">
        <v>458</v>
      </c>
      <c r="B29" s="64">
        <v>5.78</v>
      </c>
      <c r="C29" s="64">
        <v>31.72</v>
      </c>
      <c r="D29" s="64">
        <v>21.13</v>
      </c>
      <c r="E29" s="64">
        <v>1.84</v>
      </c>
      <c r="F29" s="64">
        <v>3.32</v>
      </c>
      <c r="G29" s="64">
        <v>106.5</v>
      </c>
      <c r="H29" s="64">
        <v>37.19</v>
      </c>
      <c r="I29" s="64">
        <v>5.92</v>
      </c>
      <c r="J29" s="64">
        <v>0.09</v>
      </c>
      <c r="K29" s="64">
        <v>296.54000000000002</v>
      </c>
      <c r="L29" s="64">
        <v>21.4</v>
      </c>
      <c r="M29" s="64">
        <v>37.83</v>
      </c>
      <c r="N29" s="64">
        <v>15.6</v>
      </c>
      <c r="O29" s="64">
        <v>0</v>
      </c>
      <c r="P29" s="64">
        <v>0.7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6" t="s">
        <v>459</v>
      </c>
      <c r="B30" s="64">
        <v>6.41</v>
      </c>
      <c r="C30" s="64">
        <v>30.73</v>
      </c>
      <c r="D30" s="64">
        <v>21.11</v>
      </c>
      <c r="E30" s="64">
        <v>1.9</v>
      </c>
      <c r="F30" s="64">
        <v>3.28</v>
      </c>
      <c r="G30" s="64">
        <v>106.5</v>
      </c>
      <c r="H30" s="64">
        <v>37.19</v>
      </c>
      <c r="I30" s="64">
        <v>6.21</v>
      </c>
      <c r="J30" s="64">
        <v>0.11</v>
      </c>
      <c r="K30" s="64">
        <v>230.45</v>
      </c>
      <c r="L30" s="64">
        <v>21</v>
      </c>
      <c r="M30" s="64">
        <v>39.659999999999997</v>
      </c>
      <c r="N30" s="64">
        <v>19</v>
      </c>
      <c r="O30" s="64">
        <v>0</v>
      </c>
      <c r="P30" s="64">
        <v>0.7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6" t="s">
        <v>460</v>
      </c>
      <c r="B31" s="64">
        <v>7.04</v>
      </c>
      <c r="C31" s="64">
        <v>30.09</v>
      </c>
      <c r="D31" s="64">
        <v>21.29</v>
      </c>
      <c r="E31" s="64">
        <v>1.82</v>
      </c>
      <c r="F31" s="64">
        <v>3.18</v>
      </c>
      <c r="G31" s="64">
        <v>106.5</v>
      </c>
      <c r="H31" s="64">
        <v>37.19</v>
      </c>
      <c r="I31" s="64">
        <v>6.35</v>
      </c>
      <c r="J31" s="64">
        <v>0.1</v>
      </c>
      <c r="K31" s="64">
        <v>251.97</v>
      </c>
      <c r="L31" s="64">
        <v>21.32</v>
      </c>
      <c r="M31" s="64">
        <v>38.74</v>
      </c>
      <c r="N31" s="64">
        <v>31.1</v>
      </c>
      <c r="O31" s="64">
        <v>0</v>
      </c>
      <c r="P31" s="64">
        <v>0.69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16" t="s">
        <v>461</v>
      </c>
      <c r="B32" s="64">
        <v>7.57</v>
      </c>
      <c r="C32" s="64">
        <v>29.52</v>
      </c>
      <c r="D32" s="64">
        <v>21.42</v>
      </c>
      <c r="E32" s="64">
        <v>2.14</v>
      </c>
      <c r="F32" s="64">
        <v>3.02</v>
      </c>
      <c r="G32" s="64">
        <v>102.54</v>
      </c>
      <c r="H32" s="64">
        <v>30.77</v>
      </c>
      <c r="I32" s="64">
        <v>6.5</v>
      </c>
      <c r="J32" s="64">
        <v>7.0000000000000007E-2</v>
      </c>
      <c r="K32" s="64">
        <v>293.31</v>
      </c>
      <c r="L32" s="64">
        <v>21.63</v>
      </c>
      <c r="M32" s="64">
        <v>39.44</v>
      </c>
      <c r="N32" s="64">
        <v>54.1</v>
      </c>
      <c r="O32" s="64">
        <v>0</v>
      </c>
      <c r="P32" s="64">
        <v>0.68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6" t="s">
        <v>462</v>
      </c>
      <c r="B33" s="64">
        <v>9.1</v>
      </c>
      <c r="C33" s="64">
        <v>29.11</v>
      </c>
      <c r="D33" s="64">
        <v>22.42</v>
      </c>
      <c r="E33" s="64">
        <v>2.0299999999999998</v>
      </c>
      <c r="F33" s="64">
        <v>3.6</v>
      </c>
      <c r="G33" s="64">
        <v>99.78</v>
      </c>
      <c r="H33" s="64">
        <v>26.28</v>
      </c>
      <c r="I33" s="64">
        <v>6.56</v>
      </c>
      <c r="J33" s="64">
        <v>0.23</v>
      </c>
      <c r="K33" s="64">
        <v>343.02</v>
      </c>
      <c r="L33" s="64">
        <v>22.17</v>
      </c>
      <c r="M33" s="64">
        <v>44.7</v>
      </c>
      <c r="N33" s="64">
        <v>91</v>
      </c>
      <c r="O33" s="64">
        <v>0</v>
      </c>
      <c r="P33" s="64">
        <v>0.69</v>
      </c>
      <c r="Q33" s="64">
        <v>9.7200000000000006</v>
      </c>
      <c r="R33" s="198"/>
      <c r="S33" s="198"/>
      <c r="T33" s="198"/>
      <c r="U33" s="198"/>
    </row>
    <row r="34" spans="1:21" s="12" customFormat="1" x14ac:dyDescent="0.25">
      <c r="A34" s="216" t="s">
        <v>463</v>
      </c>
      <c r="B34" s="64">
        <v>11.72</v>
      </c>
      <c r="C34" s="64">
        <v>28.98</v>
      </c>
      <c r="D34" s="64">
        <v>24.46</v>
      </c>
      <c r="E34" s="64">
        <v>2.19</v>
      </c>
      <c r="F34" s="64">
        <v>3.44</v>
      </c>
      <c r="G34" s="64">
        <v>99.78</v>
      </c>
      <c r="H34" s="64">
        <v>26.28</v>
      </c>
      <c r="I34" s="64">
        <v>6.66</v>
      </c>
      <c r="J34" s="64">
        <v>0.15</v>
      </c>
      <c r="K34" s="64">
        <v>354.65</v>
      </c>
      <c r="L34" s="64">
        <v>23.57</v>
      </c>
      <c r="M34" s="64">
        <v>41.22</v>
      </c>
      <c r="N34" s="64">
        <v>135</v>
      </c>
      <c r="O34" s="64">
        <v>0</v>
      </c>
      <c r="P34" s="64">
        <v>0.69</v>
      </c>
      <c r="Q34" s="64">
        <v>9.75</v>
      </c>
      <c r="R34" s="198"/>
      <c r="S34" s="198"/>
      <c r="T34" s="198"/>
      <c r="U34" s="198"/>
    </row>
    <row r="35" spans="1:21" s="12" customFormat="1" x14ac:dyDescent="0.25">
      <c r="A35" s="216" t="s">
        <v>464</v>
      </c>
      <c r="B35" s="64">
        <v>14.94</v>
      </c>
      <c r="C35" s="64">
        <v>29.65</v>
      </c>
      <c r="D35" s="64">
        <v>27.39</v>
      </c>
      <c r="E35" s="64">
        <v>2.31</v>
      </c>
      <c r="F35" s="64">
        <v>3.12</v>
      </c>
      <c r="G35" s="64">
        <v>99.78</v>
      </c>
      <c r="H35" s="64">
        <v>26.28</v>
      </c>
      <c r="I35" s="64">
        <v>6.85</v>
      </c>
      <c r="J35" s="64">
        <v>0.09</v>
      </c>
      <c r="K35" s="64">
        <v>352.17</v>
      </c>
      <c r="L35" s="64">
        <v>25.19</v>
      </c>
      <c r="M35" s="64">
        <v>35.61</v>
      </c>
      <c r="N35" s="64">
        <v>187.9</v>
      </c>
      <c r="O35" s="64">
        <v>0</v>
      </c>
      <c r="P35" s="64">
        <v>0.72</v>
      </c>
      <c r="Q35" s="64">
        <v>9.77</v>
      </c>
      <c r="R35" s="198"/>
      <c r="S35" s="198"/>
      <c r="T35" s="198"/>
      <c r="U35" s="198"/>
    </row>
    <row r="36" spans="1:21" s="12" customFormat="1" x14ac:dyDescent="0.25">
      <c r="A36" s="216" t="s">
        <v>465</v>
      </c>
      <c r="B36" s="64">
        <v>16.850000000000001</v>
      </c>
      <c r="C36" s="64">
        <v>30.67</v>
      </c>
      <c r="D36" s="64">
        <v>29.45</v>
      </c>
      <c r="E36" s="64">
        <v>2.1</v>
      </c>
      <c r="F36" s="64">
        <v>3.48</v>
      </c>
      <c r="G36" s="64">
        <v>105.32</v>
      </c>
      <c r="H36" s="64">
        <v>31.3</v>
      </c>
      <c r="I36" s="64">
        <v>7.11</v>
      </c>
      <c r="J36" s="64">
        <v>0.21</v>
      </c>
      <c r="K36" s="64">
        <v>218.62</v>
      </c>
      <c r="L36" s="64">
        <v>25.31</v>
      </c>
      <c r="M36" s="64">
        <v>33</v>
      </c>
      <c r="N36" s="64">
        <v>244.2</v>
      </c>
      <c r="O36" s="64">
        <v>0</v>
      </c>
      <c r="P36" s="64">
        <v>0.72</v>
      </c>
      <c r="Q36" s="64">
        <v>9.84</v>
      </c>
      <c r="R36" s="198"/>
      <c r="S36" s="198"/>
      <c r="T36" s="198"/>
      <c r="U36" s="198"/>
    </row>
    <row r="37" spans="1:21" s="12" customFormat="1" x14ac:dyDescent="0.25">
      <c r="A37" s="216" t="s">
        <v>466</v>
      </c>
      <c r="B37" s="64">
        <v>16.32</v>
      </c>
      <c r="C37" s="64">
        <v>31.69</v>
      </c>
      <c r="D37" s="64">
        <v>29.57</v>
      </c>
      <c r="E37" s="64">
        <v>2.19</v>
      </c>
      <c r="F37" s="64">
        <v>3.56</v>
      </c>
      <c r="G37" s="64">
        <v>109.19</v>
      </c>
      <c r="H37" s="64">
        <v>34.79</v>
      </c>
      <c r="I37" s="64">
        <v>7.22</v>
      </c>
      <c r="J37" s="64">
        <v>0.89</v>
      </c>
      <c r="K37" s="64">
        <v>146.85</v>
      </c>
      <c r="L37" s="64">
        <v>25.92</v>
      </c>
      <c r="M37" s="64">
        <v>32.4</v>
      </c>
      <c r="N37" s="64">
        <v>307.7</v>
      </c>
      <c r="O37" s="64">
        <v>0</v>
      </c>
      <c r="P37" s="64">
        <v>0.69</v>
      </c>
      <c r="Q37" s="64">
        <v>9.8699999999999992</v>
      </c>
      <c r="R37" s="198"/>
      <c r="S37" s="198"/>
      <c r="T37" s="198"/>
      <c r="U37" s="198"/>
    </row>
    <row r="38" spans="1:21" s="12" customFormat="1" x14ac:dyDescent="0.25">
      <c r="A38" s="216" t="s">
        <v>467</v>
      </c>
      <c r="B38" s="64">
        <v>14.82</v>
      </c>
      <c r="C38" s="64">
        <v>32.42</v>
      </c>
      <c r="D38" s="64">
        <v>28.74</v>
      </c>
      <c r="E38" s="64">
        <v>2.29</v>
      </c>
      <c r="F38" s="64">
        <v>3.61</v>
      </c>
      <c r="G38" s="64">
        <v>109.19</v>
      </c>
      <c r="H38" s="64">
        <v>34.79</v>
      </c>
      <c r="I38" s="64">
        <v>7.23</v>
      </c>
      <c r="J38" s="64">
        <v>1.6</v>
      </c>
      <c r="K38" s="64">
        <v>146.13999999999999</v>
      </c>
      <c r="L38" s="64">
        <v>26</v>
      </c>
      <c r="M38" s="64">
        <v>29.78</v>
      </c>
      <c r="N38" s="64">
        <v>367.1</v>
      </c>
      <c r="O38" s="64">
        <v>0</v>
      </c>
      <c r="P38" s="64">
        <v>0.7</v>
      </c>
      <c r="Q38" s="64">
        <v>9.86</v>
      </c>
      <c r="R38" s="198"/>
      <c r="S38" s="198"/>
      <c r="T38" s="198"/>
      <c r="U38" s="198"/>
    </row>
    <row r="39" spans="1:21" s="12" customFormat="1" x14ac:dyDescent="0.25">
      <c r="A39" s="216" t="s">
        <v>468</v>
      </c>
      <c r="B39" s="64">
        <v>12.92</v>
      </c>
      <c r="C39" s="64">
        <v>33.36</v>
      </c>
      <c r="D39" s="64">
        <v>27.71</v>
      </c>
      <c r="E39" s="64">
        <v>2</v>
      </c>
      <c r="F39" s="64">
        <v>3.7</v>
      </c>
      <c r="G39" s="64">
        <v>109.19</v>
      </c>
      <c r="H39" s="64">
        <v>34.79</v>
      </c>
      <c r="I39" s="64">
        <v>7.01</v>
      </c>
      <c r="J39" s="64">
        <v>0.63</v>
      </c>
      <c r="K39" s="64">
        <v>155.38999999999999</v>
      </c>
      <c r="L39" s="64">
        <v>27</v>
      </c>
      <c r="M39" s="64">
        <v>30.42</v>
      </c>
      <c r="N39" s="64">
        <v>419.5</v>
      </c>
      <c r="O39" s="64">
        <v>0</v>
      </c>
      <c r="P39" s="64">
        <v>0.68</v>
      </c>
      <c r="Q39" s="64">
        <v>9.86</v>
      </c>
      <c r="R39" s="198"/>
      <c r="S39" s="198"/>
      <c r="T39" s="198"/>
      <c r="U39" s="198"/>
    </row>
    <row r="40" spans="1:21" s="12" customFormat="1" x14ac:dyDescent="0.25">
      <c r="A40" s="216" t="s">
        <v>469</v>
      </c>
      <c r="B40" s="64">
        <v>11.13</v>
      </c>
      <c r="C40" s="64">
        <v>34.340000000000003</v>
      </c>
      <c r="D40" s="64">
        <v>26.78</v>
      </c>
      <c r="E40" s="64">
        <v>1.26</v>
      </c>
      <c r="F40" s="64">
        <v>3.68</v>
      </c>
      <c r="G40" s="64">
        <v>100.19</v>
      </c>
      <c r="H40" s="64">
        <v>28.27</v>
      </c>
      <c r="I40" s="64">
        <v>6.94</v>
      </c>
      <c r="J40" s="64">
        <v>0.82</v>
      </c>
      <c r="K40" s="64">
        <v>154.85</v>
      </c>
      <c r="L40" s="64">
        <v>28.02</v>
      </c>
      <c r="M40" s="64">
        <v>26.76</v>
      </c>
      <c r="N40" s="64">
        <v>480.9</v>
      </c>
      <c r="O40" s="64">
        <v>0</v>
      </c>
      <c r="P40" s="64">
        <v>0.67</v>
      </c>
      <c r="Q40" s="64">
        <v>9.85</v>
      </c>
      <c r="R40" s="198"/>
      <c r="S40" s="198"/>
      <c r="T40" s="198"/>
      <c r="U40" s="198"/>
    </row>
    <row r="41" spans="1:21" s="12" customFormat="1" x14ac:dyDescent="0.25">
      <c r="A41" s="216" t="s">
        <v>470</v>
      </c>
      <c r="B41" s="64">
        <v>9.35</v>
      </c>
      <c r="C41" s="64">
        <v>34.94</v>
      </c>
      <c r="D41" s="64">
        <v>25.67</v>
      </c>
      <c r="E41" s="64">
        <v>1.55</v>
      </c>
      <c r="F41" s="64">
        <v>3.53</v>
      </c>
      <c r="G41" s="64">
        <v>93.91</v>
      </c>
      <c r="H41" s="64">
        <v>23.71</v>
      </c>
      <c r="I41" s="64">
        <v>6.88</v>
      </c>
      <c r="J41" s="64">
        <v>1.36</v>
      </c>
      <c r="K41" s="64">
        <v>147.63</v>
      </c>
      <c r="L41" s="64">
        <v>28.35</v>
      </c>
      <c r="M41" s="64">
        <v>25.94</v>
      </c>
      <c r="N41" s="64">
        <v>541.1</v>
      </c>
      <c r="O41" s="64">
        <v>0</v>
      </c>
      <c r="P41" s="64">
        <v>0.65</v>
      </c>
      <c r="Q41" s="64">
        <v>9.85</v>
      </c>
      <c r="R41" s="198"/>
      <c r="S41" s="198"/>
      <c r="T41" s="198"/>
      <c r="U41" s="198"/>
    </row>
    <row r="42" spans="1:21" s="12" customFormat="1" x14ac:dyDescent="0.25">
      <c r="A42" s="216" t="s">
        <v>471</v>
      </c>
      <c r="B42" s="64">
        <v>7.64</v>
      </c>
      <c r="C42" s="64">
        <v>35.72</v>
      </c>
      <c r="D42" s="64">
        <v>24.71</v>
      </c>
      <c r="E42" s="64">
        <v>1.83</v>
      </c>
      <c r="F42" s="64">
        <v>3.43</v>
      </c>
      <c r="G42" s="64">
        <v>93.91</v>
      </c>
      <c r="H42" s="64">
        <v>23.71</v>
      </c>
      <c r="I42" s="64">
        <v>6.76</v>
      </c>
      <c r="J42" s="64">
        <v>0.88</v>
      </c>
      <c r="K42" s="64">
        <v>145.02000000000001</v>
      </c>
      <c r="L42" s="64">
        <v>29.81</v>
      </c>
      <c r="M42" s="64">
        <v>21.35</v>
      </c>
      <c r="N42" s="64">
        <v>592.20000000000005</v>
      </c>
      <c r="O42" s="64">
        <v>0</v>
      </c>
      <c r="P42" s="64">
        <v>0.63</v>
      </c>
      <c r="Q42" s="64">
        <v>9.81</v>
      </c>
      <c r="R42" s="198"/>
      <c r="S42" s="198"/>
      <c r="T42" s="198"/>
      <c r="U42" s="198"/>
    </row>
    <row r="43" spans="1:21" s="12" customFormat="1" x14ac:dyDescent="0.25">
      <c r="A43" s="216" t="s">
        <v>472</v>
      </c>
      <c r="B43" s="64">
        <v>6.01</v>
      </c>
      <c r="C43" s="64">
        <v>35.93</v>
      </c>
      <c r="D43" s="64">
        <v>23.51</v>
      </c>
      <c r="E43" s="64">
        <v>1.59</v>
      </c>
      <c r="F43" s="64">
        <v>3.98</v>
      </c>
      <c r="G43" s="64">
        <v>93.91</v>
      </c>
      <c r="H43" s="64">
        <v>23.71</v>
      </c>
      <c r="I43" s="64">
        <v>6.7</v>
      </c>
      <c r="J43" s="64">
        <v>0.48</v>
      </c>
      <c r="K43" s="64">
        <v>165.01</v>
      </c>
      <c r="L43" s="64">
        <v>30.4</v>
      </c>
      <c r="M43" s="64">
        <v>19.05</v>
      </c>
      <c r="N43" s="64">
        <v>639.79999999999995</v>
      </c>
      <c r="O43" s="64">
        <v>0</v>
      </c>
      <c r="P43" s="64">
        <v>0.61</v>
      </c>
      <c r="Q43" s="64">
        <v>9.8000000000000007</v>
      </c>
      <c r="R43" s="198"/>
      <c r="S43" s="198"/>
      <c r="T43" s="198"/>
      <c r="U43" s="198"/>
    </row>
    <row r="44" spans="1:21" s="12" customFormat="1" x14ac:dyDescent="0.25">
      <c r="A44" s="216" t="s">
        <v>473</v>
      </c>
      <c r="B44" s="64">
        <v>4.58</v>
      </c>
      <c r="C44" s="64">
        <v>36</v>
      </c>
      <c r="D44" s="64">
        <v>22.4</v>
      </c>
      <c r="E44" s="64">
        <v>1.62</v>
      </c>
      <c r="F44" s="64">
        <v>4.22</v>
      </c>
      <c r="G44" s="64">
        <v>85.88</v>
      </c>
      <c r="H44" s="64">
        <v>20.03</v>
      </c>
      <c r="I44" s="64">
        <v>6.59</v>
      </c>
      <c r="J44" s="64">
        <v>0.44</v>
      </c>
      <c r="K44" s="64">
        <v>152.68</v>
      </c>
      <c r="L44" s="64">
        <v>31.01</v>
      </c>
      <c r="M44" s="64">
        <v>17.54</v>
      </c>
      <c r="N44" s="64">
        <v>686.1</v>
      </c>
      <c r="O44" s="64">
        <v>0</v>
      </c>
      <c r="P44" s="64">
        <v>0.6</v>
      </c>
      <c r="Q44" s="64">
        <v>9.75</v>
      </c>
      <c r="R44" s="198"/>
      <c r="S44" s="198"/>
      <c r="T44" s="198"/>
      <c r="U44" s="198"/>
    </row>
    <row r="45" spans="1:21" s="12" customFormat="1" x14ac:dyDescent="0.25">
      <c r="A45" s="216" t="s">
        <v>474</v>
      </c>
      <c r="B45" s="64">
        <v>3.54</v>
      </c>
      <c r="C45" s="64">
        <v>35.57</v>
      </c>
      <c r="D45" s="64">
        <v>21.34</v>
      </c>
      <c r="E45" s="64">
        <v>1.6</v>
      </c>
      <c r="F45" s="64">
        <v>4.32</v>
      </c>
      <c r="G45" s="64">
        <v>80.27</v>
      </c>
      <c r="H45" s="64">
        <v>17.47</v>
      </c>
      <c r="I45" s="64">
        <v>6.61</v>
      </c>
      <c r="J45" s="64">
        <v>0.24</v>
      </c>
      <c r="K45" s="64">
        <v>157.77000000000001</v>
      </c>
      <c r="L45" s="64">
        <v>32.1</v>
      </c>
      <c r="M45" s="64">
        <v>17</v>
      </c>
      <c r="N45" s="64">
        <v>723.2</v>
      </c>
      <c r="O45" s="64">
        <v>0</v>
      </c>
      <c r="P45" s="64">
        <v>0.57999999999999996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6" t="s">
        <v>475</v>
      </c>
      <c r="B46" s="64">
        <v>3.06</v>
      </c>
      <c r="C46" s="64">
        <v>34.85</v>
      </c>
      <c r="D46" s="64">
        <v>20.58</v>
      </c>
      <c r="E46" s="64">
        <v>1.62</v>
      </c>
      <c r="F46" s="64">
        <v>4.32</v>
      </c>
      <c r="G46" s="64">
        <v>80.27</v>
      </c>
      <c r="H46" s="64">
        <v>17.47</v>
      </c>
      <c r="I46" s="64">
        <v>6.5</v>
      </c>
      <c r="J46" s="64">
        <v>0.31</v>
      </c>
      <c r="K46" s="64">
        <v>90.21</v>
      </c>
      <c r="L46" s="64">
        <v>33.32</v>
      </c>
      <c r="M46" s="64">
        <v>15.45</v>
      </c>
      <c r="N46" s="64">
        <v>759.1</v>
      </c>
      <c r="O46" s="64">
        <v>0</v>
      </c>
      <c r="P46" s="64">
        <v>0.57999999999999996</v>
      </c>
      <c r="Q46" s="64">
        <v>9.7200000000000006</v>
      </c>
      <c r="R46" s="198"/>
      <c r="S46" s="198"/>
      <c r="T46" s="198"/>
      <c r="U46" s="198"/>
    </row>
    <row r="47" spans="1:21" s="12" customFormat="1" x14ac:dyDescent="0.25">
      <c r="A47" s="216" t="s">
        <v>476</v>
      </c>
      <c r="B47" s="64">
        <v>2.92</v>
      </c>
      <c r="C47" s="64">
        <v>34.380000000000003</v>
      </c>
      <c r="D47" s="64">
        <v>20.22</v>
      </c>
      <c r="E47" s="64">
        <v>1.58</v>
      </c>
      <c r="F47" s="64">
        <v>4.6900000000000004</v>
      </c>
      <c r="G47" s="64">
        <v>80.27</v>
      </c>
      <c r="H47" s="64">
        <v>17.47</v>
      </c>
      <c r="I47" s="64">
        <v>6.41</v>
      </c>
      <c r="J47" s="64">
        <v>0.25</v>
      </c>
      <c r="K47" s="64">
        <v>67.39</v>
      </c>
      <c r="L47" s="64">
        <v>34.61</v>
      </c>
      <c r="M47" s="64">
        <v>14.31</v>
      </c>
      <c r="N47" s="64">
        <v>795.8</v>
      </c>
      <c r="O47" s="64">
        <v>0</v>
      </c>
      <c r="P47" s="64">
        <v>0.57999999999999996</v>
      </c>
      <c r="Q47" s="64">
        <v>9.7200000000000006</v>
      </c>
      <c r="R47" s="198"/>
      <c r="S47" s="198"/>
      <c r="T47" s="198"/>
      <c r="U47" s="198"/>
    </row>
    <row r="48" spans="1:21" s="12" customFormat="1" x14ac:dyDescent="0.25">
      <c r="A48" s="216" t="s">
        <v>477</v>
      </c>
      <c r="B48" s="64">
        <v>2.89</v>
      </c>
      <c r="C48" s="64">
        <v>34.4</v>
      </c>
      <c r="D48" s="64">
        <v>20.21</v>
      </c>
      <c r="E48" s="64">
        <v>1.67</v>
      </c>
      <c r="F48" s="64">
        <v>4.88</v>
      </c>
      <c r="G48" s="64">
        <v>77.48</v>
      </c>
      <c r="H48" s="64">
        <v>21.81</v>
      </c>
      <c r="I48" s="64">
        <v>6.59</v>
      </c>
      <c r="J48" s="64">
        <v>0.51</v>
      </c>
      <c r="K48" s="64">
        <v>82.19</v>
      </c>
      <c r="L48" s="64">
        <v>34.03</v>
      </c>
      <c r="M48" s="64">
        <v>12.47</v>
      </c>
      <c r="N48" s="64">
        <v>834.7</v>
      </c>
      <c r="O48" s="64">
        <v>0</v>
      </c>
      <c r="P48" s="64">
        <v>0.57999999999999996</v>
      </c>
      <c r="Q48" s="64">
        <v>9.7100000000000009</v>
      </c>
      <c r="R48" s="198"/>
      <c r="S48" s="198"/>
      <c r="T48" s="198"/>
      <c r="U48" s="198"/>
    </row>
    <row r="49" spans="1:21" s="12" customFormat="1" x14ac:dyDescent="0.25">
      <c r="A49" s="216" t="s">
        <v>478</v>
      </c>
      <c r="B49" s="64">
        <v>2.85</v>
      </c>
      <c r="C49" s="64">
        <v>34.08</v>
      </c>
      <c r="D49" s="64">
        <v>20.010000000000002</v>
      </c>
      <c r="E49" s="64">
        <v>1.72</v>
      </c>
      <c r="F49" s="64">
        <v>4.6399999999999997</v>
      </c>
      <c r="G49" s="64">
        <v>75.52</v>
      </c>
      <c r="H49" s="64">
        <v>24.84</v>
      </c>
      <c r="I49" s="64">
        <v>6.92</v>
      </c>
      <c r="J49" s="64">
        <v>0.48</v>
      </c>
      <c r="K49" s="64">
        <v>74.14</v>
      </c>
      <c r="L49" s="64">
        <v>34.89</v>
      </c>
      <c r="M49" s="64">
        <v>11.44</v>
      </c>
      <c r="N49" s="64">
        <v>858.4</v>
      </c>
      <c r="O49" s="64">
        <v>0</v>
      </c>
      <c r="P49" s="64">
        <v>0.56999999999999995</v>
      </c>
      <c r="Q49" s="64">
        <v>9.7100000000000009</v>
      </c>
      <c r="R49" s="198"/>
      <c r="S49" s="198"/>
      <c r="T49" s="198"/>
      <c r="U49" s="198"/>
    </row>
    <row r="50" spans="1:21" s="12" customFormat="1" x14ac:dyDescent="0.25">
      <c r="A50" s="216" t="s">
        <v>479</v>
      </c>
      <c r="B50" s="64">
        <v>2.82</v>
      </c>
      <c r="C50" s="64">
        <v>35.43</v>
      </c>
      <c r="D50" s="64">
        <v>20.69</v>
      </c>
      <c r="E50" s="64">
        <v>2.48</v>
      </c>
      <c r="F50" s="64">
        <v>9.59</v>
      </c>
      <c r="G50" s="64">
        <v>75.52</v>
      </c>
      <c r="H50" s="64">
        <v>24.84</v>
      </c>
      <c r="I50" s="64">
        <v>7.63</v>
      </c>
      <c r="J50" s="64">
        <v>0.51</v>
      </c>
      <c r="K50" s="64">
        <v>359.85</v>
      </c>
      <c r="L50" s="64">
        <v>36.880000000000003</v>
      </c>
      <c r="M50" s="64">
        <v>10.56</v>
      </c>
      <c r="N50" s="64">
        <v>887.5</v>
      </c>
      <c r="O50" s="64">
        <v>0</v>
      </c>
      <c r="P50" s="64">
        <v>0.56999999999999995</v>
      </c>
      <c r="Q50" s="64">
        <v>9.7200000000000006</v>
      </c>
      <c r="R50" s="198"/>
      <c r="S50" s="198"/>
      <c r="T50" s="198"/>
      <c r="U50" s="198"/>
    </row>
    <row r="51" spans="1:21" s="12" customFormat="1" x14ac:dyDescent="0.25">
      <c r="A51" s="216" t="s">
        <v>480</v>
      </c>
      <c r="B51" s="64">
        <v>1.96</v>
      </c>
      <c r="C51" s="64">
        <v>40.96</v>
      </c>
      <c r="D51" s="64">
        <v>22.89</v>
      </c>
      <c r="E51" s="64">
        <v>2.29</v>
      </c>
      <c r="F51" s="64">
        <v>10.92</v>
      </c>
      <c r="G51" s="64">
        <v>75.52</v>
      </c>
      <c r="H51" s="64">
        <v>24.84</v>
      </c>
      <c r="I51" s="64">
        <v>8.0399999999999991</v>
      </c>
      <c r="J51" s="64">
        <v>0.72</v>
      </c>
      <c r="K51" s="64">
        <v>96.07</v>
      </c>
      <c r="L51" s="64">
        <v>35.17</v>
      </c>
      <c r="M51" s="64">
        <v>10.37</v>
      </c>
      <c r="N51" s="64">
        <v>914.6</v>
      </c>
      <c r="O51" s="64">
        <v>0</v>
      </c>
      <c r="P51" s="64">
        <v>0.56000000000000005</v>
      </c>
      <c r="Q51" s="64">
        <v>9.7100000000000009</v>
      </c>
      <c r="R51" s="198"/>
      <c r="S51" s="198"/>
      <c r="T51" s="198"/>
      <c r="U51" s="198"/>
    </row>
    <row r="52" spans="1:21" s="12" customFormat="1" x14ac:dyDescent="0.25">
      <c r="A52" s="216" t="s">
        <v>481</v>
      </c>
      <c r="B52" s="64">
        <v>1.78</v>
      </c>
      <c r="C52" s="64">
        <v>40.68</v>
      </c>
      <c r="D52" s="64">
        <v>22.6</v>
      </c>
      <c r="E52" s="64">
        <v>1.91</v>
      </c>
      <c r="F52" s="64">
        <v>7.36</v>
      </c>
      <c r="G52" s="64">
        <v>66.02</v>
      </c>
      <c r="H52" s="64">
        <v>25.01</v>
      </c>
      <c r="I52" s="64">
        <v>8</v>
      </c>
      <c r="J52" s="64">
        <v>0.74</v>
      </c>
      <c r="K52" s="64">
        <v>95.66</v>
      </c>
      <c r="L52" s="64">
        <v>35.21</v>
      </c>
      <c r="M52" s="64">
        <v>9.99</v>
      </c>
      <c r="N52" s="64">
        <v>944.6</v>
      </c>
      <c r="O52" s="64">
        <v>0</v>
      </c>
      <c r="P52" s="64">
        <v>0.55000000000000004</v>
      </c>
      <c r="Q52" s="64">
        <v>9.73</v>
      </c>
      <c r="R52" s="198"/>
      <c r="S52" s="198"/>
      <c r="T52" s="198"/>
      <c r="U52" s="198"/>
    </row>
    <row r="53" spans="1:21" s="12" customFormat="1" x14ac:dyDescent="0.25">
      <c r="A53" s="216" t="s">
        <v>482</v>
      </c>
      <c r="B53" s="64">
        <v>1.81</v>
      </c>
      <c r="C53" s="64">
        <v>39.369999999999997</v>
      </c>
      <c r="D53" s="64">
        <v>21.94</v>
      </c>
      <c r="E53" s="64">
        <v>1.97</v>
      </c>
      <c r="F53" s="64">
        <v>7.24</v>
      </c>
      <c r="G53" s="64">
        <v>59.39</v>
      </c>
      <c r="H53" s="64">
        <v>25.14</v>
      </c>
      <c r="I53" s="64">
        <v>7.59</v>
      </c>
      <c r="J53" s="64">
        <v>0.61</v>
      </c>
      <c r="K53" s="64">
        <v>109.12</v>
      </c>
      <c r="L53" s="64">
        <v>35.31</v>
      </c>
      <c r="M53" s="64">
        <v>8.4700000000000006</v>
      </c>
      <c r="N53" s="64">
        <v>962.4</v>
      </c>
      <c r="O53" s="64">
        <v>0</v>
      </c>
      <c r="P53" s="64">
        <v>0.52</v>
      </c>
      <c r="Q53" s="64">
        <v>9.74</v>
      </c>
      <c r="R53" s="198"/>
      <c r="S53" s="198"/>
      <c r="T53" s="198"/>
      <c r="U53" s="198"/>
    </row>
    <row r="54" spans="1:21" s="12" customFormat="1" x14ac:dyDescent="0.25">
      <c r="A54" s="216" t="s">
        <v>483</v>
      </c>
      <c r="B54" s="64">
        <v>1.87</v>
      </c>
      <c r="C54" s="64">
        <v>37.89</v>
      </c>
      <c r="D54" s="64">
        <v>21.21</v>
      </c>
      <c r="E54" s="64">
        <v>2.2599999999999998</v>
      </c>
      <c r="F54" s="64">
        <v>6.58</v>
      </c>
      <c r="G54" s="64">
        <v>59.39</v>
      </c>
      <c r="H54" s="64">
        <v>25.14</v>
      </c>
      <c r="I54" s="64">
        <v>7.88</v>
      </c>
      <c r="J54" s="64">
        <v>0.84</v>
      </c>
      <c r="K54" s="64">
        <v>107.3</v>
      </c>
      <c r="L54" s="64">
        <v>34.68</v>
      </c>
      <c r="M54" s="64">
        <v>10.42</v>
      </c>
      <c r="N54" s="64">
        <v>963.7</v>
      </c>
      <c r="O54" s="64">
        <v>0</v>
      </c>
      <c r="P54" s="64">
        <v>0.51</v>
      </c>
      <c r="Q54" s="64">
        <v>9.73</v>
      </c>
      <c r="R54" s="198"/>
      <c r="S54" s="198"/>
      <c r="T54" s="198"/>
      <c r="U54" s="198"/>
    </row>
    <row r="55" spans="1:21" s="12" customFormat="1" x14ac:dyDescent="0.25">
      <c r="A55" s="216" t="s">
        <v>484</v>
      </c>
      <c r="B55" s="64">
        <v>1.97</v>
      </c>
      <c r="C55" s="64">
        <v>37.14</v>
      </c>
      <c r="D55" s="64">
        <v>20.9</v>
      </c>
      <c r="E55" s="64">
        <v>2.2000000000000002</v>
      </c>
      <c r="F55" s="64">
        <v>7.02</v>
      </c>
      <c r="G55" s="64">
        <v>59.39</v>
      </c>
      <c r="H55" s="64">
        <v>25.14</v>
      </c>
      <c r="I55" s="64">
        <v>7.99</v>
      </c>
      <c r="J55" s="64">
        <v>0.25</v>
      </c>
      <c r="K55" s="64">
        <v>40.340000000000003</v>
      </c>
      <c r="L55" s="64">
        <v>37.840000000000003</v>
      </c>
      <c r="M55" s="64">
        <v>8.94</v>
      </c>
      <c r="N55" s="64">
        <v>954.4</v>
      </c>
      <c r="O55" s="64">
        <v>0</v>
      </c>
      <c r="P55" s="64">
        <v>0.5</v>
      </c>
      <c r="Q55" s="64">
        <v>9.73</v>
      </c>
      <c r="R55" s="198"/>
      <c r="S55" s="198"/>
      <c r="T55" s="198"/>
      <c r="U55" s="198"/>
    </row>
    <row r="56" spans="1:21" s="12" customFormat="1" x14ac:dyDescent="0.25">
      <c r="A56" s="216" t="s">
        <v>485</v>
      </c>
      <c r="B56" s="64">
        <v>1.9</v>
      </c>
      <c r="C56" s="64">
        <v>37.659999999999997</v>
      </c>
      <c r="D56" s="64">
        <v>21.12</v>
      </c>
      <c r="E56" s="64">
        <v>1.66</v>
      </c>
      <c r="F56" s="64">
        <v>6.65</v>
      </c>
      <c r="G56" s="64">
        <v>50.02</v>
      </c>
      <c r="H56" s="64">
        <v>18.27</v>
      </c>
      <c r="I56" s="64">
        <v>8.1199999999999992</v>
      </c>
      <c r="J56" s="64">
        <v>1.44</v>
      </c>
      <c r="K56" s="64">
        <v>117.52</v>
      </c>
      <c r="L56" s="64">
        <v>34.96</v>
      </c>
      <c r="M56" s="64">
        <v>8.76</v>
      </c>
      <c r="N56" s="64">
        <v>961.2</v>
      </c>
      <c r="O56" s="64">
        <v>0</v>
      </c>
      <c r="P56" s="64">
        <v>0.49</v>
      </c>
      <c r="Q56" s="64">
        <v>9.7100000000000009</v>
      </c>
      <c r="R56" s="198"/>
      <c r="S56" s="198"/>
      <c r="T56" s="198"/>
      <c r="U56" s="198"/>
    </row>
    <row r="57" spans="1:21" s="12" customFormat="1" x14ac:dyDescent="0.25">
      <c r="A57" s="216" t="s">
        <v>486</v>
      </c>
      <c r="B57" s="64">
        <v>1.89</v>
      </c>
      <c r="C57" s="64">
        <v>37.020000000000003</v>
      </c>
      <c r="D57" s="64">
        <v>20.78</v>
      </c>
      <c r="E57" s="64">
        <v>1.52</v>
      </c>
      <c r="F57" s="64">
        <v>6.22</v>
      </c>
      <c r="G57" s="64">
        <v>43.48</v>
      </c>
      <c r="H57" s="64">
        <v>13.49</v>
      </c>
      <c r="I57" s="64">
        <v>7.99</v>
      </c>
      <c r="J57" s="64">
        <v>0.45</v>
      </c>
      <c r="K57" s="64">
        <v>125.4</v>
      </c>
      <c r="L57" s="64">
        <v>35.79</v>
      </c>
      <c r="M57" s="64">
        <v>8.2799999999999994</v>
      </c>
      <c r="N57" s="64">
        <v>950.7</v>
      </c>
      <c r="O57" s="64">
        <v>0</v>
      </c>
      <c r="P57" s="64">
        <v>0.48</v>
      </c>
      <c r="Q57" s="64">
        <v>9.6999999999999993</v>
      </c>
      <c r="R57" s="198"/>
      <c r="S57" s="198"/>
      <c r="T57" s="198"/>
      <c r="U57" s="198"/>
    </row>
    <row r="58" spans="1:21" s="12" customFormat="1" x14ac:dyDescent="0.25">
      <c r="A58" s="216" t="s">
        <v>487</v>
      </c>
      <c r="B58" s="64">
        <v>1.82</v>
      </c>
      <c r="C58" s="64">
        <v>36.26</v>
      </c>
      <c r="D58" s="64">
        <v>20.32</v>
      </c>
      <c r="E58" s="64">
        <v>1.81</v>
      </c>
      <c r="F58" s="64">
        <v>8.5299999999999994</v>
      </c>
      <c r="G58" s="64">
        <v>43.48</v>
      </c>
      <c r="H58" s="64">
        <v>13.49</v>
      </c>
      <c r="I58" s="64">
        <v>7.95</v>
      </c>
      <c r="J58" s="64">
        <v>1.31</v>
      </c>
      <c r="K58" s="64">
        <v>103.22</v>
      </c>
      <c r="L58" s="64">
        <v>35.21</v>
      </c>
      <c r="M58" s="64">
        <v>9.06</v>
      </c>
      <c r="N58" s="64">
        <v>952.9</v>
      </c>
      <c r="O58" s="64">
        <v>0</v>
      </c>
      <c r="P58" s="64">
        <v>0.46</v>
      </c>
      <c r="Q58" s="64">
        <v>9.7200000000000006</v>
      </c>
      <c r="R58" s="198"/>
      <c r="S58" s="198"/>
      <c r="T58" s="198"/>
      <c r="U58" s="198"/>
    </row>
    <row r="59" spans="1:21" s="12" customFormat="1" x14ac:dyDescent="0.25">
      <c r="A59" s="216" t="s">
        <v>488</v>
      </c>
      <c r="B59" s="64">
        <v>1.82</v>
      </c>
      <c r="C59" s="64">
        <v>36.26</v>
      </c>
      <c r="D59" s="64">
        <v>20.32</v>
      </c>
      <c r="E59" s="64">
        <v>1.81</v>
      </c>
      <c r="F59" s="64">
        <v>8.5299999999999994</v>
      </c>
      <c r="G59" s="64">
        <v>43.48</v>
      </c>
      <c r="H59" s="64">
        <v>13.49</v>
      </c>
      <c r="I59" s="64">
        <v>7.95</v>
      </c>
      <c r="J59" s="64">
        <v>1.31</v>
      </c>
      <c r="K59" s="64">
        <v>103.22</v>
      </c>
      <c r="L59" s="64">
        <v>35.21</v>
      </c>
      <c r="M59" s="64">
        <v>9.06</v>
      </c>
      <c r="N59" s="64">
        <v>952.9</v>
      </c>
      <c r="O59" s="64">
        <v>0</v>
      </c>
      <c r="P59" s="64">
        <v>0.46</v>
      </c>
      <c r="Q59" s="64">
        <v>9.7200000000000006</v>
      </c>
      <c r="R59" s="198"/>
      <c r="S59" s="198"/>
      <c r="T59" s="198"/>
      <c r="U59" s="198"/>
    </row>
    <row r="60" spans="1:21" s="12" customFormat="1" x14ac:dyDescent="0.25">
      <c r="A60" s="216" t="s">
        <v>489</v>
      </c>
      <c r="B60" s="64">
        <v>1.56</v>
      </c>
      <c r="C60" s="64">
        <v>34.54</v>
      </c>
      <c r="D60" s="64">
        <v>19.22</v>
      </c>
      <c r="E60" s="64">
        <v>1.75</v>
      </c>
      <c r="F60" s="64">
        <v>8.74</v>
      </c>
      <c r="G60" s="64">
        <v>52.75</v>
      </c>
      <c r="H60" s="64">
        <v>17.84</v>
      </c>
      <c r="I60" s="64">
        <v>8.1</v>
      </c>
      <c r="J60" s="64">
        <v>0.73</v>
      </c>
      <c r="K60" s="64">
        <v>115.23</v>
      </c>
      <c r="L60" s="64">
        <v>35.57</v>
      </c>
      <c r="M60" s="64">
        <v>7.96</v>
      </c>
      <c r="N60" s="64">
        <v>926.4</v>
      </c>
      <c r="O60" s="64">
        <v>0</v>
      </c>
      <c r="P60" s="64">
        <v>0.42</v>
      </c>
      <c r="Q60" s="64">
        <v>9.6999999999999993</v>
      </c>
      <c r="R60" s="198"/>
      <c r="S60" s="198"/>
      <c r="T60" s="198"/>
      <c r="U60" s="198"/>
    </row>
    <row r="61" spans="1:21" s="12" customFormat="1" x14ac:dyDescent="0.25">
      <c r="A61" s="216" t="s">
        <v>490</v>
      </c>
      <c r="B61" s="64">
        <v>1.56</v>
      </c>
      <c r="C61" s="64">
        <v>34.54</v>
      </c>
      <c r="D61" s="64">
        <v>19.22</v>
      </c>
      <c r="E61" s="64">
        <v>1.75</v>
      </c>
      <c r="F61" s="64">
        <v>8.74</v>
      </c>
      <c r="G61" s="64">
        <v>52.75</v>
      </c>
      <c r="H61" s="64">
        <v>17.84</v>
      </c>
      <c r="I61" s="64">
        <v>8.1</v>
      </c>
      <c r="J61" s="64">
        <v>0.73</v>
      </c>
      <c r="K61" s="64">
        <v>115.23</v>
      </c>
      <c r="L61" s="64">
        <v>35.57</v>
      </c>
      <c r="M61" s="64">
        <v>7.96</v>
      </c>
      <c r="N61" s="64">
        <v>926.4</v>
      </c>
      <c r="O61" s="64">
        <v>0</v>
      </c>
      <c r="P61" s="64">
        <v>0.42</v>
      </c>
      <c r="Q61" s="64">
        <v>9.6999999999999993</v>
      </c>
      <c r="R61" s="198"/>
      <c r="S61" s="198"/>
      <c r="T61" s="198"/>
      <c r="U61" s="198"/>
    </row>
    <row r="62" spans="1:21" s="12" customFormat="1" x14ac:dyDescent="0.25">
      <c r="A62" s="216" t="s">
        <v>491</v>
      </c>
      <c r="B62" s="64">
        <v>1.74</v>
      </c>
      <c r="C62" s="64">
        <v>33.57</v>
      </c>
      <c r="D62" s="64">
        <v>18.850000000000001</v>
      </c>
      <c r="E62" s="64">
        <v>1.67</v>
      </c>
      <c r="F62" s="64">
        <v>6.36</v>
      </c>
      <c r="G62" s="64">
        <v>64.47</v>
      </c>
      <c r="H62" s="64">
        <v>23.35</v>
      </c>
      <c r="I62" s="64">
        <v>7.76</v>
      </c>
      <c r="J62" s="64">
        <v>0.39</v>
      </c>
      <c r="K62" s="64">
        <v>24.18</v>
      </c>
      <c r="L62" s="64">
        <v>37.68</v>
      </c>
      <c r="M62" s="64">
        <v>7.52</v>
      </c>
      <c r="N62" s="64">
        <v>855</v>
      </c>
      <c r="O62" s="64">
        <v>0</v>
      </c>
      <c r="P62" s="64">
        <v>0.38</v>
      </c>
      <c r="Q62" s="64">
        <v>9.6999999999999993</v>
      </c>
      <c r="R62" s="198"/>
      <c r="S62" s="198"/>
      <c r="T62" s="198"/>
      <c r="U62" s="198"/>
    </row>
    <row r="63" spans="1:21" s="12" customFormat="1" x14ac:dyDescent="0.25">
      <c r="A63" s="216" t="s">
        <v>492</v>
      </c>
      <c r="B63" s="64">
        <v>1.56</v>
      </c>
      <c r="C63" s="64">
        <v>36.35</v>
      </c>
      <c r="D63" s="64">
        <v>20.16</v>
      </c>
      <c r="E63" s="64">
        <v>4.33</v>
      </c>
      <c r="F63" s="64">
        <v>34.42</v>
      </c>
      <c r="G63" s="64">
        <v>64.47</v>
      </c>
      <c r="H63" s="64">
        <v>23.35</v>
      </c>
      <c r="I63" s="64">
        <v>7.52</v>
      </c>
      <c r="J63" s="64">
        <v>0.37</v>
      </c>
      <c r="K63" s="64">
        <v>156</v>
      </c>
      <c r="L63" s="64">
        <v>37.99</v>
      </c>
      <c r="M63" s="64">
        <v>6.34</v>
      </c>
      <c r="N63" s="64">
        <v>798.7</v>
      </c>
      <c r="O63" s="64">
        <v>0</v>
      </c>
      <c r="P63" s="64">
        <v>0.39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6" t="s">
        <v>493</v>
      </c>
      <c r="B64" s="64">
        <v>1.1200000000000001</v>
      </c>
      <c r="C64" s="64">
        <v>34.6</v>
      </c>
      <c r="D64" s="64">
        <v>18.899999999999999</v>
      </c>
      <c r="E64" s="64">
        <v>2.89</v>
      </c>
      <c r="F64" s="64">
        <v>22.56</v>
      </c>
      <c r="G64" s="64">
        <v>60.26</v>
      </c>
      <c r="H64" s="64">
        <v>22.3</v>
      </c>
      <c r="I64" s="64">
        <v>7.45</v>
      </c>
      <c r="J64" s="64">
        <v>0.21</v>
      </c>
      <c r="K64" s="64">
        <v>166.95</v>
      </c>
      <c r="L64" s="64">
        <v>36.85</v>
      </c>
      <c r="M64" s="64">
        <v>7.21</v>
      </c>
      <c r="N64" s="64">
        <v>741.8</v>
      </c>
      <c r="O64" s="64">
        <v>0</v>
      </c>
      <c r="P64" s="64">
        <v>0.34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6" t="s">
        <v>494</v>
      </c>
      <c r="B65" s="64">
        <v>1.01</v>
      </c>
      <c r="C65" s="64">
        <v>33.549999999999997</v>
      </c>
      <c r="D65" s="64">
        <v>18.260000000000002</v>
      </c>
      <c r="E65" s="64">
        <v>4</v>
      </c>
      <c r="F65" s="64">
        <v>35.26</v>
      </c>
      <c r="G65" s="64">
        <v>57.32</v>
      </c>
      <c r="H65" s="64">
        <v>21.56</v>
      </c>
      <c r="I65" s="64">
        <v>5.66</v>
      </c>
      <c r="J65" s="64">
        <v>0.37</v>
      </c>
      <c r="K65" s="64">
        <v>5.26</v>
      </c>
      <c r="L65" s="64">
        <v>37.36</v>
      </c>
      <c r="M65" s="64">
        <v>7.38</v>
      </c>
      <c r="N65" s="64">
        <v>590.20000000000005</v>
      </c>
      <c r="O65" s="64">
        <v>0</v>
      </c>
      <c r="P65" s="64">
        <v>0.33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16" t="s">
        <v>495</v>
      </c>
      <c r="B66" s="64">
        <v>1.08</v>
      </c>
      <c r="C66" s="64">
        <v>34.21</v>
      </c>
      <c r="D66" s="64">
        <v>18.66</v>
      </c>
      <c r="E66" s="64">
        <v>2.56</v>
      </c>
      <c r="F66" s="64">
        <v>17.22</v>
      </c>
      <c r="G66" s="64">
        <v>57.32</v>
      </c>
      <c r="H66" s="64">
        <v>21.56</v>
      </c>
      <c r="I66" s="64">
        <v>4.42</v>
      </c>
      <c r="J66" s="64">
        <v>0.18</v>
      </c>
      <c r="K66" s="64">
        <v>111.63</v>
      </c>
      <c r="L66" s="64">
        <v>36.78</v>
      </c>
      <c r="M66" s="64">
        <v>8.34</v>
      </c>
      <c r="N66" s="64">
        <v>362.3</v>
      </c>
      <c r="O66" s="64">
        <v>0</v>
      </c>
      <c r="P66" s="64">
        <v>0.33</v>
      </c>
      <c r="Q66" s="64">
        <v>9.3699999999999992</v>
      </c>
      <c r="R66" s="198"/>
      <c r="S66" s="198"/>
      <c r="T66" s="198"/>
      <c r="U66" s="198"/>
    </row>
    <row r="67" spans="1:21" s="12" customFormat="1" x14ac:dyDescent="0.25">
      <c r="A67" s="216" t="s">
        <v>496</v>
      </c>
      <c r="B67" s="64">
        <v>1.07</v>
      </c>
      <c r="C67" s="64">
        <v>36.1</v>
      </c>
      <c r="D67" s="64">
        <v>19.64</v>
      </c>
      <c r="E67" s="64">
        <v>3.22</v>
      </c>
      <c r="F67" s="64">
        <v>19.5</v>
      </c>
      <c r="G67" s="64">
        <v>57.32</v>
      </c>
      <c r="H67" s="64">
        <v>21.56</v>
      </c>
      <c r="I67" s="64">
        <v>3.65</v>
      </c>
      <c r="J67" s="64">
        <v>0.1</v>
      </c>
      <c r="K67" s="64">
        <v>318.45</v>
      </c>
      <c r="L67" s="64">
        <v>37.19</v>
      </c>
      <c r="M67" s="64">
        <v>8.6300000000000008</v>
      </c>
      <c r="N67" s="64">
        <v>279.2</v>
      </c>
      <c r="O67" s="64">
        <v>0</v>
      </c>
      <c r="P67" s="64">
        <v>0.34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6" t="s">
        <v>497</v>
      </c>
      <c r="B68" s="64">
        <v>1.29</v>
      </c>
      <c r="C68" s="64">
        <v>39.340000000000003</v>
      </c>
      <c r="D68" s="64">
        <v>21.5</v>
      </c>
      <c r="E68" s="64">
        <v>2.14</v>
      </c>
      <c r="F68" s="64">
        <v>11</v>
      </c>
      <c r="G68" s="64">
        <v>63.25</v>
      </c>
      <c r="H68" s="64">
        <v>23.35</v>
      </c>
      <c r="I68" s="64">
        <v>3.43</v>
      </c>
      <c r="J68" s="64">
        <v>0.56000000000000005</v>
      </c>
      <c r="K68" s="64">
        <v>335.56</v>
      </c>
      <c r="L68" s="64">
        <v>36.68</v>
      </c>
      <c r="M68" s="64">
        <v>9.2200000000000006</v>
      </c>
      <c r="N68" s="64">
        <v>318.10000000000002</v>
      </c>
      <c r="O68" s="64">
        <v>0</v>
      </c>
      <c r="P68" s="64">
        <v>0.35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6" t="s">
        <v>498</v>
      </c>
      <c r="B69" s="64">
        <v>1.65</v>
      </c>
      <c r="C69" s="64">
        <v>39.24</v>
      </c>
      <c r="D69" s="64">
        <v>21.74</v>
      </c>
      <c r="E69" s="64">
        <v>2.25</v>
      </c>
      <c r="F69" s="64">
        <v>9.2200000000000006</v>
      </c>
      <c r="G69" s="64">
        <v>67.39</v>
      </c>
      <c r="H69" s="64">
        <v>24.59</v>
      </c>
      <c r="I69" s="64">
        <v>3.29</v>
      </c>
      <c r="J69" s="64">
        <v>0.32</v>
      </c>
      <c r="K69" s="64">
        <v>337.35</v>
      </c>
      <c r="L69" s="64">
        <v>37.26</v>
      </c>
      <c r="M69" s="64">
        <v>8.51</v>
      </c>
      <c r="N69" s="64">
        <v>334.4</v>
      </c>
      <c r="O69" s="64">
        <v>0</v>
      </c>
      <c r="P69" s="64">
        <v>0.36</v>
      </c>
      <c r="Q69" s="64">
        <v>9.4700000000000006</v>
      </c>
      <c r="R69" s="198"/>
      <c r="S69" s="198"/>
      <c r="T69" s="198"/>
      <c r="U69" s="198"/>
    </row>
    <row r="70" spans="1:21" s="12" customFormat="1" x14ac:dyDescent="0.25">
      <c r="A70" s="216" t="s">
        <v>499</v>
      </c>
      <c r="B70" s="64">
        <v>1.49</v>
      </c>
      <c r="C70" s="64">
        <v>41.29</v>
      </c>
      <c r="D70" s="64">
        <v>22.69</v>
      </c>
      <c r="E70" s="64">
        <v>2.21</v>
      </c>
      <c r="F70" s="64">
        <v>9.42</v>
      </c>
      <c r="G70" s="64">
        <v>67.39</v>
      </c>
      <c r="H70" s="64">
        <v>24.59</v>
      </c>
      <c r="I70" s="64">
        <v>3.22</v>
      </c>
      <c r="J70" s="64">
        <v>0.09</v>
      </c>
      <c r="K70" s="64">
        <v>10.78</v>
      </c>
      <c r="L70" s="64">
        <v>36.229999999999997</v>
      </c>
      <c r="M70" s="64">
        <v>9.3800000000000008</v>
      </c>
      <c r="N70" s="64">
        <v>305.3</v>
      </c>
      <c r="O70" s="64">
        <v>0</v>
      </c>
      <c r="P70" s="64">
        <v>0.36</v>
      </c>
      <c r="Q70" s="64">
        <v>9.57</v>
      </c>
      <c r="R70" s="198"/>
      <c r="S70" s="198"/>
      <c r="T70" s="198"/>
      <c r="U70" s="198"/>
    </row>
    <row r="71" spans="1:21" s="12" customFormat="1" x14ac:dyDescent="0.25">
      <c r="A71" s="216" t="s">
        <v>500</v>
      </c>
      <c r="B71" s="64">
        <v>1.57</v>
      </c>
      <c r="C71" s="64">
        <v>43.51</v>
      </c>
      <c r="D71" s="64">
        <v>23.91</v>
      </c>
      <c r="E71" s="64">
        <v>2.58</v>
      </c>
      <c r="F71" s="64">
        <v>10.26</v>
      </c>
      <c r="G71" s="64">
        <v>67.39</v>
      </c>
      <c r="H71" s="64">
        <v>24.59</v>
      </c>
      <c r="I71" s="64">
        <v>3.34</v>
      </c>
      <c r="J71" s="64">
        <v>0.37</v>
      </c>
      <c r="K71" s="64">
        <v>343.36</v>
      </c>
      <c r="L71" s="64">
        <v>36.520000000000003</v>
      </c>
      <c r="M71" s="64">
        <v>8.93</v>
      </c>
      <c r="N71" s="64">
        <v>209.3</v>
      </c>
      <c r="O71" s="64">
        <v>0</v>
      </c>
      <c r="P71" s="64">
        <v>0.38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6" t="s">
        <v>501</v>
      </c>
      <c r="B72" s="64">
        <v>1.26</v>
      </c>
      <c r="C72" s="64">
        <v>45.62</v>
      </c>
      <c r="D72" s="64">
        <v>24.77</v>
      </c>
      <c r="E72" s="64">
        <v>3.32</v>
      </c>
      <c r="F72" s="64">
        <v>17.64</v>
      </c>
      <c r="G72" s="64">
        <v>71.17</v>
      </c>
      <c r="H72" s="64">
        <v>23.14</v>
      </c>
      <c r="I72" s="64">
        <v>3.63</v>
      </c>
      <c r="J72" s="64">
        <v>0.19</v>
      </c>
      <c r="K72" s="64">
        <v>138.33000000000001</v>
      </c>
      <c r="L72" s="64">
        <v>35.92</v>
      </c>
      <c r="M72" s="64">
        <v>9</v>
      </c>
      <c r="N72" s="64">
        <v>184.4</v>
      </c>
      <c r="O72" s="64">
        <v>0</v>
      </c>
      <c r="P72" s="64">
        <v>0.38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6" t="s">
        <v>502</v>
      </c>
      <c r="B73" s="64">
        <v>1.25</v>
      </c>
      <c r="C73" s="64">
        <v>45.31</v>
      </c>
      <c r="D73" s="64">
        <v>24.59</v>
      </c>
      <c r="E73" s="64">
        <v>2.78</v>
      </c>
      <c r="F73" s="64">
        <v>11.62</v>
      </c>
      <c r="G73" s="64">
        <v>73.81</v>
      </c>
      <c r="H73" s="64">
        <v>22.12</v>
      </c>
      <c r="I73" s="64">
        <v>4.13</v>
      </c>
      <c r="J73" s="64">
        <v>0.36</v>
      </c>
      <c r="K73" s="64">
        <v>351.04</v>
      </c>
      <c r="L73" s="64">
        <v>35.65</v>
      </c>
      <c r="M73" s="64">
        <v>9.39</v>
      </c>
      <c r="N73" s="64">
        <v>208</v>
      </c>
      <c r="O73" s="64">
        <v>0</v>
      </c>
      <c r="P73" s="64">
        <v>0.38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6" t="s">
        <v>503</v>
      </c>
      <c r="B74" s="64">
        <v>1.72</v>
      </c>
      <c r="C74" s="64">
        <v>44.83</v>
      </c>
      <c r="D74" s="64">
        <v>24.72</v>
      </c>
      <c r="E74" s="64">
        <v>2.57</v>
      </c>
      <c r="F74" s="64">
        <v>7.78</v>
      </c>
      <c r="G74" s="64">
        <v>73.81</v>
      </c>
      <c r="H74" s="64">
        <v>22.12</v>
      </c>
      <c r="I74" s="64">
        <v>4.03</v>
      </c>
      <c r="J74" s="64">
        <v>0.98</v>
      </c>
      <c r="K74" s="64">
        <v>342.74</v>
      </c>
      <c r="L74" s="64">
        <v>35.86</v>
      </c>
      <c r="M74" s="64">
        <v>9.32</v>
      </c>
      <c r="N74" s="64">
        <v>106.3</v>
      </c>
      <c r="O74" s="64">
        <v>0</v>
      </c>
      <c r="P74" s="64">
        <v>0.39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6" t="s">
        <v>504</v>
      </c>
      <c r="B75" s="64">
        <v>2.0699999999999998</v>
      </c>
      <c r="C75" s="64">
        <v>45.99</v>
      </c>
      <c r="D75" s="64">
        <v>25.61</v>
      </c>
      <c r="E75" s="64">
        <v>2.48</v>
      </c>
      <c r="F75" s="64">
        <v>8.83</v>
      </c>
      <c r="G75" s="64">
        <v>73.81</v>
      </c>
      <c r="H75" s="64">
        <v>22.12</v>
      </c>
      <c r="I75" s="64">
        <v>4.17</v>
      </c>
      <c r="J75" s="64">
        <v>0.7</v>
      </c>
      <c r="K75" s="64">
        <v>323.14</v>
      </c>
      <c r="L75" s="64">
        <v>35.58</v>
      </c>
      <c r="M75" s="64">
        <v>10</v>
      </c>
      <c r="N75" s="64">
        <v>88.9</v>
      </c>
      <c r="O75" s="64">
        <v>0</v>
      </c>
      <c r="P75" s="64">
        <v>0.42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6" t="s">
        <v>505</v>
      </c>
      <c r="B76" s="64">
        <v>2.2799999999999998</v>
      </c>
      <c r="C76" s="64">
        <v>53.78</v>
      </c>
      <c r="D76" s="64">
        <v>29.85</v>
      </c>
      <c r="E76" s="64">
        <v>2.93</v>
      </c>
      <c r="F76" s="64">
        <v>18.260000000000002</v>
      </c>
      <c r="G76" s="64">
        <v>70.3</v>
      </c>
      <c r="H76" s="64">
        <v>22.58</v>
      </c>
      <c r="I76" s="64">
        <v>4.28</v>
      </c>
      <c r="J76" s="64">
        <v>0.8</v>
      </c>
      <c r="K76" s="64">
        <v>337.46</v>
      </c>
      <c r="L76" s="64">
        <v>35</v>
      </c>
      <c r="M76" s="64">
        <v>11.3</v>
      </c>
      <c r="N76" s="64">
        <v>77.099999999999994</v>
      </c>
      <c r="O76" s="64">
        <v>0</v>
      </c>
      <c r="P76" s="64">
        <v>0.43</v>
      </c>
      <c r="Q76" s="64">
        <v>9.5399999999999991</v>
      </c>
      <c r="R76" s="198"/>
      <c r="S76" s="198"/>
      <c r="T76" s="198"/>
      <c r="U76" s="198"/>
    </row>
    <row r="77" spans="1:21" s="12" customFormat="1" x14ac:dyDescent="0.25">
      <c r="A77" s="216" t="s">
        <v>506</v>
      </c>
      <c r="B77" s="64">
        <v>2.59</v>
      </c>
      <c r="C77" s="64">
        <v>83.29</v>
      </c>
      <c r="D77" s="64">
        <v>45.51</v>
      </c>
      <c r="E77" s="64">
        <v>3.98</v>
      </c>
      <c r="F77" s="64">
        <v>27.01</v>
      </c>
      <c r="G77" s="64">
        <v>67.849999999999994</v>
      </c>
      <c r="H77" s="64">
        <v>22.9</v>
      </c>
      <c r="I77" s="64">
        <v>4.0999999999999996</v>
      </c>
      <c r="J77" s="64">
        <v>0.48</v>
      </c>
      <c r="K77" s="64">
        <v>339.73</v>
      </c>
      <c r="L77" s="64">
        <v>34.03</v>
      </c>
      <c r="M77" s="64">
        <v>14.01</v>
      </c>
      <c r="N77" s="64">
        <v>67.900000000000006</v>
      </c>
      <c r="O77" s="64">
        <v>0</v>
      </c>
      <c r="P77" s="64">
        <v>0.57999999999999996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6" t="s">
        <v>507</v>
      </c>
      <c r="B78" s="64">
        <v>1.27</v>
      </c>
      <c r="C78" s="64">
        <v>79.03</v>
      </c>
      <c r="D78" s="64">
        <v>42.23</v>
      </c>
      <c r="E78" s="64">
        <v>2.75</v>
      </c>
      <c r="F78" s="64">
        <v>14.88</v>
      </c>
      <c r="G78" s="64">
        <v>67.849999999999994</v>
      </c>
      <c r="H78" s="64">
        <v>22.9</v>
      </c>
      <c r="I78" s="64">
        <v>3.5</v>
      </c>
      <c r="J78" s="64">
        <v>0.56999999999999995</v>
      </c>
      <c r="K78" s="64">
        <v>348.91</v>
      </c>
      <c r="L78" s="64">
        <v>33.21</v>
      </c>
      <c r="M78" s="64">
        <v>18.37</v>
      </c>
      <c r="N78" s="64">
        <v>57.4</v>
      </c>
      <c r="O78" s="64">
        <v>0</v>
      </c>
      <c r="P78" s="64">
        <v>0.63</v>
      </c>
      <c r="Q78" s="64">
        <v>9.41</v>
      </c>
      <c r="R78" s="198"/>
      <c r="S78" s="198"/>
      <c r="T78" s="198"/>
      <c r="U78" s="198"/>
    </row>
    <row r="79" spans="1:21" s="12" customFormat="1" x14ac:dyDescent="0.25">
      <c r="A79" s="216" t="s">
        <v>508</v>
      </c>
      <c r="B79" s="64">
        <v>3.15</v>
      </c>
      <c r="C79" s="64">
        <v>81.010000000000005</v>
      </c>
      <c r="D79" s="64">
        <v>44.77</v>
      </c>
      <c r="E79" s="64">
        <v>2.44</v>
      </c>
      <c r="F79" s="64">
        <v>7.81</v>
      </c>
      <c r="G79" s="64">
        <v>67.849999999999994</v>
      </c>
      <c r="H79" s="64">
        <v>22.9</v>
      </c>
      <c r="I79" s="64">
        <v>2.62</v>
      </c>
      <c r="J79" s="64">
        <v>0.3</v>
      </c>
      <c r="K79" s="64">
        <v>4</v>
      </c>
      <c r="L79" s="64">
        <v>32.17</v>
      </c>
      <c r="M79" s="64">
        <v>20.94</v>
      </c>
      <c r="N79" s="64">
        <v>47.4</v>
      </c>
      <c r="O79" s="64">
        <v>0</v>
      </c>
      <c r="P79" s="64">
        <v>0.7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6" t="s">
        <v>509</v>
      </c>
      <c r="B80" s="64">
        <v>11.66</v>
      </c>
      <c r="C80" s="64">
        <v>98.56</v>
      </c>
      <c r="D80" s="64">
        <v>60.76</v>
      </c>
      <c r="E80" s="64">
        <v>2.83</v>
      </c>
      <c r="F80" s="64">
        <v>5.32</v>
      </c>
      <c r="G80" s="64">
        <v>58.71</v>
      </c>
      <c r="H80" s="64">
        <v>24.35</v>
      </c>
      <c r="I80" s="64">
        <v>2.71</v>
      </c>
      <c r="J80" s="64">
        <v>0.03</v>
      </c>
      <c r="K80" s="64">
        <v>271.39999999999998</v>
      </c>
      <c r="L80" s="64">
        <v>31.21</v>
      </c>
      <c r="M80" s="64">
        <v>26.5</v>
      </c>
      <c r="N80" s="64">
        <v>35.799999999999997</v>
      </c>
      <c r="O80" s="64">
        <v>0</v>
      </c>
      <c r="P80" s="64">
        <v>0.99</v>
      </c>
      <c r="Q80" s="64">
        <v>9.92</v>
      </c>
      <c r="R80" s="198"/>
      <c r="S80" s="198"/>
      <c r="T80" s="198"/>
      <c r="U80" s="198"/>
    </row>
    <row r="81" spans="1:26" s="12" customFormat="1" x14ac:dyDescent="0.25">
      <c r="A81" s="216" t="s">
        <v>510</v>
      </c>
      <c r="B81" s="64">
        <v>14.24</v>
      </c>
      <c r="C81" s="64">
        <v>102.2</v>
      </c>
      <c r="D81" s="64">
        <v>64.739999999999995</v>
      </c>
      <c r="E81" s="64">
        <v>2.3199999999999998</v>
      </c>
      <c r="F81" s="64">
        <v>3.79</v>
      </c>
      <c r="G81" s="64">
        <v>52.33</v>
      </c>
      <c r="H81" s="64">
        <v>25.36</v>
      </c>
      <c r="I81" s="64">
        <v>3.18</v>
      </c>
      <c r="J81" s="64">
        <v>0.21</v>
      </c>
      <c r="K81" s="64">
        <v>283.36</v>
      </c>
      <c r="L81" s="64">
        <v>30.31</v>
      </c>
      <c r="M81" s="64">
        <v>27.16</v>
      </c>
      <c r="N81" s="64">
        <v>24.5</v>
      </c>
      <c r="O81" s="64">
        <v>0</v>
      </c>
      <c r="P81" s="64">
        <v>1.08</v>
      </c>
      <c r="Q81" s="64">
        <v>10.039999999999999</v>
      </c>
      <c r="R81" s="198"/>
      <c r="S81" s="198"/>
      <c r="T81" s="198"/>
      <c r="U81" s="198"/>
    </row>
    <row r="82" spans="1:26" s="12" customFormat="1" x14ac:dyDescent="0.25">
      <c r="A82" s="216" t="s">
        <v>511</v>
      </c>
      <c r="B82" s="64">
        <v>16.79</v>
      </c>
      <c r="C82" s="64">
        <v>96.37</v>
      </c>
      <c r="D82" s="64">
        <v>63.73</v>
      </c>
      <c r="E82" s="64">
        <v>2.41</v>
      </c>
      <c r="F82" s="64">
        <v>3.63</v>
      </c>
      <c r="G82" s="64">
        <v>52.33</v>
      </c>
      <c r="H82" s="64">
        <v>25.36</v>
      </c>
      <c r="I82" s="64">
        <v>3.91</v>
      </c>
      <c r="J82" s="64">
        <v>0.09</v>
      </c>
      <c r="K82" s="64">
        <v>305.45</v>
      </c>
      <c r="L82" s="64">
        <v>29.58</v>
      </c>
      <c r="M82" s="64">
        <v>28.3</v>
      </c>
      <c r="N82" s="64">
        <v>17.899999999999999</v>
      </c>
      <c r="O82" s="64">
        <v>0</v>
      </c>
      <c r="P82" s="64">
        <v>1.0900000000000001</v>
      </c>
      <c r="Q82" s="64">
        <v>10.3</v>
      </c>
      <c r="R82" s="198"/>
      <c r="S82" s="198"/>
      <c r="T82" s="198"/>
      <c r="U82" s="198"/>
    </row>
    <row r="83" spans="1:26" s="12" customFormat="1" x14ac:dyDescent="0.25">
      <c r="A83" s="216" t="s">
        <v>512</v>
      </c>
      <c r="B83" s="64">
        <v>20.09</v>
      </c>
      <c r="C83" s="64">
        <v>90.85</v>
      </c>
      <c r="D83" s="64">
        <v>63.49</v>
      </c>
      <c r="E83" s="64">
        <v>2.21</v>
      </c>
      <c r="F83" s="64">
        <v>3.33</v>
      </c>
      <c r="G83" s="64">
        <v>52.33</v>
      </c>
      <c r="H83" s="64">
        <v>25.36</v>
      </c>
      <c r="I83" s="64">
        <v>4.54</v>
      </c>
      <c r="J83" s="64">
        <v>0.16</v>
      </c>
      <c r="K83" s="64">
        <v>299.05</v>
      </c>
      <c r="L83" s="64">
        <v>29.02</v>
      </c>
      <c r="M83" s="64">
        <v>27.72</v>
      </c>
      <c r="N83" s="64">
        <v>16</v>
      </c>
      <c r="O83" s="64">
        <v>0</v>
      </c>
      <c r="P83" s="64">
        <v>1.1399999999999999</v>
      </c>
      <c r="Q83" s="64">
        <v>10.4</v>
      </c>
      <c r="R83" s="198"/>
      <c r="S83" s="198"/>
      <c r="T83" s="198"/>
      <c r="U83" s="198"/>
    </row>
    <row r="84" spans="1:26" s="12" customFormat="1" x14ac:dyDescent="0.25">
      <c r="A84" s="216" t="s">
        <v>513</v>
      </c>
      <c r="B84" s="64">
        <v>24.43</v>
      </c>
      <c r="C84" s="64">
        <v>85.57</v>
      </c>
      <c r="D84" s="64">
        <v>64.22</v>
      </c>
      <c r="E84" s="64">
        <v>2.16</v>
      </c>
      <c r="F84" s="64">
        <v>3.3</v>
      </c>
      <c r="G84" s="64">
        <v>114.62</v>
      </c>
      <c r="H84" s="64">
        <v>29.64</v>
      </c>
      <c r="I84" s="64">
        <v>5.36</v>
      </c>
      <c r="J84" s="64">
        <v>0.19</v>
      </c>
      <c r="K84" s="64">
        <v>270.33</v>
      </c>
      <c r="L84" s="64">
        <v>28.81</v>
      </c>
      <c r="M84" s="64">
        <v>26.74</v>
      </c>
      <c r="N84" s="64">
        <v>15.5</v>
      </c>
      <c r="O84" s="64">
        <v>0</v>
      </c>
      <c r="P84" s="64">
        <v>1.19</v>
      </c>
      <c r="Q84" s="64">
        <v>10.43</v>
      </c>
      <c r="R84" s="198"/>
      <c r="S84" s="198"/>
      <c r="T84" s="198"/>
      <c r="U84" s="198"/>
    </row>
    <row r="85" spans="1:26" s="12" customFormat="1" x14ac:dyDescent="0.25">
      <c r="A85" s="216" t="s">
        <v>514</v>
      </c>
      <c r="B85" s="64">
        <v>29.62</v>
      </c>
      <c r="C85" s="64">
        <v>81.010000000000005</v>
      </c>
      <c r="D85" s="64">
        <v>66</v>
      </c>
      <c r="E85" s="64">
        <v>2.42</v>
      </c>
      <c r="F85" s="64">
        <v>3.51</v>
      </c>
      <c r="G85" s="64">
        <v>158.11000000000001</v>
      </c>
      <c r="H85" s="64">
        <v>32.619999999999997</v>
      </c>
      <c r="I85" s="64">
        <v>6.06</v>
      </c>
      <c r="J85" s="64">
        <v>0.2</v>
      </c>
      <c r="K85" s="64">
        <v>343.63</v>
      </c>
      <c r="L85" s="64">
        <v>28.72</v>
      </c>
      <c r="M85" s="64">
        <v>28.22</v>
      </c>
      <c r="N85" s="64">
        <v>15.9</v>
      </c>
      <c r="O85" s="64">
        <v>0</v>
      </c>
      <c r="P85" s="64">
        <v>1.1399999999999999</v>
      </c>
      <c r="Q85" s="64">
        <v>10.36</v>
      </c>
      <c r="R85" s="198"/>
      <c r="S85" s="198"/>
      <c r="T85" s="198"/>
      <c r="U85" s="198"/>
    </row>
    <row r="86" spans="1:26" s="12" customFormat="1" x14ac:dyDescent="0.25">
      <c r="A86" s="216" t="s">
        <v>515</v>
      </c>
      <c r="B86" s="64">
        <v>35.24</v>
      </c>
      <c r="C86" s="64">
        <v>77.7</v>
      </c>
      <c r="D86" s="64">
        <v>68.78</v>
      </c>
      <c r="E86" s="64">
        <v>2.25</v>
      </c>
      <c r="F86" s="64">
        <v>3.54</v>
      </c>
      <c r="G86" s="64">
        <v>158.11000000000001</v>
      </c>
      <c r="H86" s="64">
        <v>32.619999999999997</v>
      </c>
      <c r="I86" s="64">
        <v>6.82</v>
      </c>
      <c r="J86" s="64">
        <v>0.23</v>
      </c>
      <c r="K86" s="64">
        <v>126.57</v>
      </c>
      <c r="L86" s="64">
        <v>28.91</v>
      </c>
      <c r="M86" s="64">
        <v>23.97</v>
      </c>
      <c r="N86" s="64">
        <v>14.7</v>
      </c>
      <c r="O86" s="64">
        <v>0</v>
      </c>
      <c r="P86" s="64">
        <v>1.31</v>
      </c>
      <c r="Q86" s="64">
        <v>10.28</v>
      </c>
      <c r="R86" s="198"/>
      <c r="S86" s="198"/>
      <c r="T86" s="198"/>
      <c r="U86" s="198"/>
    </row>
    <row r="87" spans="1:26" s="12" customFormat="1" x14ac:dyDescent="0.25">
      <c r="A87" s="216" t="s">
        <v>516</v>
      </c>
      <c r="B87" s="64">
        <v>38.96</v>
      </c>
      <c r="C87" s="64">
        <v>74.55</v>
      </c>
      <c r="D87" s="64">
        <v>70.11</v>
      </c>
      <c r="E87" s="64">
        <v>2.38</v>
      </c>
      <c r="F87" s="64">
        <v>3.59</v>
      </c>
      <c r="G87" s="64">
        <v>158.11000000000001</v>
      </c>
      <c r="H87" s="64">
        <v>32.619999999999997</v>
      </c>
      <c r="I87" s="64">
        <v>7.58</v>
      </c>
      <c r="J87" s="64">
        <v>0.12</v>
      </c>
      <c r="K87" s="64">
        <v>10.14</v>
      </c>
      <c r="L87" s="64">
        <v>29.13</v>
      </c>
      <c r="M87" s="64">
        <v>31.9</v>
      </c>
      <c r="N87" s="64">
        <v>15.9</v>
      </c>
      <c r="O87" s="64">
        <v>0</v>
      </c>
      <c r="P87" s="64">
        <v>1.37</v>
      </c>
      <c r="Q87" s="64">
        <v>10.26</v>
      </c>
      <c r="R87" s="198"/>
      <c r="S87" s="198"/>
      <c r="T87" s="198"/>
      <c r="U87" s="198"/>
    </row>
    <row r="88" spans="1:26" s="12" customFormat="1" x14ac:dyDescent="0.25">
      <c r="A88" s="216" t="s">
        <v>517</v>
      </c>
      <c r="B88" s="64">
        <v>43.23</v>
      </c>
      <c r="C88" s="64">
        <v>71.650000000000006</v>
      </c>
      <c r="D88" s="64">
        <v>72.03</v>
      </c>
      <c r="E88" s="64">
        <v>0.53</v>
      </c>
      <c r="F88" s="64">
        <v>3.46</v>
      </c>
      <c r="G88" s="64">
        <v>155.51</v>
      </c>
      <c r="H88" s="64">
        <v>37.700000000000003</v>
      </c>
      <c r="I88" s="64">
        <v>8.25</v>
      </c>
      <c r="J88" s="64">
        <v>0.16</v>
      </c>
      <c r="K88" s="64">
        <v>357.44</v>
      </c>
      <c r="L88" s="64">
        <v>28.33</v>
      </c>
      <c r="M88" s="64">
        <v>33.33</v>
      </c>
      <c r="N88" s="64">
        <v>15.7</v>
      </c>
      <c r="O88" s="64">
        <v>0</v>
      </c>
      <c r="P88" s="64">
        <v>1.48</v>
      </c>
      <c r="Q88" s="64">
        <v>10.220000000000001</v>
      </c>
      <c r="R88" s="198"/>
      <c r="S88" s="198"/>
      <c r="T88" s="198"/>
      <c r="U88" s="198"/>
    </row>
    <row r="89" spans="1:26" s="12" customFormat="1" x14ac:dyDescent="0.25">
      <c r="A89" s="216" t="s">
        <v>518</v>
      </c>
      <c r="B89" s="64">
        <v>48.38</v>
      </c>
      <c r="C89" s="64">
        <v>69.06</v>
      </c>
      <c r="D89" s="64">
        <v>74.8</v>
      </c>
      <c r="E89" s="64">
        <v>1.34</v>
      </c>
      <c r="F89" s="64">
        <v>3.3</v>
      </c>
      <c r="G89" s="64">
        <v>153.69</v>
      </c>
      <c r="H89" s="64">
        <v>41.24</v>
      </c>
      <c r="I89" s="64">
        <v>8.48</v>
      </c>
      <c r="J89" s="64">
        <v>0.27</v>
      </c>
      <c r="K89" s="64">
        <v>358.74</v>
      </c>
      <c r="L89" s="64">
        <v>27.73</v>
      </c>
      <c r="M89" s="64">
        <v>36.06</v>
      </c>
      <c r="N89" s="64">
        <v>15.9</v>
      </c>
      <c r="O89" s="64">
        <v>0</v>
      </c>
      <c r="P89" s="64">
        <v>1.65</v>
      </c>
      <c r="Q89" s="64">
        <v>10.19</v>
      </c>
      <c r="R89" s="198"/>
      <c r="S89" s="198"/>
      <c r="T89" s="198"/>
      <c r="U89" s="198"/>
    </row>
    <row r="90" spans="1:26" s="12" customFormat="1" x14ac:dyDescent="0.25">
      <c r="A90" s="216" t="s">
        <v>519</v>
      </c>
      <c r="B90" s="64">
        <v>53.75</v>
      </c>
      <c r="C90" s="64">
        <v>68.19</v>
      </c>
      <c r="D90" s="64">
        <v>78.650000000000006</v>
      </c>
      <c r="E90" s="64">
        <v>1.49</v>
      </c>
      <c r="F90" s="64">
        <v>3.56</v>
      </c>
      <c r="G90" s="64">
        <v>153.69</v>
      </c>
      <c r="H90" s="64">
        <v>41.24</v>
      </c>
      <c r="I90" s="64">
        <v>9.2100000000000009</v>
      </c>
      <c r="J90" s="64">
        <v>0.06</v>
      </c>
      <c r="K90" s="64">
        <v>348.91</v>
      </c>
      <c r="L90" s="64">
        <v>27.33</v>
      </c>
      <c r="M90" s="64">
        <v>33.83</v>
      </c>
      <c r="N90" s="64">
        <v>15.7</v>
      </c>
      <c r="O90" s="64">
        <v>0</v>
      </c>
      <c r="P90" s="64">
        <v>1.8</v>
      </c>
      <c r="Q90" s="64">
        <v>10.17</v>
      </c>
      <c r="R90" s="198"/>
      <c r="S90" s="198"/>
      <c r="T90" s="198"/>
      <c r="U90" s="198"/>
    </row>
    <row r="91" spans="1:26" s="12" customFormat="1" x14ac:dyDescent="0.25">
      <c r="A91" s="216" t="s">
        <v>520</v>
      </c>
      <c r="B91" s="64">
        <v>62.84</v>
      </c>
      <c r="C91" s="64">
        <v>68.260000000000005</v>
      </c>
      <c r="D91" s="64">
        <v>85.98</v>
      </c>
      <c r="E91" s="64">
        <v>1.64</v>
      </c>
      <c r="F91" s="64">
        <v>3.59</v>
      </c>
      <c r="G91" s="64">
        <v>153.69</v>
      </c>
      <c r="H91" s="64">
        <v>41.24</v>
      </c>
      <c r="I91" s="64">
        <v>10.14</v>
      </c>
      <c r="J91" s="64">
        <v>0.15</v>
      </c>
      <c r="K91" s="64">
        <v>2.5099999999999998</v>
      </c>
      <c r="L91" s="64">
        <v>27.22</v>
      </c>
      <c r="M91" s="64">
        <v>33.14</v>
      </c>
      <c r="N91" s="64">
        <v>15.7</v>
      </c>
      <c r="O91" s="64">
        <v>0</v>
      </c>
      <c r="P91" s="64">
        <v>1.93</v>
      </c>
      <c r="Q91" s="64">
        <v>10.130000000000001</v>
      </c>
      <c r="R91" s="198"/>
      <c r="S91" s="198"/>
      <c r="T91" s="198"/>
      <c r="U91" s="198"/>
    </row>
    <row r="92" spans="1:26" s="12" customFormat="1" x14ac:dyDescent="0.25">
      <c r="A92" s="216" t="s">
        <v>521</v>
      </c>
      <c r="B92" s="64">
        <v>73.94</v>
      </c>
      <c r="C92" s="64">
        <v>69.52</v>
      </c>
      <c r="D92" s="64">
        <v>95.54</v>
      </c>
      <c r="E92" s="64">
        <v>1.86</v>
      </c>
      <c r="F92" s="64">
        <v>3.49</v>
      </c>
      <c r="G92" s="64">
        <v>169.11</v>
      </c>
      <c r="H92" s="64">
        <v>45.37</v>
      </c>
      <c r="I92" s="64">
        <v>10.029999999999999</v>
      </c>
      <c r="J92" s="64">
        <v>0.11</v>
      </c>
      <c r="K92" s="64">
        <v>297.07</v>
      </c>
      <c r="L92" s="64">
        <v>27.09</v>
      </c>
      <c r="M92" s="64">
        <v>34.68</v>
      </c>
      <c r="N92" s="64">
        <v>15.5</v>
      </c>
      <c r="O92" s="64">
        <v>0</v>
      </c>
      <c r="P92" s="64">
        <v>2.09</v>
      </c>
      <c r="Q92" s="64">
        <v>10.23</v>
      </c>
      <c r="R92" s="198"/>
      <c r="S92" s="198"/>
      <c r="T92" s="198"/>
      <c r="U92" s="198"/>
    </row>
    <row r="93" spans="1:26" s="12" customFormat="1" x14ac:dyDescent="0.25">
      <c r="A93" s="216" t="s">
        <v>522</v>
      </c>
      <c r="B93" s="64">
        <v>85.83</v>
      </c>
      <c r="C93" s="64">
        <v>68.989999999999995</v>
      </c>
      <c r="D93" s="64">
        <v>104.8</v>
      </c>
      <c r="E93" s="64">
        <v>2.13</v>
      </c>
      <c r="F93" s="64">
        <v>3.75</v>
      </c>
      <c r="G93" s="64">
        <v>179.87</v>
      </c>
      <c r="H93" s="64">
        <v>48.26</v>
      </c>
      <c r="I93" s="64">
        <v>10.53</v>
      </c>
      <c r="J93" s="64">
        <v>0.06</v>
      </c>
      <c r="K93" s="64">
        <v>189.68</v>
      </c>
      <c r="L93" s="64">
        <v>26.96</v>
      </c>
      <c r="M93" s="64">
        <v>32.26</v>
      </c>
      <c r="N93" s="64">
        <v>15.6</v>
      </c>
      <c r="O93" s="64">
        <v>0</v>
      </c>
      <c r="P93" s="64">
        <v>2.2200000000000002</v>
      </c>
      <c r="Q93" s="64">
        <v>10.33</v>
      </c>
      <c r="R93" s="198"/>
      <c r="S93" s="198"/>
      <c r="T93" s="198"/>
      <c r="U93" s="198"/>
    </row>
    <row r="94" spans="1:26" s="12" customFormat="1" x14ac:dyDescent="0.25">
      <c r="A94" s="216" t="s">
        <v>523</v>
      </c>
      <c r="B94" s="64">
        <v>96.71</v>
      </c>
      <c r="C94" s="64">
        <v>69.41</v>
      </c>
      <c r="D94" s="64">
        <v>113.74</v>
      </c>
      <c r="E94" s="64">
        <v>2.25</v>
      </c>
      <c r="F94" s="64">
        <v>3.29</v>
      </c>
      <c r="G94" s="64">
        <v>179.87</v>
      </c>
      <c r="H94" s="64">
        <v>48.26</v>
      </c>
      <c r="I94" s="64">
        <v>11.2</v>
      </c>
      <c r="J94" s="64">
        <v>0.44</v>
      </c>
      <c r="K94" s="64">
        <v>337.92</v>
      </c>
      <c r="L94" s="64">
        <v>26.49</v>
      </c>
      <c r="M94" s="64">
        <v>41.29</v>
      </c>
      <c r="N94" s="64">
        <v>16</v>
      </c>
      <c r="O94" s="64">
        <v>0</v>
      </c>
      <c r="P94" s="64">
        <v>2.34</v>
      </c>
      <c r="Q94" s="64">
        <v>10.52</v>
      </c>
      <c r="R94" s="198"/>
      <c r="S94" s="198"/>
      <c r="T94" s="198"/>
      <c r="U94" s="198"/>
    </row>
    <row r="95" spans="1:26" s="12" customFormat="1" x14ac:dyDescent="0.25">
      <c r="A95" s="216" t="s">
        <v>524</v>
      </c>
      <c r="B95" s="64">
        <v>101.41</v>
      </c>
      <c r="C95" s="64">
        <v>69.08</v>
      </c>
      <c r="D95" s="64">
        <v>117.34</v>
      </c>
      <c r="E95" s="64">
        <v>2.2400000000000002</v>
      </c>
      <c r="F95" s="64">
        <v>3.03</v>
      </c>
      <c r="G95" s="64">
        <v>179.87</v>
      </c>
      <c r="H95" s="64">
        <v>48.26</v>
      </c>
      <c r="I95" s="64">
        <v>11.36</v>
      </c>
      <c r="J95" s="64">
        <v>0.23</v>
      </c>
      <c r="K95" s="64">
        <v>324.36</v>
      </c>
      <c r="L95" s="64">
        <v>26.04</v>
      </c>
      <c r="M95" s="64">
        <v>37.090000000000003</v>
      </c>
      <c r="N95" s="64">
        <v>15.4</v>
      </c>
      <c r="O95" s="64">
        <v>0</v>
      </c>
      <c r="P95" s="64">
        <v>2.46</v>
      </c>
      <c r="Q95" s="64">
        <v>10.7</v>
      </c>
      <c r="R95" s="198"/>
      <c r="S95" s="198"/>
      <c r="T95" s="198"/>
      <c r="U95" s="198"/>
    </row>
    <row r="96" spans="1:26" s="12" customFormat="1" x14ac:dyDescent="0.25">
      <c r="A96" s="216" t="s">
        <v>525</v>
      </c>
      <c r="B96" s="64">
        <v>99.62</v>
      </c>
      <c r="C96" s="64">
        <v>67.72</v>
      </c>
      <c r="D96" s="64">
        <v>115.19</v>
      </c>
      <c r="E96" s="64">
        <v>2.08</v>
      </c>
      <c r="F96" s="64">
        <v>3.21</v>
      </c>
      <c r="G96" s="64">
        <v>186.94</v>
      </c>
      <c r="H96" s="64">
        <v>46.84</v>
      </c>
      <c r="I96" s="64">
        <v>11.74</v>
      </c>
      <c r="J96" s="64">
        <v>0.26</v>
      </c>
      <c r="K96" s="64">
        <v>255.23</v>
      </c>
      <c r="L96" s="64">
        <v>26.99</v>
      </c>
      <c r="M96" s="64">
        <v>26.25</v>
      </c>
      <c r="N96" s="64">
        <v>15</v>
      </c>
      <c r="O96" s="64">
        <v>0</v>
      </c>
      <c r="P96" s="64">
        <v>2.44</v>
      </c>
      <c r="Q96" s="64">
        <v>10.81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526</v>
      </c>
      <c r="B97" s="64">
        <v>95.8</v>
      </c>
      <c r="C97" s="64">
        <v>65.760000000000005</v>
      </c>
      <c r="D97" s="64">
        <v>111.11</v>
      </c>
      <c r="E97" s="64">
        <v>2.27</v>
      </c>
      <c r="F97" s="64">
        <v>3.42</v>
      </c>
      <c r="G97" s="64">
        <v>191.87</v>
      </c>
      <c r="H97" s="64">
        <v>45.86</v>
      </c>
      <c r="I97" s="64">
        <v>12.06</v>
      </c>
      <c r="J97" s="64">
        <v>0.28999999999999998</v>
      </c>
      <c r="K97" s="64">
        <v>309.72000000000003</v>
      </c>
      <c r="L97" s="64">
        <v>26.66</v>
      </c>
      <c r="M97" s="64">
        <v>27.26</v>
      </c>
      <c r="N97" s="64">
        <v>15.9</v>
      </c>
      <c r="O97" s="64">
        <v>0</v>
      </c>
      <c r="P97" s="64">
        <v>2.39</v>
      </c>
      <c r="Q97" s="64">
        <v>10.77</v>
      </c>
      <c r="R97" s="198"/>
      <c r="S97" s="198"/>
      <c r="T97" s="198"/>
      <c r="U97" s="198"/>
    </row>
    <row r="98" spans="1:33" s="12" customFormat="1" x14ac:dyDescent="0.25">
      <c r="A98" s="216" t="s">
        <v>527</v>
      </c>
      <c r="B98" s="64">
        <v>92.62</v>
      </c>
      <c r="C98" s="64">
        <v>64.349999999999994</v>
      </c>
      <c r="D98" s="64">
        <v>107.81</v>
      </c>
      <c r="E98" s="64">
        <v>1.99</v>
      </c>
      <c r="F98" s="64">
        <v>3.29</v>
      </c>
      <c r="G98" s="64">
        <v>191.87</v>
      </c>
      <c r="H98" s="64">
        <v>45.86</v>
      </c>
      <c r="I98" s="64">
        <v>11.93</v>
      </c>
      <c r="J98" s="64">
        <v>0.27</v>
      </c>
      <c r="K98" s="64">
        <v>71.650000000000006</v>
      </c>
      <c r="L98" s="64">
        <v>26.23</v>
      </c>
      <c r="M98" s="64">
        <v>28</v>
      </c>
      <c r="N98" s="64">
        <v>16</v>
      </c>
      <c r="O98" s="64">
        <v>0</v>
      </c>
      <c r="P98" s="64">
        <v>2.36</v>
      </c>
      <c r="Q98" s="64">
        <v>10.74</v>
      </c>
      <c r="R98" s="198"/>
      <c r="S98" s="198"/>
      <c r="T98" s="198"/>
      <c r="U98" s="198"/>
    </row>
    <row r="99" spans="1:33" s="12" customFormat="1" x14ac:dyDescent="0.25">
      <c r="A99" s="216" t="s">
        <v>528</v>
      </c>
      <c r="B99" s="64">
        <v>91.46</v>
      </c>
      <c r="C99" s="64">
        <v>63.33</v>
      </c>
      <c r="D99" s="64">
        <v>106.35</v>
      </c>
      <c r="E99" s="64">
        <v>2.0499999999999998</v>
      </c>
      <c r="F99" s="64">
        <v>3.02</v>
      </c>
      <c r="G99" s="64">
        <v>191.87</v>
      </c>
      <c r="H99" s="64">
        <v>45.86</v>
      </c>
      <c r="I99" s="64">
        <v>11.64</v>
      </c>
      <c r="J99" s="64">
        <v>0.3</v>
      </c>
      <c r="K99" s="64">
        <v>132.58000000000001</v>
      </c>
      <c r="L99" s="64">
        <v>25.89</v>
      </c>
      <c r="M99" s="64">
        <v>28.71</v>
      </c>
      <c r="N99" s="64">
        <v>15.9</v>
      </c>
      <c r="O99" s="64">
        <v>0</v>
      </c>
      <c r="P99" s="64">
        <v>2.33</v>
      </c>
      <c r="Q99" s="64">
        <v>10.66</v>
      </c>
      <c r="R99" s="198"/>
      <c r="S99" s="198"/>
      <c r="T99" s="198"/>
      <c r="U99" s="198"/>
    </row>
    <row r="100" spans="1:33" s="12" customFormat="1" x14ac:dyDescent="0.25">
      <c r="A100" s="216" t="s">
        <v>529</v>
      </c>
      <c r="B100" s="64">
        <v>91.31</v>
      </c>
      <c r="C100" s="64">
        <v>62.45</v>
      </c>
      <c r="D100" s="64">
        <v>105.77</v>
      </c>
      <c r="E100" s="64">
        <v>1.88</v>
      </c>
      <c r="F100" s="64">
        <v>3.16</v>
      </c>
      <c r="G100" s="64">
        <v>149.91999999999999</v>
      </c>
      <c r="H100" s="64">
        <v>45</v>
      </c>
      <c r="I100" s="64">
        <v>11.59</v>
      </c>
      <c r="J100" s="64">
        <v>0.33</v>
      </c>
      <c r="K100" s="64">
        <v>345.78</v>
      </c>
      <c r="L100" s="64">
        <v>25.4</v>
      </c>
      <c r="M100" s="64">
        <v>34.31</v>
      </c>
      <c r="N100" s="64">
        <v>16</v>
      </c>
      <c r="O100" s="64">
        <v>0</v>
      </c>
      <c r="P100" s="64">
        <v>2.2799999999999998</v>
      </c>
      <c r="Q100" s="64">
        <v>10.61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530</v>
      </c>
      <c r="B101" s="64">
        <v>92.58</v>
      </c>
      <c r="C101" s="64">
        <v>60.27</v>
      </c>
      <c r="D101" s="64">
        <v>105.66</v>
      </c>
      <c r="E101" s="64">
        <v>1.96</v>
      </c>
      <c r="F101" s="64">
        <v>3.6</v>
      </c>
      <c r="G101" s="64">
        <v>120.64</v>
      </c>
      <c r="H101" s="64">
        <v>44.41</v>
      </c>
      <c r="I101" s="64">
        <v>11.56</v>
      </c>
      <c r="J101" s="64">
        <v>0.16</v>
      </c>
      <c r="K101" s="64">
        <v>70.010000000000005</v>
      </c>
      <c r="L101" s="64">
        <v>25.09</v>
      </c>
      <c r="M101" s="64">
        <v>33.76</v>
      </c>
      <c r="N101" s="64">
        <v>16</v>
      </c>
      <c r="O101" s="64">
        <v>0</v>
      </c>
      <c r="P101" s="64">
        <v>2.27</v>
      </c>
      <c r="Q101" s="64">
        <v>10.64</v>
      </c>
      <c r="R101" s="198"/>
      <c r="S101" s="198"/>
      <c r="T101" s="198"/>
      <c r="U101" s="198"/>
    </row>
    <row r="102" spans="1:33" s="12" customFormat="1" x14ac:dyDescent="0.25">
      <c r="A102" s="216" t="s">
        <v>531</v>
      </c>
      <c r="B102" s="64">
        <v>93.36</v>
      </c>
      <c r="C102" s="64">
        <v>59.34</v>
      </c>
      <c r="D102" s="64">
        <v>105.8</v>
      </c>
      <c r="E102" s="64">
        <v>1.9</v>
      </c>
      <c r="F102" s="64">
        <v>3.48</v>
      </c>
      <c r="G102" s="64">
        <v>120.64</v>
      </c>
      <c r="H102" s="64">
        <v>44.41</v>
      </c>
      <c r="I102" s="64">
        <v>11.2</v>
      </c>
      <c r="J102" s="64">
        <v>0.21</v>
      </c>
      <c r="K102" s="64">
        <v>320.79000000000002</v>
      </c>
      <c r="L102" s="64">
        <v>25.01</v>
      </c>
      <c r="M102" s="64">
        <v>35.299999999999997</v>
      </c>
      <c r="N102" s="64">
        <v>15.9</v>
      </c>
      <c r="O102" s="64">
        <v>0</v>
      </c>
      <c r="P102" s="64">
        <v>2.2200000000000002</v>
      </c>
      <c r="Q102" s="64">
        <v>10.63</v>
      </c>
      <c r="R102" s="198"/>
      <c r="S102" s="198"/>
      <c r="T102" s="198"/>
      <c r="U102" s="198"/>
    </row>
    <row r="103" spans="1:33" s="12" customFormat="1" x14ac:dyDescent="0.25">
      <c r="A103" s="216" t="s">
        <v>532</v>
      </c>
      <c r="B103" s="64">
        <v>96.34</v>
      </c>
      <c r="C103" s="64">
        <v>58.68</v>
      </c>
      <c r="D103" s="64">
        <v>107.83</v>
      </c>
      <c r="E103" s="64">
        <v>2.14</v>
      </c>
      <c r="F103" s="64">
        <v>3.48</v>
      </c>
      <c r="G103" s="64">
        <v>120.64</v>
      </c>
      <c r="H103" s="64">
        <v>44.41</v>
      </c>
      <c r="I103" s="64">
        <v>11.02</v>
      </c>
      <c r="J103" s="64">
        <v>0.18</v>
      </c>
      <c r="K103" s="64">
        <v>246.69</v>
      </c>
      <c r="L103" s="64">
        <v>24.69</v>
      </c>
      <c r="M103" s="64">
        <v>35.83</v>
      </c>
      <c r="N103" s="64">
        <v>16</v>
      </c>
      <c r="O103" s="64">
        <v>0</v>
      </c>
      <c r="P103" s="64">
        <v>2.2200000000000002</v>
      </c>
      <c r="Q103" s="64">
        <v>10.6</v>
      </c>
      <c r="R103" s="198"/>
      <c r="S103" s="198"/>
      <c r="T103" s="198"/>
      <c r="U103" s="198"/>
    </row>
    <row r="104" spans="1:33" s="12" customFormat="1" x14ac:dyDescent="0.25">
      <c r="A104" s="216" t="s">
        <v>533</v>
      </c>
      <c r="B104" s="64">
        <v>99.67</v>
      </c>
      <c r="C104" s="64">
        <v>58.3</v>
      </c>
      <c r="D104" s="64">
        <v>110.31</v>
      </c>
      <c r="E104" s="64">
        <v>2.67</v>
      </c>
      <c r="F104" s="64">
        <v>3.42</v>
      </c>
      <c r="G104" s="64">
        <v>126.04</v>
      </c>
      <c r="H104" s="64">
        <v>41.99</v>
      </c>
      <c r="I104" s="64">
        <v>10.97</v>
      </c>
      <c r="J104" s="64">
        <v>0.33</v>
      </c>
      <c r="K104" s="64">
        <v>309.45999999999998</v>
      </c>
      <c r="L104" s="64">
        <v>24.25</v>
      </c>
      <c r="M104" s="64">
        <v>39.979999999999997</v>
      </c>
      <c r="N104" s="64">
        <v>16.100000000000001</v>
      </c>
      <c r="O104" s="64">
        <v>0</v>
      </c>
      <c r="P104" s="64">
        <v>2.1800000000000002</v>
      </c>
      <c r="Q104" s="64">
        <v>10.62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1.01</v>
      </c>
      <c r="C106" s="67">
        <f>MIN(C9:C104)</f>
        <v>28.98</v>
      </c>
      <c r="D106" s="67">
        <f t="shared" ref="D106:Q106" si="0">MIN(D9:D104)</f>
        <v>18.260000000000002</v>
      </c>
      <c r="E106" s="67">
        <f t="shared" si="0"/>
        <v>0.53</v>
      </c>
      <c r="F106" s="67">
        <f t="shared" si="0"/>
        <v>3.02</v>
      </c>
      <c r="G106" s="67">
        <f t="shared" si="0"/>
        <v>43.48</v>
      </c>
      <c r="H106" s="67">
        <f t="shared" si="0"/>
        <v>6.5</v>
      </c>
      <c r="I106" s="67">
        <f t="shared" si="0"/>
        <v>2.62</v>
      </c>
      <c r="J106" s="67">
        <f t="shared" si="0"/>
        <v>0.03</v>
      </c>
      <c r="K106" s="67">
        <f t="shared" si="0"/>
        <v>2.5099999999999998</v>
      </c>
      <c r="L106" s="67">
        <f t="shared" si="0"/>
        <v>21</v>
      </c>
      <c r="M106" s="67">
        <f t="shared" si="0"/>
        <v>6.34</v>
      </c>
      <c r="N106" s="67">
        <f t="shared" si="0"/>
        <v>14</v>
      </c>
      <c r="O106" s="67">
        <f t="shared" si="0"/>
        <v>0</v>
      </c>
      <c r="P106" s="67">
        <f t="shared" si="0"/>
        <v>0.33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101.41</v>
      </c>
      <c r="C107" s="66">
        <f t="shared" ref="C107:Q107" si="1">MAX(C9:C104)</f>
        <v>102.2</v>
      </c>
      <c r="D107" s="66">
        <f t="shared" si="1"/>
        <v>117.34</v>
      </c>
      <c r="E107" s="66">
        <f t="shared" si="1"/>
        <v>4.33</v>
      </c>
      <c r="F107" s="66">
        <f t="shared" si="1"/>
        <v>35.26</v>
      </c>
      <c r="G107" s="66">
        <f t="shared" si="1"/>
        <v>191.87</v>
      </c>
      <c r="H107" s="66">
        <f t="shared" si="1"/>
        <v>48.26</v>
      </c>
      <c r="I107" s="66">
        <f t="shared" si="1"/>
        <v>12.06</v>
      </c>
      <c r="J107" s="66">
        <f t="shared" si="1"/>
        <v>1.6</v>
      </c>
      <c r="K107" s="66">
        <f t="shared" si="1"/>
        <v>359.85</v>
      </c>
      <c r="L107" s="66">
        <f t="shared" si="1"/>
        <v>37.99</v>
      </c>
      <c r="M107" s="66">
        <f t="shared" si="1"/>
        <v>44.7</v>
      </c>
      <c r="N107" s="66">
        <f t="shared" si="1"/>
        <v>963.7</v>
      </c>
      <c r="O107" s="66">
        <f t="shared" si="1"/>
        <v>0</v>
      </c>
      <c r="P107" s="66">
        <f t="shared" si="1"/>
        <v>2.46</v>
      </c>
      <c r="Q107" s="66">
        <f t="shared" si="1"/>
        <v>10.81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19.957916666666662</v>
      </c>
      <c r="C108" s="67">
        <f t="shared" ref="C108:Q108" si="2">AVERAGE(C9:C104)</f>
        <v>47.059895833333343</v>
      </c>
      <c r="D108" s="67">
        <f t="shared" si="2"/>
        <v>40.511562500000011</v>
      </c>
      <c r="E108" s="67">
        <f t="shared" si="2"/>
        <v>2.160833333333334</v>
      </c>
      <c r="F108" s="67">
        <f t="shared" si="2"/>
        <v>6.5216666666666647</v>
      </c>
      <c r="G108" s="67">
        <f t="shared" si="2"/>
        <v>94.231458333333322</v>
      </c>
      <c r="H108" s="67">
        <f t="shared" si="2"/>
        <v>29.495624999999979</v>
      </c>
      <c r="I108" s="67">
        <f t="shared" si="2"/>
        <v>6.8425000000000002</v>
      </c>
      <c r="J108" s="67">
        <f t="shared" si="2"/>
        <v>0.45708333333333306</v>
      </c>
      <c r="K108" s="67">
        <f t="shared" si="2"/>
        <v>215.61197916666663</v>
      </c>
      <c r="L108" s="67">
        <f t="shared" si="2"/>
        <v>29.541249999999994</v>
      </c>
      <c r="M108" s="67">
        <f t="shared" si="2"/>
        <v>22.091250000000002</v>
      </c>
      <c r="N108" s="67">
        <f t="shared" si="2"/>
        <v>275.38020833333354</v>
      </c>
      <c r="O108" s="67">
        <f t="shared" si="2"/>
        <v>0</v>
      </c>
      <c r="P108" s="67">
        <f t="shared" si="2"/>
        <v>0.88687499999999997</v>
      </c>
      <c r="Q108" s="67">
        <f t="shared" si="2"/>
        <v>9.8427083333333361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31.414863659929036</v>
      </c>
      <c r="C109" s="67">
        <f t="shared" ref="C109:Q109" si="3">STDEV(C9:C104)</f>
        <v>18.773133406114482</v>
      </c>
      <c r="D109" s="67">
        <f t="shared" si="3"/>
        <v>31.416338871027122</v>
      </c>
      <c r="E109" s="67">
        <f t="shared" si="3"/>
        <v>0.55411696782817055</v>
      </c>
      <c r="F109" s="67">
        <f t="shared" si="3"/>
        <v>6.143450541951446</v>
      </c>
      <c r="G109" s="67">
        <f t="shared" si="3"/>
        <v>39.496638044246843</v>
      </c>
      <c r="H109" s="67">
        <f t="shared" si="3"/>
        <v>10.067473190794681</v>
      </c>
      <c r="I109" s="67">
        <f t="shared" si="3"/>
        <v>2.322829037368463</v>
      </c>
      <c r="J109" s="67">
        <f t="shared" si="3"/>
        <v>0.36366241334126531</v>
      </c>
      <c r="K109" s="67">
        <f t="shared" si="3"/>
        <v>118.55937519030437</v>
      </c>
      <c r="L109" s="67">
        <f t="shared" si="3"/>
        <v>5.051966839496199</v>
      </c>
      <c r="M109" s="67">
        <f t="shared" si="3"/>
        <v>10.88321297856667</v>
      </c>
      <c r="N109" s="67">
        <f t="shared" si="3"/>
        <v>351.92939561636967</v>
      </c>
      <c r="O109" s="67">
        <f t="shared" si="3"/>
        <v>0</v>
      </c>
      <c r="P109" s="67">
        <f t="shared" si="3"/>
        <v>0.63568001301548582</v>
      </c>
      <c r="Q109" s="67">
        <f t="shared" si="3"/>
        <v>0.38289610839568655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534</v>
      </c>
      <c r="B9" s="64">
        <v>100.08</v>
      </c>
      <c r="C9" s="64">
        <v>57.06</v>
      </c>
      <c r="D9" s="64">
        <v>109.99</v>
      </c>
      <c r="E9" s="64">
        <v>3.05</v>
      </c>
      <c r="F9" s="64">
        <v>3.43</v>
      </c>
      <c r="G9" s="64">
        <v>129.81</v>
      </c>
      <c r="H9" s="64">
        <v>40.299999999999997</v>
      </c>
      <c r="I9" s="64">
        <v>11.25</v>
      </c>
      <c r="J9" s="64">
        <v>0.22</v>
      </c>
      <c r="K9" s="64">
        <v>147.57</v>
      </c>
      <c r="L9" s="64">
        <v>24.02</v>
      </c>
      <c r="M9" s="64">
        <v>38.86</v>
      </c>
      <c r="N9" s="64">
        <v>15.8</v>
      </c>
      <c r="O9" s="64">
        <v>0</v>
      </c>
      <c r="P9" s="64">
        <v>2.14</v>
      </c>
      <c r="Q9" s="64">
        <v>10.63</v>
      </c>
      <c r="R9" s="198"/>
      <c r="S9" s="198"/>
      <c r="T9" s="198"/>
      <c r="U9" s="198"/>
    </row>
    <row r="10" spans="1:21" s="12" customFormat="1" x14ac:dyDescent="0.25">
      <c r="A10" s="216" t="s">
        <v>535</v>
      </c>
      <c r="B10" s="64">
        <v>98.97</v>
      </c>
      <c r="C10" s="64">
        <v>55.67</v>
      </c>
      <c r="D10" s="64">
        <v>108.37</v>
      </c>
      <c r="E10" s="64">
        <v>3.06</v>
      </c>
      <c r="F10" s="64">
        <v>3.45</v>
      </c>
      <c r="G10" s="64">
        <v>129.81</v>
      </c>
      <c r="H10" s="64">
        <v>40.299999999999997</v>
      </c>
      <c r="I10" s="64">
        <v>11.37</v>
      </c>
      <c r="J10" s="64">
        <v>0.28999999999999998</v>
      </c>
      <c r="K10" s="64">
        <v>321.83999999999997</v>
      </c>
      <c r="L10" s="64">
        <v>24.41</v>
      </c>
      <c r="M10" s="64">
        <v>43.67</v>
      </c>
      <c r="N10" s="64">
        <v>15.3</v>
      </c>
      <c r="O10" s="64">
        <v>0</v>
      </c>
      <c r="P10" s="64">
        <v>2.09</v>
      </c>
      <c r="Q10" s="64">
        <v>10.7</v>
      </c>
      <c r="R10" s="198"/>
      <c r="S10" s="198"/>
      <c r="T10" s="198"/>
      <c r="U10" s="198"/>
    </row>
    <row r="11" spans="1:21" s="12" customFormat="1" x14ac:dyDescent="0.25">
      <c r="A11" s="216" t="s">
        <v>536</v>
      </c>
      <c r="B11" s="64">
        <v>97.88</v>
      </c>
      <c r="C11" s="64">
        <v>54.34</v>
      </c>
      <c r="D11" s="64">
        <v>106.8</v>
      </c>
      <c r="E11" s="64">
        <v>2.86</v>
      </c>
      <c r="F11" s="64">
        <v>2.98</v>
      </c>
      <c r="G11" s="64">
        <v>129.81</v>
      </c>
      <c r="H11" s="64">
        <v>40.299999999999997</v>
      </c>
      <c r="I11" s="64">
        <v>11.19</v>
      </c>
      <c r="J11" s="64">
        <v>0.21</v>
      </c>
      <c r="K11" s="64">
        <v>286.11</v>
      </c>
      <c r="L11" s="64">
        <v>24.14</v>
      </c>
      <c r="M11" s="64">
        <v>44.96</v>
      </c>
      <c r="N11" s="64">
        <v>16</v>
      </c>
      <c r="O11" s="64">
        <v>0</v>
      </c>
      <c r="P11" s="64">
        <v>2.06</v>
      </c>
      <c r="Q11" s="64">
        <v>10.71</v>
      </c>
      <c r="R11" s="198"/>
      <c r="S11" s="198"/>
      <c r="T11" s="198"/>
      <c r="U11" s="198"/>
    </row>
    <row r="12" spans="1:21" s="12" customFormat="1" x14ac:dyDescent="0.25">
      <c r="A12" s="216" t="s">
        <v>537</v>
      </c>
      <c r="B12" s="64">
        <v>96.49</v>
      </c>
      <c r="C12" s="64">
        <v>52.81</v>
      </c>
      <c r="D12" s="64">
        <v>104.89</v>
      </c>
      <c r="E12" s="64">
        <v>3.06</v>
      </c>
      <c r="F12" s="64">
        <v>3.13</v>
      </c>
      <c r="G12" s="64">
        <v>136.61000000000001</v>
      </c>
      <c r="H12" s="64">
        <v>38.270000000000003</v>
      </c>
      <c r="I12" s="64">
        <v>10.99</v>
      </c>
      <c r="J12" s="64">
        <v>0.28999999999999998</v>
      </c>
      <c r="K12" s="64">
        <v>218.23</v>
      </c>
      <c r="L12" s="64">
        <v>23.69</v>
      </c>
      <c r="M12" s="64">
        <v>45.59</v>
      </c>
      <c r="N12" s="64">
        <v>15.5</v>
      </c>
      <c r="O12" s="64">
        <v>0</v>
      </c>
      <c r="P12" s="64">
        <v>2.0299999999999998</v>
      </c>
      <c r="Q12" s="64">
        <v>10.69</v>
      </c>
      <c r="R12" s="198"/>
      <c r="S12" s="198"/>
      <c r="T12" s="198"/>
      <c r="U12" s="198"/>
    </row>
    <row r="13" spans="1:21" s="12" customFormat="1" x14ac:dyDescent="0.25">
      <c r="A13" s="216" t="s">
        <v>538</v>
      </c>
      <c r="B13" s="64">
        <v>93.48</v>
      </c>
      <c r="C13" s="64">
        <v>52.45</v>
      </c>
      <c r="D13" s="64">
        <v>102.29</v>
      </c>
      <c r="E13" s="64">
        <v>2.92</v>
      </c>
      <c r="F13" s="64">
        <v>3.5</v>
      </c>
      <c r="G13" s="64">
        <v>141.35</v>
      </c>
      <c r="H13" s="64">
        <v>36.85</v>
      </c>
      <c r="I13" s="64">
        <v>11.48</v>
      </c>
      <c r="J13" s="64">
        <v>0.42</v>
      </c>
      <c r="K13" s="64">
        <v>317.95999999999998</v>
      </c>
      <c r="L13" s="64">
        <v>23.9</v>
      </c>
      <c r="M13" s="64">
        <v>48.27</v>
      </c>
      <c r="N13" s="64">
        <v>16.100000000000001</v>
      </c>
      <c r="O13" s="64">
        <v>0</v>
      </c>
      <c r="P13" s="64">
        <v>1.76</v>
      </c>
      <c r="Q13" s="64">
        <v>10.67</v>
      </c>
      <c r="R13" s="198"/>
      <c r="S13" s="198"/>
      <c r="T13" s="198"/>
      <c r="U13" s="198"/>
    </row>
    <row r="14" spans="1:21" s="12" customFormat="1" x14ac:dyDescent="0.25">
      <c r="A14" s="216" t="s">
        <v>539</v>
      </c>
      <c r="B14" s="64">
        <v>90.81</v>
      </c>
      <c r="C14" s="64">
        <v>51.16</v>
      </c>
      <c r="D14" s="64">
        <v>99.47</v>
      </c>
      <c r="E14" s="64">
        <v>3.06</v>
      </c>
      <c r="F14" s="64">
        <v>3.55</v>
      </c>
      <c r="G14" s="64">
        <v>141.35</v>
      </c>
      <c r="H14" s="64">
        <v>36.85</v>
      </c>
      <c r="I14" s="64">
        <v>11.93</v>
      </c>
      <c r="J14" s="64">
        <v>0.41</v>
      </c>
      <c r="K14" s="64">
        <v>309.77999999999997</v>
      </c>
      <c r="L14" s="64">
        <v>23.21</v>
      </c>
      <c r="M14" s="64">
        <v>47.49</v>
      </c>
      <c r="N14" s="64">
        <v>16.2</v>
      </c>
      <c r="O14" s="64">
        <v>0</v>
      </c>
      <c r="P14" s="64">
        <v>1.8</v>
      </c>
      <c r="Q14" s="64">
        <v>10.63</v>
      </c>
      <c r="R14" s="198"/>
      <c r="S14" s="198"/>
      <c r="T14" s="198"/>
      <c r="U14" s="198"/>
    </row>
    <row r="15" spans="1:21" s="12" customFormat="1" x14ac:dyDescent="0.25">
      <c r="A15" s="216" t="s">
        <v>540</v>
      </c>
      <c r="B15" s="64">
        <v>88.07</v>
      </c>
      <c r="C15" s="64">
        <v>49.66</v>
      </c>
      <c r="D15" s="64">
        <v>96.49</v>
      </c>
      <c r="E15" s="64">
        <v>3.18</v>
      </c>
      <c r="F15" s="64">
        <v>3.55</v>
      </c>
      <c r="G15" s="64">
        <v>141.35</v>
      </c>
      <c r="H15" s="64">
        <v>36.85</v>
      </c>
      <c r="I15" s="64">
        <v>11.86</v>
      </c>
      <c r="J15" s="64">
        <v>0.19</v>
      </c>
      <c r="K15" s="64">
        <v>24.13</v>
      </c>
      <c r="L15" s="64">
        <v>22.77</v>
      </c>
      <c r="M15" s="64">
        <v>45.93</v>
      </c>
      <c r="N15" s="64">
        <v>16.3</v>
      </c>
      <c r="O15" s="64">
        <v>0</v>
      </c>
      <c r="P15" s="64">
        <v>1.73</v>
      </c>
      <c r="Q15" s="64">
        <v>10.57</v>
      </c>
      <c r="R15" s="198"/>
      <c r="S15" s="198"/>
      <c r="T15" s="198"/>
      <c r="U15" s="198"/>
    </row>
    <row r="16" spans="1:21" s="12" customFormat="1" x14ac:dyDescent="0.25">
      <c r="A16" s="216" t="s">
        <v>541</v>
      </c>
      <c r="B16" s="64">
        <v>84.42</v>
      </c>
      <c r="C16" s="64">
        <v>49.01</v>
      </c>
      <c r="D16" s="64">
        <v>93.23</v>
      </c>
      <c r="E16" s="64">
        <v>2.86</v>
      </c>
      <c r="F16" s="64">
        <v>3.46</v>
      </c>
      <c r="G16" s="64">
        <v>130.22</v>
      </c>
      <c r="H16" s="64">
        <v>37.409999999999997</v>
      </c>
      <c r="I16" s="64">
        <v>11.62</v>
      </c>
      <c r="J16" s="64">
        <v>0.3</v>
      </c>
      <c r="K16" s="64">
        <v>264.36</v>
      </c>
      <c r="L16" s="64">
        <v>23.12</v>
      </c>
      <c r="M16" s="64">
        <v>40.58</v>
      </c>
      <c r="N16" s="64">
        <v>15.7</v>
      </c>
      <c r="O16" s="64">
        <v>0</v>
      </c>
      <c r="P16" s="64">
        <v>1.67</v>
      </c>
      <c r="Q16" s="64">
        <v>10.55</v>
      </c>
      <c r="R16" s="198"/>
      <c r="S16" s="198"/>
      <c r="T16" s="198"/>
      <c r="U16" s="198"/>
    </row>
    <row r="17" spans="1:21" s="12" customFormat="1" x14ac:dyDescent="0.25">
      <c r="A17" s="216" t="s">
        <v>542</v>
      </c>
      <c r="B17" s="64">
        <v>80.06</v>
      </c>
      <c r="C17" s="64">
        <v>48.34</v>
      </c>
      <c r="D17" s="64">
        <v>89.38</v>
      </c>
      <c r="E17" s="64">
        <v>2.73</v>
      </c>
      <c r="F17" s="64">
        <v>3.35</v>
      </c>
      <c r="G17" s="64">
        <v>122.44</v>
      </c>
      <c r="H17" s="64">
        <v>37.799999999999997</v>
      </c>
      <c r="I17" s="64">
        <v>11.36</v>
      </c>
      <c r="J17" s="64">
        <v>0.33</v>
      </c>
      <c r="K17" s="64">
        <v>308.19</v>
      </c>
      <c r="L17" s="64">
        <v>22.84</v>
      </c>
      <c r="M17" s="64">
        <v>41.26</v>
      </c>
      <c r="N17" s="64">
        <v>15.9</v>
      </c>
      <c r="O17" s="64">
        <v>0</v>
      </c>
      <c r="P17" s="64">
        <v>1.6</v>
      </c>
      <c r="Q17" s="64">
        <v>10.53</v>
      </c>
      <c r="R17" s="198"/>
      <c r="S17" s="198"/>
      <c r="T17" s="198"/>
      <c r="U17" s="198"/>
    </row>
    <row r="18" spans="1:21" s="12" customFormat="1" x14ac:dyDescent="0.25">
      <c r="A18" s="216" t="s">
        <v>543</v>
      </c>
      <c r="B18" s="64">
        <v>75.63</v>
      </c>
      <c r="C18" s="64">
        <v>47.58</v>
      </c>
      <c r="D18" s="64">
        <v>85.43</v>
      </c>
      <c r="E18" s="64">
        <v>2.81</v>
      </c>
      <c r="F18" s="64">
        <v>3.15</v>
      </c>
      <c r="G18" s="64">
        <v>122.44</v>
      </c>
      <c r="H18" s="64">
        <v>37.799999999999997</v>
      </c>
      <c r="I18" s="64">
        <v>11.08</v>
      </c>
      <c r="J18" s="64">
        <v>0.23</v>
      </c>
      <c r="K18" s="64">
        <v>277.55</v>
      </c>
      <c r="L18" s="64">
        <v>22.18</v>
      </c>
      <c r="M18" s="64">
        <v>43.06</v>
      </c>
      <c r="N18" s="64">
        <v>16.5</v>
      </c>
      <c r="O18" s="64">
        <v>0</v>
      </c>
      <c r="P18" s="64">
        <v>1.53</v>
      </c>
      <c r="Q18" s="64">
        <v>10.52</v>
      </c>
      <c r="R18" s="198"/>
      <c r="S18" s="198"/>
      <c r="T18" s="198"/>
      <c r="U18" s="198"/>
    </row>
    <row r="19" spans="1:21" s="12" customFormat="1" x14ac:dyDescent="0.25">
      <c r="A19" s="216" t="s">
        <v>544</v>
      </c>
      <c r="B19" s="64">
        <v>71.75</v>
      </c>
      <c r="C19" s="64">
        <v>47.11</v>
      </c>
      <c r="D19" s="64">
        <v>82.07</v>
      </c>
      <c r="E19" s="64">
        <v>2.72</v>
      </c>
      <c r="F19" s="64">
        <v>3.13</v>
      </c>
      <c r="G19" s="64">
        <v>122.44</v>
      </c>
      <c r="H19" s="64">
        <v>37.799999999999997</v>
      </c>
      <c r="I19" s="64">
        <v>10.85</v>
      </c>
      <c r="J19" s="64">
        <v>0.04</v>
      </c>
      <c r="K19" s="64">
        <v>205.61</v>
      </c>
      <c r="L19" s="64">
        <v>22.33</v>
      </c>
      <c r="M19" s="64">
        <v>35.93</v>
      </c>
      <c r="N19" s="64">
        <v>15.9</v>
      </c>
      <c r="O19" s="64">
        <v>0</v>
      </c>
      <c r="P19" s="64">
        <v>1.47</v>
      </c>
      <c r="Q19" s="64">
        <v>10.47</v>
      </c>
      <c r="R19" s="198"/>
      <c r="S19" s="198"/>
      <c r="T19" s="198"/>
      <c r="U19" s="198"/>
    </row>
    <row r="20" spans="1:21" s="12" customFormat="1" x14ac:dyDescent="0.25">
      <c r="A20" s="216" t="s">
        <v>545</v>
      </c>
      <c r="B20" s="64">
        <v>67.569999999999993</v>
      </c>
      <c r="C20" s="64">
        <v>46.44</v>
      </c>
      <c r="D20" s="64">
        <v>78.37</v>
      </c>
      <c r="E20" s="64">
        <v>2.52</v>
      </c>
      <c r="F20" s="64">
        <v>3.18</v>
      </c>
      <c r="G20" s="64">
        <v>103.7</v>
      </c>
      <c r="H20" s="64">
        <v>36.090000000000003</v>
      </c>
      <c r="I20" s="64">
        <v>10.6</v>
      </c>
      <c r="J20" s="64">
        <v>0.12</v>
      </c>
      <c r="K20" s="64">
        <v>186.45</v>
      </c>
      <c r="L20" s="64">
        <v>23.23</v>
      </c>
      <c r="M20" s="64">
        <v>30.78</v>
      </c>
      <c r="N20" s="64">
        <v>15.5</v>
      </c>
      <c r="O20" s="64">
        <v>0</v>
      </c>
      <c r="P20" s="64">
        <v>1.4</v>
      </c>
      <c r="Q20" s="64">
        <v>10.48</v>
      </c>
      <c r="R20" s="198"/>
      <c r="S20" s="198"/>
      <c r="T20" s="198"/>
      <c r="U20" s="198"/>
    </row>
    <row r="21" spans="1:21" s="12" customFormat="1" x14ac:dyDescent="0.25">
      <c r="A21" s="216" t="s">
        <v>546</v>
      </c>
      <c r="B21" s="64">
        <v>63.34</v>
      </c>
      <c r="C21" s="64">
        <v>45.52</v>
      </c>
      <c r="D21" s="64">
        <v>74.5</v>
      </c>
      <c r="E21" s="64">
        <v>2.44</v>
      </c>
      <c r="F21" s="64">
        <v>3.08</v>
      </c>
      <c r="G21" s="64">
        <v>90.62</v>
      </c>
      <c r="H21" s="64">
        <v>34.9</v>
      </c>
      <c r="I21" s="64">
        <v>10.35</v>
      </c>
      <c r="J21" s="64">
        <v>0.39</v>
      </c>
      <c r="K21" s="64">
        <v>350.43</v>
      </c>
      <c r="L21" s="64">
        <v>22.72</v>
      </c>
      <c r="M21" s="64">
        <v>39.1</v>
      </c>
      <c r="N21" s="64">
        <v>16.3</v>
      </c>
      <c r="O21" s="64">
        <v>0</v>
      </c>
      <c r="P21" s="64">
        <v>1.35</v>
      </c>
      <c r="Q21" s="64">
        <v>10.41</v>
      </c>
      <c r="R21" s="198"/>
      <c r="S21" s="198"/>
      <c r="T21" s="198"/>
      <c r="U21" s="198"/>
    </row>
    <row r="22" spans="1:21" s="12" customFormat="1" x14ac:dyDescent="0.25">
      <c r="A22" s="216" t="s">
        <v>547</v>
      </c>
      <c r="B22" s="64">
        <v>59.37</v>
      </c>
      <c r="C22" s="64">
        <v>44.13</v>
      </c>
      <c r="D22" s="64">
        <v>70.59</v>
      </c>
      <c r="E22" s="64">
        <v>2.62</v>
      </c>
      <c r="F22" s="64">
        <v>3</v>
      </c>
      <c r="G22" s="64">
        <v>90.62</v>
      </c>
      <c r="H22" s="64">
        <v>34.9</v>
      </c>
      <c r="I22" s="64">
        <v>10.09</v>
      </c>
      <c r="J22" s="64">
        <v>1.06</v>
      </c>
      <c r="K22" s="64">
        <v>354.58</v>
      </c>
      <c r="L22" s="64">
        <v>22.64</v>
      </c>
      <c r="M22" s="64">
        <v>32.71</v>
      </c>
      <c r="N22" s="64">
        <v>13.9</v>
      </c>
      <c r="O22" s="64">
        <v>0</v>
      </c>
      <c r="P22" s="64">
        <v>1.29</v>
      </c>
      <c r="Q22" s="64">
        <v>10.35</v>
      </c>
      <c r="R22" s="198"/>
      <c r="S22" s="198"/>
      <c r="T22" s="198"/>
      <c r="U22" s="198"/>
    </row>
    <row r="23" spans="1:21" s="12" customFormat="1" x14ac:dyDescent="0.25">
      <c r="A23" s="216" t="s">
        <v>548</v>
      </c>
      <c r="B23" s="64">
        <v>56.11</v>
      </c>
      <c r="C23" s="64">
        <v>42.7</v>
      </c>
      <c r="D23" s="64">
        <v>67.22</v>
      </c>
      <c r="E23" s="64">
        <v>2.65</v>
      </c>
      <c r="F23" s="64">
        <v>3.33</v>
      </c>
      <c r="G23" s="64">
        <v>90.62</v>
      </c>
      <c r="H23" s="64">
        <v>34.9</v>
      </c>
      <c r="I23" s="64">
        <v>9.9</v>
      </c>
      <c r="J23" s="64">
        <v>0.73</v>
      </c>
      <c r="K23" s="64">
        <v>350.39</v>
      </c>
      <c r="L23" s="64">
        <v>23.13</v>
      </c>
      <c r="M23" s="64">
        <v>28.98</v>
      </c>
      <c r="N23" s="64">
        <v>15.3</v>
      </c>
      <c r="O23" s="64">
        <v>0</v>
      </c>
      <c r="P23" s="64">
        <v>1.22</v>
      </c>
      <c r="Q23" s="64">
        <v>10.3</v>
      </c>
      <c r="R23" s="198"/>
      <c r="S23" s="198"/>
      <c r="T23" s="198"/>
      <c r="U23" s="198"/>
    </row>
    <row r="24" spans="1:21" s="12" customFormat="1" x14ac:dyDescent="0.25">
      <c r="A24" s="216" t="s">
        <v>549</v>
      </c>
      <c r="B24" s="64">
        <v>53.54</v>
      </c>
      <c r="C24" s="64">
        <v>41.73</v>
      </c>
      <c r="D24" s="64">
        <v>64.650000000000006</v>
      </c>
      <c r="E24" s="64">
        <v>1.95</v>
      </c>
      <c r="F24" s="64">
        <v>3.48</v>
      </c>
      <c r="G24" s="64">
        <v>77.31</v>
      </c>
      <c r="H24" s="64">
        <v>32.03</v>
      </c>
      <c r="I24" s="64">
        <v>9.6300000000000008</v>
      </c>
      <c r="J24" s="64">
        <v>0.73</v>
      </c>
      <c r="K24" s="64">
        <v>341.3</v>
      </c>
      <c r="L24" s="64">
        <v>23.06</v>
      </c>
      <c r="M24" s="64">
        <v>30.12</v>
      </c>
      <c r="N24" s="64">
        <v>15.8</v>
      </c>
      <c r="O24" s="64">
        <v>0</v>
      </c>
      <c r="P24" s="64">
        <v>1.19</v>
      </c>
      <c r="Q24" s="64">
        <v>10.28</v>
      </c>
      <c r="R24" s="198"/>
      <c r="S24" s="198"/>
      <c r="T24" s="198"/>
      <c r="U24" s="198"/>
    </row>
    <row r="25" spans="1:21" s="12" customFormat="1" x14ac:dyDescent="0.25">
      <c r="A25" s="216" t="s">
        <v>550</v>
      </c>
      <c r="B25" s="64">
        <v>51.19</v>
      </c>
      <c r="C25" s="64">
        <v>41.25</v>
      </c>
      <c r="D25" s="64">
        <v>62.52</v>
      </c>
      <c r="E25" s="64">
        <v>1.89</v>
      </c>
      <c r="F25" s="64">
        <v>3.37</v>
      </c>
      <c r="G25" s="64">
        <v>68.02</v>
      </c>
      <c r="H25" s="64">
        <v>30.02</v>
      </c>
      <c r="I25" s="64">
        <v>9.56</v>
      </c>
      <c r="J25" s="64">
        <v>0.87</v>
      </c>
      <c r="K25" s="64">
        <v>353.93</v>
      </c>
      <c r="L25" s="64">
        <v>22.84</v>
      </c>
      <c r="M25" s="64">
        <v>30.5</v>
      </c>
      <c r="N25" s="64">
        <v>15.7</v>
      </c>
      <c r="O25" s="64">
        <v>0</v>
      </c>
      <c r="P25" s="64">
        <v>1.1499999999999999</v>
      </c>
      <c r="Q25" s="64">
        <v>10.210000000000001</v>
      </c>
      <c r="R25" s="198"/>
      <c r="S25" s="198"/>
      <c r="T25" s="198"/>
      <c r="U25" s="198"/>
    </row>
    <row r="26" spans="1:21" s="12" customFormat="1" x14ac:dyDescent="0.25">
      <c r="A26" s="216" t="s">
        <v>551</v>
      </c>
      <c r="B26" s="64">
        <v>48.93</v>
      </c>
      <c r="C26" s="64">
        <v>40.729999999999997</v>
      </c>
      <c r="D26" s="64">
        <v>60.44</v>
      </c>
      <c r="E26" s="64">
        <v>2.1</v>
      </c>
      <c r="F26" s="64">
        <v>3.06</v>
      </c>
      <c r="G26" s="64">
        <v>68.02</v>
      </c>
      <c r="H26" s="64">
        <v>30.02</v>
      </c>
      <c r="I26" s="64">
        <v>10.44</v>
      </c>
      <c r="J26" s="64">
        <v>0.99</v>
      </c>
      <c r="K26" s="64">
        <v>336.13</v>
      </c>
      <c r="L26" s="64">
        <v>22.74</v>
      </c>
      <c r="M26" s="64">
        <v>30.95</v>
      </c>
      <c r="N26" s="64">
        <v>15.3</v>
      </c>
      <c r="O26" s="64">
        <v>0</v>
      </c>
      <c r="P26" s="64">
        <v>1.1399999999999999</v>
      </c>
      <c r="Q26" s="64">
        <v>10.210000000000001</v>
      </c>
      <c r="R26" s="198"/>
      <c r="S26" s="198"/>
      <c r="T26" s="198"/>
      <c r="U26" s="198"/>
    </row>
    <row r="27" spans="1:21" s="12" customFormat="1" x14ac:dyDescent="0.25">
      <c r="A27" s="216" t="s">
        <v>552</v>
      </c>
      <c r="B27" s="64">
        <v>47.19</v>
      </c>
      <c r="C27" s="64">
        <v>40.11</v>
      </c>
      <c r="D27" s="64">
        <v>58.72</v>
      </c>
      <c r="E27" s="64">
        <v>2.2599999999999998</v>
      </c>
      <c r="F27" s="64">
        <v>3.31</v>
      </c>
      <c r="G27" s="64">
        <v>68.02</v>
      </c>
      <c r="H27" s="64">
        <v>30.02</v>
      </c>
      <c r="I27" s="64">
        <v>10.35</v>
      </c>
      <c r="J27" s="64">
        <v>0.68</v>
      </c>
      <c r="K27" s="64">
        <v>349.42</v>
      </c>
      <c r="L27" s="64">
        <v>22.32</v>
      </c>
      <c r="M27" s="64">
        <v>35.78</v>
      </c>
      <c r="N27" s="64">
        <v>16.7</v>
      </c>
      <c r="O27" s="64">
        <v>0</v>
      </c>
      <c r="P27" s="64">
        <v>1.1200000000000001</v>
      </c>
      <c r="Q27" s="64">
        <v>10.18</v>
      </c>
      <c r="R27" s="198"/>
      <c r="S27" s="198"/>
      <c r="T27" s="198"/>
      <c r="U27" s="198"/>
    </row>
    <row r="28" spans="1:21" s="12" customFormat="1" x14ac:dyDescent="0.25">
      <c r="A28" s="216" t="s">
        <v>553</v>
      </c>
      <c r="B28" s="64">
        <v>45.86</v>
      </c>
      <c r="C28" s="64">
        <v>39.770000000000003</v>
      </c>
      <c r="D28" s="64">
        <v>57.47</v>
      </c>
      <c r="E28" s="64">
        <v>2.2799999999999998</v>
      </c>
      <c r="F28" s="64">
        <v>3.17</v>
      </c>
      <c r="G28" s="64">
        <v>103.25</v>
      </c>
      <c r="H28" s="64">
        <v>33.54</v>
      </c>
      <c r="I28" s="64">
        <v>10.71</v>
      </c>
      <c r="J28" s="64">
        <v>0.36</v>
      </c>
      <c r="K28" s="64">
        <v>22.46</v>
      </c>
      <c r="L28" s="64">
        <v>22.48</v>
      </c>
      <c r="M28" s="64">
        <v>33.36</v>
      </c>
      <c r="N28" s="64">
        <v>16</v>
      </c>
      <c r="O28" s="64">
        <v>0</v>
      </c>
      <c r="P28" s="64">
        <v>1.1000000000000001</v>
      </c>
      <c r="Q28" s="64">
        <v>10.16</v>
      </c>
      <c r="R28" s="198"/>
      <c r="S28" s="198"/>
      <c r="T28" s="198"/>
      <c r="U28" s="198"/>
    </row>
    <row r="29" spans="1:21" s="12" customFormat="1" x14ac:dyDescent="0.25">
      <c r="A29" s="216" t="s">
        <v>554</v>
      </c>
      <c r="B29" s="64">
        <v>44.96</v>
      </c>
      <c r="C29" s="64">
        <v>39.31</v>
      </c>
      <c r="D29" s="64">
        <v>56.51</v>
      </c>
      <c r="E29" s="64">
        <v>2.58</v>
      </c>
      <c r="F29" s="64">
        <v>3.08</v>
      </c>
      <c r="G29" s="64">
        <v>127.85</v>
      </c>
      <c r="H29" s="64">
        <v>36</v>
      </c>
      <c r="I29" s="64">
        <v>10.67</v>
      </c>
      <c r="J29" s="64">
        <v>0.62</v>
      </c>
      <c r="K29" s="64">
        <v>176.96</v>
      </c>
      <c r="L29" s="64">
        <v>23</v>
      </c>
      <c r="M29" s="64">
        <v>31.71</v>
      </c>
      <c r="N29" s="64">
        <v>15.5</v>
      </c>
      <c r="O29" s="64">
        <v>0</v>
      </c>
      <c r="P29" s="64">
        <v>1.1000000000000001</v>
      </c>
      <c r="Q29" s="64">
        <v>10.17</v>
      </c>
      <c r="R29" s="198"/>
      <c r="S29" s="198"/>
      <c r="T29" s="198"/>
      <c r="U29" s="198"/>
    </row>
    <row r="30" spans="1:21" s="12" customFormat="1" x14ac:dyDescent="0.25">
      <c r="A30" s="216" t="s">
        <v>555</v>
      </c>
      <c r="B30" s="64">
        <v>43.6</v>
      </c>
      <c r="C30" s="64">
        <v>38.96</v>
      </c>
      <c r="D30" s="64">
        <v>55.24</v>
      </c>
      <c r="E30" s="64">
        <v>2.64</v>
      </c>
      <c r="F30" s="64">
        <v>3.07</v>
      </c>
      <c r="G30" s="64">
        <v>127.85</v>
      </c>
      <c r="H30" s="64">
        <v>36</v>
      </c>
      <c r="I30" s="64">
        <v>10.52</v>
      </c>
      <c r="J30" s="64">
        <v>0.11</v>
      </c>
      <c r="K30" s="64">
        <v>60.72</v>
      </c>
      <c r="L30" s="64">
        <v>22.59</v>
      </c>
      <c r="M30" s="64">
        <v>35.549999999999997</v>
      </c>
      <c r="N30" s="64">
        <v>19.7</v>
      </c>
      <c r="O30" s="64">
        <v>0</v>
      </c>
      <c r="P30" s="64">
        <v>1.0900000000000001</v>
      </c>
      <c r="Q30" s="64">
        <v>10.15</v>
      </c>
      <c r="R30" s="198"/>
      <c r="S30" s="198"/>
      <c r="T30" s="198"/>
      <c r="U30" s="198"/>
    </row>
    <row r="31" spans="1:21" s="12" customFormat="1" x14ac:dyDescent="0.25">
      <c r="A31" s="216" t="s">
        <v>556</v>
      </c>
      <c r="B31" s="64">
        <v>41.96</v>
      </c>
      <c r="C31" s="64">
        <v>39.67</v>
      </c>
      <c r="D31" s="64">
        <v>54.3</v>
      </c>
      <c r="E31" s="64">
        <v>2.48</v>
      </c>
      <c r="F31" s="64">
        <v>2.83</v>
      </c>
      <c r="G31" s="64">
        <v>127.85</v>
      </c>
      <c r="H31" s="64">
        <v>36</v>
      </c>
      <c r="I31" s="64">
        <v>10.79</v>
      </c>
      <c r="J31" s="64">
        <v>0.38</v>
      </c>
      <c r="K31" s="64">
        <v>162.46</v>
      </c>
      <c r="L31" s="64">
        <v>22.72</v>
      </c>
      <c r="M31" s="64">
        <v>36.840000000000003</v>
      </c>
      <c r="N31" s="64">
        <v>29.8</v>
      </c>
      <c r="O31" s="64">
        <v>0</v>
      </c>
      <c r="P31" s="64">
        <v>1.0900000000000001</v>
      </c>
      <c r="Q31" s="64">
        <v>10.17</v>
      </c>
      <c r="R31" s="198"/>
      <c r="S31" s="198"/>
      <c r="T31" s="198"/>
      <c r="U31" s="198"/>
    </row>
    <row r="32" spans="1:21" s="12" customFormat="1" x14ac:dyDescent="0.25">
      <c r="A32" s="216" t="s">
        <v>557</v>
      </c>
      <c r="B32" s="64">
        <v>40.74</v>
      </c>
      <c r="C32" s="64">
        <v>39.76</v>
      </c>
      <c r="D32" s="64">
        <v>53.36</v>
      </c>
      <c r="E32" s="64">
        <v>2.39</v>
      </c>
      <c r="F32" s="64">
        <v>3.01</v>
      </c>
      <c r="G32" s="64">
        <v>159.11000000000001</v>
      </c>
      <c r="H32" s="64">
        <v>40.659999999999997</v>
      </c>
      <c r="I32" s="64">
        <v>10.8</v>
      </c>
      <c r="J32" s="64">
        <v>0.28999999999999998</v>
      </c>
      <c r="K32" s="64">
        <v>215.33</v>
      </c>
      <c r="L32" s="64">
        <v>22.5</v>
      </c>
      <c r="M32" s="64">
        <v>40.04</v>
      </c>
      <c r="N32" s="64">
        <v>51.7</v>
      </c>
      <c r="O32" s="64">
        <v>0</v>
      </c>
      <c r="P32" s="64">
        <v>1.0900000000000001</v>
      </c>
      <c r="Q32" s="64">
        <v>10.17</v>
      </c>
      <c r="R32" s="198"/>
      <c r="S32" s="198"/>
      <c r="T32" s="198"/>
      <c r="U32" s="198"/>
    </row>
    <row r="33" spans="1:21" s="12" customFormat="1" x14ac:dyDescent="0.25">
      <c r="A33" s="216" t="s">
        <v>558</v>
      </c>
      <c r="B33" s="64">
        <v>39.76</v>
      </c>
      <c r="C33" s="64">
        <v>39.35</v>
      </c>
      <c r="D33" s="64">
        <v>52.37</v>
      </c>
      <c r="E33" s="64">
        <v>2.2400000000000002</v>
      </c>
      <c r="F33" s="64">
        <v>3.23</v>
      </c>
      <c r="G33" s="64">
        <v>180.94</v>
      </c>
      <c r="H33" s="64">
        <v>43.91</v>
      </c>
      <c r="I33" s="64">
        <v>10.73</v>
      </c>
      <c r="J33" s="64">
        <v>0.32</v>
      </c>
      <c r="K33" s="64">
        <v>192.63</v>
      </c>
      <c r="L33" s="64">
        <v>22.68</v>
      </c>
      <c r="M33" s="64">
        <v>41.1</v>
      </c>
      <c r="N33" s="64">
        <v>84.2</v>
      </c>
      <c r="O33" s="64">
        <v>0</v>
      </c>
      <c r="P33" s="64">
        <v>1.08</v>
      </c>
      <c r="Q33" s="64">
        <v>10.130000000000001</v>
      </c>
      <c r="R33" s="198"/>
      <c r="S33" s="198"/>
      <c r="T33" s="198"/>
      <c r="U33" s="198"/>
    </row>
    <row r="34" spans="1:21" s="12" customFormat="1" x14ac:dyDescent="0.25">
      <c r="A34" s="216" t="s">
        <v>559</v>
      </c>
      <c r="B34" s="64">
        <v>38.76</v>
      </c>
      <c r="C34" s="64">
        <v>38.4</v>
      </c>
      <c r="D34" s="64">
        <v>51.07</v>
      </c>
      <c r="E34" s="64">
        <v>2.0499999999999998</v>
      </c>
      <c r="F34" s="64">
        <v>3.29</v>
      </c>
      <c r="G34" s="64">
        <v>180.94</v>
      </c>
      <c r="H34" s="64">
        <v>43.91</v>
      </c>
      <c r="I34" s="64">
        <v>10.59</v>
      </c>
      <c r="J34" s="64">
        <v>0.18</v>
      </c>
      <c r="K34" s="64">
        <v>164.96</v>
      </c>
      <c r="L34" s="64">
        <v>23.09</v>
      </c>
      <c r="M34" s="64">
        <v>42.07</v>
      </c>
      <c r="N34" s="64">
        <v>122.5</v>
      </c>
      <c r="O34" s="64">
        <v>0</v>
      </c>
      <c r="P34" s="64">
        <v>1.06</v>
      </c>
      <c r="Q34" s="64">
        <v>10.09</v>
      </c>
      <c r="R34" s="198"/>
      <c r="S34" s="198"/>
      <c r="T34" s="198"/>
      <c r="U34" s="198"/>
    </row>
    <row r="35" spans="1:21" s="12" customFormat="1" x14ac:dyDescent="0.25">
      <c r="A35" s="216" t="s">
        <v>560</v>
      </c>
      <c r="B35" s="64">
        <v>37.44</v>
      </c>
      <c r="C35" s="64">
        <v>37.94</v>
      </c>
      <c r="D35" s="64">
        <v>49.77</v>
      </c>
      <c r="E35" s="64">
        <v>2.2799999999999998</v>
      </c>
      <c r="F35" s="64">
        <v>3.07</v>
      </c>
      <c r="G35" s="64">
        <v>180.94</v>
      </c>
      <c r="H35" s="64">
        <v>43.91</v>
      </c>
      <c r="I35" s="64">
        <v>10.42</v>
      </c>
      <c r="J35" s="64">
        <v>0.11</v>
      </c>
      <c r="K35" s="64">
        <v>280.52999999999997</v>
      </c>
      <c r="L35" s="64">
        <v>24.36</v>
      </c>
      <c r="M35" s="64">
        <v>43.63</v>
      </c>
      <c r="N35" s="64">
        <v>167.8</v>
      </c>
      <c r="O35" s="64">
        <v>0</v>
      </c>
      <c r="P35" s="64">
        <v>1.04</v>
      </c>
      <c r="Q35" s="64">
        <v>10.06</v>
      </c>
      <c r="R35" s="198"/>
      <c r="S35" s="198"/>
      <c r="T35" s="198"/>
      <c r="U35" s="198"/>
    </row>
    <row r="36" spans="1:21" s="12" customFormat="1" x14ac:dyDescent="0.25">
      <c r="A36" s="216" t="s">
        <v>561</v>
      </c>
      <c r="B36" s="64">
        <v>36.78</v>
      </c>
      <c r="C36" s="64">
        <v>37.950000000000003</v>
      </c>
      <c r="D36" s="64">
        <v>49.24</v>
      </c>
      <c r="E36" s="64">
        <v>2.13</v>
      </c>
      <c r="F36" s="64">
        <v>3.18</v>
      </c>
      <c r="G36" s="64">
        <v>155.71</v>
      </c>
      <c r="H36" s="64">
        <v>45.04</v>
      </c>
      <c r="I36" s="64">
        <v>10.28</v>
      </c>
      <c r="J36" s="64">
        <v>0.81</v>
      </c>
      <c r="K36" s="64">
        <v>163.13</v>
      </c>
      <c r="L36" s="64">
        <v>25.02</v>
      </c>
      <c r="M36" s="64">
        <v>38.42</v>
      </c>
      <c r="N36" s="64">
        <v>215.4</v>
      </c>
      <c r="O36" s="64">
        <v>0</v>
      </c>
      <c r="P36" s="64">
        <v>1.04</v>
      </c>
      <c r="Q36" s="64">
        <v>10.039999999999999</v>
      </c>
      <c r="R36" s="198"/>
      <c r="S36" s="198"/>
      <c r="T36" s="198"/>
      <c r="U36" s="198"/>
    </row>
    <row r="37" spans="1:21" s="12" customFormat="1" x14ac:dyDescent="0.25">
      <c r="A37" s="216" t="s">
        <v>562</v>
      </c>
      <c r="B37" s="64">
        <v>35.54</v>
      </c>
      <c r="C37" s="64">
        <v>38.47</v>
      </c>
      <c r="D37" s="64">
        <v>48.52</v>
      </c>
      <c r="E37" s="64">
        <v>2.21</v>
      </c>
      <c r="F37" s="64">
        <v>3.3</v>
      </c>
      <c r="G37" s="64">
        <v>138.1</v>
      </c>
      <c r="H37" s="64">
        <v>45.83</v>
      </c>
      <c r="I37" s="64">
        <v>10.23</v>
      </c>
      <c r="J37" s="64">
        <v>0.44</v>
      </c>
      <c r="K37" s="64">
        <v>178.79</v>
      </c>
      <c r="L37" s="64">
        <v>25.37</v>
      </c>
      <c r="M37" s="64">
        <v>37.619999999999997</v>
      </c>
      <c r="N37" s="64">
        <v>272.3</v>
      </c>
      <c r="O37" s="64">
        <v>0</v>
      </c>
      <c r="P37" s="64">
        <v>1.04</v>
      </c>
      <c r="Q37" s="64">
        <v>10.07</v>
      </c>
      <c r="R37" s="198"/>
      <c r="S37" s="198"/>
      <c r="T37" s="198"/>
      <c r="U37" s="198"/>
    </row>
    <row r="38" spans="1:21" s="12" customFormat="1" x14ac:dyDescent="0.25">
      <c r="A38" s="216" t="s">
        <v>563</v>
      </c>
      <c r="B38" s="64">
        <v>33.24</v>
      </c>
      <c r="C38" s="64">
        <v>39.04</v>
      </c>
      <c r="D38" s="64">
        <v>46.97</v>
      </c>
      <c r="E38" s="64">
        <v>1.92</v>
      </c>
      <c r="F38" s="64">
        <v>3.34</v>
      </c>
      <c r="G38" s="64">
        <v>138.1</v>
      </c>
      <c r="H38" s="64">
        <v>45.83</v>
      </c>
      <c r="I38" s="64">
        <v>10.130000000000001</v>
      </c>
      <c r="J38" s="64">
        <v>0.47</v>
      </c>
      <c r="K38" s="64">
        <v>162.69</v>
      </c>
      <c r="L38" s="64">
        <v>26.68</v>
      </c>
      <c r="M38" s="64">
        <v>34.01</v>
      </c>
      <c r="N38" s="64">
        <v>324.60000000000002</v>
      </c>
      <c r="O38" s="64">
        <v>0</v>
      </c>
      <c r="P38" s="64">
        <v>1.1000000000000001</v>
      </c>
      <c r="Q38" s="64">
        <v>10.07</v>
      </c>
      <c r="R38" s="198"/>
      <c r="S38" s="198"/>
      <c r="T38" s="198"/>
      <c r="U38" s="198"/>
    </row>
    <row r="39" spans="1:21" s="12" customFormat="1" x14ac:dyDescent="0.25">
      <c r="A39" s="216" t="s">
        <v>564</v>
      </c>
      <c r="B39" s="64">
        <v>30.43</v>
      </c>
      <c r="C39" s="64">
        <v>40.43</v>
      </c>
      <c r="D39" s="64">
        <v>45.45</v>
      </c>
      <c r="E39" s="64">
        <v>1.82</v>
      </c>
      <c r="F39" s="64">
        <v>3.17</v>
      </c>
      <c r="G39" s="64">
        <v>138.1</v>
      </c>
      <c r="H39" s="64">
        <v>45.83</v>
      </c>
      <c r="I39" s="64">
        <v>9.99</v>
      </c>
      <c r="J39" s="64">
        <v>0.35</v>
      </c>
      <c r="K39" s="64">
        <v>189.08</v>
      </c>
      <c r="L39" s="64">
        <v>26.98</v>
      </c>
      <c r="M39" s="64">
        <v>33.56</v>
      </c>
      <c r="N39" s="64">
        <v>379.9</v>
      </c>
      <c r="O39" s="64">
        <v>0</v>
      </c>
      <c r="P39" s="64">
        <v>1.0900000000000001</v>
      </c>
      <c r="Q39" s="64">
        <v>10.029999999999999</v>
      </c>
      <c r="R39" s="198"/>
      <c r="S39" s="198"/>
      <c r="T39" s="198"/>
      <c r="U39" s="198"/>
    </row>
    <row r="40" spans="1:21" s="12" customFormat="1" x14ac:dyDescent="0.25">
      <c r="A40" s="216" t="s">
        <v>565</v>
      </c>
      <c r="B40" s="64">
        <v>27.49</v>
      </c>
      <c r="C40" s="64">
        <v>42.15</v>
      </c>
      <c r="D40" s="64">
        <v>43.99</v>
      </c>
      <c r="E40" s="64">
        <v>1.94</v>
      </c>
      <c r="F40" s="64">
        <v>3.04</v>
      </c>
      <c r="G40" s="64">
        <v>137.88999999999999</v>
      </c>
      <c r="H40" s="64">
        <v>44.74</v>
      </c>
      <c r="I40" s="64">
        <v>9.4600000000000009</v>
      </c>
      <c r="J40" s="64">
        <v>0.39</v>
      </c>
      <c r="K40" s="64">
        <v>168.18</v>
      </c>
      <c r="L40" s="64">
        <v>27.74</v>
      </c>
      <c r="M40" s="64">
        <v>31.56</v>
      </c>
      <c r="N40" s="64">
        <v>441.7</v>
      </c>
      <c r="O40" s="64">
        <v>0</v>
      </c>
      <c r="P40" s="64">
        <v>1.07</v>
      </c>
      <c r="Q40" s="64">
        <v>10.02</v>
      </c>
      <c r="R40" s="198"/>
      <c r="S40" s="198"/>
      <c r="T40" s="198"/>
      <c r="U40" s="198"/>
    </row>
    <row r="41" spans="1:21" s="12" customFormat="1" x14ac:dyDescent="0.25">
      <c r="A41" s="216" t="s">
        <v>566</v>
      </c>
      <c r="B41" s="64">
        <v>24.51</v>
      </c>
      <c r="C41" s="64">
        <v>42.1</v>
      </c>
      <c r="D41" s="64">
        <v>41.57</v>
      </c>
      <c r="E41" s="64">
        <v>1.18</v>
      </c>
      <c r="F41" s="64">
        <v>3.42</v>
      </c>
      <c r="G41" s="64">
        <v>137.75</v>
      </c>
      <c r="H41" s="64">
        <v>43.98</v>
      </c>
      <c r="I41" s="64">
        <v>9.41</v>
      </c>
      <c r="J41" s="64">
        <v>0.78</v>
      </c>
      <c r="K41" s="64">
        <v>144.85</v>
      </c>
      <c r="L41" s="64">
        <v>28.25</v>
      </c>
      <c r="M41" s="64">
        <v>31.2</v>
      </c>
      <c r="N41" s="64">
        <v>502.7</v>
      </c>
      <c r="O41" s="64">
        <v>0</v>
      </c>
      <c r="P41" s="64">
        <v>1.05</v>
      </c>
      <c r="Q41" s="64">
        <v>9.99</v>
      </c>
      <c r="R41" s="198"/>
      <c r="S41" s="198"/>
      <c r="T41" s="198"/>
      <c r="U41" s="198"/>
    </row>
    <row r="42" spans="1:21" s="12" customFormat="1" x14ac:dyDescent="0.25">
      <c r="A42" s="216" t="s">
        <v>567</v>
      </c>
      <c r="B42" s="64">
        <v>22.17</v>
      </c>
      <c r="C42" s="64">
        <v>42.61</v>
      </c>
      <c r="D42" s="64">
        <v>39.96</v>
      </c>
      <c r="E42" s="64">
        <v>1.08</v>
      </c>
      <c r="F42" s="64">
        <v>3.67</v>
      </c>
      <c r="G42" s="64">
        <v>137.75</v>
      </c>
      <c r="H42" s="64">
        <v>43.98</v>
      </c>
      <c r="I42" s="64">
        <v>9.2899999999999991</v>
      </c>
      <c r="J42" s="64">
        <v>0.57999999999999996</v>
      </c>
      <c r="K42" s="64">
        <v>134.6</v>
      </c>
      <c r="L42" s="64">
        <v>29.77</v>
      </c>
      <c r="M42" s="64">
        <v>28.92</v>
      </c>
      <c r="N42" s="64">
        <v>552.70000000000005</v>
      </c>
      <c r="O42" s="64">
        <v>0</v>
      </c>
      <c r="P42" s="64">
        <v>1.02</v>
      </c>
      <c r="Q42" s="64">
        <v>9.9499999999999993</v>
      </c>
      <c r="R42" s="198"/>
      <c r="S42" s="198"/>
      <c r="T42" s="198"/>
      <c r="U42" s="198"/>
    </row>
    <row r="43" spans="1:21" s="12" customFormat="1" x14ac:dyDescent="0.25">
      <c r="A43" s="216" t="s">
        <v>568</v>
      </c>
      <c r="B43" s="64">
        <v>20.07</v>
      </c>
      <c r="C43" s="64">
        <v>43.35</v>
      </c>
      <c r="D43" s="64">
        <v>38.659999999999997</v>
      </c>
      <c r="E43" s="64">
        <v>1.26</v>
      </c>
      <c r="F43" s="64">
        <v>3.52</v>
      </c>
      <c r="G43" s="64">
        <v>137.75</v>
      </c>
      <c r="H43" s="64">
        <v>43.98</v>
      </c>
      <c r="I43" s="64">
        <v>9.16</v>
      </c>
      <c r="J43" s="64">
        <v>0.57999999999999996</v>
      </c>
      <c r="K43" s="64">
        <v>330.95</v>
      </c>
      <c r="L43" s="64">
        <v>33.08</v>
      </c>
      <c r="M43" s="64">
        <v>24.9</v>
      </c>
      <c r="N43" s="64">
        <v>598.5</v>
      </c>
      <c r="O43" s="64">
        <v>0</v>
      </c>
      <c r="P43" s="64">
        <v>1.01</v>
      </c>
      <c r="Q43" s="64">
        <v>9.94</v>
      </c>
      <c r="R43" s="198"/>
      <c r="S43" s="198"/>
      <c r="T43" s="198"/>
      <c r="U43" s="198"/>
    </row>
    <row r="44" spans="1:21" s="12" customFormat="1" x14ac:dyDescent="0.25">
      <c r="A44" s="216" t="s">
        <v>569</v>
      </c>
      <c r="B44" s="64">
        <v>18.260000000000002</v>
      </c>
      <c r="C44" s="64">
        <v>44.42</v>
      </c>
      <c r="D44" s="64">
        <v>37.770000000000003</v>
      </c>
      <c r="E44" s="64">
        <v>1.07</v>
      </c>
      <c r="F44" s="64">
        <v>3.47</v>
      </c>
      <c r="G44" s="64">
        <v>128.82</v>
      </c>
      <c r="H44" s="64">
        <v>43.58</v>
      </c>
      <c r="I44" s="64">
        <v>9.2200000000000006</v>
      </c>
      <c r="J44" s="64">
        <v>0.13</v>
      </c>
      <c r="K44" s="64">
        <v>224.3</v>
      </c>
      <c r="L44" s="64">
        <v>34.96</v>
      </c>
      <c r="M44" s="64">
        <v>21.42</v>
      </c>
      <c r="N44" s="64">
        <v>642.70000000000005</v>
      </c>
      <c r="O44" s="64">
        <v>0</v>
      </c>
      <c r="P44" s="64">
        <v>1</v>
      </c>
      <c r="Q44" s="64">
        <v>9.92</v>
      </c>
      <c r="R44" s="198"/>
      <c r="S44" s="198"/>
      <c r="T44" s="198"/>
      <c r="U44" s="198"/>
    </row>
    <row r="45" spans="1:21" s="12" customFormat="1" x14ac:dyDescent="0.25">
      <c r="A45" s="216" t="s">
        <v>570</v>
      </c>
      <c r="B45" s="64">
        <v>16.02</v>
      </c>
      <c r="C45" s="64">
        <v>45.75</v>
      </c>
      <c r="D45" s="64">
        <v>36.67</v>
      </c>
      <c r="E45" s="64">
        <v>0.99</v>
      </c>
      <c r="F45" s="64">
        <v>3.75</v>
      </c>
      <c r="G45" s="64">
        <v>122.59</v>
      </c>
      <c r="H45" s="64">
        <v>43.3</v>
      </c>
      <c r="I45" s="64">
        <v>9.83</v>
      </c>
      <c r="J45" s="64">
        <v>0.5</v>
      </c>
      <c r="K45" s="64">
        <v>154.47999999999999</v>
      </c>
      <c r="L45" s="64">
        <v>34.270000000000003</v>
      </c>
      <c r="M45" s="64">
        <v>20.28</v>
      </c>
      <c r="N45" s="64">
        <v>687.2</v>
      </c>
      <c r="O45" s="64">
        <v>0</v>
      </c>
      <c r="P45" s="64">
        <v>0.99</v>
      </c>
      <c r="Q45" s="64">
        <v>9.8800000000000008</v>
      </c>
      <c r="R45" s="198"/>
      <c r="S45" s="198"/>
      <c r="T45" s="198"/>
      <c r="U45" s="198"/>
    </row>
    <row r="46" spans="1:21" s="12" customFormat="1" x14ac:dyDescent="0.25">
      <c r="A46" s="216" t="s">
        <v>571</v>
      </c>
      <c r="B46" s="64">
        <v>13.46</v>
      </c>
      <c r="C46" s="64">
        <v>46.9</v>
      </c>
      <c r="D46" s="64">
        <v>35.21</v>
      </c>
      <c r="E46" s="64">
        <v>1</v>
      </c>
      <c r="F46" s="64">
        <v>3.94</v>
      </c>
      <c r="G46" s="64">
        <v>122.59</v>
      </c>
      <c r="H46" s="64">
        <v>43.3</v>
      </c>
      <c r="I46" s="64">
        <v>9.86</v>
      </c>
      <c r="J46" s="64">
        <v>0.79</v>
      </c>
      <c r="K46" s="64">
        <v>169.55</v>
      </c>
      <c r="L46" s="64">
        <v>33.630000000000003</v>
      </c>
      <c r="M46" s="64">
        <v>18.739999999999998</v>
      </c>
      <c r="N46" s="64">
        <v>725</v>
      </c>
      <c r="O46" s="64">
        <v>0</v>
      </c>
      <c r="P46" s="64">
        <v>0.97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6" t="s">
        <v>572</v>
      </c>
      <c r="B47" s="64">
        <v>10.65</v>
      </c>
      <c r="C47" s="64">
        <v>47.85</v>
      </c>
      <c r="D47" s="64">
        <v>33.46</v>
      </c>
      <c r="E47" s="64">
        <v>0.78</v>
      </c>
      <c r="F47" s="64">
        <v>4.17</v>
      </c>
      <c r="G47" s="64">
        <v>122.59</v>
      </c>
      <c r="H47" s="64">
        <v>43.3</v>
      </c>
      <c r="I47" s="64">
        <v>10.06</v>
      </c>
      <c r="J47" s="64">
        <v>0.72</v>
      </c>
      <c r="K47" s="64">
        <v>155.69</v>
      </c>
      <c r="L47" s="64">
        <v>33.83</v>
      </c>
      <c r="M47" s="64">
        <v>18.309999999999999</v>
      </c>
      <c r="N47" s="64">
        <v>760.6</v>
      </c>
      <c r="O47" s="64">
        <v>0</v>
      </c>
      <c r="P47" s="64">
        <v>0.95</v>
      </c>
      <c r="Q47" s="64">
        <v>9.73</v>
      </c>
      <c r="R47" s="198"/>
      <c r="S47" s="198"/>
      <c r="T47" s="198"/>
      <c r="U47" s="198"/>
    </row>
    <row r="48" spans="1:21" s="12" customFormat="1" x14ac:dyDescent="0.25">
      <c r="A48" s="216" t="s">
        <v>573</v>
      </c>
      <c r="B48" s="64">
        <v>7.7</v>
      </c>
      <c r="C48" s="64">
        <v>48.2</v>
      </c>
      <c r="D48" s="64">
        <v>31.28</v>
      </c>
      <c r="E48" s="64">
        <v>1.37</v>
      </c>
      <c r="F48" s="64">
        <v>4.7300000000000004</v>
      </c>
      <c r="G48" s="64">
        <v>114.57</v>
      </c>
      <c r="H48" s="64">
        <v>42.59</v>
      </c>
      <c r="I48" s="64">
        <v>10.4</v>
      </c>
      <c r="J48" s="64">
        <v>0.11</v>
      </c>
      <c r="K48" s="64">
        <v>85.48</v>
      </c>
      <c r="L48" s="64">
        <v>34.450000000000003</v>
      </c>
      <c r="M48" s="64">
        <v>25.34</v>
      </c>
      <c r="N48" s="64">
        <v>790.3</v>
      </c>
      <c r="O48" s="64">
        <v>0</v>
      </c>
      <c r="P48" s="64">
        <v>0.92</v>
      </c>
      <c r="Q48" s="64">
        <v>9.83</v>
      </c>
      <c r="R48" s="198"/>
      <c r="S48" s="198"/>
      <c r="T48" s="198"/>
      <c r="U48" s="198"/>
    </row>
    <row r="49" spans="1:21" s="12" customFormat="1" x14ac:dyDescent="0.25">
      <c r="A49" s="216" t="s">
        <v>574</v>
      </c>
      <c r="B49" s="64">
        <v>4.92</v>
      </c>
      <c r="C49" s="64">
        <v>48.47</v>
      </c>
      <c r="D49" s="64">
        <v>29.19</v>
      </c>
      <c r="E49" s="64">
        <v>0.97</v>
      </c>
      <c r="F49" s="64">
        <v>5.28</v>
      </c>
      <c r="G49" s="64">
        <v>108.96</v>
      </c>
      <c r="H49" s="64">
        <v>42.1</v>
      </c>
      <c r="I49" s="64">
        <v>10.56</v>
      </c>
      <c r="J49" s="64">
        <v>0.77</v>
      </c>
      <c r="K49" s="64">
        <v>147.71</v>
      </c>
      <c r="L49" s="64">
        <v>34.26</v>
      </c>
      <c r="M49" s="64">
        <v>22.33</v>
      </c>
      <c r="N49" s="64">
        <v>821.6</v>
      </c>
      <c r="O49" s="64">
        <v>0</v>
      </c>
      <c r="P49" s="64">
        <v>0.9</v>
      </c>
      <c r="Q49" s="64">
        <v>9.9</v>
      </c>
      <c r="R49" s="198"/>
      <c r="S49" s="198"/>
      <c r="T49" s="198"/>
      <c r="U49" s="198"/>
    </row>
    <row r="50" spans="1:21" s="12" customFormat="1" x14ac:dyDescent="0.25">
      <c r="A50" s="216" t="s">
        <v>575</v>
      </c>
      <c r="B50" s="64">
        <v>3.48</v>
      </c>
      <c r="C50" s="64">
        <v>47.61</v>
      </c>
      <c r="D50" s="64">
        <v>27.58</v>
      </c>
      <c r="E50" s="64">
        <v>1.1499999999999999</v>
      </c>
      <c r="F50" s="64">
        <v>5.69</v>
      </c>
      <c r="G50" s="64">
        <v>108.96</v>
      </c>
      <c r="H50" s="64">
        <v>42.1</v>
      </c>
      <c r="I50" s="64">
        <v>10.75</v>
      </c>
      <c r="J50" s="64">
        <v>0.25</v>
      </c>
      <c r="K50" s="64">
        <v>163.65</v>
      </c>
      <c r="L50" s="64">
        <v>34.96</v>
      </c>
      <c r="M50" s="64">
        <v>18.27</v>
      </c>
      <c r="N50" s="64">
        <v>838.6</v>
      </c>
      <c r="O50" s="64">
        <v>0</v>
      </c>
      <c r="P50" s="64">
        <v>0.88</v>
      </c>
      <c r="Q50" s="64">
        <v>9.92</v>
      </c>
      <c r="R50" s="198"/>
      <c r="S50" s="198"/>
      <c r="T50" s="198"/>
      <c r="U50" s="198"/>
    </row>
    <row r="51" spans="1:21" s="12" customFormat="1" x14ac:dyDescent="0.25">
      <c r="A51" s="216" t="s">
        <v>576</v>
      </c>
      <c r="B51" s="64">
        <v>2.87</v>
      </c>
      <c r="C51" s="64">
        <v>45.92</v>
      </c>
      <c r="D51" s="64">
        <v>26.21</v>
      </c>
      <c r="E51" s="64">
        <v>1.31</v>
      </c>
      <c r="F51" s="64">
        <v>6.5</v>
      </c>
      <c r="G51" s="64">
        <v>108.96</v>
      </c>
      <c r="H51" s="64">
        <v>42.1</v>
      </c>
      <c r="I51" s="64">
        <v>10.45</v>
      </c>
      <c r="J51" s="64">
        <v>0.23</v>
      </c>
      <c r="K51" s="64">
        <v>320.48</v>
      </c>
      <c r="L51" s="64">
        <v>35.75</v>
      </c>
      <c r="M51" s="64">
        <v>16.100000000000001</v>
      </c>
      <c r="N51" s="64">
        <v>856.7</v>
      </c>
      <c r="O51" s="64">
        <v>0</v>
      </c>
      <c r="P51" s="64">
        <v>0.85</v>
      </c>
      <c r="Q51" s="64">
        <v>9.9</v>
      </c>
      <c r="R51" s="198"/>
      <c r="S51" s="198"/>
      <c r="T51" s="198"/>
      <c r="U51" s="198"/>
    </row>
    <row r="52" spans="1:21" s="12" customFormat="1" x14ac:dyDescent="0.25">
      <c r="A52" s="216" t="s">
        <v>577</v>
      </c>
      <c r="B52" s="64">
        <v>2.74</v>
      </c>
      <c r="C52" s="64">
        <v>44.03</v>
      </c>
      <c r="D52" s="64">
        <v>25.12</v>
      </c>
      <c r="E52" s="64">
        <v>1.29</v>
      </c>
      <c r="F52" s="64">
        <v>6.89</v>
      </c>
      <c r="G52" s="64">
        <v>97.7</v>
      </c>
      <c r="H52" s="64">
        <v>41.59</v>
      </c>
      <c r="I52" s="64">
        <v>10.17</v>
      </c>
      <c r="J52" s="64">
        <v>0.14000000000000001</v>
      </c>
      <c r="K52" s="64">
        <v>303.86</v>
      </c>
      <c r="L52" s="64">
        <v>37.799999999999997</v>
      </c>
      <c r="M52" s="64">
        <v>14.33</v>
      </c>
      <c r="N52" s="64">
        <v>869.3</v>
      </c>
      <c r="O52" s="64">
        <v>0</v>
      </c>
      <c r="P52" s="64">
        <v>0.84</v>
      </c>
      <c r="Q52" s="64">
        <v>9.84</v>
      </c>
      <c r="R52" s="198"/>
      <c r="S52" s="198"/>
      <c r="T52" s="198"/>
      <c r="U52" s="198"/>
    </row>
    <row r="53" spans="1:21" s="12" customFormat="1" x14ac:dyDescent="0.25">
      <c r="A53" s="216" t="s">
        <v>578</v>
      </c>
      <c r="B53" s="64">
        <v>2.87</v>
      </c>
      <c r="C53" s="64">
        <v>42.33</v>
      </c>
      <c r="D53" s="64">
        <v>24.33</v>
      </c>
      <c r="E53" s="64">
        <v>1.1200000000000001</v>
      </c>
      <c r="F53" s="64">
        <v>7.12</v>
      </c>
      <c r="G53" s="64">
        <v>89.84</v>
      </c>
      <c r="H53" s="64">
        <v>41.23</v>
      </c>
      <c r="I53" s="64">
        <v>9.9</v>
      </c>
      <c r="J53" s="64">
        <v>0.84</v>
      </c>
      <c r="K53" s="64">
        <v>163.31</v>
      </c>
      <c r="L53" s="64">
        <v>36.1</v>
      </c>
      <c r="M53" s="64">
        <v>14.16</v>
      </c>
      <c r="N53" s="64">
        <v>883</v>
      </c>
      <c r="O53" s="64">
        <v>0</v>
      </c>
      <c r="P53" s="64">
        <v>0.82</v>
      </c>
      <c r="Q53" s="64">
        <v>9.82</v>
      </c>
      <c r="R53" s="198"/>
      <c r="S53" s="198"/>
      <c r="T53" s="198"/>
      <c r="U53" s="198"/>
    </row>
    <row r="54" spans="1:21" s="12" customFormat="1" x14ac:dyDescent="0.25">
      <c r="A54" s="216" t="s">
        <v>579</v>
      </c>
      <c r="B54" s="64">
        <v>2.93</v>
      </c>
      <c r="C54" s="64">
        <v>40.31</v>
      </c>
      <c r="D54" s="64">
        <v>23.33</v>
      </c>
      <c r="E54" s="64">
        <v>1.55</v>
      </c>
      <c r="F54" s="64">
        <v>7.77</v>
      </c>
      <c r="G54" s="64">
        <v>89.84</v>
      </c>
      <c r="H54" s="64">
        <v>41.23</v>
      </c>
      <c r="I54" s="64">
        <v>9.5299999999999994</v>
      </c>
      <c r="J54" s="64">
        <v>0.62</v>
      </c>
      <c r="K54" s="64">
        <v>144</v>
      </c>
      <c r="L54" s="64">
        <v>36.69</v>
      </c>
      <c r="M54" s="64">
        <v>14.29</v>
      </c>
      <c r="N54" s="64">
        <v>891.5</v>
      </c>
      <c r="O54" s="64">
        <v>0</v>
      </c>
      <c r="P54" s="64">
        <v>0.79</v>
      </c>
      <c r="Q54" s="64">
        <v>9.7899999999999991</v>
      </c>
      <c r="R54" s="198"/>
      <c r="S54" s="198"/>
      <c r="T54" s="198"/>
      <c r="U54" s="198"/>
    </row>
    <row r="55" spans="1:21" s="12" customFormat="1" x14ac:dyDescent="0.25">
      <c r="A55" s="216" t="s">
        <v>580</v>
      </c>
      <c r="B55" s="64">
        <v>3.02</v>
      </c>
      <c r="C55" s="64">
        <v>38.630000000000003</v>
      </c>
      <c r="D55" s="64">
        <v>22.53</v>
      </c>
      <c r="E55" s="64">
        <v>1.36</v>
      </c>
      <c r="F55" s="64">
        <v>8.2899999999999991</v>
      </c>
      <c r="G55" s="64">
        <v>89.84</v>
      </c>
      <c r="H55" s="64">
        <v>41.23</v>
      </c>
      <c r="I55" s="64">
        <v>9.2899999999999991</v>
      </c>
      <c r="J55" s="64">
        <v>0.13</v>
      </c>
      <c r="K55" s="64">
        <v>172.41</v>
      </c>
      <c r="L55" s="64">
        <v>36.74</v>
      </c>
      <c r="M55" s="64">
        <v>13.11</v>
      </c>
      <c r="N55" s="64">
        <v>887.7</v>
      </c>
      <c r="O55" s="64">
        <v>0</v>
      </c>
      <c r="P55" s="64">
        <v>0.77</v>
      </c>
      <c r="Q55" s="64">
        <v>9.77</v>
      </c>
      <c r="R55" s="198"/>
      <c r="S55" s="198"/>
      <c r="T55" s="198"/>
      <c r="U55" s="198"/>
    </row>
    <row r="56" spans="1:21" s="12" customFormat="1" x14ac:dyDescent="0.25">
      <c r="A56" s="216" t="s">
        <v>581</v>
      </c>
      <c r="B56" s="64">
        <v>3.11</v>
      </c>
      <c r="C56" s="64">
        <v>37.090000000000003</v>
      </c>
      <c r="D56" s="64">
        <v>21.79</v>
      </c>
      <c r="E56" s="64">
        <v>0.77</v>
      </c>
      <c r="F56" s="64">
        <v>8.8699999999999992</v>
      </c>
      <c r="G56" s="64">
        <v>82.09</v>
      </c>
      <c r="H56" s="64">
        <v>38.86</v>
      </c>
      <c r="I56" s="64">
        <v>9.09</v>
      </c>
      <c r="J56" s="64">
        <v>0.45</v>
      </c>
      <c r="K56" s="64">
        <v>156.52000000000001</v>
      </c>
      <c r="L56" s="64">
        <v>36.89</v>
      </c>
      <c r="M56" s="64">
        <v>12.01</v>
      </c>
      <c r="N56" s="64">
        <v>866.9</v>
      </c>
      <c r="O56" s="64">
        <v>0</v>
      </c>
      <c r="P56" s="64">
        <v>0.74</v>
      </c>
      <c r="Q56" s="64">
        <v>9.76</v>
      </c>
      <c r="R56" s="198"/>
      <c r="S56" s="198"/>
      <c r="T56" s="198"/>
      <c r="U56" s="198"/>
    </row>
    <row r="57" spans="1:21" s="12" customFormat="1" x14ac:dyDescent="0.25">
      <c r="A57" s="216" t="s">
        <v>582</v>
      </c>
      <c r="B57" s="64">
        <v>3.2</v>
      </c>
      <c r="C57" s="64">
        <v>35.97</v>
      </c>
      <c r="D57" s="64">
        <v>21.28</v>
      </c>
      <c r="E57" s="64">
        <v>1.22</v>
      </c>
      <c r="F57" s="64">
        <v>9.01</v>
      </c>
      <c r="G57" s="64">
        <v>76.680000000000007</v>
      </c>
      <c r="H57" s="64">
        <v>37.200000000000003</v>
      </c>
      <c r="I57" s="64">
        <v>9.1199999999999992</v>
      </c>
      <c r="J57" s="64">
        <v>0.14000000000000001</v>
      </c>
      <c r="K57" s="64">
        <v>172.2</v>
      </c>
      <c r="L57" s="64">
        <v>37.549999999999997</v>
      </c>
      <c r="M57" s="64">
        <v>11.7</v>
      </c>
      <c r="N57" s="64">
        <v>862.2</v>
      </c>
      <c r="O57" s="64">
        <v>0</v>
      </c>
      <c r="P57" s="64">
        <v>0.72</v>
      </c>
      <c r="Q57" s="64">
        <v>9.75</v>
      </c>
      <c r="R57" s="198"/>
      <c r="S57" s="198"/>
      <c r="T57" s="198"/>
      <c r="U57" s="198"/>
    </row>
    <row r="58" spans="1:21" s="12" customFormat="1" x14ac:dyDescent="0.25">
      <c r="A58" s="216" t="s">
        <v>583</v>
      </c>
      <c r="B58" s="64">
        <v>3.24</v>
      </c>
      <c r="C58" s="64">
        <v>35.369999999999997</v>
      </c>
      <c r="D58" s="64">
        <v>21</v>
      </c>
      <c r="E58" s="64">
        <v>1.8</v>
      </c>
      <c r="F58" s="64">
        <v>9.19</v>
      </c>
      <c r="G58" s="64">
        <v>76.680000000000007</v>
      </c>
      <c r="H58" s="64">
        <v>37.200000000000003</v>
      </c>
      <c r="I58" s="64">
        <v>8.8699999999999992</v>
      </c>
      <c r="J58" s="64">
        <v>0.24</v>
      </c>
      <c r="K58" s="64">
        <v>28.05</v>
      </c>
      <c r="L58" s="64">
        <v>39.24</v>
      </c>
      <c r="M58" s="64">
        <v>11.56</v>
      </c>
      <c r="N58" s="64">
        <v>846.6</v>
      </c>
      <c r="O58" s="64">
        <v>0</v>
      </c>
      <c r="P58" s="64">
        <v>0.7</v>
      </c>
      <c r="Q58" s="64">
        <v>9.73</v>
      </c>
      <c r="R58" s="198"/>
      <c r="S58" s="198"/>
      <c r="T58" s="198"/>
      <c r="U58" s="198"/>
    </row>
    <row r="59" spans="1:21" s="12" customFormat="1" x14ac:dyDescent="0.25">
      <c r="A59" s="216" t="s">
        <v>584</v>
      </c>
      <c r="B59" s="64">
        <v>3.28</v>
      </c>
      <c r="C59" s="64">
        <v>34.64</v>
      </c>
      <c r="D59" s="64">
        <v>20.65</v>
      </c>
      <c r="E59" s="64">
        <v>1.68</v>
      </c>
      <c r="F59" s="64">
        <v>9.01</v>
      </c>
      <c r="G59" s="64">
        <v>76.680000000000007</v>
      </c>
      <c r="H59" s="64">
        <v>37.200000000000003</v>
      </c>
      <c r="I59" s="64">
        <v>8.7200000000000006</v>
      </c>
      <c r="J59" s="64">
        <v>0.4</v>
      </c>
      <c r="K59" s="64">
        <v>112.55</v>
      </c>
      <c r="L59" s="64">
        <v>38.130000000000003</v>
      </c>
      <c r="M59" s="64">
        <v>11.3</v>
      </c>
      <c r="N59" s="64">
        <v>839.1</v>
      </c>
      <c r="O59" s="64">
        <v>0</v>
      </c>
      <c r="P59" s="64">
        <v>0.69</v>
      </c>
      <c r="Q59" s="64">
        <v>9.73</v>
      </c>
      <c r="R59" s="198"/>
      <c r="S59" s="198"/>
      <c r="T59" s="198"/>
      <c r="U59" s="198"/>
    </row>
    <row r="60" spans="1:21" s="12" customFormat="1" x14ac:dyDescent="0.25">
      <c r="A60" s="216" t="s">
        <v>585</v>
      </c>
      <c r="B60" s="64">
        <v>3.41</v>
      </c>
      <c r="C60" s="64">
        <v>34.42</v>
      </c>
      <c r="D60" s="64">
        <v>20.64</v>
      </c>
      <c r="E60" s="64">
        <v>1.45</v>
      </c>
      <c r="F60" s="64">
        <v>8</v>
      </c>
      <c r="G60" s="64">
        <v>80.040000000000006</v>
      </c>
      <c r="H60" s="64">
        <v>37.200000000000003</v>
      </c>
      <c r="I60" s="64">
        <v>8.6</v>
      </c>
      <c r="J60" s="64">
        <v>0.65</v>
      </c>
      <c r="K60" s="64">
        <v>342.43</v>
      </c>
      <c r="L60" s="64">
        <v>39.4</v>
      </c>
      <c r="M60" s="64">
        <v>11.51</v>
      </c>
      <c r="N60" s="64">
        <v>788.1</v>
      </c>
      <c r="O60" s="64">
        <v>0</v>
      </c>
      <c r="P60" s="64">
        <v>0.69</v>
      </c>
      <c r="Q60" s="64">
        <v>9.73</v>
      </c>
      <c r="R60" s="198"/>
      <c r="S60" s="198"/>
      <c r="T60" s="198"/>
      <c r="U60" s="198"/>
    </row>
    <row r="61" spans="1:21" s="12" customFormat="1" x14ac:dyDescent="0.25">
      <c r="A61" s="216" t="s">
        <v>586</v>
      </c>
      <c r="B61" s="64">
        <v>3.57</v>
      </c>
      <c r="C61" s="64">
        <v>34.61</v>
      </c>
      <c r="D61" s="64">
        <v>20.86</v>
      </c>
      <c r="E61" s="64">
        <v>1.47</v>
      </c>
      <c r="F61" s="64">
        <v>7.51</v>
      </c>
      <c r="G61" s="64">
        <v>82.39</v>
      </c>
      <c r="H61" s="64">
        <v>37.200000000000003</v>
      </c>
      <c r="I61" s="64">
        <v>8.7899999999999991</v>
      </c>
      <c r="J61" s="64">
        <v>0.61</v>
      </c>
      <c r="K61" s="64">
        <v>325.55</v>
      </c>
      <c r="L61" s="64">
        <v>40.17</v>
      </c>
      <c r="M61" s="64">
        <v>10.74</v>
      </c>
      <c r="N61" s="64">
        <v>764.9</v>
      </c>
      <c r="O61" s="64">
        <v>0</v>
      </c>
      <c r="P61" s="64">
        <v>0.7</v>
      </c>
      <c r="Q61" s="64">
        <v>9.7799999999999994</v>
      </c>
      <c r="R61" s="198"/>
      <c r="S61" s="198"/>
      <c r="T61" s="198"/>
      <c r="U61" s="198"/>
    </row>
    <row r="62" spans="1:21" s="12" customFormat="1" x14ac:dyDescent="0.25">
      <c r="A62" s="216" t="s">
        <v>587</v>
      </c>
      <c r="B62" s="64">
        <v>3.6</v>
      </c>
      <c r="C62" s="64">
        <v>34.75</v>
      </c>
      <c r="D62" s="64">
        <v>20.96</v>
      </c>
      <c r="E62" s="64">
        <v>1.57</v>
      </c>
      <c r="F62" s="64">
        <v>7.68</v>
      </c>
      <c r="G62" s="64">
        <v>82.39</v>
      </c>
      <c r="H62" s="64">
        <v>37.200000000000003</v>
      </c>
      <c r="I62" s="64">
        <v>9.2200000000000006</v>
      </c>
      <c r="J62" s="64">
        <v>0.81</v>
      </c>
      <c r="K62" s="64">
        <v>150.97999999999999</v>
      </c>
      <c r="L62" s="64">
        <v>38.64</v>
      </c>
      <c r="M62" s="64">
        <v>10</v>
      </c>
      <c r="N62" s="64">
        <v>741.2</v>
      </c>
      <c r="O62" s="64">
        <v>0</v>
      </c>
      <c r="P62" s="64">
        <v>0.74</v>
      </c>
      <c r="Q62" s="64">
        <v>9.8000000000000007</v>
      </c>
      <c r="R62" s="198"/>
      <c r="S62" s="198"/>
      <c r="T62" s="198"/>
      <c r="U62" s="198"/>
    </row>
    <row r="63" spans="1:21" s="12" customFormat="1" x14ac:dyDescent="0.25">
      <c r="A63" s="216" t="s">
        <v>588</v>
      </c>
      <c r="B63" s="64">
        <v>3.58</v>
      </c>
      <c r="C63" s="64">
        <v>34.130000000000003</v>
      </c>
      <c r="D63" s="64">
        <v>20.62</v>
      </c>
      <c r="E63" s="64">
        <v>2.27</v>
      </c>
      <c r="F63" s="64">
        <v>7.87</v>
      </c>
      <c r="G63" s="64">
        <v>82.39</v>
      </c>
      <c r="H63" s="64">
        <v>37.200000000000003</v>
      </c>
      <c r="I63" s="64">
        <v>9.48</v>
      </c>
      <c r="J63" s="64">
        <v>0.4</v>
      </c>
      <c r="K63" s="64">
        <v>106.71</v>
      </c>
      <c r="L63" s="64">
        <v>37.83</v>
      </c>
      <c r="M63" s="64">
        <v>10.23</v>
      </c>
      <c r="N63" s="64">
        <v>668.8</v>
      </c>
      <c r="O63" s="64">
        <v>0</v>
      </c>
      <c r="P63" s="64">
        <v>0.72</v>
      </c>
      <c r="Q63" s="64">
        <v>9.81</v>
      </c>
      <c r="R63" s="198"/>
      <c r="S63" s="198"/>
      <c r="T63" s="198"/>
      <c r="U63" s="198"/>
    </row>
    <row r="64" spans="1:21" s="12" customFormat="1" x14ac:dyDescent="0.25">
      <c r="A64" s="216" t="s">
        <v>589</v>
      </c>
      <c r="B64" s="64">
        <v>3.55</v>
      </c>
      <c r="C64" s="64">
        <v>33.479999999999997</v>
      </c>
      <c r="D64" s="64">
        <v>20.25</v>
      </c>
      <c r="E64" s="64">
        <v>1.37</v>
      </c>
      <c r="F64" s="64">
        <v>7.54</v>
      </c>
      <c r="G64" s="64">
        <v>80.34</v>
      </c>
      <c r="H64" s="64">
        <v>37.090000000000003</v>
      </c>
      <c r="I64" s="64">
        <v>9.58</v>
      </c>
      <c r="J64" s="64">
        <v>0.4</v>
      </c>
      <c r="K64" s="64">
        <v>118.64</v>
      </c>
      <c r="L64" s="64">
        <v>38.130000000000003</v>
      </c>
      <c r="M64" s="64">
        <v>10.51</v>
      </c>
      <c r="N64" s="64">
        <v>580.79999999999995</v>
      </c>
      <c r="O64" s="64">
        <v>0</v>
      </c>
      <c r="P64" s="64">
        <v>0.7</v>
      </c>
      <c r="Q64" s="64">
        <v>9.82</v>
      </c>
      <c r="R64" s="198"/>
      <c r="S64" s="198"/>
      <c r="T64" s="198"/>
      <c r="U64" s="198"/>
    </row>
    <row r="65" spans="1:21" s="12" customFormat="1" x14ac:dyDescent="0.25">
      <c r="A65" s="216" t="s">
        <v>590</v>
      </c>
      <c r="B65" s="64">
        <v>3.61</v>
      </c>
      <c r="C65" s="64">
        <v>33.020000000000003</v>
      </c>
      <c r="D65" s="64">
        <v>20.07</v>
      </c>
      <c r="E65" s="64">
        <v>1.41</v>
      </c>
      <c r="F65" s="64">
        <v>7.63</v>
      </c>
      <c r="G65" s="64">
        <v>78.91</v>
      </c>
      <c r="H65" s="64">
        <v>37.01</v>
      </c>
      <c r="I65" s="64">
        <v>9.68</v>
      </c>
      <c r="J65" s="64">
        <v>0.28999999999999998</v>
      </c>
      <c r="K65" s="64">
        <v>305.45</v>
      </c>
      <c r="L65" s="64">
        <v>39</v>
      </c>
      <c r="M65" s="64">
        <v>9.7899999999999991</v>
      </c>
      <c r="N65" s="64">
        <v>486.8</v>
      </c>
      <c r="O65" s="64">
        <v>0</v>
      </c>
      <c r="P65" s="64">
        <v>0.69</v>
      </c>
      <c r="Q65" s="64">
        <v>9.83</v>
      </c>
      <c r="R65" s="198"/>
      <c r="S65" s="198"/>
      <c r="T65" s="198"/>
      <c r="U65" s="198"/>
    </row>
    <row r="66" spans="1:21" s="12" customFormat="1" x14ac:dyDescent="0.25">
      <c r="A66" s="216" t="s">
        <v>591</v>
      </c>
      <c r="B66" s="64">
        <v>3.6</v>
      </c>
      <c r="C66" s="64">
        <v>32.950000000000003</v>
      </c>
      <c r="D66" s="64">
        <v>20.02</v>
      </c>
      <c r="E66" s="64">
        <v>1.81</v>
      </c>
      <c r="F66" s="64">
        <v>8.67</v>
      </c>
      <c r="G66" s="64">
        <v>78.91</v>
      </c>
      <c r="H66" s="64">
        <v>37.01</v>
      </c>
      <c r="I66" s="64">
        <v>9.64</v>
      </c>
      <c r="J66" s="64">
        <v>0.04</v>
      </c>
      <c r="K66" s="64">
        <v>98.01</v>
      </c>
      <c r="L66" s="64">
        <v>37.869999999999997</v>
      </c>
      <c r="M66" s="64">
        <v>8.93</v>
      </c>
      <c r="N66" s="64">
        <v>375.1</v>
      </c>
      <c r="O66" s="64">
        <v>0</v>
      </c>
      <c r="P66" s="64">
        <v>0.68</v>
      </c>
      <c r="Q66" s="64">
        <v>9.82</v>
      </c>
      <c r="R66" s="198"/>
      <c r="S66" s="198"/>
      <c r="T66" s="198"/>
      <c r="U66" s="198"/>
    </row>
    <row r="67" spans="1:21" s="12" customFormat="1" x14ac:dyDescent="0.25">
      <c r="A67" s="216" t="s">
        <v>592</v>
      </c>
      <c r="B67" s="64">
        <v>3.48</v>
      </c>
      <c r="C67" s="64">
        <v>32.590000000000003</v>
      </c>
      <c r="D67" s="64">
        <v>19.739999999999998</v>
      </c>
      <c r="E67" s="64">
        <v>1.86</v>
      </c>
      <c r="F67" s="64">
        <v>10.07</v>
      </c>
      <c r="G67" s="64">
        <v>78.91</v>
      </c>
      <c r="H67" s="64">
        <v>37.01</v>
      </c>
      <c r="I67" s="64">
        <v>10.28</v>
      </c>
      <c r="J67" s="64">
        <v>0.96</v>
      </c>
      <c r="K67" s="64">
        <v>144.79</v>
      </c>
      <c r="L67" s="64">
        <v>37.65</v>
      </c>
      <c r="M67" s="64">
        <v>10.31</v>
      </c>
      <c r="N67" s="64">
        <v>309.7</v>
      </c>
      <c r="O67" s="64">
        <v>0</v>
      </c>
      <c r="P67" s="64">
        <v>0.66</v>
      </c>
      <c r="Q67" s="64">
        <v>9.8000000000000007</v>
      </c>
      <c r="R67" s="198"/>
      <c r="S67" s="198"/>
      <c r="T67" s="198"/>
      <c r="U67" s="198"/>
    </row>
    <row r="68" spans="1:21" s="12" customFormat="1" x14ac:dyDescent="0.25">
      <c r="A68" s="216" t="s">
        <v>593</v>
      </c>
      <c r="B68" s="64">
        <v>3.46</v>
      </c>
      <c r="C68" s="64">
        <v>32.26</v>
      </c>
      <c r="D68" s="64">
        <v>19.55</v>
      </c>
      <c r="E68" s="64">
        <v>1.79</v>
      </c>
      <c r="F68" s="64">
        <v>9.8800000000000008</v>
      </c>
      <c r="G68" s="64">
        <v>80.56</v>
      </c>
      <c r="H68" s="64">
        <v>35.909999999999997</v>
      </c>
      <c r="I68" s="64">
        <v>9.8699999999999992</v>
      </c>
      <c r="J68" s="64">
        <v>0.59</v>
      </c>
      <c r="K68" s="64">
        <v>169.6</v>
      </c>
      <c r="L68" s="64">
        <v>37.32</v>
      </c>
      <c r="M68" s="64">
        <v>8.85</v>
      </c>
      <c r="N68" s="64">
        <v>354.6</v>
      </c>
      <c r="O68" s="64">
        <v>0</v>
      </c>
      <c r="P68" s="64">
        <v>0.64</v>
      </c>
      <c r="Q68" s="64">
        <v>9.7899999999999991</v>
      </c>
      <c r="R68" s="198"/>
      <c r="S68" s="198"/>
      <c r="T68" s="198"/>
      <c r="U68" s="198"/>
    </row>
    <row r="69" spans="1:21" s="12" customFormat="1" x14ac:dyDescent="0.25">
      <c r="A69" s="216" t="s">
        <v>594</v>
      </c>
      <c r="B69" s="64">
        <v>3.44</v>
      </c>
      <c r="C69" s="64">
        <v>31.9</v>
      </c>
      <c r="D69" s="64">
        <v>19.34</v>
      </c>
      <c r="E69" s="64">
        <v>1.52</v>
      </c>
      <c r="F69" s="64">
        <v>10.34</v>
      </c>
      <c r="G69" s="64">
        <v>81.72</v>
      </c>
      <c r="H69" s="64">
        <v>35.14</v>
      </c>
      <c r="I69" s="64">
        <v>9.66</v>
      </c>
      <c r="J69" s="64">
        <v>0.04</v>
      </c>
      <c r="K69" s="64">
        <v>228.8</v>
      </c>
      <c r="L69" s="64">
        <v>37.770000000000003</v>
      </c>
      <c r="M69" s="64">
        <v>8.6999999999999993</v>
      </c>
      <c r="N69" s="64">
        <v>378.1</v>
      </c>
      <c r="O69" s="64">
        <v>0</v>
      </c>
      <c r="P69" s="64">
        <v>0.61</v>
      </c>
      <c r="Q69" s="64">
        <v>9.75</v>
      </c>
      <c r="R69" s="198"/>
      <c r="S69" s="198"/>
      <c r="T69" s="198"/>
      <c r="U69" s="198"/>
    </row>
    <row r="70" spans="1:21" s="12" customFormat="1" x14ac:dyDescent="0.25">
      <c r="A70" s="216" t="s">
        <v>595</v>
      </c>
      <c r="B70" s="64">
        <v>3.39</v>
      </c>
      <c r="C70" s="64">
        <v>31.69</v>
      </c>
      <c r="D70" s="64">
        <v>19.2</v>
      </c>
      <c r="E70" s="64">
        <v>1.71</v>
      </c>
      <c r="F70" s="64">
        <v>11.28</v>
      </c>
      <c r="G70" s="64">
        <v>81.72</v>
      </c>
      <c r="H70" s="64">
        <v>35.14</v>
      </c>
      <c r="I70" s="64">
        <v>9.36</v>
      </c>
      <c r="J70" s="64">
        <v>1.42</v>
      </c>
      <c r="K70" s="64">
        <v>331.77</v>
      </c>
      <c r="L70" s="64">
        <v>37.880000000000003</v>
      </c>
      <c r="M70" s="64">
        <v>8.56</v>
      </c>
      <c r="N70" s="64">
        <v>333.8</v>
      </c>
      <c r="O70" s="64">
        <v>0</v>
      </c>
      <c r="P70" s="64">
        <v>0.57999999999999996</v>
      </c>
      <c r="Q70" s="64">
        <v>9.7100000000000009</v>
      </c>
      <c r="R70" s="198"/>
      <c r="S70" s="198"/>
      <c r="T70" s="198"/>
      <c r="U70" s="198"/>
    </row>
    <row r="71" spans="1:21" s="12" customFormat="1" x14ac:dyDescent="0.25">
      <c r="A71" s="216" t="s">
        <v>596</v>
      </c>
      <c r="B71" s="64">
        <v>3.47</v>
      </c>
      <c r="C71" s="64">
        <v>31.78</v>
      </c>
      <c r="D71" s="64">
        <v>19.3</v>
      </c>
      <c r="E71" s="64">
        <v>1.46</v>
      </c>
      <c r="F71" s="64">
        <v>10.36</v>
      </c>
      <c r="G71" s="64">
        <v>81.72</v>
      </c>
      <c r="H71" s="64">
        <v>35.14</v>
      </c>
      <c r="I71" s="64">
        <v>8.8800000000000008</v>
      </c>
      <c r="J71" s="64">
        <v>1.31</v>
      </c>
      <c r="K71" s="64">
        <v>330.51</v>
      </c>
      <c r="L71" s="64">
        <v>38.04</v>
      </c>
      <c r="M71" s="64">
        <v>8.5399999999999991</v>
      </c>
      <c r="N71" s="64">
        <v>192.6</v>
      </c>
      <c r="O71" s="64">
        <v>0</v>
      </c>
      <c r="P71" s="64">
        <v>0.56000000000000005</v>
      </c>
      <c r="Q71" s="64">
        <v>9.68</v>
      </c>
      <c r="R71" s="198"/>
      <c r="S71" s="198"/>
      <c r="T71" s="198"/>
      <c r="U71" s="198"/>
    </row>
    <row r="72" spans="1:21" s="12" customFormat="1" x14ac:dyDescent="0.25">
      <c r="A72" s="216" t="s">
        <v>597</v>
      </c>
      <c r="B72" s="64">
        <v>3.58</v>
      </c>
      <c r="C72" s="64">
        <v>32.15</v>
      </c>
      <c r="D72" s="64">
        <v>19.59</v>
      </c>
      <c r="E72" s="64">
        <v>2.0699999999999998</v>
      </c>
      <c r="F72" s="64">
        <v>8.84</v>
      </c>
      <c r="G72" s="64">
        <v>70.930000000000007</v>
      </c>
      <c r="H72" s="64">
        <v>31.43</v>
      </c>
      <c r="I72" s="64">
        <v>8.43</v>
      </c>
      <c r="J72" s="64">
        <v>1.1399999999999999</v>
      </c>
      <c r="K72" s="64">
        <v>336.06</v>
      </c>
      <c r="L72" s="64">
        <v>37.82</v>
      </c>
      <c r="M72" s="64">
        <v>8.4</v>
      </c>
      <c r="N72" s="64">
        <v>214.9</v>
      </c>
      <c r="O72" s="64">
        <v>0</v>
      </c>
      <c r="P72" s="64">
        <v>0.56000000000000005</v>
      </c>
      <c r="Q72" s="64">
        <v>9.68</v>
      </c>
      <c r="R72" s="198"/>
      <c r="S72" s="198"/>
      <c r="T72" s="198"/>
      <c r="U72" s="198"/>
    </row>
    <row r="73" spans="1:21" s="12" customFormat="1" x14ac:dyDescent="0.25">
      <c r="A73" s="216" t="s">
        <v>598</v>
      </c>
      <c r="B73" s="64">
        <v>3.71</v>
      </c>
      <c r="C73" s="64">
        <v>32.69</v>
      </c>
      <c r="D73" s="64">
        <v>19.98</v>
      </c>
      <c r="E73" s="64">
        <v>2.06</v>
      </c>
      <c r="F73" s="64">
        <v>7.91</v>
      </c>
      <c r="G73" s="64">
        <v>63.41</v>
      </c>
      <c r="H73" s="64">
        <v>28.83</v>
      </c>
      <c r="I73" s="64">
        <v>7.88</v>
      </c>
      <c r="J73" s="64">
        <v>1.39</v>
      </c>
      <c r="K73" s="64">
        <v>340.1</v>
      </c>
      <c r="L73" s="64">
        <v>37.58</v>
      </c>
      <c r="M73" s="64">
        <v>8.5</v>
      </c>
      <c r="N73" s="64">
        <v>181.1</v>
      </c>
      <c r="O73" s="64">
        <v>0</v>
      </c>
      <c r="P73" s="64">
        <v>0.55000000000000004</v>
      </c>
      <c r="Q73" s="64">
        <v>9.73</v>
      </c>
      <c r="R73" s="198"/>
      <c r="S73" s="198"/>
      <c r="T73" s="198"/>
      <c r="U73" s="198"/>
    </row>
    <row r="74" spans="1:21" s="12" customFormat="1" x14ac:dyDescent="0.25">
      <c r="A74" s="216" t="s">
        <v>599</v>
      </c>
      <c r="B74" s="64">
        <v>3.95</v>
      </c>
      <c r="C74" s="64">
        <v>33.81</v>
      </c>
      <c r="D74" s="64">
        <v>20.75</v>
      </c>
      <c r="E74" s="64">
        <v>1.82</v>
      </c>
      <c r="F74" s="64">
        <v>7.04</v>
      </c>
      <c r="G74" s="64">
        <v>63.41</v>
      </c>
      <c r="H74" s="64">
        <v>28.83</v>
      </c>
      <c r="I74" s="64">
        <v>7.73</v>
      </c>
      <c r="J74" s="64">
        <v>1.04</v>
      </c>
      <c r="K74" s="64">
        <v>333.37</v>
      </c>
      <c r="L74" s="64">
        <v>36.950000000000003</v>
      </c>
      <c r="M74" s="64">
        <v>9.11</v>
      </c>
      <c r="N74" s="64">
        <v>121</v>
      </c>
      <c r="O74" s="64">
        <v>0</v>
      </c>
      <c r="P74" s="64">
        <v>0.55000000000000004</v>
      </c>
      <c r="Q74" s="64">
        <v>9.7899999999999991</v>
      </c>
      <c r="R74" s="198"/>
      <c r="S74" s="198"/>
      <c r="T74" s="198"/>
      <c r="U74" s="198"/>
    </row>
    <row r="75" spans="1:21" s="12" customFormat="1" x14ac:dyDescent="0.25">
      <c r="A75" s="216" t="s">
        <v>600</v>
      </c>
      <c r="B75" s="64">
        <v>4.0999999999999996</v>
      </c>
      <c r="C75" s="64">
        <v>35.369999999999997</v>
      </c>
      <c r="D75" s="64">
        <v>21.69</v>
      </c>
      <c r="E75" s="64">
        <v>1.94</v>
      </c>
      <c r="F75" s="64">
        <v>6.28</v>
      </c>
      <c r="G75" s="64">
        <v>63.41</v>
      </c>
      <c r="H75" s="64">
        <v>28.83</v>
      </c>
      <c r="I75" s="64">
        <v>7.59</v>
      </c>
      <c r="J75" s="64">
        <v>0.54</v>
      </c>
      <c r="K75" s="64">
        <v>354.96</v>
      </c>
      <c r="L75" s="64">
        <v>36.93</v>
      </c>
      <c r="M75" s="64">
        <v>9.44</v>
      </c>
      <c r="N75" s="64">
        <v>149.9</v>
      </c>
      <c r="O75" s="64">
        <v>0</v>
      </c>
      <c r="P75" s="64">
        <v>0.55000000000000004</v>
      </c>
      <c r="Q75" s="64">
        <v>9.77</v>
      </c>
      <c r="R75" s="198"/>
      <c r="S75" s="198"/>
      <c r="T75" s="198"/>
      <c r="U75" s="198"/>
    </row>
    <row r="76" spans="1:21" s="12" customFormat="1" x14ac:dyDescent="0.25">
      <c r="A76" s="216" t="s">
        <v>601</v>
      </c>
      <c r="B76" s="64">
        <v>4.24</v>
      </c>
      <c r="C76" s="64">
        <v>37.32</v>
      </c>
      <c r="D76" s="64">
        <v>22.82</v>
      </c>
      <c r="E76" s="64">
        <v>1.6</v>
      </c>
      <c r="F76" s="64">
        <v>6.22</v>
      </c>
      <c r="G76" s="64">
        <v>59.51</v>
      </c>
      <c r="H76" s="64">
        <v>27.49</v>
      </c>
      <c r="I76" s="64">
        <v>7.31</v>
      </c>
      <c r="J76" s="64">
        <v>0.34</v>
      </c>
      <c r="K76" s="64">
        <v>11.36</v>
      </c>
      <c r="L76" s="64">
        <v>36.74</v>
      </c>
      <c r="M76" s="64">
        <v>9.67</v>
      </c>
      <c r="N76" s="64">
        <v>97.1</v>
      </c>
      <c r="O76" s="64">
        <v>0</v>
      </c>
      <c r="P76" s="64">
        <v>0.55000000000000004</v>
      </c>
      <c r="Q76" s="64">
        <v>9.69</v>
      </c>
      <c r="R76" s="198"/>
      <c r="S76" s="198"/>
      <c r="T76" s="198"/>
      <c r="U76" s="198"/>
    </row>
    <row r="77" spans="1:21" s="12" customFormat="1" x14ac:dyDescent="0.25">
      <c r="A77" s="216" t="s">
        <v>602</v>
      </c>
      <c r="B77" s="64">
        <v>4.09</v>
      </c>
      <c r="C77" s="64">
        <v>37.44</v>
      </c>
      <c r="D77" s="64">
        <v>22.76</v>
      </c>
      <c r="E77" s="64">
        <v>1.83</v>
      </c>
      <c r="F77" s="64">
        <v>6.59</v>
      </c>
      <c r="G77" s="64">
        <v>56.79</v>
      </c>
      <c r="H77" s="64">
        <v>26.56</v>
      </c>
      <c r="I77" s="64">
        <v>6.92</v>
      </c>
      <c r="J77" s="64">
        <v>0.13</v>
      </c>
      <c r="K77" s="64">
        <v>134.05000000000001</v>
      </c>
      <c r="L77" s="64">
        <v>35.33</v>
      </c>
      <c r="M77" s="64">
        <v>12.83</v>
      </c>
      <c r="N77" s="64">
        <v>69.400000000000006</v>
      </c>
      <c r="O77" s="64">
        <v>0</v>
      </c>
      <c r="P77" s="64">
        <v>0.55000000000000004</v>
      </c>
      <c r="Q77" s="64">
        <v>9.58</v>
      </c>
      <c r="R77" s="198"/>
      <c r="S77" s="198"/>
      <c r="T77" s="198"/>
      <c r="U77" s="198"/>
    </row>
    <row r="78" spans="1:21" s="12" customFormat="1" x14ac:dyDescent="0.25">
      <c r="A78" s="216" t="s">
        <v>603</v>
      </c>
      <c r="B78" s="64">
        <v>4.0999999999999996</v>
      </c>
      <c r="C78" s="64">
        <v>37.18</v>
      </c>
      <c r="D78" s="64">
        <v>22.64</v>
      </c>
      <c r="E78" s="64">
        <v>1.41</v>
      </c>
      <c r="F78" s="64">
        <v>6.27</v>
      </c>
      <c r="G78" s="64">
        <v>56.79</v>
      </c>
      <c r="H78" s="64">
        <v>26.56</v>
      </c>
      <c r="I78" s="64">
        <v>6.7</v>
      </c>
      <c r="J78" s="64">
        <v>0.15</v>
      </c>
      <c r="K78" s="64">
        <v>213.41</v>
      </c>
      <c r="L78" s="64">
        <v>34.229999999999997</v>
      </c>
      <c r="M78" s="64">
        <v>15.12</v>
      </c>
      <c r="N78" s="64">
        <v>62.2</v>
      </c>
      <c r="O78" s="64">
        <v>0</v>
      </c>
      <c r="P78" s="64">
        <v>0.55000000000000004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6" t="s">
        <v>604</v>
      </c>
      <c r="B79" s="64">
        <v>4.28</v>
      </c>
      <c r="C79" s="64">
        <v>37.14</v>
      </c>
      <c r="D79" s="64">
        <v>22.75</v>
      </c>
      <c r="E79" s="64">
        <v>1.43</v>
      </c>
      <c r="F79" s="64">
        <v>5.27</v>
      </c>
      <c r="G79" s="64">
        <v>56.79</v>
      </c>
      <c r="H79" s="64">
        <v>26.56</v>
      </c>
      <c r="I79" s="64">
        <v>6.16</v>
      </c>
      <c r="J79" s="64">
        <v>0.27</v>
      </c>
      <c r="K79" s="64">
        <v>293.89</v>
      </c>
      <c r="L79" s="64">
        <v>33.229999999999997</v>
      </c>
      <c r="M79" s="64">
        <v>19.82</v>
      </c>
      <c r="N79" s="64">
        <v>54.3</v>
      </c>
      <c r="O79" s="64">
        <v>0</v>
      </c>
      <c r="P79" s="64">
        <v>0.55000000000000004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6" t="s">
        <v>605</v>
      </c>
      <c r="B80" s="64">
        <v>4.57</v>
      </c>
      <c r="C80" s="64">
        <v>37.700000000000003</v>
      </c>
      <c r="D80" s="64">
        <v>23.28</v>
      </c>
      <c r="E80" s="64">
        <v>1.66</v>
      </c>
      <c r="F80" s="64">
        <v>4.62</v>
      </c>
      <c r="G80" s="64">
        <v>57.81</v>
      </c>
      <c r="H80" s="64">
        <v>25.81</v>
      </c>
      <c r="I80" s="64">
        <v>5.95</v>
      </c>
      <c r="J80" s="64">
        <v>0.08</v>
      </c>
      <c r="K80" s="64">
        <v>202.45</v>
      </c>
      <c r="L80" s="64">
        <v>32.19</v>
      </c>
      <c r="M80" s="64">
        <v>22.66</v>
      </c>
      <c r="N80" s="64">
        <v>43</v>
      </c>
      <c r="O80" s="64">
        <v>0</v>
      </c>
      <c r="P80" s="64">
        <v>0.64</v>
      </c>
      <c r="Q80" s="64">
        <v>9.76</v>
      </c>
      <c r="R80" s="198"/>
      <c r="S80" s="198"/>
      <c r="T80" s="198"/>
      <c r="U80" s="198"/>
    </row>
    <row r="81" spans="1:26" s="12" customFormat="1" x14ac:dyDescent="0.25">
      <c r="A81" s="216" t="s">
        <v>606</v>
      </c>
      <c r="B81" s="64">
        <v>5.53</v>
      </c>
      <c r="C81" s="64">
        <v>39.770000000000003</v>
      </c>
      <c r="D81" s="64">
        <v>25.13</v>
      </c>
      <c r="E81" s="64">
        <v>1.5</v>
      </c>
      <c r="F81" s="64">
        <v>4.2300000000000004</v>
      </c>
      <c r="G81" s="64">
        <v>58.51</v>
      </c>
      <c r="H81" s="64">
        <v>25.3</v>
      </c>
      <c r="I81" s="64">
        <v>6.02</v>
      </c>
      <c r="J81" s="64">
        <v>0.28000000000000003</v>
      </c>
      <c r="K81" s="64">
        <v>292.74</v>
      </c>
      <c r="L81" s="64">
        <v>31.5</v>
      </c>
      <c r="M81" s="64">
        <v>26.54</v>
      </c>
      <c r="N81" s="64">
        <v>28.5</v>
      </c>
      <c r="O81" s="64">
        <v>0</v>
      </c>
      <c r="P81" s="64">
        <v>0.66</v>
      </c>
      <c r="Q81" s="64">
        <v>9.8800000000000008</v>
      </c>
      <c r="R81" s="198"/>
      <c r="S81" s="198"/>
      <c r="T81" s="198"/>
      <c r="U81" s="198"/>
    </row>
    <row r="82" spans="1:26" s="12" customFormat="1" x14ac:dyDescent="0.25">
      <c r="A82" s="216" t="s">
        <v>607</v>
      </c>
      <c r="B82" s="64">
        <v>7.51</v>
      </c>
      <c r="C82" s="64">
        <v>42.08</v>
      </c>
      <c r="D82" s="64">
        <v>27.92</v>
      </c>
      <c r="E82" s="64">
        <v>1.65</v>
      </c>
      <c r="F82" s="64">
        <v>3.58</v>
      </c>
      <c r="G82" s="64">
        <v>58.51</v>
      </c>
      <c r="H82" s="64">
        <v>25.3</v>
      </c>
      <c r="I82" s="64">
        <v>7.15</v>
      </c>
      <c r="J82" s="64">
        <v>0.28999999999999998</v>
      </c>
      <c r="K82" s="64">
        <v>286.83</v>
      </c>
      <c r="L82" s="64">
        <v>30.71</v>
      </c>
      <c r="M82" s="64">
        <v>28</v>
      </c>
      <c r="N82" s="64">
        <v>19.5</v>
      </c>
      <c r="O82" s="64">
        <v>0</v>
      </c>
      <c r="P82" s="64">
        <v>0.77</v>
      </c>
      <c r="Q82" s="64">
        <v>10.02</v>
      </c>
      <c r="R82" s="198"/>
      <c r="S82" s="198"/>
      <c r="T82" s="198"/>
      <c r="U82" s="198"/>
    </row>
    <row r="83" spans="1:26" s="12" customFormat="1" x14ac:dyDescent="0.25">
      <c r="A83" s="216" t="s">
        <v>608</v>
      </c>
      <c r="B83" s="64">
        <v>9.14</v>
      </c>
      <c r="C83" s="64">
        <v>44.1</v>
      </c>
      <c r="D83" s="64">
        <v>30.29</v>
      </c>
      <c r="E83" s="64">
        <v>1.78</v>
      </c>
      <c r="F83" s="64">
        <v>3.25</v>
      </c>
      <c r="G83" s="64">
        <v>58.51</v>
      </c>
      <c r="H83" s="64">
        <v>25.3</v>
      </c>
      <c r="I83" s="64">
        <v>7.31</v>
      </c>
      <c r="J83" s="64">
        <v>0.12</v>
      </c>
      <c r="K83" s="64">
        <v>297.08999999999997</v>
      </c>
      <c r="L83" s="64">
        <v>30.09</v>
      </c>
      <c r="M83" s="64">
        <v>29.41</v>
      </c>
      <c r="N83" s="64">
        <v>17.7</v>
      </c>
      <c r="O83" s="64">
        <v>0</v>
      </c>
      <c r="P83" s="64">
        <v>0.78</v>
      </c>
      <c r="Q83" s="64">
        <v>10.210000000000001</v>
      </c>
      <c r="R83" s="198"/>
      <c r="S83" s="198"/>
      <c r="T83" s="198"/>
      <c r="U83" s="198"/>
    </row>
    <row r="84" spans="1:26" s="12" customFormat="1" x14ac:dyDescent="0.25">
      <c r="A84" s="216" t="s">
        <v>609</v>
      </c>
      <c r="B84" s="64">
        <v>12.54</v>
      </c>
      <c r="C84" s="64">
        <v>45.01</v>
      </c>
      <c r="D84" s="64">
        <v>33.49</v>
      </c>
      <c r="E84" s="64">
        <v>1.68</v>
      </c>
      <c r="F84" s="64">
        <v>3.3</v>
      </c>
      <c r="G84" s="64">
        <v>79.73</v>
      </c>
      <c r="H84" s="64">
        <v>29.23</v>
      </c>
      <c r="I84" s="64">
        <v>7.91</v>
      </c>
      <c r="J84" s="64">
        <v>0.24</v>
      </c>
      <c r="K84" s="64">
        <v>73.44</v>
      </c>
      <c r="L84" s="64">
        <v>29.69</v>
      </c>
      <c r="M84" s="64">
        <v>29.78</v>
      </c>
      <c r="N84" s="64">
        <v>17.3</v>
      </c>
      <c r="O84" s="64">
        <v>0</v>
      </c>
      <c r="P84" s="64">
        <v>0.88</v>
      </c>
      <c r="Q84" s="64">
        <v>10.28</v>
      </c>
      <c r="R84" s="198"/>
      <c r="S84" s="198"/>
      <c r="T84" s="198"/>
      <c r="U84" s="198"/>
    </row>
    <row r="85" spans="1:26" s="12" customFormat="1" x14ac:dyDescent="0.25">
      <c r="A85" s="216" t="s">
        <v>610</v>
      </c>
      <c r="B85" s="64">
        <v>18.02</v>
      </c>
      <c r="C85" s="64">
        <v>45.17</v>
      </c>
      <c r="D85" s="64">
        <v>37.97</v>
      </c>
      <c r="E85" s="64">
        <v>2</v>
      </c>
      <c r="F85" s="64">
        <v>3.29</v>
      </c>
      <c r="G85" s="64">
        <v>94.54</v>
      </c>
      <c r="H85" s="64">
        <v>31.98</v>
      </c>
      <c r="I85" s="64">
        <v>8.3000000000000007</v>
      </c>
      <c r="J85" s="64">
        <v>0.19</v>
      </c>
      <c r="K85" s="64">
        <v>29.55</v>
      </c>
      <c r="L85" s="64">
        <v>29.79</v>
      </c>
      <c r="M85" s="64">
        <v>25.16</v>
      </c>
      <c r="N85" s="64">
        <v>17.3</v>
      </c>
      <c r="O85" s="64">
        <v>0</v>
      </c>
      <c r="P85" s="64">
        <v>0.83</v>
      </c>
      <c r="Q85" s="64">
        <v>10.4</v>
      </c>
      <c r="R85" s="198"/>
      <c r="S85" s="198"/>
      <c r="T85" s="198"/>
      <c r="U85" s="198"/>
    </row>
    <row r="86" spans="1:26" s="12" customFormat="1" x14ac:dyDescent="0.25">
      <c r="A86" s="216" t="s">
        <v>611</v>
      </c>
      <c r="B86" s="64">
        <v>24.74</v>
      </c>
      <c r="C86" s="64">
        <v>46.33</v>
      </c>
      <c r="D86" s="64">
        <v>43.96</v>
      </c>
      <c r="E86" s="64">
        <v>2.13</v>
      </c>
      <c r="F86" s="64">
        <v>3.39</v>
      </c>
      <c r="G86" s="64">
        <v>94.54</v>
      </c>
      <c r="H86" s="64">
        <v>31.98</v>
      </c>
      <c r="I86" s="64">
        <v>9.77</v>
      </c>
      <c r="J86" s="64">
        <v>0.3</v>
      </c>
      <c r="K86" s="64">
        <v>315.45</v>
      </c>
      <c r="L86" s="64">
        <v>29.27</v>
      </c>
      <c r="M86" s="64">
        <v>31.3</v>
      </c>
      <c r="N86" s="64">
        <v>17</v>
      </c>
      <c r="O86" s="64">
        <v>0</v>
      </c>
      <c r="P86" s="64">
        <v>1.02</v>
      </c>
      <c r="Q86" s="64">
        <v>10.49</v>
      </c>
      <c r="R86" s="198"/>
      <c r="S86" s="198"/>
      <c r="T86" s="198"/>
      <c r="U86" s="198"/>
    </row>
    <row r="87" spans="1:26" s="12" customFormat="1" x14ac:dyDescent="0.25">
      <c r="A87" s="216" t="s">
        <v>612</v>
      </c>
      <c r="B87" s="64">
        <v>35.57</v>
      </c>
      <c r="C87" s="64">
        <v>47.28</v>
      </c>
      <c r="D87" s="64">
        <v>53.14</v>
      </c>
      <c r="E87" s="64">
        <v>2.23</v>
      </c>
      <c r="F87" s="64">
        <v>3.28</v>
      </c>
      <c r="G87" s="64">
        <v>94.54</v>
      </c>
      <c r="H87" s="64">
        <v>31.98</v>
      </c>
      <c r="I87" s="64">
        <v>11</v>
      </c>
      <c r="J87" s="64">
        <v>0.12</v>
      </c>
      <c r="K87" s="64">
        <v>46.16</v>
      </c>
      <c r="L87" s="64">
        <v>29.02</v>
      </c>
      <c r="M87" s="64">
        <v>30.92</v>
      </c>
      <c r="N87" s="64">
        <v>17.100000000000001</v>
      </c>
      <c r="O87" s="64">
        <v>0</v>
      </c>
      <c r="P87" s="64">
        <v>1.26</v>
      </c>
      <c r="Q87" s="64">
        <v>10.61</v>
      </c>
      <c r="R87" s="198"/>
      <c r="S87" s="198"/>
      <c r="T87" s="198"/>
      <c r="U87" s="198"/>
    </row>
    <row r="88" spans="1:26" s="12" customFormat="1" x14ac:dyDescent="0.25">
      <c r="A88" s="216" t="s">
        <v>613</v>
      </c>
      <c r="B88" s="64">
        <v>46.77</v>
      </c>
      <c r="C88" s="64">
        <v>48.43</v>
      </c>
      <c r="D88" s="64">
        <v>62.73</v>
      </c>
      <c r="E88" s="64">
        <v>1.29</v>
      </c>
      <c r="F88" s="64">
        <v>3.47</v>
      </c>
      <c r="G88" s="64">
        <v>113.56</v>
      </c>
      <c r="H88" s="64">
        <v>36.049999999999997</v>
      </c>
      <c r="I88" s="64">
        <v>11.45</v>
      </c>
      <c r="J88" s="64">
        <v>0.13</v>
      </c>
      <c r="K88" s="64">
        <v>258.74</v>
      </c>
      <c r="L88" s="64">
        <v>29.14</v>
      </c>
      <c r="M88" s="64">
        <v>26.68</v>
      </c>
      <c r="N88" s="64">
        <v>16.2</v>
      </c>
      <c r="O88" s="64">
        <v>0</v>
      </c>
      <c r="P88" s="64">
        <v>1.32</v>
      </c>
      <c r="Q88" s="64">
        <v>10.79</v>
      </c>
      <c r="R88" s="198"/>
      <c r="S88" s="198"/>
      <c r="T88" s="198"/>
      <c r="U88" s="198"/>
    </row>
    <row r="89" spans="1:26" s="12" customFormat="1" x14ac:dyDescent="0.25">
      <c r="A89" s="216" t="s">
        <v>614</v>
      </c>
      <c r="B89" s="64">
        <v>50.5</v>
      </c>
      <c r="C89" s="64">
        <v>52.18</v>
      </c>
      <c r="D89" s="64">
        <v>67.680000000000007</v>
      </c>
      <c r="E89" s="64">
        <v>2.17</v>
      </c>
      <c r="F89" s="64">
        <v>3.68</v>
      </c>
      <c r="G89" s="64">
        <v>126.84</v>
      </c>
      <c r="H89" s="64">
        <v>38.89</v>
      </c>
      <c r="I89" s="64">
        <v>12.07</v>
      </c>
      <c r="J89" s="64">
        <v>0.33</v>
      </c>
      <c r="K89" s="64">
        <v>177.97</v>
      </c>
      <c r="L89" s="64">
        <v>30.01</v>
      </c>
      <c r="M89" s="64">
        <v>19.8</v>
      </c>
      <c r="N89" s="64">
        <v>15.5</v>
      </c>
      <c r="O89" s="64">
        <v>0</v>
      </c>
      <c r="P89" s="64">
        <v>1.34</v>
      </c>
      <c r="Q89" s="64">
        <v>11.03</v>
      </c>
      <c r="R89" s="198"/>
      <c r="S89" s="198"/>
      <c r="T89" s="198"/>
      <c r="U89" s="198"/>
    </row>
    <row r="90" spans="1:26" s="12" customFormat="1" x14ac:dyDescent="0.25">
      <c r="A90" s="216" t="s">
        <v>615</v>
      </c>
      <c r="B90" s="64">
        <v>46.3</v>
      </c>
      <c r="C90" s="64">
        <v>56.28</v>
      </c>
      <c r="D90" s="64">
        <v>66.45</v>
      </c>
      <c r="E90" s="64">
        <v>2.2000000000000002</v>
      </c>
      <c r="F90" s="64">
        <v>3.67</v>
      </c>
      <c r="G90" s="64">
        <v>126.84</v>
      </c>
      <c r="H90" s="64">
        <v>38.89</v>
      </c>
      <c r="I90" s="64">
        <v>11.64</v>
      </c>
      <c r="J90" s="64">
        <v>0.15</v>
      </c>
      <c r="K90" s="64">
        <v>221.81</v>
      </c>
      <c r="L90" s="64">
        <v>30.26</v>
      </c>
      <c r="M90" s="64">
        <v>21.69</v>
      </c>
      <c r="N90" s="64">
        <v>16.3</v>
      </c>
      <c r="O90" s="64">
        <v>0</v>
      </c>
      <c r="P90" s="64">
        <v>1.31</v>
      </c>
      <c r="Q90" s="64">
        <v>11.14</v>
      </c>
      <c r="R90" s="198"/>
      <c r="S90" s="198"/>
      <c r="T90" s="198"/>
      <c r="U90" s="198"/>
    </row>
    <row r="91" spans="1:26" s="12" customFormat="1" x14ac:dyDescent="0.25">
      <c r="A91" s="216" t="s">
        <v>616</v>
      </c>
      <c r="B91" s="64">
        <v>44.66</v>
      </c>
      <c r="C91" s="64">
        <v>56.7</v>
      </c>
      <c r="D91" s="64">
        <v>65.36</v>
      </c>
      <c r="E91" s="64">
        <v>2.14</v>
      </c>
      <c r="F91" s="64">
        <v>3.64</v>
      </c>
      <c r="G91" s="64">
        <v>126.84</v>
      </c>
      <c r="H91" s="64">
        <v>38.89</v>
      </c>
      <c r="I91" s="64">
        <v>10.6</v>
      </c>
      <c r="J91" s="64">
        <v>0.04</v>
      </c>
      <c r="K91" s="64">
        <v>259.74</v>
      </c>
      <c r="L91" s="64">
        <v>29.15</v>
      </c>
      <c r="M91" s="64">
        <v>25.4</v>
      </c>
      <c r="N91" s="64">
        <v>16.899999999999999</v>
      </c>
      <c r="O91" s="64">
        <v>0</v>
      </c>
      <c r="P91" s="64">
        <v>1.36</v>
      </c>
      <c r="Q91" s="64">
        <v>11.12</v>
      </c>
      <c r="R91" s="198"/>
      <c r="S91" s="198"/>
      <c r="T91" s="198"/>
      <c r="U91" s="198"/>
    </row>
    <row r="92" spans="1:26" s="12" customFormat="1" x14ac:dyDescent="0.25">
      <c r="A92" s="216" t="s">
        <v>617</v>
      </c>
      <c r="B92" s="64">
        <v>46.59</v>
      </c>
      <c r="C92" s="64">
        <v>55.4</v>
      </c>
      <c r="D92" s="64">
        <v>66.23</v>
      </c>
      <c r="E92" s="64">
        <v>1.7</v>
      </c>
      <c r="F92" s="64">
        <v>3.55</v>
      </c>
      <c r="G92" s="64">
        <v>124.46</v>
      </c>
      <c r="H92" s="64">
        <v>39.369999999999997</v>
      </c>
      <c r="I92" s="64">
        <v>10.42</v>
      </c>
      <c r="J92" s="64">
        <v>0.35</v>
      </c>
      <c r="K92" s="64">
        <v>336.47</v>
      </c>
      <c r="L92" s="64">
        <v>28.54</v>
      </c>
      <c r="M92" s="64">
        <v>28.58</v>
      </c>
      <c r="N92" s="64">
        <v>17</v>
      </c>
      <c r="O92" s="64">
        <v>0</v>
      </c>
      <c r="P92" s="64">
        <v>1.56</v>
      </c>
      <c r="Q92" s="64">
        <v>10.98</v>
      </c>
      <c r="R92" s="198"/>
      <c r="S92" s="198"/>
      <c r="T92" s="198"/>
      <c r="U92" s="198"/>
    </row>
    <row r="93" spans="1:26" s="12" customFormat="1" x14ac:dyDescent="0.25">
      <c r="A93" s="216" t="s">
        <v>618</v>
      </c>
      <c r="B93" s="64">
        <v>54.92</v>
      </c>
      <c r="C93" s="64">
        <v>55.52</v>
      </c>
      <c r="D93" s="64">
        <v>72.97</v>
      </c>
      <c r="E93" s="64">
        <v>2.39</v>
      </c>
      <c r="F93" s="64">
        <v>3.33</v>
      </c>
      <c r="G93" s="64">
        <v>122.8</v>
      </c>
      <c r="H93" s="64">
        <v>39.71</v>
      </c>
      <c r="I93" s="64">
        <v>10.53</v>
      </c>
      <c r="J93" s="64">
        <v>0.2</v>
      </c>
      <c r="K93" s="64">
        <v>262.06</v>
      </c>
      <c r="L93" s="64">
        <v>28.08</v>
      </c>
      <c r="M93" s="64">
        <v>27.63</v>
      </c>
      <c r="N93" s="64">
        <v>17.3</v>
      </c>
      <c r="O93" s="64">
        <v>0</v>
      </c>
      <c r="P93" s="64">
        <v>1.6</v>
      </c>
      <c r="Q93" s="64">
        <v>10.91</v>
      </c>
      <c r="R93" s="198"/>
      <c r="S93" s="198"/>
      <c r="T93" s="198"/>
      <c r="U93" s="198"/>
    </row>
    <row r="94" spans="1:26" s="12" customFormat="1" x14ac:dyDescent="0.25">
      <c r="A94" s="216" t="s">
        <v>619</v>
      </c>
      <c r="B94" s="64">
        <v>61.04</v>
      </c>
      <c r="C94" s="64">
        <v>56.69</v>
      </c>
      <c r="D94" s="64">
        <v>78.489999999999995</v>
      </c>
      <c r="E94" s="64">
        <v>2.2799999999999998</v>
      </c>
      <c r="F94" s="64">
        <v>3.4</v>
      </c>
      <c r="G94" s="64">
        <v>122.8</v>
      </c>
      <c r="H94" s="64">
        <v>39.71</v>
      </c>
      <c r="I94" s="64">
        <v>10.57</v>
      </c>
      <c r="J94" s="64">
        <v>0.15</v>
      </c>
      <c r="K94" s="64">
        <v>230.53</v>
      </c>
      <c r="L94" s="64">
        <v>27.42</v>
      </c>
      <c r="M94" s="64">
        <v>30.15</v>
      </c>
      <c r="N94" s="64">
        <v>17.3</v>
      </c>
      <c r="O94" s="64">
        <v>0</v>
      </c>
      <c r="P94" s="64">
        <v>1.7</v>
      </c>
      <c r="Q94" s="64">
        <v>11.02</v>
      </c>
      <c r="R94" s="198"/>
      <c r="S94" s="198"/>
      <c r="T94" s="198"/>
      <c r="U94" s="198"/>
    </row>
    <row r="95" spans="1:26" s="12" customFormat="1" x14ac:dyDescent="0.25">
      <c r="A95" s="216" t="s">
        <v>620</v>
      </c>
      <c r="B95" s="64">
        <v>65.22</v>
      </c>
      <c r="C95" s="64">
        <v>57.33</v>
      </c>
      <c r="D95" s="64">
        <v>82.18</v>
      </c>
      <c r="E95" s="64">
        <v>2.3199999999999998</v>
      </c>
      <c r="F95" s="64">
        <v>3.36</v>
      </c>
      <c r="G95" s="64">
        <v>122.8</v>
      </c>
      <c r="H95" s="64">
        <v>39.71</v>
      </c>
      <c r="I95" s="64">
        <v>10.75</v>
      </c>
      <c r="J95" s="64">
        <v>0.18</v>
      </c>
      <c r="K95" s="64">
        <v>260.36</v>
      </c>
      <c r="L95" s="64">
        <v>28.22</v>
      </c>
      <c r="M95" s="64">
        <v>24.45</v>
      </c>
      <c r="N95" s="64">
        <v>16</v>
      </c>
      <c r="O95" s="64">
        <v>0</v>
      </c>
      <c r="P95" s="64">
        <v>1.67</v>
      </c>
      <c r="Q95" s="64">
        <v>11.19</v>
      </c>
      <c r="R95" s="198"/>
      <c r="S95" s="198"/>
      <c r="T95" s="198"/>
      <c r="U95" s="198"/>
    </row>
    <row r="96" spans="1:26" s="12" customFormat="1" x14ac:dyDescent="0.25">
      <c r="A96" s="216" t="s">
        <v>621</v>
      </c>
      <c r="B96" s="64">
        <v>64.599999999999994</v>
      </c>
      <c r="C96" s="64">
        <v>54.66</v>
      </c>
      <c r="D96" s="64">
        <v>80.28</v>
      </c>
      <c r="E96" s="64">
        <v>1.99</v>
      </c>
      <c r="F96" s="64">
        <v>3.58</v>
      </c>
      <c r="G96" s="64">
        <v>138.62</v>
      </c>
      <c r="H96" s="64">
        <v>41.93</v>
      </c>
      <c r="I96" s="64">
        <v>10.85</v>
      </c>
      <c r="J96" s="64">
        <v>0.16</v>
      </c>
      <c r="K96" s="64">
        <v>248.97</v>
      </c>
      <c r="L96" s="64">
        <v>28.38</v>
      </c>
      <c r="M96" s="64">
        <v>24.14</v>
      </c>
      <c r="N96" s="64">
        <v>16.3</v>
      </c>
      <c r="O96" s="64">
        <v>0</v>
      </c>
      <c r="P96" s="64">
        <v>1.58</v>
      </c>
      <c r="Q96" s="64">
        <v>11.27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622</v>
      </c>
      <c r="B97" s="64">
        <v>64.38</v>
      </c>
      <c r="C97" s="64">
        <v>51.89</v>
      </c>
      <c r="D97" s="64">
        <v>78.66</v>
      </c>
      <c r="E97" s="64">
        <v>2</v>
      </c>
      <c r="F97" s="64">
        <v>3.67</v>
      </c>
      <c r="G97" s="64">
        <v>149.66</v>
      </c>
      <c r="H97" s="64">
        <v>43.49</v>
      </c>
      <c r="I97" s="64">
        <v>10.26</v>
      </c>
      <c r="J97" s="64">
        <v>0.47</v>
      </c>
      <c r="K97" s="64">
        <v>342.41</v>
      </c>
      <c r="L97" s="64">
        <v>27.47</v>
      </c>
      <c r="M97" s="64">
        <v>28.32</v>
      </c>
      <c r="N97" s="64">
        <v>16.899999999999999</v>
      </c>
      <c r="O97" s="64">
        <v>0</v>
      </c>
      <c r="P97" s="64">
        <v>1.66</v>
      </c>
      <c r="Q97" s="64">
        <v>11.26</v>
      </c>
      <c r="R97" s="198"/>
      <c r="S97" s="198"/>
      <c r="T97" s="198"/>
      <c r="U97" s="198"/>
    </row>
    <row r="98" spans="1:33" s="12" customFormat="1" x14ac:dyDescent="0.25">
      <c r="A98" s="216" t="s">
        <v>623</v>
      </c>
      <c r="B98" s="64">
        <v>64.94</v>
      </c>
      <c r="C98" s="64">
        <v>49.04</v>
      </c>
      <c r="D98" s="64">
        <v>77.62</v>
      </c>
      <c r="E98" s="64">
        <v>2.15</v>
      </c>
      <c r="F98" s="64">
        <v>3.41</v>
      </c>
      <c r="G98" s="64">
        <v>149.66</v>
      </c>
      <c r="H98" s="64">
        <v>43.49</v>
      </c>
      <c r="I98" s="64">
        <v>7.98</v>
      </c>
      <c r="J98" s="64">
        <v>0.14000000000000001</v>
      </c>
      <c r="K98" s="64">
        <v>288.77999999999997</v>
      </c>
      <c r="L98" s="64">
        <v>27.04</v>
      </c>
      <c r="M98" s="64">
        <v>26.05</v>
      </c>
      <c r="N98" s="64">
        <v>17</v>
      </c>
      <c r="O98" s="64">
        <v>0</v>
      </c>
      <c r="P98" s="64">
        <v>1.59</v>
      </c>
      <c r="Q98" s="64">
        <v>11.27</v>
      </c>
      <c r="R98" s="198"/>
      <c r="S98" s="198"/>
      <c r="T98" s="198"/>
      <c r="U98" s="198"/>
    </row>
    <row r="99" spans="1:33" s="12" customFormat="1" x14ac:dyDescent="0.25">
      <c r="A99" s="216" t="s">
        <v>624</v>
      </c>
      <c r="B99" s="64">
        <v>63.19</v>
      </c>
      <c r="C99" s="64">
        <v>48.27</v>
      </c>
      <c r="D99" s="64">
        <v>75.81</v>
      </c>
      <c r="E99" s="64">
        <v>2.14</v>
      </c>
      <c r="F99" s="64">
        <v>3.56</v>
      </c>
      <c r="G99" s="64">
        <v>149.66</v>
      </c>
      <c r="H99" s="64">
        <v>43.49</v>
      </c>
      <c r="I99" s="64">
        <v>8.8800000000000008</v>
      </c>
      <c r="J99" s="64">
        <v>0.22</v>
      </c>
      <c r="K99" s="64">
        <v>338.44</v>
      </c>
      <c r="L99" s="64">
        <v>26.9</v>
      </c>
      <c r="M99" s="64">
        <v>26.54</v>
      </c>
      <c r="N99" s="64">
        <v>17.3</v>
      </c>
      <c r="O99" s="64">
        <v>0</v>
      </c>
      <c r="P99" s="64">
        <v>1.63</v>
      </c>
      <c r="Q99" s="64">
        <v>11.26</v>
      </c>
      <c r="R99" s="198"/>
      <c r="S99" s="198"/>
      <c r="T99" s="198"/>
      <c r="U99" s="198"/>
    </row>
    <row r="100" spans="1:33" s="12" customFormat="1" x14ac:dyDescent="0.25">
      <c r="A100" s="216" t="s">
        <v>625</v>
      </c>
      <c r="B100" s="64">
        <v>63.34</v>
      </c>
      <c r="C100" s="64">
        <v>46.98</v>
      </c>
      <c r="D100" s="64">
        <v>75.260000000000005</v>
      </c>
      <c r="E100" s="64">
        <v>1.96</v>
      </c>
      <c r="F100" s="64">
        <v>3.56</v>
      </c>
      <c r="G100" s="64">
        <v>136.99</v>
      </c>
      <c r="H100" s="64">
        <v>41.39</v>
      </c>
      <c r="I100" s="64">
        <v>8.42</v>
      </c>
      <c r="J100" s="64">
        <v>0.06</v>
      </c>
      <c r="K100" s="64">
        <v>64.260000000000005</v>
      </c>
      <c r="L100" s="64">
        <v>26.27</v>
      </c>
      <c r="M100" s="64">
        <v>29.78</v>
      </c>
      <c r="N100" s="64">
        <v>17.3</v>
      </c>
      <c r="O100" s="64">
        <v>0</v>
      </c>
      <c r="P100" s="64">
        <v>1.66</v>
      </c>
      <c r="Q100" s="64">
        <v>11.25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626</v>
      </c>
      <c r="B101" s="64">
        <v>64.92</v>
      </c>
      <c r="C101" s="64">
        <v>44.06</v>
      </c>
      <c r="D101" s="64">
        <v>75.010000000000005</v>
      </c>
      <c r="E101" s="64">
        <v>2.11</v>
      </c>
      <c r="F101" s="64">
        <v>3.3</v>
      </c>
      <c r="G101" s="64">
        <v>128.15</v>
      </c>
      <c r="H101" s="64">
        <v>39.93</v>
      </c>
      <c r="I101" s="64">
        <v>8.7799999999999994</v>
      </c>
      <c r="J101" s="64">
        <v>0.27</v>
      </c>
      <c r="K101" s="64">
        <v>319.06</v>
      </c>
      <c r="L101" s="64">
        <v>26.03</v>
      </c>
      <c r="M101" s="64">
        <v>30.39</v>
      </c>
      <c r="N101" s="64">
        <v>16.8</v>
      </c>
      <c r="O101" s="64">
        <v>0</v>
      </c>
      <c r="P101" s="64">
        <v>1.59</v>
      </c>
      <c r="Q101" s="64">
        <v>11.26</v>
      </c>
      <c r="R101" s="198"/>
      <c r="S101" s="198"/>
      <c r="T101" s="198"/>
      <c r="U101" s="198"/>
    </row>
    <row r="102" spans="1:33" s="12" customFormat="1" x14ac:dyDescent="0.25">
      <c r="A102" s="216" t="s">
        <v>627</v>
      </c>
      <c r="B102" s="64">
        <v>64.97</v>
      </c>
      <c r="C102" s="64">
        <v>40.71</v>
      </c>
      <c r="D102" s="64">
        <v>73.290000000000006</v>
      </c>
      <c r="E102" s="64">
        <v>1.94</v>
      </c>
      <c r="F102" s="64">
        <v>3.28</v>
      </c>
      <c r="G102" s="64">
        <v>128.15</v>
      </c>
      <c r="H102" s="64">
        <v>39.93</v>
      </c>
      <c r="I102" s="64">
        <v>8.91</v>
      </c>
      <c r="J102" s="64">
        <v>0.35</v>
      </c>
      <c r="K102" s="64">
        <v>303.87</v>
      </c>
      <c r="L102" s="64">
        <v>26.07</v>
      </c>
      <c r="M102" s="64">
        <v>29.17</v>
      </c>
      <c r="N102" s="64">
        <v>16.600000000000001</v>
      </c>
      <c r="O102" s="64">
        <v>0</v>
      </c>
      <c r="P102" s="64">
        <v>1.53</v>
      </c>
      <c r="Q102" s="64">
        <v>11.29</v>
      </c>
      <c r="R102" s="198"/>
      <c r="S102" s="198"/>
      <c r="T102" s="198"/>
      <c r="U102" s="198"/>
    </row>
    <row r="103" spans="1:33" s="12" customFormat="1" x14ac:dyDescent="0.25">
      <c r="A103" s="216" t="s">
        <v>628</v>
      </c>
      <c r="B103" s="64">
        <v>61.34</v>
      </c>
      <c r="C103" s="64">
        <v>40.39</v>
      </c>
      <c r="D103" s="64">
        <v>70.209999999999994</v>
      </c>
      <c r="E103" s="64">
        <v>2.0299999999999998</v>
      </c>
      <c r="F103" s="64">
        <v>3.38</v>
      </c>
      <c r="G103" s="64">
        <v>128.15</v>
      </c>
      <c r="H103" s="64">
        <v>39.93</v>
      </c>
      <c r="I103" s="64">
        <v>8.4600000000000009</v>
      </c>
      <c r="J103" s="64">
        <v>0.26</v>
      </c>
      <c r="K103" s="64">
        <v>294.8</v>
      </c>
      <c r="L103" s="64">
        <v>26.16</v>
      </c>
      <c r="M103" s="64">
        <v>25.01</v>
      </c>
      <c r="N103" s="64">
        <v>17.100000000000001</v>
      </c>
      <c r="O103" s="64">
        <v>0</v>
      </c>
      <c r="P103" s="64">
        <v>1.52</v>
      </c>
      <c r="Q103" s="64">
        <v>11.26</v>
      </c>
      <c r="R103" s="198"/>
      <c r="S103" s="198"/>
      <c r="T103" s="198"/>
      <c r="U103" s="198"/>
    </row>
    <row r="104" spans="1:33" s="12" customFormat="1" x14ac:dyDescent="0.25">
      <c r="A104" s="216" t="s">
        <v>629</v>
      </c>
      <c r="B104" s="64">
        <v>55.6</v>
      </c>
      <c r="C104" s="64">
        <v>42.62</v>
      </c>
      <c r="D104" s="64">
        <v>66.78</v>
      </c>
      <c r="E104" s="64">
        <v>1.4</v>
      </c>
      <c r="F104" s="64">
        <v>3.57</v>
      </c>
      <c r="G104" s="64">
        <v>112.57</v>
      </c>
      <c r="H104" s="64">
        <v>36.69</v>
      </c>
      <c r="I104" s="64">
        <v>8.7799999999999994</v>
      </c>
      <c r="J104" s="64">
        <v>0.24</v>
      </c>
      <c r="K104" s="64">
        <v>302.01</v>
      </c>
      <c r="L104" s="64">
        <v>26.25</v>
      </c>
      <c r="M104" s="64">
        <v>24.83</v>
      </c>
      <c r="N104" s="64">
        <v>17.2</v>
      </c>
      <c r="O104" s="64">
        <v>0</v>
      </c>
      <c r="P104" s="64">
        <v>1.5</v>
      </c>
      <c r="Q104" s="64">
        <v>11.21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2.74</v>
      </c>
      <c r="C106" s="67">
        <f>MIN(C9:C104)</f>
        <v>31.69</v>
      </c>
      <c r="D106" s="67">
        <f t="shared" ref="D106:Q106" si="0">MIN(D9:D104)</f>
        <v>19.2</v>
      </c>
      <c r="E106" s="67">
        <f t="shared" si="0"/>
        <v>0.77</v>
      </c>
      <c r="F106" s="67">
        <f t="shared" si="0"/>
        <v>2.83</v>
      </c>
      <c r="G106" s="67">
        <f t="shared" si="0"/>
        <v>56.79</v>
      </c>
      <c r="H106" s="67">
        <f t="shared" si="0"/>
        <v>25.3</v>
      </c>
      <c r="I106" s="67">
        <f t="shared" si="0"/>
        <v>5.95</v>
      </c>
      <c r="J106" s="67">
        <f t="shared" si="0"/>
        <v>0.04</v>
      </c>
      <c r="K106" s="67">
        <f t="shared" si="0"/>
        <v>11.36</v>
      </c>
      <c r="L106" s="67">
        <f t="shared" si="0"/>
        <v>22.18</v>
      </c>
      <c r="M106" s="67">
        <f t="shared" si="0"/>
        <v>8.4</v>
      </c>
      <c r="N106" s="67">
        <f t="shared" si="0"/>
        <v>13.9</v>
      </c>
      <c r="O106" s="67">
        <f t="shared" si="0"/>
        <v>0</v>
      </c>
      <c r="P106" s="67">
        <f t="shared" si="0"/>
        <v>0.55000000000000004</v>
      </c>
      <c r="Q106" s="67">
        <f t="shared" si="0"/>
        <v>9.56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100.08</v>
      </c>
      <c r="C107" s="66">
        <f t="shared" ref="C107:Q107" si="1">MAX(C9:C104)</f>
        <v>57.33</v>
      </c>
      <c r="D107" s="66">
        <f t="shared" si="1"/>
        <v>109.99</v>
      </c>
      <c r="E107" s="66">
        <f t="shared" si="1"/>
        <v>3.18</v>
      </c>
      <c r="F107" s="66">
        <f t="shared" si="1"/>
        <v>11.28</v>
      </c>
      <c r="G107" s="66">
        <f t="shared" si="1"/>
        <v>180.94</v>
      </c>
      <c r="H107" s="66">
        <f t="shared" si="1"/>
        <v>45.83</v>
      </c>
      <c r="I107" s="66">
        <f t="shared" si="1"/>
        <v>12.07</v>
      </c>
      <c r="J107" s="66">
        <f t="shared" si="1"/>
        <v>1.42</v>
      </c>
      <c r="K107" s="66">
        <f t="shared" si="1"/>
        <v>354.96</v>
      </c>
      <c r="L107" s="66">
        <f t="shared" si="1"/>
        <v>40.17</v>
      </c>
      <c r="M107" s="66">
        <f t="shared" si="1"/>
        <v>48.27</v>
      </c>
      <c r="N107" s="66">
        <f t="shared" si="1"/>
        <v>891.5</v>
      </c>
      <c r="O107" s="66">
        <f t="shared" si="1"/>
        <v>0</v>
      </c>
      <c r="P107" s="66">
        <f t="shared" si="1"/>
        <v>2.14</v>
      </c>
      <c r="Q107" s="66">
        <f t="shared" si="1"/>
        <v>11.29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34.01093749999999</v>
      </c>
      <c r="C108" s="67">
        <f t="shared" ref="C108:Q108" si="2">AVERAGE(C9:C104)</f>
        <v>42.873125000000009</v>
      </c>
      <c r="D108" s="67">
        <f t="shared" si="2"/>
        <v>49.593645833333333</v>
      </c>
      <c r="E108" s="67">
        <f t="shared" si="2"/>
        <v>1.9306249999999991</v>
      </c>
      <c r="F108" s="67">
        <f t="shared" si="2"/>
        <v>4.8662499999999991</v>
      </c>
      <c r="G108" s="67">
        <f t="shared" si="2"/>
        <v>107.27197916666665</v>
      </c>
      <c r="H108" s="67">
        <f t="shared" si="2"/>
        <v>37.358020833333299</v>
      </c>
      <c r="I108" s="67">
        <f t="shared" si="2"/>
        <v>9.6814583333333299</v>
      </c>
      <c r="J108" s="67">
        <f t="shared" si="2"/>
        <v>0.41218749999999993</v>
      </c>
      <c r="K108" s="67">
        <f t="shared" si="2"/>
        <v>223.4473958333333</v>
      </c>
      <c r="L108" s="67">
        <f t="shared" si="2"/>
        <v>30.031354166666677</v>
      </c>
      <c r="M108" s="67">
        <f t="shared" si="2"/>
        <v>25.460416666666671</v>
      </c>
      <c r="N108" s="67">
        <f t="shared" si="2"/>
        <v>255.73437499999989</v>
      </c>
      <c r="O108" s="67">
        <f t="shared" si="2"/>
        <v>0</v>
      </c>
      <c r="P108" s="67">
        <f t="shared" si="2"/>
        <v>1.1008333333333333</v>
      </c>
      <c r="Q108" s="67">
        <f t="shared" si="2"/>
        <v>10.241249999999996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29.868128413098063</v>
      </c>
      <c r="C109" s="67">
        <f t="shared" ref="C109:Q109" si="3">STDEV(C9:C104)</f>
        <v>7.0625042990205236</v>
      </c>
      <c r="D109" s="67">
        <f t="shared" si="3"/>
        <v>26.637639223664106</v>
      </c>
      <c r="E109" s="67">
        <f t="shared" si="3"/>
        <v>0.56978446987020137</v>
      </c>
      <c r="F109" s="67">
        <f t="shared" si="3"/>
        <v>2.2957935217995638</v>
      </c>
      <c r="G109" s="67">
        <f t="shared" si="3"/>
        <v>31.681485432339922</v>
      </c>
      <c r="H109" s="67">
        <f t="shared" si="3"/>
        <v>5.4314843604173344</v>
      </c>
      <c r="I109" s="67">
        <f t="shared" si="3"/>
        <v>1.3549892049806482</v>
      </c>
      <c r="J109" s="67">
        <f t="shared" si="3"/>
        <v>0.31529502683576921</v>
      </c>
      <c r="K109" s="67">
        <f t="shared" si="3"/>
        <v>96.602573380180885</v>
      </c>
      <c r="L109" s="67">
        <f t="shared" si="3"/>
        <v>5.8801633739908725</v>
      </c>
      <c r="M109" s="67">
        <f t="shared" si="3"/>
        <v>11.469404235128005</v>
      </c>
      <c r="N109" s="67">
        <f t="shared" si="3"/>
        <v>317.8927905436127</v>
      </c>
      <c r="O109" s="67">
        <f t="shared" si="3"/>
        <v>0</v>
      </c>
      <c r="P109" s="67">
        <f t="shared" si="3"/>
        <v>0.41686717982354288</v>
      </c>
      <c r="Q109" s="67">
        <f t="shared" si="3"/>
        <v>0.51713838115455879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630</v>
      </c>
      <c r="B9" s="64">
        <v>51.31</v>
      </c>
      <c r="C9" s="64">
        <v>43.51</v>
      </c>
      <c r="D9" s="64">
        <v>63.8</v>
      </c>
      <c r="E9" s="64">
        <v>1.68</v>
      </c>
      <c r="F9" s="64">
        <v>3.73</v>
      </c>
      <c r="G9" s="64">
        <v>102.19</v>
      </c>
      <c r="H9" s="64">
        <v>34.43</v>
      </c>
      <c r="I9" s="64">
        <v>9.5500000000000007</v>
      </c>
      <c r="J9" s="64">
        <v>0.22</v>
      </c>
      <c r="K9" s="64">
        <v>280.57</v>
      </c>
      <c r="L9" s="64">
        <v>26.21</v>
      </c>
      <c r="M9" s="64">
        <v>25.59</v>
      </c>
      <c r="N9" s="64">
        <v>17.100000000000001</v>
      </c>
      <c r="O9" s="64">
        <v>0</v>
      </c>
      <c r="P9" s="64">
        <v>1.46</v>
      </c>
      <c r="Q9" s="64">
        <v>11.18</v>
      </c>
      <c r="R9" s="198"/>
      <c r="S9" s="198"/>
      <c r="T9" s="198"/>
      <c r="U9" s="198"/>
    </row>
    <row r="10" spans="1:21" s="12" customFormat="1" x14ac:dyDescent="0.25">
      <c r="A10" s="216" t="s">
        <v>631</v>
      </c>
      <c r="B10" s="64">
        <v>47.5</v>
      </c>
      <c r="C10" s="64">
        <v>42.99</v>
      </c>
      <c r="D10" s="64">
        <v>60.47</v>
      </c>
      <c r="E10" s="64">
        <v>1.82</v>
      </c>
      <c r="F10" s="64">
        <v>3.69</v>
      </c>
      <c r="G10" s="64">
        <v>102.19</v>
      </c>
      <c r="H10" s="64">
        <v>34.43</v>
      </c>
      <c r="I10" s="64">
        <v>10.25</v>
      </c>
      <c r="J10" s="64">
        <v>0.15</v>
      </c>
      <c r="K10" s="64">
        <v>249.87</v>
      </c>
      <c r="L10" s="64">
        <v>25.91</v>
      </c>
      <c r="M10" s="64">
        <v>26.92</v>
      </c>
      <c r="N10" s="64">
        <v>17.100000000000001</v>
      </c>
      <c r="O10" s="64">
        <v>0</v>
      </c>
      <c r="P10" s="64">
        <v>1.42</v>
      </c>
      <c r="Q10" s="64">
        <v>11.09</v>
      </c>
      <c r="R10" s="198"/>
      <c r="S10" s="198"/>
      <c r="T10" s="198"/>
      <c r="U10" s="198"/>
    </row>
    <row r="11" spans="1:21" s="12" customFormat="1" x14ac:dyDescent="0.25">
      <c r="A11" s="216" t="s">
        <v>632</v>
      </c>
      <c r="B11" s="64">
        <v>44.01</v>
      </c>
      <c r="C11" s="64">
        <v>42.41</v>
      </c>
      <c r="D11" s="64">
        <v>57.37</v>
      </c>
      <c r="E11" s="64">
        <v>1.47</v>
      </c>
      <c r="F11" s="64">
        <v>3.96</v>
      </c>
      <c r="G11" s="64">
        <v>102.19</v>
      </c>
      <c r="H11" s="64">
        <v>34.43</v>
      </c>
      <c r="I11" s="64">
        <v>9.99</v>
      </c>
      <c r="J11" s="64">
        <v>0.23</v>
      </c>
      <c r="K11" s="64">
        <v>309.02</v>
      </c>
      <c r="L11" s="64">
        <v>25.76</v>
      </c>
      <c r="M11" s="64">
        <v>28.37</v>
      </c>
      <c r="N11" s="64">
        <v>17</v>
      </c>
      <c r="O11" s="64">
        <v>0</v>
      </c>
      <c r="P11" s="64">
        <v>1.38</v>
      </c>
      <c r="Q11" s="64">
        <v>11</v>
      </c>
      <c r="R11" s="198"/>
      <c r="S11" s="198"/>
      <c r="T11" s="198"/>
      <c r="U11" s="198"/>
    </row>
    <row r="12" spans="1:21" s="12" customFormat="1" x14ac:dyDescent="0.25">
      <c r="A12" s="216" t="s">
        <v>633</v>
      </c>
      <c r="B12" s="64">
        <v>40.01</v>
      </c>
      <c r="C12" s="64">
        <v>42.35</v>
      </c>
      <c r="D12" s="64">
        <v>54.13</v>
      </c>
      <c r="E12" s="64">
        <v>1.85</v>
      </c>
      <c r="F12" s="64">
        <v>3.55</v>
      </c>
      <c r="G12" s="64">
        <v>100.99</v>
      </c>
      <c r="H12" s="64">
        <v>33.28</v>
      </c>
      <c r="I12" s="64">
        <v>10</v>
      </c>
      <c r="J12" s="64">
        <v>0.22</v>
      </c>
      <c r="K12" s="64">
        <v>292.39</v>
      </c>
      <c r="L12" s="64">
        <v>26.02</v>
      </c>
      <c r="M12" s="64">
        <v>26.24</v>
      </c>
      <c r="N12" s="64">
        <v>17</v>
      </c>
      <c r="O12" s="64">
        <v>0</v>
      </c>
      <c r="P12" s="64">
        <v>1.33</v>
      </c>
      <c r="Q12" s="64">
        <v>10.94</v>
      </c>
      <c r="R12" s="198"/>
      <c r="S12" s="198"/>
      <c r="T12" s="198"/>
      <c r="U12" s="198"/>
    </row>
    <row r="13" spans="1:21" s="12" customFormat="1" x14ac:dyDescent="0.25">
      <c r="A13" s="216" t="s">
        <v>634</v>
      </c>
      <c r="B13" s="64">
        <v>36.18</v>
      </c>
      <c r="C13" s="64">
        <v>41.37</v>
      </c>
      <c r="D13" s="64">
        <v>50.55</v>
      </c>
      <c r="E13" s="64">
        <v>1.72</v>
      </c>
      <c r="F13" s="64">
        <v>3.56</v>
      </c>
      <c r="G13" s="64">
        <v>100.15</v>
      </c>
      <c r="H13" s="64">
        <v>32.5</v>
      </c>
      <c r="I13" s="64">
        <v>10.01</v>
      </c>
      <c r="J13" s="64">
        <v>7.0000000000000007E-2</v>
      </c>
      <c r="K13" s="64">
        <v>249.6</v>
      </c>
      <c r="L13" s="64">
        <v>25.87</v>
      </c>
      <c r="M13" s="64">
        <v>25.75</v>
      </c>
      <c r="N13" s="64">
        <v>17</v>
      </c>
      <c r="O13" s="64">
        <v>0</v>
      </c>
      <c r="P13" s="64">
        <v>1.24</v>
      </c>
      <c r="Q13" s="64">
        <v>10.84</v>
      </c>
      <c r="R13" s="198"/>
      <c r="S13" s="198"/>
      <c r="T13" s="198"/>
      <c r="U13" s="198"/>
    </row>
    <row r="14" spans="1:21" s="12" customFormat="1" x14ac:dyDescent="0.25">
      <c r="A14" s="216" t="s">
        <v>635</v>
      </c>
      <c r="B14" s="64">
        <v>32.72</v>
      </c>
      <c r="C14" s="64">
        <v>40.72</v>
      </c>
      <c r="D14" s="64">
        <v>47.43</v>
      </c>
      <c r="E14" s="64">
        <v>1.5</v>
      </c>
      <c r="F14" s="64">
        <v>3.48</v>
      </c>
      <c r="G14" s="64">
        <v>100.15</v>
      </c>
      <c r="H14" s="64">
        <v>32.5</v>
      </c>
      <c r="I14" s="64">
        <v>9.5399999999999991</v>
      </c>
      <c r="J14" s="64">
        <v>0.05</v>
      </c>
      <c r="K14" s="64">
        <v>312.7</v>
      </c>
      <c r="L14" s="64">
        <v>25.99</v>
      </c>
      <c r="M14" s="64">
        <v>28.8</v>
      </c>
      <c r="N14" s="64">
        <v>17.100000000000001</v>
      </c>
      <c r="O14" s="64">
        <v>0</v>
      </c>
      <c r="P14" s="64">
        <v>1.23</v>
      </c>
      <c r="Q14" s="64">
        <v>10.74</v>
      </c>
      <c r="R14" s="198"/>
      <c r="S14" s="198"/>
      <c r="T14" s="198"/>
      <c r="U14" s="198"/>
    </row>
    <row r="15" spans="1:21" s="12" customFormat="1" x14ac:dyDescent="0.25">
      <c r="A15" s="216" t="s">
        <v>636</v>
      </c>
      <c r="B15" s="64">
        <v>29.95</v>
      </c>
      <c r="C15" s="64">
        <v>39.75</v>
      </c>
      <c r="D15" s="64">
        <v>44.71</v>
      </c>
      <c r="E15" s="64">
        <v>1.21</v>
      </c>
      <c r="F15" s="64">
        <v>3.36</v>
      </c>
      <c r="G15" s="64">
        <v>100.15</v>
      </c>
      <c r="H15" s="64">
        <v>32.5</v>
      </c>
      <c r="I15" s="64">
        <v>9.59</v>
      </c>
      <c r="J15" s="64">
        <v>0.24</v>
      </c>
      <c r="K15" s="64">
        <v>296.83999999999997</v>
      </c>
      <c r="L15" s="64">
        <v>24.99</v>
      </c>
      <c r="M15" s="64">
        <v>32.51</v>
      </c>
      <c r="N15" s="64">
        <v>17.5</v>
      </c>
      <c r="O15" s="64">
        <v>0</v>
      </c>
      <c r="P15" s="64">
        <v>1.2</v>
      </c>
      <c r="Q15" s="64">
        <v>10.69</v>
      </c>
      <c r="R15" s="198"/>
      <c r="S15" s="198"/>
      <c r="T15" s="198"/>
      <c r="U15" s="198"/>
    </row>
    <row r="16" spans="1:21" s="12" customFormat="1" x14ac:dyDescent="0.25">
      <c r="A16" s="216" t="s">
        <v>637</v>
      </c>
      <c r="B16" s="64">
        <v>27.74</v>
      </c>
      <c r="C16" s="64">
        <v>38.85</v>
      </c>
      <c r="D16" s="64">
        <v>42.46</v>
      </c>
      <c r="E16" s="64">
        <v>1.47</v>
      </c>
      <c r="F16" s="64">
        <v>3.54</v>
      </c>
      <c r="G16" s="64">
        <v>94.43</v>
      </c>
      <c r="H16" s="64">
        <v>31.63</v>
      </c>
      <c r="I16" s="64">
        <v>9.44</v>
      </c>
      <c r="J16" s="64">
        <v>0.14000000000000001</v>
      </c>
      <c r="K16" s="64">
        <v>189.66</v>
      </c>
      <c r="L16" s="64">
        <v>24.47</v>
      </c>
      <c r="M16" s="64">
        <v>31.22</v>
      </c>
      <c r="N16" s="64">
        <v>17.399999999999999</v>
      </c>
      <c r="O16" s="64">
        <v>0</v>
      </c>
      <c r="P16" s="64">
        <v>1.1599999999999999</v>
      </c>
      <c r="Q16" s="64">
        <v>10.63</v>
      </c>
      <c r="R16" s="198"/>
      <c r="S16" s="198"/>
      <c r="T16" s="198"/>
      <c r="U16" s="198"/>
    </row>
    <row r="17" spans="1:21" s="12" customFormat="1" x14ac:dyDescent="0.25">
      <c r="A17" s="216" t="s">
        <v>638</v>
      </c>
      <c r="B17" s="64">
        <v>25.61</v>
      </c>
      <c r="C17" s="64">
        <v>37.94</v>
      </c>
      <c r="D17" s="64">
        <v>40.28</v>
      </c>
      <c r="E17" s="64">
        <v>1.41</v>
      </c>
      <c r="F17" s="64">
        <v>3.2</v>
      </c>
      <c r="G17" s="64">
        <v>90.43</v>
      </c>
      <c r="H17" s="64">
        <v>31.02</v>
      </c>
      <c r="I17" s="64">
        <v>9.23</v>
      </c>
      <c r="J17" s="64">
        <v>0.19</v>
      </c>
      <c r="K17" s="64">
        <v>334.24</v>
      </c>
      <c r="L17" s="64">
        <v>24.2</v>
      </c>
      <c r="M17" s="64">
        <v>37.25</v>
      </c>
      <c r="N17" s="64">
        <v>17.399999999999999</v>
      </c>
      <c r="O17" s="64">
        <v>0</v>
      </c>
      <c r="P17" s="64">
        <v>1.1299999999999999</v>
      </c>
      <c r="Q17" s="64">
        <v>10.55</v>
      </c>
      <c r="R17" s="198"/>
      <c r="S17" s="198"/>
      <c r="T17" s="198"/>
      <c r="U17" s="198"/>
    </row>
    <row r="18" spans="1:21" s="12" customFormat="1" x14ac:dyDescent="0.25">
      <c r="A18" s="216" t="s">
        <v>639</v>
      </c>
      <c r="B18" s="64">
        <v>24.74</v>
      </c>
      <c r="C18" s="64">
        <v>36.32</v>
      </c>
      <c r="D18" s="64">
        <v>38.74</v>
      </c>
      <c r="E18" s="64">
        <v>1.39</v>
      </c>
      <c r="F18" s="64">
        <v>3.16</v>
      </c>
      <c r="G18" s="64">
        <v>90.43</v>
      </c>
      <c r="H18" s="64">
        <v>31.02</v>
      </c>
      <c r="I18" s="64">
        <v>8.91</v>
      </c>
      <c r="J18" s="64">
        <v>0.19</v>
      </c>
      <c r="K18" s="64">
        <v>269.7</v>
      </c>
      <c r="L18" s="64">
        <v>23.73</v>
      </c>
      <c r="M18" s="64">
        <v>36.83</v>
      </c>
      <c r="N18" s="64">
        <v>17.100000000000001</v>
      </c>
      <c r="O18" s="64">
        <v>0</v>
      </c>
      <c r="P18" s="64">
        <v>1.0900000000000001</v>
      </c>
      <c r="Q18" s="64">
        <v>10.51</v>
      </c>
      <c r="R18" s="198"/>
      <c r="S18" s="198"/>
      <c r="T18" s="198"/>
      <c r="U18" s="198"/>
    </row>
    <row r="19" spans="1:21" s="12" customFormat="1" x14ac:dyDescent="0.25">
      <c r="A19" s="216" t="s">
        <v>640</v>
      </c>
      <c r="B19" s="64">
        <v>24.79</v>
      </c>
      <c r="C19" s="64">
        <v>34.49</v>
      </c>
      <c r="D19" s="64">
        <v>37.82</v>
      </c>
      <c r="E19" s="64">
        <v>1.0900000000000001</v>
      </c>
      <c r="F19" s="64">
        <v>3.28</v>
      </c>
      <c r="G19" s="64">
        <v>90.43</v>
      </c>
      <c r="H19" s="64">
        <v>31.02</v>
      </c>
      <c r="I19" s="64">
        <v>8.76</v>
      </c>
      <c r="J19" s="64">
        <v>0.3</v>
      </c>
      <c r="K19" s="64">
        <v>104.64</v>
      </c>
      <c r="L19" s="64">
        <v>23.69</v>
      </c>
      <c r="M19" s="64">
        <v>36.869999999999997</v>
      </c>
      <c r="N19" s="64">
        <v>16.8</v>
      </c>
      <c r="O19" s="64">
        <v>0</v>
      </c>
      <c r="P19" s="64">
        <v>1.07</v>
      </c>
      <c r="Q19" s="64">
        <v>10.48</v>
      </c>
      <c r="R19" s="198"/>
      <c r="S19" s="198"/>
      <c r="T19" s="198"/>
      <c r="U19" s="198"/>
    </row>
    <row r="20" spans="1:21" s="12" customFormat="1" x14ac:dyDescent="0.25">
      <c r="A20" s="216" t="s">
        <v>641</v>
      </c>
      <c r="B20" s="64">
        <v>25.24</v>
      </c>
      <c r="C20" s="64">
        <v>32.880000000000003</v>
      </c>
      <c r="D20" s="64">
        <v>37.340000000000003</v>
      </c>
      <c r="E20" s="64">
        <v>1.1299999999999999</v>
      </c>
      <c r="F20" s="64">
        <v>3.2</v>
      </c>
      <c r="G20" s="64">
        <v>87.22</v>
      </c>
      <c r="H20" s="64">
        <v>29.7</v>
      </c>
      <c r="I20" s="64">
        <v>8.2200000000000006</v>
      </c>
      <c r="J20" s="64">
        <v>0.16</v>
      </c>
      <c r="K20" s="64">
        <v>224.9</v>
      </c>
      <c r="L20" s="64">
        <v>23.48</v>
      </c>
      <c r="M20" s="64">
        <v>40.36</v>
      </c>
      <c r="N20" s="64">
        <v>16.899999999999999</v>
      </c>
      <c r="O20" s="64">
        <v>0</v>
      </c>
      <c r="P20" s="64">
        <v>1.05</v>
      </c>
      <c r="Q20" s="64">
        <v>10.48</v>
      </c>
      <c r="R20" s="198"/>
      <c r="S20" s="198"/>
      <c r="T20" s="198"/>
      <c r="U20" s="198"/>
    </row>
    <row r="21" spans="1:21" s="12" customFormat="1" x14ac:dyDescent="0.25">
      <c r="A21" s="216" t="s">
        <v>642</v>
      </c>
      <c r="B21" s="64">
        <v>25.52</v>
      </c>
      <c r="C21" s="64">
        <v>31.29</v>
      </c>
      <c r="D21" s="64">
        <v>36.74</v>
      </c>
      <c r="E21" s="64">
        <v>1.28</v>
      </c>
      <c r="F21" s="64">
        <v>3.12</v>
      </c>
      <c r="G21" s="64">
        <v>84.97</v>
      </c>
      <c r="H21" s="64">
        <v>28.78</v>
      </c>
      <c r="I21" s="64">
        <v>8.25</v>
      </c>
      <c r="J21" s="64">
        <v>0.26</v>
      </c>
      <c r="K21" s="64">
        <v>328.62</v>
      </c>
      <c r="L21" s="64">
        <v>23.23</v>
      </c>
      <c r="M21" s="64">
        <v>45.37</v>
      </c>
      <c r="N21" s="64">
        <v>17.100000000000001</v>
      </c>
      <c r="O21" s="64">
        <v>0</v>
      </c>
      <c r="P21" s="64">
        <v>1.05</v>
      </c>
      <c r="Q21" s="64">
        <v>10.48</v>
      </c>
      <c r="R21" s="198"/>
      <c r="S21" s="198"/>
      <c r="T21" s="198"/>
      <c r="U21" s="198"/>
    </row>
    <row r="22" spans="1:21" s="12" customFormat="1" x14ac:dyDescent="0.25">
      <c r="A22" s="216" t="s">
        <v>643</v>
      </c>
      <c r="B22" s="64">
        <v>25.29</v>
      </c>
      <c r="C22" s="64">
        <v>30.27</v>
      </c>
      <c r="D22" s="64">
        <v>36.020000000000003</v>
      </c>
      <c r="E22" s="64">
        <v>1.29</v>
      </c>
      <c r="F22" s="64">
        <v>3.08</v>
      </c>
      <c r="G22" s="64">
        <v>84.97</v>
      </c>
      <c r="H22" s="64">
        <v>28.78</v>
      </c>
      <c r="I22" s="64">
        <v>8.6</v>
      </c>
      <c r="J22" s="64">
        <v>0.26</v>
      </c>
      <c r="K22" s="64">
        <v>256.39999999999998</v>
      </c>
      <c r="L22" s="64">
        <v>22.91</v>
      </c>
      <c r="M22" s="64">
        <v>43.78</v>
      </c>
      <c r="N22" s="64">
        <v>17.100000000000001</v>
      </c>
      <c r="O22" s="64">
        <v>0</v>
      </c>
      <c r="P22" s="64">
        <v>1.03</v>
      </c>
      <c r="Q22" s="64">
        <v>10.47</v>
      </c>
      <c r="R22" s="198"/>
      <c r="S22" s="198"/>
      <c r="T22" s="198"/>
      <c r="U22" s="198"/>
    </row>
    <row r="23" spans="1:21" s="12" customFormat="1" x14ac:dyDescent="0.25">
      <c r="A23" s="216" t="s">
        <v>644</v>
      </c>
      <c r="B23" s="64">
        <v>25.35</v>
      </c>
      <c r="C23" s="64">
        <v>29.37</v>
      </c>
      <c r="D23" s="64">
        <v>35.590000000000003</v>
      </c>
      <c r="E23" s="64">
        <v>1.37</v>
      </c>
      <c r="F23" s="64">
        <v>3.09</v>
      </c>
      <c r="G23" s="64">
        <v>84.97</v>
      </c>
      <c r="H23" s="64">
        <v>28.78</v>
      </c>
      <c r="I23" s="64">
        <v>9.0399999999999991</v>
      </c>
      <c r="J23" s="64">
        <v>0.17</v>
      </c>
      <c r="K23" s="64">
        <v>306.05</v>
      </c>
      <c r="L23" s="64">
        <v>22.6</v>
      </c>
      <c r="M23" s="64">
        <v>45.82</v>
      </c>
      <c r="N23" s="64">
        <v>17.399999999999999</v>
      </c>
      <c r="O23" s="64">
        <v>0</v>
      </c>
      <c r="P23" s="64">
        <v>1.03</v>
      </c>
      <c r="Q23" s="64">
        <v>10.43</v>
      </c>
      <c r="R23" s="198"/>
      <c r="S23" s="198"/>
      <c r="T23" s="198"/>
      <c r="U23" s="198"/>
    </row>
    <row r="24" spans="1:21" s="12" customFormat="1" x14ac:dyDescent="0.25">
      <c r="A24" s="216" t="s">
        <v>645</v>
      </c>
      <c r="B24" s="64">
        <v>25.74</v>
      </c>
      <c r="C24" s="64">
        <v>28.48</v>
      </c>
      <c r="D24" s="64">
        <v>35.44</v>
      </c>
      <c r="E24" s="64">
        <v>2.0499999999999998</v>
      </c>
      <c r="F24" s="64">
        <v>3.11</v>
      </c>
      <c r="G24" s="64">
        <v>91.13</v>
      </c>
      <c r="H24" s="64">
        <v>27.33</v>
      </c>
      <c r="I24" s="64">
        <v>8.92</v>
      </c>
      <c r="J24" s="64">
        <v>0.25</v>
      </c>
      <c r="K24" s="64">
        <v>316.8</v>
      </c>
      <c r="L24" s="64">
        <v>22.32</v>
      </c>
      <c r="M24" s="64">
        <v>49.09</v>
      </c>
      <c r="N24" s="64">
        <v>16.899999999999999</v>
      </c>
      <c r="O24" s="64">
        <v>0</v>
      </c>
      <c r="P24" s="64">
        <v>1.01</v>
      </c>
      <c r="Q24" s="64">
        <v>10.4</v>
      </c>
      <c r="R24" s="198"/>
      <c r="S24" s="198"/>
      <c r="T24" s="198"/>
      <c r="U24" s="198"/>
    </row>
    <row r="25" spans="1:21" s="12" customFormat="1" x14ac:dyDescent="0.25">
      <c r="A25" s="216" t="s">
        <v>646</v>
      </c>
      <c r="B25" s="64">
        <v>27.24</v>
      </c>
      <c r="C25" s="64">
        <v>27.6</v>
      </c>
      <c r="D25" s="64">
        <v>36.19</v>
      </c>
      <c r="E25" s="64">
        <v>2.62</v>
      </c>
      <c r="F25" s="64">
        <v>3.07</v>
      </c>
      <c r="G25" s="64">
        <v>95.43</v>
      </c>
      <c r="H25" s="64">
        <v>26.32</v>
      </c>
      <c r="I25" s="64">
        <v>9.08</v>
      </c>
      <c r="J25" s="64">
        <v>0.19</v>
      </c>
      <c r="K25" s="64">
        <v>292.51</v>
      </c>
      <c r="L25" s="64">
        <v>22.26</v>
      </c>
      <c r="M25" s="64">
        <v>49.36</v>
      </c>
      <c r="N25" s="64">
        <v>17.100000000000001</v>
      </c>
      <c r="O25" s="64">
        <v>0</v>
      </c>
      <c r="P25" s="64">
        <v>1.01</v>
      </c>
      <c r="Q25" s="64">
        <v>10.38</v>
      </c>
      <c r="R25" s="198"/>
      <c r="S25" s="198"/>
      <c r="T25" s="198"/>
      <c r="U25" s="198"/>
    </row>
    <row r="26" spans="1:21" s="12" customFormat="1" x14ac:dyDescent="0.25">
      <c r="A26" s="216" t="s">
        <v>647</v>
      </c>
      <c r="B26" s="64">
        <v>28.94</v>
      </c>
      <c r="C26" s="64">
        <v>26.49</v>
      </c>
      <c r="D26" s="64">
        <v>36.97</v>
      </c>
      <c r="E26" s="64">
        <v>2.63</v>
      </c>
      <c r="F26" s="64">
        <v>3.17</v>
      </c>
      <c r="G26" s="64">
        <v>95.43</v>
      </c>
      <c r="H26" s="64">
        <v>26.32</v>
      </c>
      <c r="I26" s="64">
        <v>9.42</v>
      </c>
      <c r="J26" s="64">
        <v>0.25</v>
      </c>
      <c r="K26" s="64">
        <v>270.14</v>
      </c>
      <c r="L26" s="64">
        <v>22.64</v>
      </c>
      <c r="M26" s="64">
        <v>46.64</v>
      </c>
      <c r="N26" s="64">
        <v>16.899999999999999</v>
      </c>
      <c r="O26" s="64">
        <v>0</v>
      </c>
      <c r="P26" s="64">
        <v>1</v>
      </c>
      <c r="Q26" s="64">
        <v>10.37</v>
      </c>
      <c r="R26" s="198"/>
      <c r="S26" s="198"/>
      <c r="T26" s="198"/>
      <c r="U26" s="198"/>
    </row>
    <row r="27" spans="1:21" s="12" customFormat="1" x14ac:dyDescent="0.25">
      <c r="A27" s="216" t="s">
        <v>648</v>
      </c>
      <c r="B27" s="64">
        <v>31.65</v>
      </c>
      <c r="C27" s="64">
        <v>27.51</v>
      </c>
      <c r="D27" s="64">
        <v>39.67</v>
      </c>
      <c r="E27" s="64">
        <v>2.4700000000000002</v>
      </c>
      <c r="F27" s="64">
        <v>3.32</v>
      </c>
      <c r="G27" s="64">
        <v>95.43</v>
      </c>
      <c r="H27" s="64">
        <v>26.32</v>
      </c>
      <c r="I27" s="64">
        <v>9.82</v>
      </c>
      <c r="J27" s="64">
        <v>0.28000000000000003</v>
      </c>
      <c r="K27" s="64">
        <v>313.38</v>
      </c>
      <c r="L27" s="64">
        <v>22.59</v>
      </c>
      <c r="M27" s="64">
        <v>48.29</v>
      </c>
      <c r="N27" s="64">
        <v>16.8</v>
      </c>
      <c r="O27" s="64">
        <v>0</v>
      </c>
      <c r="P27" s="64">
        <v>0.99</v>
      </c>
      <c r="Q27" s="64">
        <v>10.41</v>
      </c>
      <c r="R27" s="198"/>
      <c r="S27" s="198"/>
      <c r="T27" s="198"/>
      <c r="U27" s="198"/>
    </row>
    <row r="28" spans="1:21" s="12" customFormat="1" x14ac:dyDescent="0.25">
      <c r="A28" s="216" t="s">
        <v>649</v>
      </c>
      <c r="B28" s="64">
        <v>35.53</v>
      </c>
      <c r="C28" s="64">
        <v>27.84</v>
      </c>
      <c r="D28" s="64">
        <v>42.96</v>
      </c>
      <c r="E28" s="64">
        <v>2.54</v>
      </c>
      <c r="F28" s="64">
        <v>3.32</v>
      </c>
      <c r="G28" s="64">
        <v>102.98</v>
      </c>
      <c r="H28" s="64">
        <v>27.98</v>
      </c>
      <c r="I28" s="64">
        <v>10.46</v>
      </c>
      <c r="J28" s="64">
        <v>0.27</v>
      </c>
      <c r="K28" s="64">
        <v>304.95999999999998</v>
      </c>
      <c r="L28" s="64">
        <v>22.18</v>
      </c>
      <c r="M28" s="64">
        <v>49.24</v>
      </c>
      <c r="N28" s="64">
        <v>17.100000000000001</v>
      </c>
      <c r="O28" s="64">
        <v>0</v>
      </c>
      <c r="P28" s="64">
        <v>0.99</v>
      </c>
      <c r="Q28" s="64">
        <v>10.46</v>
      </c>
      <c r="R28" s="198"/>
      <c r="S28" s="198"/>
      <c r="T28" s="198"/>
      <c r="U28" s="198"/>
    </row>
    <row r="29" spans="1:21" s="12" customFormat="1" x14ac:dyDescent="0.25">
      <c r="A29" s="216" t="s">
        <v>650</v>
      </c>
      <c r="B29" s="64">
        <v>39.18</v>
      </c>
      <c r="C29" s="64">
        <v>28.26</v>
      </c>
      <c r="D29" s="64">
        <v>46.1</v>
      </c>
      <c r="E29" s="64">
        <v>2.44</v>
      </c>
      <c r="F29" s="64">
        <v>3.15</v>
      </c>
      <c r="G29" s="64">
        <v>108.25</v>
      </c>
      <c r="H29" s="64">
        <v>29.15</v>
      </c>
      <c r="I29" s="64">
        <v>10.36</v>
      </c>
      <c r="J29" s="64">
        <v>0.26</v>
      </c>
      <c r="K29" s="64">
        <v>342.67</v>
      </c>
      <c r="L29" s="64">
        <v>21.97</v>
      </c>
      <c r="M29" s="64">
        <v>49.76</v>
      </c>
      <c r="N29" s="64">
        <v>18.3</v>
      </c>
      <c r="O29" s="64">
        <v>0</v>
      </c>
      <c r="P29" s="64">
        <v>0.98</v>
      </c>
      <c r="Q29" s="64">
        <v>10.55</v>
      </c>
      <c r="R29" s="198"/>
      <c r="S29" s="198"/>
      <c r="T29" s="198"/>
      <c r="U29" s="198"/>
    </row>
    <row r="30" spans="1:21" s="12" customFormat="1" x14ac:dyDescent="0.25">
      <c r="A30" s="216" t="s">
        <v>651</v>
      </c>
      <c r="B30" s="64">
        <v>42.67</v>
      </c>
      <c r="C30" s="64">
        <v>28.57</v>
      </c>
      <c r="D30" s="64">
        <v>49.07</v>
      </c>
      <c r="E30" s="64">
        <v>2.67</v>
      </c>
      <c r="F30" s="64">
        <v>3.19</v>
      </c>
      <c r="G30" s="64">
        <v>108.25</v>
      </c>
      <c r="H30" s="64">
        <v>29.15</v>
      </c>
      <c r="I30" s="64">
        <v>10.27</v>
      </c>
      <c r="J30" s="64">
        <v>0.28000000000000003</v>
      </c>
      <c r="K30" s="64">
        <v>270.77</v>
      </c>
      <c r="L30" s="64">
        <v>21.94</v>
      </c>
      <c r="M30" s="64">
        <v>43.1</v>
      </c>
      <c r="N30" s="64">
        <v>22.6</v>
      </c>
      <c r="O30" s="64">
        <v>0</v>
      </c>
      <c r="P30" s="64">
        <v>0.98</v>
      </c>
      <c r="Q30" s="64">
        <v>10.63</v>
      </c>
      <c r="R30" s="198"/>
      <c r="S30" s="198"/>
      <c r="T30" s="198"/>
      <c r="U30" s="198"/>
    </row>
    <row r="31" spans="1:21" s="12" customFormat="1" x14ac:dyDescent="0.25">
      <c r="A31" s="216" t="s">
        <v>652</v>
      </c>
      <c r="B31" s="64">
        <v>44.1</v>
      </c>
      <c r="C31" s="64">
        <v>29.01</v>
      </c>
      <c r="D31" s="64">
        <v>50.44</v>
      </c>
      <c r="E31" s="64">
        <v>2.4</v>
      </c>
      <c r="F31" s="64">
        <v>3.37</v>
      </c>
      <c r="G31" s="64">
        <v>108.25</v>
      </c>
      <c r="H31" s="64">
        <v>29.15</v>
      </c>
      <c r="I31" s="64">
        <v>10.17</v>
      </c>
      <c r="J31" s="64">
        <v>0.25</v>
      </c>
      <c r="K31" s="64">
        <v>264.75</v>
      </c>
      <c r="L31" s="64">
        <v>22.29</v>
      </c>
      <c r="M31" s="64">
        <v>40.409999999999997</v>
      </c>
      <c r="N31" s="64">
        <v>39.299999999999997</v>
      </c>
      <c r="O31" s="64">
        <v>0</v>
      </c>
      <c r="P31" s="64">
        <v>0.97</v>
      </c>
      <c r="Q31" s="64">
        <v>10.76</v>
      </c>
      <c r="R31" s="198"/>
      <c r="S31" s="198"/>
      <c r="T31" s="198"/>
      <c r="U31" s="198"/>
    </row>
    <row r="32" spans="1:21" s="12" customFormat="1" x14ac:dyDescent="0.25">
      <c r="A32" s="216" t="s">
        <v>653</v>
      </c>
      <c r="B32" s="64">
        <v>44.44</v>
      </c>
      <c r="C32" s="64">
        <v>29.35</v>
      </c>
      <c r="D32" s="64">
        <v>50.89</v>
      </c>
      <c r="E32" s="64">
        <v>2.41</v>
      </c>
      <c r="F32" s="64">
        <v>3.3</v>
      </c>
      <c r="G32" s="64">
        <v>105.83</v>
      </c>
      <c r="H32" s="64">
        <v>29.08</v>
      </c>
      <c r="I32" s="64">
        <v>10.039999999999999</v>
      </c>
      <c r="J32" s="64">
        <v>0.41</v>
      </c>
      <c r="K32" s="64">
        <v>213.64</v>
      </c>
      <c r="L32" s="64">
        <v>23.41</v>
      </c>
      <c r="M32" s="64">
        <v>36.299999999999997</v>
      </c>
      <c r="N32" s="64">
        <v>54.2</v>
      </c>
      <c r="O32" s="64">
        <v>0</v>
      </c>
      <c r="P32" s="64">
        <v>0.96</v>
      </c>
      <c r="Q32" s="64">
        <v>10.81</v>
      </c>
      <c r="R32" s="198"/>
      <c r="S32" s="198"/>
      <c r="T32" s="198"/>
      <c r="U32" s="198"/>
    </row>
    <row r="33" spans="1:21" s="12" customFormat="1" x14ac:dyDescent="0.25">
      <c r="A33" s="216" t="s">
        <v>654</v>
      </c>
      <c r="B33" s="64">
        <v>42.9</v>
      </c>
      <c r="C33" s="64">
        <v>31.01</v>
      </c>
      <c r="D33" s="64">
        <v>50.52</v>
      </c>
      <c r="E33" s="64">
        <v>2.2799999999999998</v>
      </c>
      <c r="F33" s="64">
        <v>3.1</v>
      </c>
      <c r="G33" s="64">
        <v>104.14</v>
      </c>
      <c r="H33" s="64">
        <v>29.04</v>
      </c>
      <c r="I33" s="64">
        <v>9.8699999999999992</v>
      </c>
      <c r="J33" s="64">
        <v>0.34</v>
      </c>
      <c r="K33" s="64">
        <v>179.86</v>
      </c>
      <c r="L33" s="64">
        <v>24.02</v>
      </c>
      <c r="M33" s="64">
        <v>35.619999999999997</v>
      </c>
      <c r="N33" s="64">
        <v>80.2</v>
      </c>
      <c r="O33" s="64">
        <v>0</v>
      </c>
      <c r="P33" s="64">
        <v>0.94</v>
      </c>
      <c r="Q33" s="64">
        <v>10.89</v>
      </c>
      <c r="R33" s="198"/>
      <c r="S33" s="198"/>
      <c r="T33" s="198"/>
      <c r="U33" s="198"/>
    </row>
    <row r="34" spans="1:21" s="12" customFormat="1" x14ac:dyDescent="0.25">
      <c r="A34" s="216" t="s">
        <v>655</v>
      </c>
      <c r="B34" s="64">
        <v>39.880000000000003</v>
      </c>
      <c r="C34" s="64">
        <v>32.31</v>
      </c>
      <c r="D34" s="64">
        <v>48.79</v>
      </c>
      <c r="E34" s="64">
        <v>2.46</v>
      </c>
      <c r="F34" s="64">
        <v>3.47</v>
      </c>
      <c r="G34" s="64">
        <v>104.14</v>
      </c>
      <c r="H34" s="64">
        <v>29.04</v>
      </c>
      <c r="I34" s="64">
        <v>9.7200000000000006</v>
      </c>
      <c r="J34" s="64">
        <v>0.75</v>
      </c>
      <c r="K34" s="64">
        <v>164.86</v>
      </c>
      <c r="L34" s="64">
        <v>24.24</v>
      </c>
      <c r="M34" s="64">
        <v>36.479999999999997</v>
      </c>
      <c r="N34" s="64">
        <v>118.6</v>
      </c>
      <c r="O34" s="64">
        <v>0</v>
      </c>
      <c r="P34" s="64">
        <v>0.92</v>
      </c>
      <c r="Q34" s="64">
        <v>10.88</v>
      </c>
      <c r="R34" s="198"/>
      <c r="S34" s="198"/>
      <c r="T34" s="198"/>
      <c r="U34" s="198"/>
    </row>
    <row r="35" spans="1:21" s="12" customFormat="1" x14ac:dyDescent="0.25">
      <c r="A35" s="216" t="s">
        <v>656</v>
      </c>
      <c r="B35" s="64">
        <v>37.229999999999997</v>
      </c>
      <c r="C35" s="64">
        <v>32.93</v>
      </c>
      <c r="D35" s="64">
        <v>46.98</v>
      </c>
      <c r="E35" s="64">
        <v>2.65</v>
      </c>
      <c r="F35" s="64">
        <v>3.24</v>
      </c>
      <c r="G35" s="64">
        <v>104.14</v>
      </c>
      <c r="H35" s="64">
        <v>29.04</v>
      </c>
      <c r="I35" s="64">
        <v>9.57</v>
      </c>
      <c r="J35" s="64">
        <v>0.87</v>
      </c>
      <c r="K35" s="64">
        <v>163.75</v>
      </c>
      <c r="L35" s="64">
        <v>24.63</v>
      </c>
      <c r="M35" s="64">
        <v>36.19</v>
      </c>
      <c r="N35" s="64">
        <v>156.9</v>
      </c>
      <c r="O35" s="64">
        <v>0</v>
      </c>
      <c r="P35" s="64">
        <v>0.91</v>
      </c>
      <c r="Q35" s="64">
        <v>10.86</v>
      </c>
      <c r="R35" s="198"/>
      <c r="S35" s="198"/>
      <c r="T35" s="198"/>
      <c r="U35" s="198"/>
    </row>
    <row r="36" spans="1:21" s="12" customFormat="1" x14ac:dyDescent="0.25">
      <c r="A36" s="216" t="s">
        <v>657</v>
      </c>
      <c r="B36" s="64">
        <v>34.33</v>
      </c>
      <c r="C36" s="64">
        <v>33.299999999999997</v>
      </c>
      <c r="D36" s="64">
        <v>44.84</v>
      </c>
      <c r="E36" s="64">
        <v>2.57</v>
      </c>
      <c r="F36" s="64">
        <v>3.08</v>
      </c>
      <c r="G36" s="64">
        <v>98.33</v>
      </c>
      <c r="H36" s="64">
        <v>29.43</v>
      </c>
      <c r="I36" s="64">
        <v>9.42</v>
      </c>
      <c r="J36" s="64">
        <v>0.28000000000000003</v>
      </c>
      <c r="K36" s="64">
        <v>197.99</v>
      </c>
      <c r="L36" s="64">
        <v>25</v>
      </c>
      <c r="M36" s="64">
        <v>34.76</v>
      </c>
      <c r="N36" s="64">
        <v>237.2</v>
      </c>
      <c r="O36" s="64">
        <v>0</v>
      </c>
      <c r="P36" s="64">
        <v>0.89</v>
      </c>
      <c r="Q36" s="64">
        <v>10.85</v>
      </c>
      <c r="R36" s="198"/>
      <c r="S36" s="198"/>
      <c r="T36" s="198"/>
      <c r="U36" s="198"/>
    </row>
    <row r="37" spans="1:21" s="12" customFormat="1" x14ac:dyDescent="0.25">
      <c r="A37" s="216" t="s">
        <v>658</v>
      </c>
      <c r="B37" s="64">
        <v>32.1</v>
      </c>
      <c r="C37" s="64">
        <v>32.26</v>
      </c>
      <c r="D37" s="64">
        <v>42.52</v>
      </c>
      <c r="E37" s="64">
        <v>2.35</v>
      </c>
      <c r="F37" s="64">
        <v>3.21</v>
      </c>
      <c r="G37" s="64">
        <v>94.28</v>
      </c>
      <c r="H37" s="64">
        <v>29.7</v>
      </c>
      <c r="I37" s="64">
        <v>9.2100000000000009</v>
      </c>
      <c r="J37" s="64">
        <v>0.38</v>
      </c>
      <c r="K37" s="64">
        <v>168.53</v>
      </c>
      <c r="L37" s="64">
        <v>25.94</v>
      </c>
      <c r="M37" s="64">
        <v>34.35</v>
      </c>
      <c r="N37" s="64">
        <v>276.39999999999998</v>
      </c>
      <c r="O37" s="64">
        <v>0</v>
      </c>
      <c r="P37" s="64">
        <v>0.83</v>
      </c>
      <c r="Q37" s="64">
        <v>10.79</v>
      </c>
      <c r="R37" s="198"/>
      <c r="S37" s="198"/>
      <c r="T37" s="198"/>
      <c r="U37" s="198"/>
    </row>
    <row r="38" spans="1:21" s="12" customFormat="1" x14ac:dyDescent="0.25">
      <c r="A38" s="216" t="s">
        <v>659</v>
      </c>
      <c r="B38" s="64">
        <v>30.6</v>
      </c>
      <c r="C38" s="64">
        <v>31.82</v>
      </c>
      <c r="D38" s="64">
        <v>41.09</v>
      </c>
      <c r="E38" s="64">
        <v>2.5</v>
      </c>
      <c r="F38" s="64">
        <v>3.3</v>
      </c>
      <c r="G38" s="64">
        <v>94.28</v>
      </c>
      <c r="H38" s="64">
        <v>29.7</v>
      </c>
      <c r="I38" s="64">
        <v>8.9</v>
      </c>
      <c r="J38" s="64">
        <v>0.5</v>
      </c>
      <c r="K38" s="64">
        <v>178.08</v>
      </c>
      <c r="L38" s="64">
        <v>26.39</v>
      </c>
      <c r="M38" s="64">
        <v>33.39</v>
      </c>
      <c r="N38" s="64">
        <v>340.1</v>
      </c>
      <c r="O38" s="64">
        <v>0</v>
      </c>
      <c r="P38" s="64">
        <v>0.86</v>
      </c>
      <c r="Q38" s="64">
        <v>10.74</v>
      </c>
      <c r="R38" s="198"/>
      <c r="S38" s="198"/>
      <c r="T38" s="198"/>
      <c r="U38" s="198"/>
    </row>
    <row r="39" spans="1:21" s="12" customFormat="1" x14ac:dyDescent="0.25">
      <c r="A39" s="216" t="s">
        <v>660</v>
      </c>
      <c r="B39" s="64">
        <v>27.68</v>
      </c>
      <c r="C39" s="64">
        <v>33.450000000000003</v>
      </c>
      <c r="D39" s="64">
        <v>39.590000000000003</v>
      </c>
      <c r="E39" s="64">
        <v>2.75</v>
      </c>
      <c r="F39" s="64">
        <v>3.15</v>
      </c>
      <c r="G39" s="64">
        <v>94.28</v>
      </c>
      <c r="H39" s="64">
        <v>29.7</v>
      </c>
      <c r="I39" s="64">
        <v>8.86</v>
      </c>
      <c r="J39" s="64">
        <v>0.06</v>
      </c>
      <c r="K39" s="64">
        <v>358.91</v>
      </c>
      <c r="L39" s="64">
        <v>27.44</v>
      </c>
      <c r="M39" s="64">
        <v>32.1</v>
      </c>
      <c r="N39" s="64">
        <v>380.8</v>
      </c>
      <c r="O39" s="64">
        <v>0</v>
      </c>
      <c r="P39" s="64">
        <v>0.85</v>
      </c>
      <c r="Q39" s="64">
        <v>10.74</v>
      </c>
      <c r="R39" s="198"/>
      <c r="S39" s="198"/>
      <c r="T39" s="198"/>
      <c r="U39" s="198"/>
    </row>
    <row r="40" spans="1:21" s="12" customFormat="1" x14ac:dyDescent="0.25">
      <c r="A40" s="216" t="s">
        <v>661</v>
      </c>
      <c r="B40" s="64">
        <v>24.37</v>
      </c>
      <c r="C40" s="64">
        <v>34.909999999999997</v>
      </c>
      <c r="D40" s="64">
        <v>37.700000000000003</v>
      </c>
      <c r="E40" s="64">
        <v>1.86</v>
      </c>
      <c r="F40" s="64">
        <v>3.37</v>
      </c>
      <c r="G40" s="64">
        <v>87.06</v>
      </c>
      <c r="H40" s="64">
        <v>27.73</v>
      </c>
      <c r="I40" s="64">
        <v>8.94</v>
      </c>
      <c r="J40" s="64">
        <v>0.19</v>
      </c>
      <c r="K40" s="64">
        <v>203.55</v>
      </c>
      <c r="L40" s="64">
        <v>28.54</v>
      </c>
      <c r="M40" s="64">
        <v>30.47</v>
      </c>
      <c r="N40" s="64">
        <v>439</v>
      </c>
      <c r="O40" s="64">
        <v>0</v>
      </c>
      <c r="P40" s="64">
        <v>0.84</v>
      </c>
      <c r="Q40" s="64">
        <v>10.7</v>
      </c>
      <c r="R40" s="198"/>
      <c r="S40" s="198"/>
      <c r="T40" s="198"/>
      <c r="U40" s="198"/>
    </row>
    <row r="41" spans="1:21" s="12" customFormat="1" x14ac:dyDescent="0.25">
      <c r="A41" s="216" t="s">
        <v>662</v>
      </c>
      <c r="B41" s="64">
        <v>21.16</v>
      </c>
      <c r="C41" s="64">
        <v>36.39</v>
      </c>
      <c r="D41" s="64">
        <v>35.9</v>
      </c>
      <c r="E41" s="64">
        <v>1.85</v>
      </c>
      <c r="F41" s="64">
        <v>3.67</v>
      </c>
      <c r="G41" s="64">
        <v>82.02</v>
      </c>
      <c r="H41" s="64">
        <v>26.36</v>
      </c>
      <c r="I41" s="64">
        <v>8.91</v>
      </c>
      <c r="J41" s="64">
        <v>0.12</v>
      </c>
      <c r="K41" s="64">
        <v>190.2</v>
      </c>
      <c r="L41" s="64">
        <v>29.25</v>
      </c>
      <c r="M41" s="64">
        <v>30.89</v>
      </c>
      <c r="N41" s="64">
        <v>483.3</v>
      </c>
      <c r="O41" s="64">
        <v>0</v>
      </c>
      <c r="P41" s="64">
        <v>0.82</v>
      </c>
      <c r="Q41" s="64">
        <v>10.64</v>
      </c>
      <c r="R41" s="198"/>
      <c r="S41" s="198"/>
      <c r="T41" s="198"/>
      <c r="U41" s="198"/>
    </row>
    <row r="42" spans="1:21" s="12" customFormat="1" x14ac:dyDescent="0.25">
      <c r="A42" s="216" t="s">
        <v>663</v>
      </c>
      <c r="B42" s="64">
        <v>18.27</v>
      </c>
      <c r="C42" s="64">
        <v>37.619999999999997</v>
      </c>
      <c r="D42" s="64">
        <v>34.229999999999997</v>
      </c>
      <c r="E42" s="64">
        <v>1.52</v>
      </c>
      <c r="F42" s="64">
        <v>3.71</v>
      </c>
      <c r="G42" s="64">
        <v>82.02</v>
      </c>
      <c r="H42" s="64">
        <v>26.36</v>
      </c>
      <c r="I42" s="64">
        <v>8.85</v>
      </c>
      <c r="J42" s="64">
        <v>0.06</v>
      </c>
      <c r="K42" s="64">
        <v>337.99</v>
      </c>
      <c r="L42" s="64">
        <v>31.67</v>
      </c>
      <c r="M42" s="64">
        <v>28.38</v>
      </c>
      <c r="N42" s="64">
        <v>529.6</v>
      </c>
      <c r="O42" s="64">
        <v>0</v>
      </c>
      <c r="P42" s="64">
        <v>0.82</v>
      </c>
      <c r="Q42" s="64">
        <v>10.58</v>
      </c>
      <c r="R42" s="198"/>
      <c r="S42" s="198"/>
      <c r="T42" s="198"/>
      <c r="U42" s="198"/>
    </row>
    <row r="43" spans="1:21" s="12" customFormat="1" x14ac:dyDescent="0.25">
      <c r="A43" s="216" t="s">
        <v>664</v>
      </c>
      <c r="B43" s="64">
        <v>15.2</v>
      </c>
      <c r="C43" s="64">
        <v>39.17</v>
      </c>
      <c r="D43" s="64">
        <v>32.57</v>
      </c>
      <c r="E43" s="64">
        <v>1.7</v>
      </c>
      <c r="F43" s="64">
        <v>3.73</v>
      </c>
      <c r="G43" s="64">
        <v>82.02</v>
      </c>
      <c r="H43" s="64">
        <v>26.36</v>
      </c>
      <c r="I43" s="64">
        <v>8.7899999999999991</v>
      </c>
      <c r="J43" s="64">
        <v>0.24</v>
      </c>
      <c r="K43" s="64">
        <v>347.77</v>
      </c>
      <c r="L43" s="64">
        <v>31.91</v>
      </c>
      <c r="M43" s="64">
        <v>25.19</v>
      </c>
      <c r="N43" s="64">
        <v>589.9</v>
      </c>
      <c r="O43" s="64">
        <v>0</v>
      </c>
      <c r="P43" s="64">
        <v>0.81</v>
      </c>
      <c r="Q43" s="64">
        <v>10.56</v>
      </c>
      <c r="R43" s="198"/>
      <c r="S43" s="198"/>
      <c r="T43" s="198"/>
      <c r="U43" s="198"/>
    </row>
    <row r="44" spans="1:21" s="12" customFormat="1" x14ac:dyDescent="0.25">
      <c r="A44" s="216" t="s">
        <v>665</v>
      </c>
      <c r="B44" s="64">
        <v>12.21</v>
      </c>
      <c r="C44" s="64">
        <v>40.79</v>
      </c>
      <c r="D44" s="64">
        <v>31.02</v>
      </c>
      <c r="E44" s="64">
        <v>1.68</v>
      </c>
      <c r="F44" s="64">
        <v>4.05</v>
      </c>
      <c r="G44" s="64">
        <v>79.38</v>
      </c>
      <c r="H44" s="64">
        <v>27</v>
      </c>
      <c r="I44" s="64">
        <v>8.59</v>
      </c>
      <c r="J44" s="64">
        <v>0.05</v>
      </c>
      <c r="K44" s="64">
        <v>11.67</v>
      </c>
      <c r="L44" s="64">
        <v>33.479999999999997</v>
      </c>
      <c r="M44" s="64">
        <v>21.32</v>
      </c>
      <c r="N44" s="64">
        <v>609.70000000000005</v>
      </c>
      <c r="O44" s="64">
        <v>0</v>
      </c>
      <c r="P44" s="64">
        <v>0.8</v>
      </c>
      <c r="Q44" s="64">
        <v>10.49</v>
      </c>
      <c r="R44" s="198"/>
      <c r="S44" s="198"/>
      <c r="T44" s="198"/>
      <c r="U44" s="198"/>
    </row>
    <row r="45" spans="1:21" s="12" customFormat="1" x14ac:dyDescent="0.25">
      <c r="A45" s="216" t="s">
        <v>666</v>
      </c>
      <c r="B45" s="64">
        <v>9.02</v>
      </c>
      <c r="C45" s="64">
        <v>42.74</v>
      </c>
      <c r="D45" s="64">
        <v>29.48</v>
      </c>
      <c r="E45" s="64">
        <v>1.96</v>
      </c>
      <c r="F45" s="64">
        <v>4.9800000000000004</v>
      </c>
      <c r="G45" s="64">
        <v>77.540000000000006</v>
      </c>
      <c r="H45" s="64">
        <v>27.45</v>
      </c>
      <c r="I45" s="64">
        <v>8.6999999999999993</v>
      </c>
      <c r="J45" s="64">
        <v>0.15</v>
      </c>
      <c r="K45" s="64">
        <v>7.88</v>
      </c>
      <c r="L45" s="64">
        <v>33.29</v>
      </c>
      <c r="M45" s="64">
        <v>21.47</v>
      </c>
      <c r="N45" s="64">
        <v>672.3</v>
      </c>
      <c r="O45" s="64">
        <v>0</v>
      </c>
      <c r="P45" s="64">
        <v>0.78</v>
      </c>
      <c r="Q45" s="64">
        <v>10.41</v>
      </c>
      <c r="R45" s="198"/>
      <c r="S45" s="198"/>
      <c r="T45" s="198"/>
      <c r="U45" s="198"/>
    </row>
    <row r="46" spans="1:21" s="12" customFormat="1" x14ac:dyDescent="0.25">
      <c r="A46" s="216" t="s">
        <v>667</v>
      </c>
      <c r="B46" s="64">
        <v>6.64</v>
      </c>
      <c r="C46" s="64">
        <v>43.36</v>
      </c>
      <c r="D46" s="64">
        <v>27.9</v>
      </c>
      <c r="E46" s="64">
        <v>2.12</v>
      </c>
      <c r="F46" s="64">
        <v>5.61</v>
      </c>
      <c r="G46" s="64">
        <v>77.540000000000006</v>
      </c>
      <c r="H46" s="64">
        <v>27.45</v>
      </c>
      <c r="I46" s="64">
        <v>8.4700000000000006</v>
      </c>
      <c r="J46" s="64">
        <v>7.0000000000000007E-2</v>
      </c>
      <c r="K46" s="64">
        <v>1.05</v>
      </c>
      <c r="L46" s="64">
        <v>34.020000000000003</v>
      </c>
      <c r="M46" s="64">
        <v>19.7</v>
      </c>
      <c r="N46" s="64">
        <v>700</v>
      </c>
      <c r="O46" s="64">
        <v>0</v>
      </c>
      <c r="P46" s="64">
        <v>0.77</v>
      </c>
      <c r="Q46" s="64">
        <v>10.28</v>
      </c>
      <c r="R46" s="198"/>
      <c r="S46" s="198"/>
      <c r="T46" s="198"/>
      <c r="U46" s="198"/>
    </row>
    <row r="47" spans="1:21" s="12" customFormat="1" x14ac:dyDescent="0.25">
      <c r="A47" s="216" t="s">
        <v>668</v>
      </c>
      <c r="B47" s="64">
        <v>5.14</v>
      </c>
      <c r="C47" s="64">
        <v>43.08</v>
      </c>
      <c r="D47" s="64">
        <v>26.55</v>
      </c>
      <c r="E47" s="64">
        <v>2.0699999999999998</v>
      </c>
      <c r="F47" s="64">
        <v>6.88</v>
      </c>
      <c r="G47" s="64">
        <v>77.540000000000006</v>
      </c>
      <c r="H47" s="64">
        <v>27.45</v>
      </c>
      <c r="I47" s="64">
        <v>8.2200000000000006</v>
      </c>
      <c r="J47" s="64">
        <v>7.0000000000000007E-2</v>
      </c>
      <c r="K47" s="64">
        <v>10.27</v>
      </c>
      <c r="L47" s="64">
        <v>34.950000000000003</v>
      </c>
      <c r="M47" s="64">
        <v>17.47</v>
      </c>
      <c r="N47" s="64">
        <v>741.1</v>
      </c>
      <c r="O47" s="64">
        <v>0</v>
      </c>
      <c r="P47" s="64">
        <v>0.74</v>
      </c>
      <c r="Q47" s="64">
        <v>10.210000000000001</v>
      </c>
      <c r="R47" s="198"/>
      <c r="S47" s="198"/>
      <c r="T47" s="198"/>
      <c r="U47" s="198"/>
    </row>
    <row r="48" spans="1:21" s="12" customFormat="1" x14ac:dyDescent="0.25">
      <c r="A48" s="216" t="s">
        <v>669</v>
      </c>
      <c r="B48" s="64">
        <v>4.45</v>
      </c>
      <c r="C48" s="64">
        <v>40.479999999999997</v>
      </c>
      <c r="D48" s="64">
        <v>24.64</v>
      </c>
      <c r="E48" s="64">
        <v>1.81</v>
      </c>
      <c r="F48" s="64">
        <v>7.71</v>
      </c>
      <c r="G48" s="64">
        <v>76.33</v>
      </c>
      <c r="H48" s="64">
        <v>27.11</v>
      </c>
      <c r="I48" s="64">
        <v>7.92</v>
      </c>
      <c r="J48" s="64">
        <v>0.22</v>
      </c>
      <c r="K48" s="64">
        <v>356.58</v>
      </c>
      <c r="L48" s="64">
        <v>35.97</v>
      </c>
      <c r="M48" s="64">
        <v>16.82</v>
      </c>
      <c r="N48" s="64">
        <v>765.4</v>
      </c>
      <c r="O48" s="64">
        <v>0</v>
      </c>
      <c r="P48" s="64">
        <v>0.72</v>
      </c>
      <c r="Q48" s="64">
        <v>10.11</v>
      </c>
      <c r="R48" s="198"/>
      <c r="S48" s="198"/>
      <c r="T48" s="198"/>
      <c r="U48" s="198"/>
    </row>
    <row r="49" spans="1:21" s="12" customFormat="1" x14ac:dyDescent="0.25">
      <c r="A49" s="216" t="s">
        <v>670</v>
      </c>
      <c r="B49" s="64">
        <v>4.2699999999999996</v>
      </c>
      <c r="C49" s="64">
        <v>38.700000000000003</v>
      </c>
      <c r="D49" s="64">
        <v>23.57</v>
      </c>
      <c r="E49" s="64">
        <v>1.57</v>
      </c>
      <c r="F49" s="64">
        <v>7.92</v>
      </c>
      <c r="G49" s="64">
        <v>75.489999999999995</v>
      </c>
      <c r="H49" s="64">
        <v>26.87</v>
      </c>
      <c r="I49" s="64">
        <v>7.48</v>
      </c>
      <c r="J49" s="64">
        <v>0.11</v>
      </c>
      <c r="K49" s="64">
        <v>354.14</v>
      </c>
      <c r="L49" s="64">
        <v>36.619999999999997</v>
      </c>
      <c r="M49" s="64">
        <v>14.73</v>
      </c>
      <c r="N49" s="64">
        <v>812</v>
      </c>
      <c r="O49" s="64">
        <v>0</v>
      </c>
      <c r="P49" s="64">
        <v>0.7</v>
      </c>
      <c r="Q49" s="64">
        <v>10.050000000000001</v>
      </c>
      <c r="R49" s="198"/>
      <c r="S49" s="198"/>
      <c r="T49" s="198"/>
      <c r="U49" s="198"/>
    </row>
    <row r="50" spans="1:21" s="12" customFormat="1" x14ac:dyDescent="0.25">
      <c r="A50" s="216" t="s">
        <v>671</v>
      </c>
      <c r="B50" s="64">
        <v>4.16</v>
      </c>
      <c r="C50" s="64">
        <v>37.83</v>
      </c>
      <c r="D50" s="64">
        <v>23.02</v>
      </c>
      <c r="E50" s="64">
        <v>2.0099999999999998</v>
      </c>
      <c r="F50" s="64">
        <v>8.6300000000000008</v>
      </c>
      <c r="G50" s="64">
        <v>75.489999999999995</v>
      </c>
      <c r="H50" s="64">
        <v>26.87</v>
      </c>
      <c r="I50" s="64">
        <v>7.14</v>
      </c>
      <c r="J50" s="64">
        <v>0.18</v>
      </c>
      <c r="K50" s="64">
        <v>340.63</v>
      </c>
      <c r="L50" s="64">
        <v>37.96</v>
      </c>
      <c r="M50" s="64">
        <v>13.07</v>
      </c>
      <c r="N50" s="64">
        <v>840.3</v>
      </c>
      <c r="O50" s="64">
        <v>0</v>
      </c>
      <c r="P50" s="64">
        <v>0.68</v>
      </c>
      <c r="Q50" s="64">
        <v>10</v>
      </c>
      <c r="R50" s="198"/>
      <c r="S50" s="198"/>
      <c r="T50" s="198"/>
      <c r="U50" s="198"/>
    </row>
    <row r="51" spans="1:21" s="12" customFormat="1" x14ac:dyDescent="0.25">
      <c r="A51" s="216" t="s">
        <v>672</v>
      </c>
      <c r="B51" s="64">
        <v>4.0999999999999996</v>
      </c>
      <c r="C51" s="64">
        <v>36.78</v>
      </c>
      <c r="D51" s="64">
        <v>22.42</v>
      </c>
      <c r="E51" s="64">
        <v>1.76</v>
      </c>
      <c r="F51" s="64">
        <v>8.57</v>
      </c>
      <c r="G51" s="64">
        <v>75.489999999999995</v>
      </c>
      <c r="H51" s="64">
        <v>26.87</v>
      </c>
      <c r="I51" s="64">
        <v>6.87</v>
      </c>
      <c r="J51" s="64">
        <v>0.06</v>
      </c>
      <c r="K51" s="64">
        <v>258.51</v>
      </c>
      <c r="L51" s="64">
        <v>37.83</v>
      </c>
      <c r="M51" s="64">
        <v>12.86</v>
      </c>
      <c r="N51" s="64">
        <v>871.6</v>
      </c>
      <c r="O51" s="64">
        <v>0</v>
      </c>
      <c r="P51" s="64">
        <v>0.66</v>
      </c>
      <c r="Q51" s="64">
        <v>9.98</v>
      </c>
      <c r="R51" s="198"/>
      <c r="S51" s="198"/>
      <c r="T51" s="198"/>
      <c r="U51" s="198"/>
    </row>
    <row r="52" spans="1:21" s="12" customFormat="1" x14ac:dyDescent="0.25">
      <c r="A52" s="216" t="s">
        <v>673</v>
      </c>
      <c r="B52" s="64">
        <v>3.98</v>
      </c>
      <c r="C52" s="64">
        <v>35.200000000000003</v>
      </c>
      <c r="D52" s="64">
        <v>21.5</v>
      </c>
      <c r="E52" s="64">
        <v>2.06</v>
      </c>
      <c r="F52" s="64">
        <v>9.2799999999999994</v>
      </c>
      <c r="G52" s="64">
        <v>71.319999999999993</v>
      </c>
      <c r="H52" s="64">
        <v>26.62</v>
      </c>
      <c r="I52" s="64">
        <v>6.54</v>
      </c>
      <c r="J52" s="64">
        <v>0.55000000000000004</v>
      </c>
      <c r="K52" s="64">
        <v>163.9</v>
      </c>
      <c r="L52" s="64">
        <v>37.06</v>
      </c>
      <c r="M52" s="64">
        <v>14.06</v>
      </c>
      <c r="N52" s="64">
        <v>890.3</v>
      </c>
      <c r="O52" s="64">
        <v>0</v>
      </c>
      <c r="P52" s="64">
        <v>0.63</v>
      </c>
      <c r="Q52" s="64">
        <v>9.9499999999999993</v>
      </c>
      <c r="R52" s="198"/>
      <c r="S52" s="198"/>
      <c r="T52" s="198"/>
      <c r="U52" s="198"/>
    </row>
    <row r="53" spans="1:21" s="12" customFormat="1" x14ac:dyDescent="0.25">
      <c r="A53" s="216" t="s">
        <v>674</v>
      </c>
      <c r="B53" s="64">
        <v>3.96</v>
      </c>
      <c r="C53" s="64">
        <v>33.58</v>
      </c>
      <c r="D53" s="64">
        <v>20.64</v>
      </c>
      <c r="E53" s="64">
        <v>2.19</v>
      </c>
      <c r="F53" s="64">
        <v>9.56</v>
      </c>
      <c r="G53" s="64">
        <v>68.41</v>
      </c>
      <c r="H53" s="64">
        <v>26.44</v>
      </c>
      <c r="I53" s="64">
        <v>6.26</v>
      </c>
      <c r="J53" s="64">
        <v>0.17</v>
      </c>
      <c r="K53" s="64">
        <v>313.32</v>
      </c>
      <c r="L53" s="64">
        <v>38.36</v>
      </c>
      <c r="M53" s="64">
        <v>15.03</v>
      </c>
      <c r="N53" s="64">
        <v>884.7</v>
      </c>
      <c r="O53" s="64">
        <v>0</v>
      </c>
      <c r="P53" s="64">
        <v>0.6</v>
      </c>
      <c r="Q53" s="64">
        <v>9.94</v>
      </c>
      <c r="R53" s="198"/>
      <c r="S53" s="198"/>
      <c r="T53" s="198"/>
      <c r="U53" s="198"/>
    </row>
    <row r="54" spans="1:21" s="12" customFormat="1" x14ac:dyDescent="0.25">
      <c r="A54" s="216" t="s">
        <v>675</v>
      </c>
      <c r="B54" s="64">
        <v>3.96</v>
      </c>
      <c r="C54" s="64">
        <v>33.39</v>
      </c>
      <c r="D54" s="64">
        <v>20.54</v>
      </c>
      <c r="E54" s="64">
        <v>1.82</v>
      </c>
      <c r="F54" s="64">
        <v>8.89</v>
      </c>
      <c r="G54" s="64">
        <v>68.41</v>
      </c>
      <c r="H54" s="64">
        <v>26.44</v>
      </c>
      <c r="I54" s="64">
        <v>5.94</v>
      </c>
      <c r="J54" s="64">
        <v>0.56000000000000005</v>
      </c>
      <c r="K54" s="64">
        <v>157.79</v>
      </c>
      <c r="L54" s="64">
        <v>37.97</v>
      </c>
      <c r="M54" s="64">
        <v>15.24</v>
      </c>
      <c r="N54" s="64">
        <v>889.5</v>
      </c>
      <c r="O54" s="64">
        <v>0</v>
      </c>
      <c r="P54" s="64">
        <v>0.59</v>
      </c>
      <c r="Q54" s="64">
        <v>9.93</v>
      </c>
      <c r="R54" s="198"/>
      <c r="S54" s="198"/>
      <c r="T54" s="198"/>
      <c r="U54" s="198"/>
    </row>
    <row r="55" spans="1:21" s="12" customFormat="1" x14ac:dyDescent="0.25">
      <c r="A55" s="216" t="s">
        <v>676</v>
      </c>
      <c r="B55" s="64">
        <v>3.87</v>
      </c>
      <c r="C55" s="64">
        <v>32.5</v>
      </c>
      <c r="D55" s="64">
        <v>20</v>
      </c>
      <c r="E55" s="64">
        <v>1.99</v>
      </c>
      <c r="F55" s="64">
        <v>9.34</v>
      </c>
      <c r="G55" s="64">
        <v>68.41</v>
      </c>
      <c r="H55" s="64">
        <v>26.44</v>
      </c>
      <c r="I55" s="64">
        <v>5.8</v>
      </c>
      <c r="J55" s="64">
        <v>0.14000000000000001</v>
      </c>
      <c r="K55" s="64">
        <v>228.14</v>
      </c>
      <c r="L55" s="64">
        <v>38.28</v>
      </c>
      <c r="M55" s="64">
        <v>14.48</v>
      </c>
      <c r="N55" s="64">
        <v>880.4</v>
      </c>
      <c r="O55" s="64">
        <v>0</v>
      </c>
      <c r="P55" s="64">
        <v>0.56999999999999995</v>
      </c>
      <c r="Q55" s="64">
        <v>9.94</v>
      </c>
      <c r="R55" s="198"/>
      <c r="S55" s="198"/>
      <c r="T55" s="198"/>
      <c r="U55" s="198"/>
    </row>
    <row r="56" spans="1:21" s="12" customFormat="1" x14ac:dyDescent="0.25">
      <c r="A56" s="216" t="s">
        <v>677</v>
      </c>
      <c r="B56" s="64">
        <v>3.88</v>
      </c>
      <c r="C56" s="64">
        <v>31.91</v>
      </c>
      <c r="D56" s="64">
        <v>19.7</v>
      </c>
      <c r="E56" s="64">
        <v>2.38</v>
      </c>
      <c r="F56" s="64">
        <v>8.9499999999999993</v>
      </c>
      <c r="G56" s="64">
        <v>67.06</v>
      </c>
      <c r="H56" s="64">
        <v>27.05</v>
      </c>
      <c r="I56" s="64">
        <v>5.66</v>
      </c>
      <c r="J56" s="64">
        <v>0.1</v>
      </c>
      <c r="K56" s="64">
        <v>145.25</v>
      </c>
      <c r="L56" s="64">
        <v>39.450000000000003</v>
      </c>
      <c r="M56" s="64">
        <v>13.94</v>
      </c>
      <c r="N56" s="64">
        <v>870.6</v>
      </c>
      <c r="O56" s="64">
        <v>0</v>
      </c>
      <c r="P56" s="64">
        <v>0.56000000000000005</v>
      </c>
      <c r="Q56" s="64">
        <v>9.9600000000000009</v>
      </c>
      <c r="R56" s="198"/>
      <c r="S56" s="198"/>
      <c r="T56" s="198"/>
      <c r="U56" s="198"/>
    </row>
    <row r="57" spans="1:21" s="12" customFormat="1" x14ac:dyDescent="0.25">
      <c r="A57" s="216" t="s">
        <v>678</v>
      </c>
      <c r="B57" s="64">
        <v>3.97</v>
      </c>
      <c r="C57" s="64">
        <v>31.86</v>
      </c>
      <c r="D57" s="64">
        <v>19.75</v>
      </c>
      <c r="E57" s="64">
        <v>1.56</v>
      </c>
      <c r="F57" s="64">
        <v>8.31</v>
      </c>
      <c r="G57" s="64">
        <v>66.12</v>
      </c>
      <c r="H57" s="64">
        <v>27.48</v>
      </c>
      <c r="I57" s="64">
        <v>5.52</v>
      </c>
      <c r="J57" s="64">
        <v>0.38</v>
      </c>
      <c r="K57" s="64">
        <v>335.28</v>
      </c>
      <c r="L57" s="64">
        <v>40.14</v>
      </c>
      <c r="M57" s="64">
        <v>14.19</v>
      </c>
      <c r="N57" s="64">
        <v>862.9</v>
      </c>
      <c r="O57" s="64">
        <v>0</v>
      </c>
      <c r="P57" s="64">
        <v>0.56000000000000005</v>
      </c>
      <c r="Q57" s="64">
        <v>9.9700000000000006</v>
      </c>
      <c r="R57" s="198"/>
      <c r="S57" s="198"/>
      <c r="T57" s="198"/>
      <c r="U57" s="198"/>
    </row>
    <row r="58" spans="1:21" s="12" customFormat="1" x14ac:dyDescent="0.25">
      <c r="A58" s="216" t="s">
        <v>679</v>
      </c>
      <c r="B58" s="64">
        <v>3.96</v>
      </c>
      <c r="C58" s="64">
        <v>32.229999999999997</v>
      </c>
      <c r="D58" s="64">
        <v>19.940000000000001</v>
      </c>
      <c r="E58" s="64">
        <v>1.87</v>
      </c>
      <c r="F58" s="64">
        <v>8.5399999999999991</v>
      </c>
      <c r="G58" s="64">
        <v>66.12</v>
      </c>
      <c r="H58" s="64">
        <v>27.48</v>
      </c>
      <c r="I58" s="64">
        <v>5.61</v>
      </c>
      <c r="J58" s="64">
        <v>0.34</v>
      </c>
      <c r="K58" s="64">
        <v>310.74</v>
      </c>
      <c r="L58" s="64">
        <v>40.31</v>
      </c>
      <c r="M58" s="64">
        <v>12.68</v>
      </c>
      <c r="N58" s="64">
        <v>873.8</v>
      </c>
      <c r="O58" s="64">
        <v>0</v>
      </c>
      <c r="P58" s="64">
        <v>0.56000000000000005</v>
      </c>
      <c r="Q58" s="64">
        <v>10.02</v>
      </c>
      <c r="R58" s="198"/>
      <c r="S58" s="198"/>
      <c r="T58" s="198"/>
      <c r="U58" s="198"/>
    </row>
    <row r="59" spans="1:21" s="12" customFormat="1" x14ac:dyDescent="0.25">
      <c r="A59" s="216" t="s">
        <v>680</v>
      </c>
      <c r="B59" s="64">
        <v>3.99</v>
      </c>
      <c r="C59" s="64">
        <v>32.39</v>
      </c>
      <c r="D59" s="64">
        <v>20.04</v>
      </c>
      <c r="E59" s="64">
        <v>1.88</v>
      </c>
      <c r="F59" s="64">
        <v>8.7799999999999994</v>
      </c>
      <c r="G59" s="64">
        <v>66.12</v>
      </c>
      <c r="H59" s="64">
        <v>27.48</v>
      </c>
      <c r="I59" s="64">
        <v>5.75</v>
      </c>
      <c r="J59" s="64">
        <v>0.52</v>
      </c>
      <c r="K59" s="64">
        <v>322.06</v>
      </c>
      <c r="L59" s="64">
        <v>40.450000000000003</v>
      </c>
      <c r="M59" s="64">
        <v>11.89</v>
      </c>
      <c r="N59" s="64">
        <v>841.6</v>
      </c>
      <c r="O59" s="64">
        <v>0</v>
      </c>
      <c r="P59" s="64">
        <v>0.56000000000000005</v>
      </c>
      <c r="Q59" s="64">
        <v>10.039999999999999</v>
      </c>
      <c r="R59" s="198"/>
      <c r="S59" s="198"/>
      <c r="T59" s="198"/>
      <c r="U59" s="198"/>
    </row>
    <row r="60" spans="1:21" s="12" customFormat="1" x14ac:dyDescent="0.25">
      <c r="A60" s="216" t="s">
        <v>681</v>
      </c>
      <c r="B60" s="64">
        <v>3.95</v>
      </c>
      <c r="C60" s="64">
        <v>33.130000000000003</v>
      </c>
      <c r="D60" s="64">
        <v>20.399999999999999</v>
      </c>
      <c r="E60" s="64">
        <v>1.76</v>
      </c>
      <c r="F60" s="64">
        <v>9.5399999999999991</v>
      </c>
      <c r="G60" s="64">
        <v>66.150000000000006</v>
      </c>
      <c r="H60" s="64">
        <v>28.31</v>
      </c>
      <c r="I60" s="64">
        <v>5.7</v>
      </c>
      <c r="J60" s="64">
        <v>0.13</v>
      </c>
      <c r="K60" s="64">
        <v>342.91</v>
      </c>
      <c r="L60" s="64">
        <v>40.36</v>
      </c>
      <c r="M60" s="64">
        <v>12.95</v>
      </c>
      <c r="N60" s="64">
        <v>819.2</v>
      </c>
      <c r="O60" s="64">
        <v>0</v>
      </c>
      <c r="P60" s="64">
        <v>0.59</v>
      </c>
      <c r="Q60" s="64">
        <v>10.050000000000001</v>
      </c>
      <c r="R60" s="198"/>
      <c r="S60" s="198"/>
      <c r="T60" s="198"/>
      <c r="U60" s="198"/>
    </row>
    <row r="61" spans="1:21" s="12" customFormat="1" x14ac:dyDescent="0.25">
      <c r="A61" s="216" t="s">
        <v>682</v>
      </c>
      <c r="B61" s="64">
        <v>3.84</v>
      </c>
      <c r="C61" s="64">
        <v>33.82</v>
      </c>
      <c r="D61" s="64">
        <v>20.67</v>
      </c>
      <c r="E61" s="64">
        <v>1.89</v>
      </c>
      <c r="F61" s="64">
        <v>10.16</v>
      </c>
      <c r="G61" s="64">
        <v>66.16</v>
      </c>
      <c r="H61" s="64">
        <v>28.89</v>
      </c>
      <c r="I61" s="64">
        <v>5.81</v>
      </c>
      <c r="J61" s="64">
        <v>0.19</v>
      </c>
      <c r="K61" s="64">
        <v>3.85</v>
      </c>
      <c r="L61" s="64">
        <v>40.06</v>
      </c>
      <c r="M61" s="64">
        <v>11.29</v>
      </c>
      <c r="N61" s="64">
        <v>820.2</v>
      </c>
      <c r="O61" s="64">
        <v>0</v>
      </c>
      <c r="P61" s="64">
        <v>0.57999999999999996</v>
      </c>
      <c r="Q61" s="64">
        <v>10.07</v>
      </c>
      <c r="R61" s="198"/>
      <c r="S61" s="198"/>
      <c r="T61" s="198"/>
      <c r="U61" s="198"/>
    </row>
    <row r="62" spans="1:21" s="12" customFormat="1" x14ac:dyDescent="0.25">
      <c r="A62" s="216" t="s">
        <v>683</v>
      </c>
      <c r="B62" s="64">
        <v>3.65</v>
      </c>
      <c r="C62" s="64">
        <v>33.340000000000003</v>
      </c>
      <c r="D62" s="64">
        <v>20.260000000000002</v>
      </c>
      <c r="E62" s="64">
        <v>2.02</v>
      </c>
      <c r="F62" s="64">
        <v>12.28</v>
      </c>
      <c r="G62" s="64">
        <v>66.16</v>
      </c>
      <c r="H62" s="64">
        <v>28.89</v>
      </c>
      <c r="I62" s="64">
        <v>5.94</v>
      </c>
      <c r="J62" s="64">
        <v>0.56999999999999995</v>
      </c>
      <c r="K62" s="64">
        <v>197.47</v>
      </c>
      <c r="L62" s="64">
        <v>38.94</v>
      </c>
      <c r="M62" s="64">
        <v>9.67</v>
      </c>
      <c r="N62" s="64">
        <v>777.4</v>
      </c>
      <c r="O62" s="64">
        <v>0</v>
      </c>
      <c r="P62" s="64">
        <v>0.6</v>
      </c>
      <c r="Q62" s="64">
        <v>10.050000000000001</v>
      </c>
      <c r="R62" s="198"/>
      <c r="S62" s="198"/>
      <c r="T62" s="198"/>
      <c r="U62" s="198"/>
    </row>
    <row r="63" spans="1:21" s="12" customFormat="1" x14ac:dyDescent="0.25">
      <c r="A63" s="216" t="s">
        <v>684</v>
      </c>
      <c r="B63" s="64">
        <v>3.53</v>
      </c>
      <c r="C63" s="64">
        <v>32.15</v>
      </c>
      <c r="D63" s="64">
        <v>19.55</v>
      </c>
      <c r="E63" s="64">
        <v>2.41</v>
      </c>
      <c r="F63" s="64">
        <v>12.68</v>
      </c>
      <c r="G63" s="64">
        <v>66.16</v>
      </c>
      <c r="H63" s="64">
        <v>28.89</v>
      </c>
      <c r="I63" s="64">
        <v>5.95</v>
      </c>
      <c r="J63" s="64">
        <v>0.16</v>
      </c>
      <c r="K63" s="64">
        <v>1.75</v>
      </c>
      <c r="L63" s="64">
        <v>39.159999999999997</v>
      </c>
      <c r="M63" s="64">
        <v>11.11</v>
      </c>
      <c r="N63" s="64">
        <v>763.4</v>
      </c>
      <c r="O63" s="64">
        <v>0</v>
      </c>
      <c r="P63" s="64">
        <v>0.59</v>
      </c>
      <c r="Q63" s="64">
        <v>9.9700000000000006</v>
      </c>
      <c r="R63" s="198"/>
      <c r="S63" s="198"/>
      <c r="T63" s="198"/>
      <c r="U63" s="198"/>
    </row>
    <row r="64" spans="1:21" s="12" customFormat="1" x14ac:dyDescent="0.25">
      <c r="A64" s="216" t="s">
        <v>685</v>
      </c>
      <c r="B64" s="64">
        <v>3.46</v>
      </c>
      <c r="C64" s="64">
        <v>31.79</v>
      </c>
      <c r="D64" s="64">
        <v>19.3</v>
      </c>
      <c r="E64" s="64">
        <v>2.2200000000000002</v>
      </c>
      <c r="F64" s="64">
        <v>11.99</v>
      </c>
      <c r="G64" s="64">
        <v>65.03</v>
      </c>
      <c r="H64" s="64">
        <v>27.13</v>
      </c>
      <c r="I64" s="64">
        <v>6.09</v>
      </c>
      <c r="J64" s="64">
        <v>0.28000000000000003</v>
      </c>
      <c r="K64" s="64">
        <v>305.66000000000003</v>
      </c>
      <c r="L64" s="64">
        <v>40.049999999999997</v>
      </c>
      <c r="M64" s="64">
        <v>12.34</v>
      </c>
      <c r="N64" s="64">
        <v>701.4</v>
      </c>
      <c r="O64" s="64">
        <v>0</v>
      </c>
      <c r="P64" s="64">
        <v>0.59</v>
      </c>
      <c r="Q64" s="64">
        <v>9.93</v>
      </c>
      <c r="R64" s="198"/>
      <c r="S64" s="198"/>
      <c r="T64" s="198"/>
      <c r="U64" s="198"/>
    </row>
    <row r="65" spans="1:21" s="12" customFormat="1" x14ac:dyDescent="0.25">
      <c r="A65" s="216" t="s">
        <v>686</v>
      </c>
      <c r="B65" s="64">
        <v>3.43</v>
      </c>
      <c r="C65" s="64">
        <v>31.55</v>
      </c>
      <c r="D65" s="64">
        <v>19.149999999999999</v>
      </c>
      <c r="E65" s="64">
        <v>2.0299999999999998</v>
      </c>
      <c r="F65" s="64">
        <v>11.97</v>
      </c>
      <c r="G65" s="64">
        <v>64.23</v>
      </c>
      <c r="H65" s="64">
        <v>25.9</v>
      </c>
      <c r="I65" s="64">
        <v>5.93</v>
      </c>
      <c r="J65" s="64">
        <v>0.21</v>
      </c>
      <c r="K65" s="64">
        <v>142.13</v>
      </c>
      <c r="L65" s="64">
        <v>38.92</v>
      </c>
      <c r="M65" s="64">
        <v>12.23</v>
      </c>
      <c r="N65" s="64">
        <v>575.4</v>
      </c>
      <c r="O65" s="64">
        <v>0</v>
      </c>
      <c r="P65" s="64">
        <v>0.59</v>
      </c>
      <c r="Q65" s="64">
        <v>9.91</v>
      </c>
      <c r="R65" s="198"/>
      <c r="S65" s="198"/>
      <c r="T65" s="198"/>
      <c r="U65" s="198"/>
    </row>
    <row r="66" spans="1:21" s="12" customFormat="1" x14ac:dyDescent="0.25">
      <c r="A66" s="216" t="s">
        <v>687</v>
      </c>
      <c r="B66" s="64">
        <v>3.37</v>
      </c>
      <c r="C66" s="64">
        <v>31.08</v>
      </c>
      <c r="D66" s="64">
        <v>18.86</v>
      </c>
      <c r="E66" s="64">
        <v>2.15</v>
      </c>
      <c r="F66" s="64">
        <v>11.76</v>
      </c>
      <c r="G66" s="64">
        <v>64.23</v>
      </c>
      <c r="H66" s="64">
        <v>25.9</v>
      </c>
      <c r="I66" s="64">
        <v>5.88</v>
      </c>
      <c r="J66" s="64">
        <v>0.09</v>
      </c>
      <c r="K66" s="64">
        <v>252.55</v>
      </c>
      <c r="L66" s="64">
        <v>38.659999999999997</v>
      </c>
      <c r="M66" s="64">
        <v>13.94</v>
      </c>
      <c r="N66" s="64">
        <v>437.5</v>
      </c>
      <c r="O66" s="64">
        <v>0</v>
      </c>
      <c r="P66" s="64">
        <v>0.57999999999999996</v>
      </c>
      <c r="Q66" s="64">
        <v>9.92</v>
      </c>
      <c r="R66" s="198"/>
      <c r="S66" s="198"/>
      <c r="T66" s="198"/>
      <c r="U66" s="198"/>
    </row>
    <row r="67" spans="1:21" s="12" customFormat="1" x14ac:dyDescent="0.25">
      <c r="A67" s="216" t="s">
        <v>688</v>
      </c>
      <c r="B67" s="64">
        <v>3.33</v>
      </c>
      <c r="C67" s="64">
        <v>31.09</v>
      </c>
      <c r="D67" s="64">
        <v>18.829999999999998</v>
      </c>
      <c r="E67" s="64">
        <v>2.23</v>
      </c>
      <c r="F67" s="64">
        <v>12.03</v>
      </c>
      <c r="G67" s="64">
        <v>64.23</v>
      </c>
      <c r="H67" s="64">
        <v>25.9</v>
      </c>
      <c r="I67" s="64">
        <v>5.82</v>
      </c>
      <c r="J67" s="64">
        <v>0.3</v>
      </c>
      <c r="K67" s="64">
        <v>330.18</v>
      </c>
      <c r="L67" s="64">
        <v>38.79</v>
      </c>
      <c r="M67" s="64">
        <v>14.25</v>
      </c>
      <c r="N67" s="64">
        <v>337.4</v>
      </c>
      <c r="O67" s="64">
        <v>0</v>
      </c>
      <c r="P67" s="64">
        <v>0.56999999999999995</v>
      </c>
      <c r="Q67" s="64">
        <v>9.9</v>
      </c>
      <c r="R67" s="198"/>
      <c r="S67" s="198"/>
      <c r="T67" s="198"/>
      <c r="U67" s="198"/>
    </row>
    <row r="68" spans="1:21" s="12" customFormat="1" x14ac:dyDescent="0.25">
      <c r="A68" s="216" t="s">
        <v>689</v>
      </c>
      <c r="B68" s="64">
        <v>3.32</v>
      </c>
      <c r="C68" s="64">
        <v>31.46</v>
      </c>
      <c r="D68" s="64">
        <v>19.02</v>
      </c>
      <c r="E68" s="64">
        <v>2.09</v>
      </c>
      <c r="F68" s="64">
        <v>11.12</v>
      </c>
      <c r="G68" s="64">
        <v>61.93</v>
      </c>
      <c r="H68" s="64">
        <v>25.54</v>
      </c>
      <c r="I68" s="64">
        <v>5.84</v>
      </c>
      <c r="J68" s="64">
        <v>0.24</v>
      </c>
      <c r="K68" s="64">
        <v>238.24</v>
      </c>
      <c r="L68" s="64">
        <v>38.96</v>
      </c>
      <c r="M68" s="64">
        <v>14.66</v>
      </c>
      <c r="N68" s="64">
        <v>323.7</v>
      </c>
      <c r="O68" s="64">
        <v>0</v>
      </c>
      <c r="P68" s="64">
        <v>0.56000000000000005</v>
      </c>
      <c r="Q68" s="64">
        <v>9.91</v>
      </c>
      <c r="R68" s="198"/>
      <c r="S68" s="198"/>
      <c r="T68" s="198"/>
      <c r="U68" s="198"/>
    </row>
    <row r="69" spans="1:21" s="12" customFormat="1" x14ac:dyDescent="0.25">
      <c r="A69" s="216" t="s">
        <v>690</v>
      </c>
      <c r="B69" s="64">
        <v>3.33</v>
      </c>
      <c r="C69" s="64">
        <v>31.78</v>
      </c>
      <c r="D69" s="64">
        <v>19.190000000000001</v>
      </c>
      <c r="E69" s="64">
        <v>2.38</v>
      </c>
      <c r="F69" s="64">
        <v>12.04</v>
      </c>
      <c r="G69" s="64">
        <v>60.32</v>
      </c>
      <c r="H69" s="64">
        <v>25.29</v>
      </c>
      <c r="I69" s="64">
        <v>5.6</v>
      </c>
      <c r="J69" s="64">
        <v>0.25</v>
      </c>
      <c r="K69" s="64">
        <v>350.49</v>
      </c>
      <c r="L69" s="64">
        <v>38.549999999999997</v>
      </c>
      <c r="M69" s="64">
        <v>14.09</v>
      </c>
      <c r="N69" s="64">
        <v>388.2</v>
      </c>
      <c r="O69" s="64">
        <v>0</v>
      </c>
      <c r="P69" s="64">
        <v>0.55000000000000004</v>
      </c>
      <c r="Q69" s="64">
        <v>9.9499999999999993</v>
      </c>
      <c r="R69" s="198"/>
      <c r="S69" s="198"/>
      <c r="T69" s="198"/>
      <c r="U69" s="198"/>
    </row>
    <row r="70" spans="1:21" s="12" customFormat="1" x14ac:dyDescent="0.25">
      <c r="A70" s="216" t="s">
        <v>691</v>
      </c>
      <c r="B70" s="64">
        <v>3.28</v>
      </c>
      <c r="C70" s="64">
        <v>32.21</v>
      </c>
      <c r="D70" s="64">
        <v>19.37</v>
      </c>
      <c r="E70" s="64">
        <v>2.16</v>
      </c>
      <c r="F70" s="64">
        <v>12.82</v>
      </c>
      <c r="G70" s="64">
        <v>60.32</v>
      </c>
      <c r="H70" s="64">
        <v>25.29</v>
      </c>
      <c r="I70" s="64">
        <v>5.16</v>
      </c>
      <c r="J70" s="64">
        <v>0.3</v>
      </c>
      <c r="K70" s="64">
        <v>193.7</v>
      </c>
      <c r="L70" s="64">
        <v>38.25</v>
      </c>
      <c r="M70" s="64">
        <v>14.44</v>
      </c>
      <c r="N70" s="64">
        <v>297.10000000000002</v>
      </c>
      <c r="O70" s="64">
        <v>0</v>
      </c>
      <c r="P70" s="64">
        <v>0.54</v>
      </c>
      <c r="Q70" s="64">
        <v>9.94</v>
      </c>
      <c r="R70" s="198"/>
      <c r="S70" s="198"/>
      <c r="T70" s="198"/>
      <c r="U70" s="198"/>
    </row>
    <row r="71" spans="1:21" s="12" customFormat="1" x14ac:dyDescent="0.25">
      <c r="A71" s="216" t="s">
        <v>692</v>
      </c>
      <c r="B71" s="64">
        <v>3.27</v>
      </c>
      <c r="C71" s="64">
        <v>31.98</v>
      </c>
      <c r="D71" s="64">
        <v>19.260000000000002</v>
      </c>
      <c r="E71" s="64">
        <v>1.71</v>
      </c>
      <c r="F71" s="64">
        <v>11.19</v>
      </c>
      <c r="G71" s="64">
        <v>60.32</v>
      </c>
      <c r="H71" s="64">
        <v>25.29</v>
      </c>
      <c r="I71" s="64">
        <v>4.97</v>
      </c>
      <c r="J71" s="64">
        <v>0.22</v>
      </c>
      <c r="K71" s="64">
        <v>351.47</v>
      </c>
      <c r="L71" s="64">
        <v>38.229999999999997</v>
      </c>
      <c r="M71" s="64">
        <v>14.87</v>
      </c>
      <c r="N71" s="64">
        <v>167.9</v>
      </c>
      <c r="O71" s="64">
        <v>0</v>
      </c>
      <c r="P71" s="64">
        <v>0.53</v>
      </c>
      <c r="Q71" s="64">
        <v>9.93</v>
      </c>
      <c r="R71" s="198"/>
      <c r="S71" s="198"/>
      <c r="T71" s="198"/>
      <c r="U71" s="198"/>
    </row>
    <row r="72" spans="1:21" s="12" customFormat="1" x14ac:dyDescent="0.25">
      <c r="A72" s="216" t="s">
        <v>693</v>
      </c>
      <c r="B72" s="64">
        <v>3.34</v>
      </c>
      <c r="C72" s="64">
        <v>32.020000000000003</v>
      </c>
      <c r="D72" s="64">
        <v>19.329999999999998</v>
      </c>
      <c r="E72" s="64">
        <v>1.95</v>
      </c>
      <c r="F72" s="64">
        <v>10.17</v>
      </c>
      <c r="G72" s="64">
        <v>59.46</v>
      </c>
      <c r="H72" s="64">
        <v>23.49</v>
      </c>
      <c r="I72" s="64">
        <v>4.71</v>
      </c>
      <c r="J72" s="64">
        <v>0.31</v>
      </c>
      <c r="K72" s="64">
        <v>303.05</v>
      </c>
      <c r="L72" s="64">
        <v>38.39</v>
      </c>
      <c r="M72" s="64">
        <v>12.14</v>
      </c>
      <c r="N72" s="64">
        <v>198.3</v>
      </c>
      <c r="O72" s="64">
        <v>0</v>
      </c>
      <c r="P72" s="64">
        <v>0.53</v>
      </c>
      <c r="Q72" s="64">
        <v>9.9600000000000009</v>
      </c>
      <c r="R72" s="198"/>
      <c r="S72" s="198"/>
      <c r="T72" s="198"/>
      <c r="U72" s="198"/>
    </row>
    <row r="73" spans="1:21" s="12" customFormat="1" x14ac:dyDescent="0.25">
      <c r="A73" s="216" t="s">
        <v>694</v>
      </c>
      <c r="B73" s="64">
        <v>3.28</v>
      </c>
      <c r="C73" s="64">
        <v>32.090000000000003</v>
      </c>
      <c r="D73" s="64">
        <v>19.32</v>
      </c>
      <c r="E73" s="64">
        <v>1.58</v>
      </c>
      <c r="F73" s="64">
        <v>10.66</v>
      </c>
      <c r="G73" s="64">
        <v>58.87</v>
      </c>
      <c r="H73" s="64">
        <v>22.24</v>
      </c>
      <c r="I73" s="64">
        <v>4.67</v>
      </c>
      <c r="J73" s="64">
        <v>0.17</v>
      </c>
      <c r="K73" s="64">
        <v>7.98</v>
      </c>
      <c r="L73" s="64">
        <v>38.22</v>
      </c>
      <c r="M73" s="64">
        <v>10.44</v>
      </c>
      <c r="N73" s="64">
        <v>157.30000000000001</v>
      </c>
      <c r="O73" s="64">
        <v>0</v>
      </c>
      <c r="P73" s="64">
        <v>0.51</v>
      </c>
      <c r="Q73" s="64">
        <v>9.9700000000000006</v>
      </c>
      <c r="R73" s="198"/>
      <c r="S73" s="198"/>
      <c r="T73" s="198"/>
      <c r="U73" s="198"/>
    </row>
    <row r="74" spans="1:21" s="12" customFormat="1" x14ac:dyDescent="0.25">
      <c r="A74" s="216" t="s">
        <v>695</v>
      </c>
      <c r="B74" s="64">
        <v>3.28</v>
      </c>
      <c r="C74" s="64">
        <v>31.87</v>
      </c>
      <c r="D74" s="64">
        <v>19.2</v>
      </c>
      <c r="E74" s="64">
        <v>1.5</v>
      </c>
      <c r="F74" s="64">
        <v>10.94</v>
      </c>
      <c r="G74" s="64">
        <v>58.87</v>
      </c>
      <c r="H74" s="64">
        <v>22.24</v>
      </c>
      <c r="I74" s="64">
        <v>4.67</v>
      </c>
      <c r="J74" s="64">
        <v>0.44</v>
      </c>
      <c r="K74" s="64">
        <v>320.06</v>
      </c>
      <c r="L74" s="64">
        <v>37.9</v>
      </c>
      <c r="M74" s="64">
        <v>11.22</v>
      </c>
      <c r="N74" s="64">
        <v>109.9</v>
      </c>
      <c r="O74" s="64">
        <v>0</v>
      </c>
      <c r="P74" s="64">
        <v>0.5</v>
      </c>
      <c r="Q74" s="64">
        <v>9.93</v>
      </c>
      <c r="R74" s="198"/>
      <c r="S74" s="198"/>
      <c r="T74" s="198"/>
      <c r="U74" s="198"/>
    </row>
    <row r="75" spans="1:21" s="12" customFormat="1" x14ac:dyDescent="0.25">
      <c r="A75" s="216" t="s">
        <v>696</v>
      </c>
      <c r="B75" s="64">
        <v>3.37</v>
      </c>
      <c r="C75" s="64">
        <v>31.32</v>
      </c>
      <c r="D75" s="64">
        <v>18.98</v>
      </c>
      <c r="E75" s="64">
        <v>1.29</v>
      </c>
      <c r="F75" s="64">
        <v>10.61</v>
      </c>
      <c r="G75" s="64">
        <v>58.87</v>
      </c>
      <c r="H75" s="64">
        <v>22.24</v>
      </c>
      <c r="I75" s="64">
        <v>4.66</v>
      </c>
      <c r="J75" s="64">
        <v>0.22</v>
      </c>
      <c r="K75" s="64">
        <v>0.54</v>
      </c>
      <c r="L75" s="64">
        <v>37.86</v>
      </c>
      <c r="M75" s="64">
        <v>10.61</v>
      </c>
      <c r="N75" s="64">
        <v>91.2</v>
      </c>
      <c r="O75" s="64">
        <v>0</v>
      </c>
      <c r="P75" s="64">
        <v>0.49</v>
      </c>
      <c r="Q75" s="64">
        <v>9.89</v>
      </c>
      <c r="R75" s="198"/>
      <c r="S75" s="198"/>
      <c r="T75" s="198"/>
      <c r="U75" s="198"/>
    </row>
    <row r="76" spans="1:21" s="12" customFormat="1" x14ac:dyDescent="0.25">
      <c r="A76" s="216" t="s">
        <v>697</v>
      </c>
      <c r="B76" s="64">
        <v>3.39</v>
      </c>
      <c r="C76" s="64">
        <v>31.29</v>
      </c>
      <c r="D76" s="64">
        <v>18.98</v>
      </c>
      <c r="E76" s="64">
        <v>1.59</v>
      </c>
      <c r="F76" s="64">
        <v>10.65</v>
      </c>
      <c r="G76" s="64">
        <v>58.02</v>
      </c>
      <c r="H76" s="64">
        <v>22.34</v>
      </c>
      <c r="I76" s="64">
        <v>4.21</v>
      </c>
      <c r="J76" s="64">
        <v>0.3</v>
      </c>
      <c r="K76" s="64">
        <v>341.52</v>
      </c>
      <c r="L76" s="64">
        <v>37.58</v>
      </c>
      <c r="M76" s="64">
        <v>11.4</v>
      </c>
      <c r="N76" s="64">
        <v>79</v>
      </c>
      <c r="O76" s="64">
        <v>0</v>
      </c>
      <c r="P76" s="64">
        <v>0.48</v>
      </c>
      <c r="Q76" s="64">
        <v>9.8800000000000008</v>
      </c>
      <c r="R76" s="198"/>
      <c r="S76" s="198"/>
      <c r="T76" s="198"/>
      <c r="U76" s="198"/>
    </row>
    <row r="77" spans="1:21" s="12" customFormat="1" x14ac:dyDescent="0.25">
      <c r="A77" s="216" t="s">
        <v>698</v>
      </c>
      <c r="B77" s="64">
        <v>3.54</v>
      </c>
      <c r="C77" s="64">
        <v>31.53</v>
      </c>
      <c r="D77" s="64">
        <v>19.239999999999998</v>
      </c>
      <c r="E77" s="64">
        <v>1.41</v>
      </c>
      <c r="F77" s="64">
        <v>9.06</v>
      </c>
      <c r="G77" s="64">
        <v>57.42</v>
      </c>
      <c r="H77" s="64">
        <v>22.41</v>
      </c>
      <c r="I77" s="64">
        <v>4.09</v>
      </c>
      <c r="J77" s="64">
        <v>0.48</v>
      </c>
      <c r="K77" s="64">
        <v>311.54000000000002</v>
      </c>
      <c r="L77" s="64">
        <v>37.06</v>
      </c>
      <c r="M77" s="64">
        <v>12.07</v>
      </c>
      <c r="N77" s="64">
        <v>69.400000000000006</v>
      </c>
      <c r="O77" s="64">
        <v>0</v>
      </c>
      <c r="P77" s="64">
        <v>0.49</v>
      </c>
      <c r="Q77" s="64">
        <v>9.81</v>
      </c>
      <c r="R77" s="198"/>
      <c r="S77" s="198"/>
      <c r="T77" s="198"/>
      <c r="U77" s="198"/>
    </row>
    <row r="78" spans="1:21" s="12" customFormat="1" x14ac:dyDescent="0.25">
      <c r="A78" s="216" t="s">
        <v>699</v>
      </c>
      <c r="B78" s="64">
        <v>3.77</v>
      </c>
      <c r="C78" s="64">
        <v>31.68</v>
      </c>
      <c r="D78" s="64">
        <v>19.489999999999998</v>
      </c>
      <c r="E78" s="64">
        <v>1.25</v>
      </c>
      <c r="F78" s="64">
        <v>6.75</v>
      </c>
      <c r="G78" s="64">
        <v>57.42</v>
      </c>
      <c r="H78" s="64">
        <v>22.41</v>
      </c>
      <c r="I78" s="64">
        <v>4.1100000000000003</v>
      </c>
      <c r="J78" s="64">
        <v>0.37</v>
      </c>
      <c r="K78" s="64">
        <v>318.39999999999998</v>
      </c>
      <c r="L78" s="64">
        <v>36.33</v>
      </c>
      <c r="M78" s="64">
        <v>15.5</v>
      </c>
      <c r="N78" s="64">
        <v>53.3</v>
      </c>
      <c r="O78" s="64">
        <v>0</v>
      </c>
      <c r="P78" s="64">
        <v>0.51</v>
      </c>
      <c r="Q78" s="64">
        <v>9.7200000000000006</v>
      </c>
      <c r="R78" s="198"/>
      <c r="S78" s="198"/>
      <c r="T78" s="198"/>
      <c r="U78" s="198"/>
    </row>
    <row r="79" spans="1:21" s="12" customFormat="1" x14ac:dyDescent="0.25">
      <c r="A79" s="216" t="s">
        <v>700</v>
      </c>
      <c r="B79" s="64">
        <v>4.5599999999999996</v>
      </c>
      <c r="C79" s="64">
        <v>32.94</v>
      </c>
      <c r="D79" s="64">
        <v>20.78</v>
      </c>
      <c r="E79" s="64">
        <v>0.77</v>
      </c>
      <c r="F79" s="64">
        <v>5.89</v>
      </c>
      <c r="G79" s="64">
        <v>57.42</v>
      </c>
      <c r="H79" s="64">
        <v>22.41</v>
      </c>
      <c r="I79" s="64">
        <v>4.26</v>
      </c>
      <c r="J79" s="64">
        <v>0.47</v>
      </c>
      <c r="K79" s="64">
        <v>328.17</v>
      </c>
      <c r="L79" s="64">
        <v>34.69</v>
      </c>
      <c r="M79" s="64">
        <v>20.51</v>
      </c>
      <c r="N79" s="64">
        <v>51.7</v>
      </c>
      <c r="O79" s="64">
        <v>0</v>
      </c>
      <c r="P79" s="64">
        <v>0.51</v>
      </c>
      <c r="Q79" s="64">
        <v>9.69</v>
      </c>
      <c r="R79" s="198"/>
      <c r="S79" s="198"/>
      <c r="T79" s="198"/>
      <c r="U79" s="198"/>
    </row>
    <row r="80" spans="1:21" s="12" customFormat="1" x14ac:dyDescent="0.25">
      <c r="A80" s="216" t="s">
        <v>701</v>
      </c>
      <c r="B80" s="64">
        <v>4.84</v>
      </c>
      <c r="C80" s="64">
        <v>33.92</v>
      </c>
      <c r="D80" s="64">
        <v>21.53</v>
      </c>
      <c r="E80" s="64">
        <v>0.79</v>
      </c>
      <c r="F80" s="64">
        <v>5.2</v>
      </c>
      <c r="G80" s="64">
        <v>56.48</v>
      </c>
      <c r="H80" s="64">
        <v>22.76</v>
      </c>
      <c r="I80" s="64">
        <v>4.08</v>
      </c>
      <c r="J80" s="64">
        <v>0.49</v>
      </c>
      <c r="K80" s="64">
        <v>324.69</v>
      </c>
      <c r="L80" s="64">
        <v>33.630000000000003</v>
      </c>
      <c r="M80" s="64">
        <v>21.75</v>
      </c>
      <c r="N80" s="64">
        <v>37.299999999999997</v>
      </c>
      <c r="O80" s="64">
        <v>0</v>
      </c>
      <c r="P80" s="64">
        <v>0.52</v>
      </c>
      <c r="Q80" s="64">
        <v>9.7100000000000009</v>
      </c>
      <c r="R80" s="198"/>
      <c r="S80" s="198"/>
      <c r="T80" s="198"/>
      <c r="U80" s="198"/>
    </row>
    <row r="81" spans="1:26" s="12" customFormat="1" x14ac:dyDescent="0.25">
      <c r="A81" s="216" t="s">
        <v>702</v>
      </c>
      <c r="B81" s="64">
        <v>4.96</v>
      </c>
      <c r="C81" s="64">
        <v>34.770000000000003</v>
      </c>
      <c r="D81" s="64">
        <v>22.06</v>
      </c>
      <c r="E81" s="64">
        <v>1.05</v>
      </c>
      <c r="F81" s="64">
        <v>5.24</v>
      </c>
      <c r="G81" s="64">
        <v>55.83</v>
      </c>
      <c r="H81" s="64">
        <v>23</v>
      </c>
      <c r="I81" s="64">
        <v>5.07</v>
      </c>
      <c r="J81" s="64">
        <v>0.46</v>
      </c>
      <c r="K81" s="64">
        <v>321.04000000000002</v>
      </c>
      <c r="L81" s="64">
        <v>32.81</v>
      </c>
      <c r="M81" s="64">
        <v>23.05</v>
      </c>
      <c r="N81" s="64">
        <v>21.8</v>
      </c>
      <c r="O81" s="64">
        <v>0</v>
      </c>
      <c r="P81" s="64">
        <v>0.54</v>
      </c>
      <c r="Q81" s="64">
        <v>9.6999999999999993</v>
      </c>
      <c r="R81" s="198"/>
      <c r="S81" s="198"/>
      <c r="T81" s="198"/>
      <c r="U81" s="198"/>
    </row>
    <row r="82" spans="1:26" s="12" customFormat="1" x14ac:dyDescent="0.25">
      <c r="A82" s="216" t="s">
        <v>703</v>
      </c>
      <c r="B82" s="64">
        <v>5.19</v>
      </c>
      <c r="C82" s="64">
        <v>36.68</v>
      </c>
      <c r="D82" s="64">
        <v>23.24</v>
      </c>
      <c r="E82" s="64">
        <v>0.81</v>
      </c>
      <c r="F82" s="64">
        <v>5.44</v>
      </c>
      <c r="G82" s="64">
        <v>55.83</v>
      </c>
      <c r="H82" s="64">
        <v>23</v>
      </c>
      <c r="I82" s="64">
        <v>5.38</v>
      </c>
      <c r="J82" s="64">
        <v>0.32</v>
      </c>
      <c r="K82" s="64">
        <v>346.34</v>
      </c>
      <c r="L82" s="64">
        <v>32.6</v>
      </c>
      <c r="M82" s="64">
        <v>22.47</v>
      </c>
      <c r="N82" s="64">
        <v>17.7</v>
      </c>
      <c r="O82" s="64">
        <v>0</v>
      </c>
      <c r="P82" s="64">
        <v>0.59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16" t="s">
        <v>704</v>
      </c>
      <c r="B83" s="64">
        <v>6.12</v>
      </c>
      <c r="C83" s="64">
        <v>39.659999999999997</v>
      </c>
      <c r="D83" s="64">
        <v>25.55</v>
      </c>
      <c r="E83" s="64">
        <v>1.28</v>
      </c>
      <c r="F83" s="64">
        <v>4.5999999999999996</v>
      </c>
      <c r="G83" s="64">
        <v>55.83</v>
      </c>
      <c r="H83" s="64">
        <v>23</v>
      </c>
      <c r="I83" s="64">
        <v>5.45</v>
      </c>
      <c r="J83" s="64">
        <v>0.35</v>
      </c>
      <c r="K83" s="64">
        <v>324.55</v>
      </c>
      <c r="L83" s="64">
        <v>31.92</v>
      </c>
      <c r="M83" s="64">
        <v>24.73</v>
      </c>
      <c r="N83" s="64">
        <v>15.9</v>
      </c>
      <c r="O83" s="64">
        <v>0</v>
      </c>
      <c r="P83" s="64">
        <v>0.65</v>
      </c>
      <c r="Q83" s="64">
        <v>9.69</v>
      </c>
      <c r="R83" s="198"/>
      <c r="S83" s="198"/>
      <c r="T83" s="198"/>
      <c r="U83" s="198"/>
    </row>
    <row r="84" spans="1:26" s="12" customFormat="1" x14ac:dyDescent="0.25">
      <c r="A84" s="216" t="s">
        <v>705</v>
      </c>
      <c r="B84" s="64">
        <v>6.78</v>
      </c>
      <c r="C84" s="64">
        <v>41.87</v>
      </c>
      <c r="D84" s="64">
        <v>27.23</v>
      </c>
      <c r="E84" s="64">
        <v>1.2</v>
      </c>
      <c r="F84" s="64">
        <v>4.28</v>
      </c>
      <c r="G84" s="64">
        <v>56.37</v>
      </c>
      <c r="H84" s="64">
        <v>22.41</v>
      </c>
      <c r="I84" s="64">
        <v>5.46</v>
      </c>
      <c r="J84" s="64">
        <v>0.21</v>
      </c>
      <c r="K84" s="64">
        <v>330.71</v>
      </c>
      <c r="L84" s="64">
        <v>31.94</v>
      </c>
      <c r="M84" s="64">
        <v>19.170000000000002</v>
      </c>
      <c r="N84" s="64">
        <v>15.8</v>
      </c>
      <c r="O84" s="64">
        <v>0</v>
      </c>
      <c r="P84" s="64">
        <v>0.74</v>
      </c>
      <c r="Q84" s="64">
        <v>9.74</v>
      </c>
      <c r="R84" s="198"/>
      <c r="S84" s="198"/>
      <c r="T84" s="198"/>
      <c r="U84" s="198"/>
    </row>
    <row r="85" spans="1:26" s="12" customFormat="1" x14ac:dyDescent="0.25">
      <c r="A85" s="216" t="s">
        <v>706</v>
      </c>
      <c r="B85" s="64">
        <v>7.9</v>
      </c>
      <c r="C85" s="64">
        <v>43.93</v>
      </c>
      <c r="D85" s="64">
        <v>29.21</v>
      </c>
      <c r="E85" s="64">
        <v>1.6</v>
      </c>
      <c r="F85" s="64">
        <v>3.83</v>
      </c>
      <c r="G85" s="64">
        <v>56.75</v>
      </c>
      <c r="H85" s="64">
        <v>22.01</v>
      </c>
      <c r="I85" s="64">
        <v>5.63</v>
      </c>
      <c r="J85" s="64">
        <v>0.15</v>
      </c>
      <c r="K85" s="64">
        <v>288.19</v>
      </c>
      <c r="L85" s="64">
        <v>32.56</v>
      </c>
      <c r="M85" s="64">
        <v>17.37</v>
      </c>
      <c r="N85" s="64">
        <v>16.100000000000001</v>
      </c>
      <c r="O85" s="64">
        <v>0</v>
      </c>
      <c r="P85" s="64">
        <v>0.8</v>
      </c>
      <c r="Q85" s="64">
        <v>9.82</v>
      </c>
      <c r="R85" s="198"/>
      <c r="S85" s="198"/>
      <c r="T85" s="198"/>
      <c r="U85" s="198"/>
    </row>
    <row r="86" spans="1:26" s="12" customFormat="1" x14ac:dyDescent="0.25">
      <c r="A86" s="216" t="s">
        <v>707</v>
      </c>
      <c r="B86" s="64">
        <v>10.8</v>
      </c>
      <c r="C86" s="64">
        <v>46.22</v>
      </c>
      <c r="D86" s="64">
        <v>32.729999999999997</v>
      </c>
      <c r="E86" s="64">
        <v>1.36</v>
      </c>
      <c r="F86" s="64">
        <v>3.8</v>
      </c>
      <c r="G86" s="64">
        <v>56.75</v>
      </c>
      <c r="H86" s="64">
        <v>22.01</v>
      </c>
      <c r="I86" s="64">
        <v>5.88</v>
      </c>
      <c r="J86" s="64">
        <v>0.08</v>
      </c>
      <c r="K86" s="64">
        <v>288.14999999999998</v>
      </c>
      <c r="L86" s="64">
        <v>31.99</v>
      </c>
      <c r="M86" s="64">
        <v>18.29</v>
      </c>
      <c r="N86" s="64">
        <v>15.9</v>
      </c>
      <c r="O86" s="64">
        <v>0</v>
      </c>
      <c r="P86" s="64">
        <v>1.02</v>
      </c>
      <c r="Q86" s="64">
        <v>9.82</v>
      </c>
      <c r="R86" s="198"/>
      <c r="S86" s="198"/>
      <c r="T86" s="198"/>
      <c r="U86" s="198"/>
    </row>
    <row r="87" spans="1:26" s="12" customFormat="1" x14ac:dyDescent="0.25">
      <c r="A87" s="216" t="s">
        <v>708</v>
      </c>
      <c r="B87" s="64">
        <v>14.24</v>
      </c>
      <c r="C87" s="64">
        <v>47.5</v>
      </c>
      <c r="D87" s="64">
        <v>36.159999999999997</v>
      </c>
      <c r="E87" s="64">
        <v>1.6</v>
      </c>
      <c r="F87" s="64">
        <v>3.57</v>
      </c>
      <c r="G87" s="64">
        <v>56.75</v>
      </c>
      <c r="H87" s="64">
        <v>22.01</v>
      </c>
      <c r="I87" s="64">
        <v>6.54</v>
      </c>
      <c r="J87" s="64">
        <v>0.2</v>
      </c>
      <c r="K87" s="64">
        <v>345.49</v>
      </c>
      <c r="L87" s="64">
        <v>31.77</v>
      </c>
      <c r="M87" s="64">
        <v>20.18</v>
      </c>
      <c r="N87" s="64">
        <v>15.8</v>
      </c>
      <c r="O87" s="64">
        <v>0</v>
      </c>
      <c r="P87" s="64">
        <v>1.08</v>
      </c>
      <c r="Q87" s="64">
        <v>9.9600000000000009</v>
      </c>
      <c r="R87" s="198"/>
      <c r="S87" s="198"/>
      <c r="T87" s="198"/>
      <c r="U87" s="198"/>
    </row>
    <row r="88" spans="1:26" s="12" customFormat="1" x14ac:dyDescent="0.25">
      <c r="A88" s="216" t="s">
        <v>709</v>
      </c>
      <c r="B88" s="64">
        <v>16.940000000000001</v>
      </c>
      <c r="C88" s="64">
        <v>48.65</v>
      </c>
      <c r="D88" s="64">
        <v>38.93</v>
      </c>
      <c r="E88" s="64">
        <v>0.31</v>
      </c>
      <c r="F88" s="64">
        <v>3.88</v>
      </c>
      <c r="G88" s="64">
        <v>62.35</v>
      </c>
      <c r="H88" s="64">
        <v>23.72</v>
      </c>
      <c r="I88" s="64">
        <v>7.02</v>
      </c>
      <c r="J88" s="64">
        <v>0.17</v>
      </c>
      <c r="K88" s="64">
        <v>224.86</v>
      </c>
      <c r="L88" s="64">
        <v>31.37</v>
      </c>
      <c r="M88" s="64">
        <v>19.989999999999998</v>
      </c>
      <c r="N88" s="64">
        <v>15.9</v>
      </c>
      <c r="O88" s="64">
        <v>0</v>
      </c>
      <c r="P88" s="64">
        <v>1.17</v>
      </c>
      <c r="Q88" s="64">
        <v>10.039999999999999</v>
      </c>
      <c r="R88" s="198"/>
      <c r="S88" s="198"/>
      <c r="T88" s="198"/>
      <c r="U88" s="198"/>
    </row>
    <row r="89" spans="1:26" s="12" customFormat="1" x14ac:dyDescent="0.25">
      <c r="A89" s="216" t="s">
        <v>710</v>
      </c>
      <c r="B89" s="64">
        <v>19.809999999999999</v>
      </c>
      <c r="C89" s="64">
        <v>48.74</v>
      </c>
      <c r="D89" s="64">
        <v>41.27</v>
      </c>
      <c r="E89" s="64">
        <v>0.63</v>
      </c>
      <c r="F89" s="64">
        <v>3.45</v>
      </c>
      <c r="G89" s="64">
        <v>66.260000000000005</v>
      </c>
      <c r="H89" s="64">
        <v>24.91</v>
      </c>
      <c r="I89" s="64">
        <v>6.99</v>
      </c>
      <c r="J89" s="64">
        <v>0.14000000000000001</v>
      </c>
      <c r="K89" s="64">
        <v>300.77</v>
      </c>
      <c r="L89" s="64">
        <v>31.12</v>
      </c>
      <c r="M89" s="64">
        <v>21.07</v>
      </c>
      <c r="N89" s="64">
        <v>15.6</v>
      </c>
      <c r="O89" s="64">
        <v>0</v>
      </c>
      <c r="P89" s="64">
        <v>1.25</v>
      </c>
      <c r="Q89" s="64">
        <v>10.16</v>
      </c>
      <c r="R89" s="198"/>
      <c r="S89" s="198"/>
      <c r="T89" s="198"/>
      <c r="U89" s="198"/>
    </row>
    <row r="90" spans="1:26" s="12" customFormat="1" x14ac:dyDescent="0.25">
      <c r="A90" s="216" t="s">
        <v>711</v>
      </c>
      <c r="B90" s="64">
        <v>22.23</v>
      </c>
      <c r="C90" s="64">
        <v>48.67</v>
      </c>
      <c r="D90" s="64">
        <v>43.17</v>
      </c>
      <c r="E90" s="64">
        <v>0.36</v>
      </c>
      <c r="F90" s="64">
        <v>3.34</v>
      </c>
      <c r="G90" s="64">
        <v>66.260000000000005</v>
      </c>
      <c r="H90" s="64">
        <v>24.91</v>
      </c>
      <c r="I90" s="64">
        <v>7.35</v>
      </c>
      <c r="J90" s="64">
        <v>0.14000000000000001</v>
      </c>
      <c r="K90" s="64">
        <v>270.07</v>
      </c>
      <c r="L90" s="64">
        <v>30.63</v>
      </c>
      <c r="M90" s="64">
        <v>20.78</v>
      </c>
      <c r="N90" s="64">
        <v>15.8</v>
      </c>
      <c r="O90" s="64">
        <v>0</v>
      </c>
      <c r="P90" s="64">
        <v>1.33</v>
      </c>
      <c r="Q90" s="64">
        <v>10.26</v>
      </c>
      <c r="R90" s="198"/>
      <c r="S90" s="198"/>
      <c r="T90" s="198"/>
      <c r="U90" s="198"/>
    </row>
    <row r="91" spans="1:26" s="12" customFormat="1" x14ac:dyDescent="0.25">
      <c r="A91" s="216" t="s">
        <v>712</v>
      </c>
      <c r="B91" s="64">
        <v>25.33</v>
      </c>
      <c r="C91" s="64">
        <v>48.2</v>
      </c>
      <c r="D91" s="64">
        <v>45.42</v>
      </c>
      <c r="E91" s="64">
        <v>0.52</v>
      </c>
      <c r="F91" s="64">
        <v>3.27</v>
      </c>
      <c r="G91" s="64">
        <v>66.260000000000005</v>
      </c>
      <c r="H91" s="64">
        <v>24.91</v>
      </c>
      <c r="I91" s="64">
        <v>7.76</v>
      </c>
      <c r="J91" s="64">
        <v>0.09</v>
      </c>
      <c r="K91" s="64">
        <v>303.14999999999998</v>
      </c>
      <c r="L91" s="64">
        <v>30.83</v>
      </c>
      <c r="M91" s="64">
        <v>21.63</v>
      </c>
      <c r="N91" s="64">
        <v>15.2</v>
      </c>
      <c r="O91" s="64">
        <v>0</v>
      </c>
      <c r="P91" s="64">
        <v>1.38</v>
      </c>
      <c r="Q91" s="64">
        <v>10.29</v>
      </c>
      <c r="R91" s="198"/>
      <c r="S91" s="198"/>
      <c r="T91" s="198"/>
      <c r="U91" s="198"/>
    </row>
    <row r="92" spans="1:26" s="12" customFormat="1" x14ac:dyDescent="0.25">
      <c r="A92" s="216" t="s">
        <v>713</v>
      </c>
      <c r="B92" s="64">
        <v>25.53</v>
      </c>
      <c r="C92" s="64">
        <v>48.57</v>
      </c>
      <c r="D92" s="64">
        <v>45.77</v>
      </c>
      <c r="E92" s="64">
        <v>0.28000000000000003</v>
      </c>
      <c r="F92" s="64">
        <v>3.23</v>
      </c>
      <c r="G92" s="64">
        <v>77.64</v>
      </c>
      <c r="H92" s="64">
        <v>28.37</v>
      </c>
      <c r="I92" s="64">
        <v>8.34</v>
      </c>
      <c r="J92" s="64">
        <v>0.15</v>
      </c>
      <c r="K92" s="64">
        <v>235.37</v>
      </c>
      <c r="L92" s="64">
        <v>31.14</v>
      </c>
      <c r="M92" s="64">
        <v>21.21</v>
      </c>
      <c r="N92" s="64">
        <v>14.7</v>
      </c>
      <c r="O92" s="64">
        <v>0</v>
      </c>
      <c r="P92" s="64">
        <v>1.38</v>
      </c>
      <c r="Q92" s="64">
        <v>10.34</v>
      </c>
      <c r="R92" s="198"/>
      <c r="S92" s="198"/>
      <c r="T92" s="198"/>
      <c r="U92" s="198"/>
    </row>
    <row r="93" spans="1:26" s="12" customFormat="1" x14ac:dyDescent="0.25">
      <c r="A93" s="216" t="s">
        <v>714</v>
      </c>
      <c r="B93" s="64">
        <v>24.35</v>
      </c>
      <c r="C93" s="64">
        <v>48.84</v>
      </c>
      <c r="D93" s="64">
        <v>44.97</v>
      </c>
      <c r="E93" s="64">
        <v>0.37</v>
      </c>
      <c r="F93" s="64">
        <v>3.17</v>
      </c>
      <c r="G93" s="64">
        <v>85.59</v>
      </c>
      <c r="H93" s="64">
        <v>30.78</v>
      </c>
      <c r="I93" s="64">
        <v>8.19</v>
      </c>
      <c r="J93" s="64">
        <v>0.11</v>
      </c>
      <c r="K93" s="64">
        <v>259.79000000000002</v>
      </c>
      <c r="L93" s="64">
        <v>31.05</v>
      </c>
      <c r="M93" s="64">
        <v>20.98</v>
      </c>
      <c r="N93" s="64">
        <v>15.2</v>
      </c>
      <c r="O93" s="64">
        <v>0</v>
      </c>
      <c r="P93" s="64">
        <v>1.32</v>
      </c>
      <c r="Q93" s="64">
        <v>10.4</v>
      </c>
      <c r="R93" s="198"/>
      <c r="S93" s="198"/>
      <c r="T93" s="198"/>
      <c r="U93" s="198"/>
    </row>
    <row r="94" spans="1:26" s="12" customFormat="1" x14ac:dyDescent="0.25">
      <c r="A94" s="216" t="s">
        <v>715</v>
      </c>
      <c r="B94" s="64">
        <v>23.77</v>
      </c>
      <c r="C94" s="64">
        <v>48.16</v>
      </c>
      <c r="D94" s="64">
        <v>44.14</v>
      </c>
      <c r="E94" s="64">
        <v>0.44</v>
      </c>
      <c r="F94" s="64">
        <v>3.6</v>
      </c>
      <c r="G94" s="64">
        <v>85.59</v>
      </c>
      <c r="H94" s="64">
        <v>30.78</v>
      </c>
      <c r="I94" s="64">
        <v>8.0500000000000007</v>
      </c>
      <c r="J94" s="64">
        <v>0.14000000000000001</v>
      </c>
      <c r="K94" s="64">
        <v>314.37</v>
      </c>
      <c r="L94" s="64">
        <v>30.55</v>
      </c>
      <c r="M94" s="64">
        <v>21.65</v>
      </c>
      <c r="N94" s="64">
        <v>15.8</v>
      </c>
      <c r="O94" s="64">
        <v>0</v>
      </c>
      <c r="P94" s="64">
        <v>1.36</v>
      </c>
      <c r="Q94" s="64">
        <v>10.48</v>
      </c>
      <c r="R94" s="198"/>
      <c r="S94" s="198"/>
      <c r="T94" s="198"/>
      <c r="U94" s="198"/>
    </row>
    <row r="95" spans="1:26" s="12" customFormat="1" x14ac:dyDescent="0.25">
      <c r="A95" s="216" t="s">
        <v>716</v>
      </c>
      <c r="B95" s="64">
        <v>24.32</v>
      </c>
      <c r="C95" s="64">
        <v>46.88</v>
      </c>
      <c r="D95" s="64">
        <v>43.92</v>
      </c>
      <c r="E95" s="64">
        <v>0.4</v>
      </c>
      <c r="F95" s="64">
        <v>3.76</v>
      </c>
      <c r="G95" s="64">
        <v>85.59</v>
      </c>
      <c r="H95" s="64">
        <v>30.78</v>
      </c>
      <c r="I95" s="64">
        <v>7.3</v>
      </c>
      <c r="J95" s="64">
        <v>0.09</v>
      </c>
      <c r="K95" s="64">
        <v>264.86</v>
      </c>
      <c r="L95" s="64">
        <v>30.67</v>
      </c>
      <c r="M95" s="64">
        <v>20.93</v>
      </c>
      <c r="N95" s="64">
        <v>15.5</v>
      </c>
      <c r="O95" s="64">
        <v>0</v>
      </c>
      <c r="P95" s="64">
        <v>1.38</v>
      </c>
      <c r="Q95" s="64">
        <v>10.5</v>
      </c>
      <c r="R95" s="198"/>
      <c r="S95" s="198"/>
      <c r="T95" s="198"/>
      <c r="U95" s="198"/>
    </row>
    <row r="96" spans="1:26" s="12" customFormat="1" x14ac:dyDescent="0.25">
      <c r="A96" s="216" t="s">
        <v>717</v>
      </c>
      <c r="B96" s="64">
        <v>23.99</v>
      </c>
      <c r="C96" s="64">
        <v>46.35</v>
      </c>
      <c r="D96" s="64">
        <v>43.37</v>
      </c>
      <c r="E96" s="64">
        <v>0.37</v>
      </c>
      <c r="F96" s="64">
        <v>3.6</v>
      </c>
      <c r="G96" s="64">
        <v>85.12</v>
      </c>
      <c r="H96" s="64">
        <v>31.35</v>
      </c>
      <c r="I96" s="64">
        <v>7.14</v>
      </c>
      <c r="J96" s="64">
        <v>0.16</v>
      </c>
      <c r="K96" s="64">
        <v>172.63</v>
      </c>
      <c r="L96" s="64">
        <v>30.61</v>
      </c>
      <c r="M96" s="64">
        <v>22.01</v>
      </c>
      <c r="N96" s="64">
        <v>15.4</v>
      </c>
      <c r="O96" s="64">
        <v>0</v>
      </c>
      <c r="P96" s="64">
        <v>1.28</v>
      </c>
      <c r="Q96" s="64">
        <v>10.51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718</v>
      </c>
      <c r="B97" s="64">
        <v>23.09</v>
      </c>
      <c r="C97" s="64">
        <v>45.32</v>
      </c>
      <c r="D97" s="64">
        <v>42.11</v>
      </c>
      <c r="E97" s="64">
        <v>0.41</v>
      </c>
      <c r="F97" s="64">
        <v>3.36</v>
      </c>
      <c r="G97" s="64">
        <v>84.79</v>
      </c>
      <c r="H97" s="64">
        <v>31.75</v>
      </c>
      <c r="I97" s="64">
        <v>7.07</v>
      </c>
      <c r="J97" s="64">
        <v>0.16</v>
      </c>
      <c r="K97" s="64">
        <v>210.91</v>
      </c>
      <c r="L97" s="64">
        <v>30.29</v>
      </c>
      <c r="M97" s="64">
        <v>22.78</v>
      </c>
      <c r="N97" s="64">
        <v>15.6</v>
      </c>
      <c r="O97" s="64">
        <v>0</v>
      </c>
      <c r="P97" s="64">
        <v>1.25</v>
      </c>
      <c r="Q97" s="64">
        <v>10.49</v>
      </c>
      <c r="R97" s="198"/>
      <c r="S97" s="198"/>
      <c r="T97" s="198"/>
      <c r="U97" s="198"/>
    </row>
    <row r="98" spans="1:33" s="12" customFormat="1" x14ac:dyDescent="0.25">
      <c r="A98" s="216" t="s">
        <v>719</v>
      </c>
      <c r="B98" s="64">
        <v>22.22</v>
      </c>
      <c r="C98" s="64">
        <v>44.28</v>
      </c>
      <c r="D98" s="64">
        <v>40.869999999999997</v>
      </c>
      <c r="E98" s="64">
        <v>0.55000000000000004</v>
      </c>
      <c r="F98" s="64">
        <v>3.43</v>
      </c>
      <c r="G98" s="64">
        <v>84.79</v>
      </c>
      <c r="H98" s="64">
        <v>31.75</v>
      </c>
      <c r="I98" s="64">
        <v>6.99</v>
      </c>
      <c r="J98" s="64">
        <v>0.12</v>
      </c>
      <c r="K98" s="64">
        <v>26.43</v>
      </c>
      <c r="L98" s="64">
        <v>30.09</v>
      </c>
      <c r="M98" s="64">
        <v>23.1</v>
      </c>
      <c r="N98" s="64">
        <v>15.8</v>
      </c>
      <c r="O98" s="64">
        <v>0</v>
      </c>
      <c r="P98" s="64">
        <v>1.25</v>
      </c>
      <c r="Q98" s="64">
        <v>10.5</v>
      </c>
      <c r="R98" s="198"/>
      <c r="S98" s="198"/>
      <c r="T98" s="198"/>
      <c r="U98" s="198"/>
    </row>
    <row r="99" spans="1:33" s="12" customFormat="1" x14ac:dyDescent="0.25">
      <c r="A99" s="216" t="s">
        <v>720</v>
      </c>
      <c r="B99" s="64">
        <v>20.94</v>
      </c>
      <c r="C99" s="64">
        <v>43.45</v>
      </c>
      <c r="D99" s="64">
        <v>39.409999999999997</v>
      </c>
      <c r="E99" s="64">
        <v>0.27</v>
      </c>
      <c r="F99" s="64">
        <v>3.2</v>
      </c>
      <c r="G99" s="64">
        <v>84.79</v>
      </c>
      <c r="H99" s="64">
        <v>31.75</v>
      </c>
      <c r="I99" s="64">
        <v>7.49</v>
      </c>
      <c r="J99" s="64">
        <v>0.1</v>
      </c>
      <c r="K99" s="64">
        <v>10.17</v>
      </c>
      <c r="L99" s="64">
        <v>29.98</v>
      </c>
      <c r="M99" s="64">
        <v>22.72</v>
      </c>
      <c r="N99" s="64">
        <v>15.4</v>
      </c>
      <c r="O99" s="64">
        <v>0</v>
      </c>
      <c r="P99" s="64">
        <v>1.24</v>
      </c>
      <c r="Q99" s="64">
        <v>10.5</v>
      </c>
      <c r="R99" s="198"/>
      <c r="S99" s="198"/>
      <c r="T99" s="198"/>
      <c r="U99" s="198"/>
    </row>
    <row r="100" spans="1:33" s="12" customFormat="1" x14ac:dyDescent="0.25">
      <c r="A100" s="216" t="s">
        <v>721</v>
      </c>
      <c r="B100" s="64">
        <v>19.12</v>
      </c>
      <c r="C100" s="64">
        <v>43.53</v>
      </c>
      <c r="D100" s="64">
        <v>37.99</v>
      </c>
      <c r="E100" s="64">
        <v>0.36</v>
      </c>
      <c r="F100" s="64">
        <v>3.62</v>
      </c>
      <c r="G100" s="64">
        <v>84.72</v>
      </c>
      <c r="H100" s="64">
        <v>30.73</v>
      </c>
      <c r="I100" s="64">
        <v>7.97</v>
      </c>
      <c r="J100" s="64">
        <v>0.06</v>
      </c>
      <c r="K100" s="64">
        <v>210.78</v>
      </c>
      <c r="L100" s="64">
        <v>29.66</v>
      </c>
      <c r="M100" s="64">
        <v>23.18</v>
      </c>
      <c r="N100" s="64">
        <v>15.6</v>
      </c>
      <c r="O100" s="64">
        <v>0</v>
      </c>
      <c r="P100" s="64">
        <v>1.19</v>
      </c>
      <c r="Q100" s="64">
        <v>10.52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722</v>
      </c>
      <c r="B101" s="64">
        <v>17.53</v>
      </c>
      <c r="C101" s="64">
        <v>43.22</v>
      </c>
      <c r="D101" s="64">
        <v>36.56</v>
      </c>
      <c r="E101" s="64">
        <v>0.19</v>
      </c>
      <c r="F101" s="64">
        <v>3.69</v>
      </c>
      <c r="G101" s="64">
        <v>84.67</v>
      </c>
      <c r="H101" s="64">
        <v>30.02</v>
      </c>
      <c r="I101" s="64">
        <v>8.65</v>
      </c>
      <c r="J101" s="64">
        <v>0.12</v>
      </c>
      <c r="K101" s="64">
        <v>220.55</v>
      </c>
      <c r="L101" s="64">
        <v>29.31</v>
      </c>
      <c r="M101" s="64">
        <v>23.99</v>
      </c>
      <c r="N101" s="64">
        <v>15.4</v>
      </c>
      <c r="O101" s="64">
        <v>0</v>
      </c>
      <c r="P101" s="64">
        <v>1.1599999999999999</v>
      </c>
      <c r="Q101" s="64">
        <v>10.45</v>
      </c>
      <c r="R101" s="198"/>
      <c r="S101" s="198"/>
      <c r="T101" s="198"/>
      <c r="U101" s="198"/>
    </row>
    <row r="102" spans="1:33" s="12" customFormat="1" x14ac:dyDescent="0.25">
      <c r="A102" s="216" t="s">
        <v>723</v>
      </c>
      <c r="B102" s="64">
        <v>16.04</v>
      </c>
      <c r="C102" s="64">
        <v>43.11</v>
      </c>
      <c r="D102" s="64">
        <v>35.31</v>
      </c>
      <c r="E102" s="64">
        <v>0.39</v>
      </c>
      <c r="F102" s="64">
        <v>3.55</v>
      </c>
      <c r="G102" s="64">
        <v>84.67</v>
      </c>
      <c r="H102" s="64">
        <v>30.02</v>
      </c>
      <c r="I102" s="64">
        <v>8.51</v>
      </c>
      <c r="J102" s="64">
        <v>0.06</v>
      </c>
      <c r="K102" s="64">
        <v>107.19</v>
      </c>
      <c r="L102" s="64">
        <v>29.27</v>
      </c>
      <c r="M102" s="64">
        <v>25.06</v>
      </c>
      <c r="N102" s="64">
        <v>15.8</v>
      </c>
      <c r="O102" s="64">
        <v>0</v>
      </c>
      <c r="P102" s="64">
        <v>1.1100000000000001</v>
      </c>
      <c r="Q102" s="64">
        <v>10.39</v>
      </c>
      <c r="R102" s="198"/>
      <c r="S102" s="198"/>
      <c r="T102" s="198"/>
      <c r="U102" s="198"/>
    </row>
    <row r="103" spans="1:33" s="12" customFormat="1" x14ac:dyDescent="0.25">
      <c r="A103" s="216" t="s">
        <v>724</v>
      </c>
      <c r="B103" s="64">
        <v>15.03</v>
      </c>
      <c r="C103" s="64">
        <v>42.77</v>
      </c>
      <c r="D103" s="64">
        <v>34.32</v>
      </c>
      <c r="E103" s="64">
        <v>0.43</v>
      </c>
      <c r="F103" s="64">
        <v>3.6</v>
      </c>
      <c r="G103" s="64">
        <v>84.67</v>
      </c>
      <c r="H103" s="64">
        <v>30.02</v>
      </c>
      <c r="I103" s="64">
        <v>8.15</v>
      </c>
      <c r="J103" s="64">
        <v>7.0000000000000007E-2</v>
      </c>
      <c r="K103" s="64">
        <v>321.75</v>
      </c>
      <c r="L103" s="64">
        <v>29.08</v>
      </c>
      <c r="M103" s="64">
        <v>23.85</v>
      </c>
      <c r="N103" s="64">
        <v>15.6</v>
      </c>
      <c r="O103" s="64">
        <v>0</v>
      </c>
      <c r="P103" s="64">
        <v>1.07</v>
      </c>
      <c r="Q103" s="64">
        <v>10.34</v>
      </c>
      <c r="R103" s="198"/>
      <c r="S103" s="198"/>
      <c r="T103" s="198"/>
      <c r="U103" s="198"/>
    </row>
    <row r="104" spans="1:33" s="12" customFormat="1" x14ac:dyDescent="0.25">
      <c r="A104" s="216" t="s">
        <v>725</v>
      </c>
      <c r="B104" s="64">
        <v>14.1</v>
      </c>
      <c r="C104" s="64">
        <v>42.43</v>
      </c>
      <c r="D104" s="64">
        <v>33.39</v>
      </c>
      <c r="E104" s="64">
        <v>1.8</v>
      </c>
      <c r="F104" s="64">
        <v>3.51</v>
      </c>
      <c r="G104" s="64">
        <v>80.290000000000006</v>
      </c>
      <c r="H104" s="64">
        <v>28.52</v>
      </c>
      <c r="I104" s="64">
        <v>7.94</v>
      </c>
      <c r="J104" s="64">
        <v>0.08</v>
      </c>
      <c r="K104" s="64">
        <v>285.44</v>
      </c>
      <c r="L104" s="64">
        <v>29.04</v>
      </c>
      <c r="M104" s="64">
        <v>23.96</v>
      </c>
      <c r="N104" s="64">
        <v>15.8</v>
      </c>
      <c r="O104" s="64">
        <v>0</v>
      </c>
      <c r="P104" s="64">
        <v>1.04</v>
      </c>
      <c r="Q104" s="64">
        <v>10.3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3.27</v>
      </c>
      <c r="C106" s="67">
        <f>MIN(C9:C104)</f>
        <v>26.49</v>
      </c>
      <c r="D106" s="67">
        <f t="shared" ref="D106:Q106" si="0">MIN(D9:D104)</f>
        <v>18.829999999999998</v>
      </c>
      <c r="E106" s="67">
        <f t="shared" si="0"/>
        <v>0.19</v>
      </c>
      <c r="F106" s="67">
        <f t="shared" si="0"/>
        <v>3.07</v>
      </c>
      <c r="G106" s="67">
        <f t="shared" si="0"/>
        <v>55.83</v>
      </c>
      <c r="H106" s="67">
        <f t="shared" si="0"/>
        <v>22.01</v>
      </c>
      <c r="I106" s="67">
        <f t="shared" si="0"/>
        <v>4.08</v>
      </c>
      <c r="J106" s="67">
        <f t="shared" si="0"/>
        <v>0.05</v>
      </c>
      <c r="K106" s="67">
        <f t="shared" si="0"/>
        <v>0.54</v>
      </c>
      <c r="L106" s="67">
        <f t="shared" si="0"/>
        <v>21.94</v>
      </c>
      <c r="M106" s="67">
        <f t="shared" si="0"/>
        <v>9.67</v>
      </c>
      <c r="N106" s="67">
        <f t="shared" si="0"/>
        <v>14.7</v>
      </c>
      <c r="O106" s="67">
        <f t="shared" si="0"/>
        <v>0</v>
      </c>
      <c r="P106" s="67">
        <f t="shared" si="0"/>
        <v>0.48</v>
      </c>
      <c r="Q106" s="67">
        <f t="shared" si="0"/>
        <v>9.69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51.31</v>
      </c>
      <c r="C107" s="66">
        <f t="shared" ref="C107:Q107" si="1">MAX(C9:C104)</f>
        <v>48.84</v>
      </c>
      <c r="D107" s="66">
        <f t="shared" si="1"/>
        <v>63.8</v>
      </c>
      <c r="E107" s="66">
        <f t="shared" si="1"/>
        <v>2.75</v>
      </c>
      <c r="F107" s="66">
        <f t="shared" si="1"/>
        <v>12.82</v>
      </c>
      <c r="G107" s="66">
        <f t="shared" si="1"/>
        <v>108.25</v>
      </c>
      <c r="H107" s="66">
        <f t="shared" si="1"/>
        <v>34.43</v>
      </c>
      <c r="I107" s="66">
        <f t="shared" si="1"/>
        <v>10.46</v>
      </c>
      <c r="J107" s="66">
        <f t="shared" si="1"/>
        <v>0.87</v>
      </c>
      <c r="K107" s="66">
        <f t="shared" si="1"/>
        <v>358.91</v>
      </c>
      <c r="L107" s="66">
        <f t="shared" si="1"/>
        <v>40.450000000000003</v>
      </c>
      <c r="M107" s="66">
        <f t="shared" si="1"/>
        <v>49.76</v>
      </c>
      <c r="N107" s="66">
        <f t="shared" si="1"/>
        <v>890.3</v>
      </c>
      <c r="O107" s="66">
        <f t="shared" si="1"/>
        <v>0</v>
      </c>
      <c r="P107" s="66">
        <f t="shared" si="1"/>
        <v>1.46</v>
      </c>
      <c r="Q107" s="66">
        <f t="shared" si="1"/>
        <v>11.18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17.668645833333326</v>
      </c>
      <c r="C108" s="67">
        <f t="shared" ref="C108:Q108" si="2">AVERAGE(C9:C104)</f>
        <v>36.723437499999996</v>
      </c>
      <c r="D108" s="67">
        <f t="shared" si="2"/>
        <v>33.275312499999991</v>
      </c>
      <c r="E108" s="67">
        <f t="shared" si="2"/>
        <v>1.5967708333333339</v>
      </c>
      <c r="F108" s="67">
        <f t="shared" si="2"/>
        <v>5.7558333333333325</v>
      </c>
      <c r="G108" s="67">
        <f t="shared" si="2"/>
        <v>78.609895833333312</v>
      </c>
      <c r="H108" s="67">
        <f t="shared" si="2"/>
        <v>27.571145833333343</v>
      </c>
      <c r="I108" s="67">
        <f t="shared" si="2"/>
        <v>7.478125000000003</v>
      </c>
      <c r="J108" s="67">
        <f t="shared" si="2"/>
        <v>0.23614583333333342</v>
      </c>
      <c r="K108" s="67">
        <f t="shared" si="2"/>
        <v>243.26489583333321</v>
      </c>
      <c r="L108" s="67">
        <f t="shared" si="2"/>
        <v>31.319791666666664</v>
      </c>
      <c r="M108" s="67">
        <f t="shared" si="2"/>
        <v>24.33614583333333</v>
      </c>
      <c r="N108" s="67">
        <f t="shared" si="2"/>
        <v>257.85104166666673</v>
      </c>
      <c r="O108" s="67">
        <f t="shared" si="2"/>
        <v>0</v>
      </c>
      <c r="P108" s="67">
        <f t="shared" si="2"/>
        <v>0.88250000000000017</v>
      </c>
      <c r="Q108" s="67">
        <f t="shared" si="2"/>
        <v>10.289270833333335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13.754209431817547</v>
      </c>
      <c r="C109" s="67">
        <f t="shared" ref="C109:Q109" si="3">STDEV(C9:C104)</f>
        <v>6.2878006912508519</v>
      </c>
      <c r="D109" s="67">
        <f t="shared" si="3"/>
        <v>11.755187876277416</v>
      </c>
      <c r="E109" s="67">
        <f t="shared" si="3"/>
        <v>0.70051033245569727</v>
      </c>
      <c r="F109" s="67">
        <f t="shared" si="3"/>
        <v>3.2079295394108294</v>
      </c>
      <c r="G109" s="67">
        <f t="shared" si="3"/>
        <v>16.143590776123347</v>
      </c>
      <c r="H109" s="67">
        <f t="shared" si="3"/>
        <v>3.1938473317471545</v>
      </c>
      <c r="I109" s="67">
        <f t="shared" si="3"/>
        <v>1.8462703870520309</v>
      </c>
      <c r="J109" s="67">
        <f t="shared" si="3"/>
        <v>0.1545136327943207</v>
      </c>
      <c r="K109" s="67">
        <f t="shared" si="3"/>
        <v>101.86253649424654</v>
      </c>
      <c r="L109" s="67">
        <f t="shared" si="3"/>
        <v>5.9778297380565144</v>
      </c>
      <c r="M109" s="67">
        <f t="shared" si="3"/>
        <v>11.087511074679487</v>
      </c>
      <c r="N109" s="67">
        <f t="shared" si="3"/>
        <v>323.65180087468974</v>
      </c>
      <c r="O109" s="67">
        <f t="shared" si="3"/>
        <v>0</v>
      </c>
      <c r="P109" s="67">
        <f t="shared" si="3"/>
        <v>0.29044430574008934</v>
      </c>
      <c r="Q109" s="67">
        <f t="shared" si="3"/>
        <v>0.37561246768071066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726</v>
      </c>
      <c r="B9" s="64">
        <v>13.05</v>
      </c>
      <c r="C9" s="64">
        <v>41.01</v>
      </c>
      <c r="D9" s="64">
        <v>31.81</v>
      </c>
      <c r="E9" s="64">
        <v>1.69</v>
      </c>
      <c r="F9" s="64">
        <v>3.92</v>
      </c>
      <c r="G9" s="64">
        <v>77.23</v>
      </c>
      <c r="H9" s="64">
        <v>27.52</v>
      </c>
      <c r="I9" s="64">
        <v>7.86</v>
      </c>
      <c r="J9" s="64">
        <v>0.08</v>
      </c>
      <c r="K9" s="64">
        <v>63.81</v>
      </c>
      <c r="L9" s="64">
        <v>29.32</v>
      </c>
      <c r="M9" s="64">
        <v>22.2</v>
      </c>
      <c r="N9" s="64">
        <v>15.1</v>
      </c>
      <c r="O9" s="64">
        <v>0</v>
      </c>
      <c r="P9" s="64">
        <v>1</v>
      </c>
      <c r="Q9" s="64">
        <v>10.25</v>
      </c>
      <c r="R9" s="198"/>
      <c r="S9" s="198"/>
      <c r="T9" s="198"/>
      <c r="U9" s="198"/>
    </row>
    <row r="10" spans="1:21" s="12" customFormat="1" x14ac:dyDescent="0.25">
      <c r="A10" s="216" t="s">
        <v>727</v>
      </c>
      <c r="B10" s="64">
        <v>11.58</v>
      </c>
      <c r="C10" s="64">
        <v>41.07</v>
      </c>
      <c r="D10" s="64">
        <v>30.66</v>
      </c>
      <c r="E10" s="64">
        <v>2</v>
      </c>
      <c r="F10" s="64">
        <v>4.12</v>
      </c>
      <c r="G10" s="64">
        <v>77.23</v>
      </c>
      <c r="H10" s="64">
        <v>27.52</v>
      </c>
      <c r="I10" s="64">
        <v>7.69</v>
      </c>
      <c r="J10" s="64">
        <v>0.13</v>
      </c>
      <c r="K10" s="64">
        <v>24.13</v>
      </c>
      <c r="L10" s="64">
        <v>29.69</v>
      </c>
      <c r="M10" s="64">
        <v>21.52</v>
      </c>
      <c r="N10" s="64">
        <v>15.5</v>
      </c>
      <c r="O10" s="64">
        <v>0</v>
      </c>
      <c r="P10" s="64">
        <v>0.96</v>
      </c>
      <c r="Q10" s="64">
        <v>10.25</v>
      </c>
      <c r="R10" s="198"/>
      <c r="S10" s="198"/>
      <c r="T10" s="198"/>
      <c r="U10" s="198"/>
    </row>
    <row r="11" spans="1:21" s="12" customFormat="1" x14ac:dyDescent="0.25">
      <c r="A11" s="216" t="s">
        <v>728</v>
      </c>
      <c r="B11" s="64">
        <v>10.199999999999999</v>
      </c>
      <c r="C11" s="64">
        <v>40.26</v>
      </c>
      <c r="D11" s="64">
        <v>29.13</v>
      </c>
      <c r="E11" s="64">
        <v>1.69</v>
      </c>
      <c r="F11" s="64">
        <v>4.25</v>
      </c>
      <c r="G11" s="64">
        <v>77.23</v>
      </c>
      <c r="H11" s="64">
        <v>27.52</v>
      </c>
      <c r="I11" s="64">
        <v>7.58</v>
      </c>
      <c r="J11" s="64">
        <v>0.27</v>
      </c>
      <c r="K11" s="64">
        <v>318.33</v>
      </c>
      <c r="L11" s="64">
        <v>29.45</v>
      </c>
      <c r="M11" s="64">
        <v>23.7</v>
      </c>
      <c r="N11" s="64">
        <v>15.9</v>
      </c>
      <c r="O11" s="64">
        <v>0</v>
      </c>
      <c r="P11" s="64">
        <v>0.91</v>
      </c>
      <c r="Q11" s="64">
        <v>10.23</v>
      </c>
      <c r="R11" s="198"/>
      <c r="S11" s="198"/>
      <c r="T11" s="198"/>
      <c r="U11" s="198"/>
    </row>
    <row r="12" spans="1:21" s="12" customFormat="1" x14ac:dyDescent="0.25">
      <c r="A12" s="216" t="s">
        <v>729</v>
      </c>
      <c r="B12" s="64">
        <v>9.1199999999999992</v>
      </c>
      <c r="C12" s="64">
        <v>39.380000000000003</v>
      </c>
      <c r="D12" s="64">
        <v>27.8</v>
      </c>
      <c r="E12" s="64">
        <v>1.65</v>
      </c>
      <c r="F12" s="64">
        <v>4.18</v>
      </c>
      <c r="G12" s="64">
        <v>74.7</v>
      </c>
      <c r="H12" s="64">
        <v>26.08</v>
      </c>
      <c r="I12" s="64">
        <v>7.77</v>
      </c>
      <c r="J12" s="64">
        <v>0.28999999999999998</v>
      </c>
      <c r="K12" s="64">
        <v>313.54000000000002</v>
      </c>
      <c r="L12" s="64">
        <v>29.25</v>
      </c>
      <c r="M12" s="64">
        <v>23.49</v>
      </c>
      <c r="N12" s="64">
        <v>15.9</v>
      </c>
      <c r="O12" s="64">
        <v>0</v>
      </c>
      <c r="P12" s="64">
        <v>0.88</v>
      </c>
      <c r="Q12" s="64">
        <v>10.18</v>
      </c>
      <c r="R12" s="198"/>
      <c r="S12" s="198"/>
      <c r="T12" s="198"/>
      <c r="U12" s="198"/>
    </row>
    <row r="13" spans="1:21" s="12" customFormat="1" x14ac:dyDescent="0.25">
      <c r="A13" s="216" t="s">
        <v>730</v>
      </c>
      <c r="B13" s="64">
        <v>8.2100000000000009</v>
      </c>
      <c r="C13" s="64">
        <v>38.24</v>
      </c>
      <c r="D13" s="64">
        <v>26.48</v>
      </c>
      <c r="E13" s="64">
        <v>1.75</v>
      </c>
      <c r="F13" s="64">
        <v>4.51</v>
      </c>
      <c r="G13" s="64">
        <v>72.930000000000007</v>
      </c>
      <c r="H13" s="64">
        <v>25.07</v>
      </c>
      <c r="I13" s="64">
        <v>6.96</v>
      </c>
      <c r="J13" s="64">
        <v>0.28999999999999998</v>
      </c>
      <c r="K13" s="64">
        <v>319.14</v>
      </c>
      <c r="L13" s="64">
        <v>29.2</v>
      </c>
      <c r="M13" s="64">
        <v>24.34</v>
      </c>
      <c r="N13" s="64">
        <v>15.9</v>
      </c>
      <c r="O13" s="64">
        <v>0</v>
      </c>
      <c r="P13" s="64">
        <v>0.82</v>
      </c>
      <c r="Q13" s="64">
        <v>10.17</v>
      </c>
      <c r="R13" s="198"/>
      <c r="S13" s="198"/>
      <c r="T13" s="198"/>
      <c r="U13" s="198"/>
    </row>
    <row r="14" spans="1:21" s="12" customFormat="1" x14ac:dyDescent="0.25">
      <c r="A14" s="216" t="s">
        <v>731</v>
      </c>
      <c r="B14" s="64">
        <v>7.55</v>
      </c>
      <c r="C14" s="64">
        <v>36.270000000000003</v>
      </c>
      <c r="D14" s="64">
        <v>24.93</v>
      </c>
      <c r="E14" s="64">
        <v>1.77</v>
      </c>
      <c r="F14" s="64">
        <v>4.3499999999999996</v>
      </c>
      <c r="G14" s="64">
        <v>72.930000000000007</v>
      </c>
      <c r="H14" s="64">
        <v>25.07</v>
      </c>
      <c r="I14" s="64">
        <v>7.35</v>
      </c>
      <c r="J14" s="64">
        <v>0.33</v>
      </c>
      <c r="K14" s="64">
        <v>324.7</v>
      </c>
      <c r="L14" s="64">
        <v>29.33</v>
      </c>
      <c r="M14" s="64">
        <v>23.73</v>
      </c>
      <c r="N14" s="64">
        <v>15.7</v>
      </c>
      <c r="O14" s="64">
        <v>0</v>
      </c>
      <c r="P14" s="64">
        <v>0.81</v>
      </c>
      <c r="Q14" s="64">
        <v>10.119999999999999</v>
      </c>
      <c r="R14" s="198"/>
      <c r="S14" s="198"/>
      <c r="T14" s="198"/>
      <c r="U14" s="198"/>
    </row>
    <row r="15" spans="1:21" s="12" customFormat="1" x14ac:dyDescent="0.25">
      <c r="A15" s="216" t="s">
        <v>732</v>
      </c>
      <c r="B15" s="64">
        <v>7.27</v>
      </c>
      <c r="C15" s="64">
        <v>35.15</v>
      </c>
      <c r="D15" s="64">
        <v>24.11</v>
      </c>
      <c r="E15" s="64">
        <v>2</v>
      </c>
      <c r="F15" s="64">
        <v>4.18</v>
      </c>
      <c r="G15" s="64">
        <v>72.930000000000007</v>
      </c>
      <c r="H15" s="64">
        <v>25.07</v>
      </c>
      <c r="I15" s="64">
        <v>7.38</v>
      </c>
      <c r="J15" s="64">
        <v>0.26</v>
      </c>
      <c r="K15" s="64">
        <v>345.25</v>
      </c>
      <c r="L15" s="64">
        <v>29.53</v>
      </c>
      <c r="M15" s="64">
        <v>23.03</v>
      </c>
      <c r="N15" s="64">
        <v>15.9</v>
      </c>
      <c r="O15" s="64">
        <v>0</v>
      </c>
      <c r="P15" s="64">
        <v>0.78</v>
      </c>
      <c r="Q15" s="64">
        <v>10.119999999999999</v>
      </c>
      <c r="R15" s="198"/>
      <c r="S15" s="198"/>
      <c r="T15" s="198"/>
      <c r="U15" s="198"/>
    </row>
    <row r="16" spans="1:21" s="12" customFormat="1" x14ac:dyDescent="0.25">
      <c r="A16" s="216" t="s">
        <v>733</v>
      </c>
      <c r="B16" s="64">
        <v>6.94</v>
      </c>
      <c r="C16" s="64">
        <v>34.049999999999997</v>
      </c>
      <c r="D16" s="64">
        <v>23.28</v>
      </c>
      <c r="E16" s="64">
        <v>1.93</v>
      </c>
      <c r="F16" s="64">
        <v>4.24</v>
      </c>
      <c r="G16" s="64">
        <v>73.94</v>
      </c>
      <c r="H16" s="64">
        <v>24.96</v>
      </c>
      <c r="I16" s="64">
        <v>6.88</v>
      </c>
      <c r="J16" s="64">
        <v>0.3</v>
      </c>
      <c r="K16" s="64">
        <v>339.62</v>
      </c>
      <c r="L16" s="64">
        <v>29.73</v>
      </c>
      <c r="M16" s="64">
        <v>23.15</v>
      </c>
      <c r="N16" s="64">
        <v>15.7</v>
      </c>
      <c r="O16" s="64">
        <v>0</v>
      </c>
      <c r="P16" s="64">
        <v>0.78</v>
      </c>
      <c r="Q16" s="64">
        <v>10.14</v>
      </c>
      <c r="R16" s="198"/>
      <c r="S16" s="198"/>
      <c r="T16" s="198"/>
      <c r="U16" s="198"/>
    </row>
    <row r="17" spans="1:21" s="12" customFormat="1" x14ac:dyDescent="0.25">
      <c r="A17" s="216" t="s">
        <v>734</v>
      </c>
      <c r="B17" s="64">
        <v>6.56</v>
      </c>
      <c r="C17" s="64">
        <v>33.229999999999997</v>
      </c>
      <c r="D17" s="64">
        <v>22.54</v>
      </c>
      <c r="E17" s="64">
        <v>1.86</v>
      </c>
      <c r="F17" s="64">
        <v>4.57</v>
      </c>
      <c r="G17" s="64">
        <v>74.64</v>
      </c>
      <c r="H17" s="64">
        <v>24.88</v>
      </c>
      <c r="I17" s="64">
        <v>6.91</v>
      </c>
      <c r="J17" s="64">
        <v>0.21</v>
      </c>
      <c r="K17" s="64">
        <v>36.47</v>
      </c>
      <c r="L17" s="64">
        <v>29.99</v>
      </c>
      <c r="M17" s="64">
        <v>25.07</v>
      </c>
      <c r="N17" s="64">
        <v>15.4</v>
      </c>
      <c r="O17" s="64">
        <v>0</v>
      </c>
      <c r="P17" s="64">
        <v>0.78</v>
      </c>
      <c r="Q17" s="64">
        <v>10.15</v>
      </c>
      <c r="R17" s="198"/>
      <c r="S17" s="198"/>
      <c r="T17" s="198"/>
      <c r="U17" s="198"/>
    </row>
    <row r="18" spans="1:21" s="12" customFormat="1" x14ac:dyDescent="0.25">
      <c r="A18" s="216" t="s">
        <v>735</v>
      </c>
      <c r="B18" s="64">
        <v>5.89</v>
      </c>
      <c r="C18" s="64">
        <v>32.08</v>
      </c>
      <c r="D18" s="64">
        <v>21.41</v>
      </c>
      <c r="E18" s="64">
        <v>2.23</v>
      </c>
      <c r="F18" s="64">
        <v>5.41</v>
      </c>
      <c r="G18" s="64">
        <v>74.64</v>
      </c>
      <c r="H18" s="64">
        <v>24.88</v>
      </c>
      <c r="I18" s="64">
        <v>7.74</v>
      </c>
      <c r="J18" s="64">
        <v>0.23</v>
      </c>
      <c r="K18" s="64">
        <v>24.15</v>
      </c>
      <c r="L18" s="64">
        <v>29.98</v>
      </c>
      <c r="M18" s="64">
        <v>27.08</v>
      </c>
      <c r="N18" s="64">
        <v>15.8</v>
      </c>
      <c r="O18" s="64">
        <v>0</v>
      </c>
      <c r="P18" s="64">
        <v>0.74</v>
      </c>
      <c r="Q18" s="64">
        <v>10.130000000000001</v>
      </c>
      <c r="R18" s="198"/>
      <c r="S18" s="198"/>
      <c r="T18" s="198"/>
      <c r="U18" s="198"/>
    </row>
    <row r="19" spans="1:21" s="12" customFormat="1" x14ac:dyDescent="0.25">
      <c r="A19" s="216" t="s">
        <v>736</v>
      </c>
      <c r="B19" s="64">
        <v>5.22</v>
      </c>
      <c r="C19" s="64">
        <v>30.95</v>
      </c>
      <c r="D19" s="64">
        <v>20.28</v>
      </c>
      <c r="E19" s="64">
        <v>2.16</v>
      </c>
      <c r="F19" s="64">
        <v>5.74</v>
      </c>
      <c r="G19" s="64">
        <v>74.64</v>
      </c>
      <c r="H19" s="64">
        <v>24.88</v>
      </c>
      <c r="I19" s="64">
        <v>7.8</v>
      </c>
      <c r="J19" s="64">
        <v>0.23</v>
      </c>
      <c r="K19" s="64">
        <v>31.47</v>
      </c>
      <c r="L19" s="64">
        <v>29.73</v>
      </c>
      <c r="M19" s="64">
        <v>28.61</v>
      </c>
      <c r="N19" s="64">
        <v>16.100000000000001</v>
      </c>
      <c r="O19" s="64">
        <v>0</v>
      </c>
      <c r="P19" s="64">
        <v>0.7</v>
      </c>
      <c r="Q19" s="64">
        <v>10.119999999999999</v>
      </c>
      <c r="R19" s="198"/>
      <c r="S19" s="198"/>
      <c r="T19" s="198"/>
      <c r="U19" s="198"/>
    </row>
    <row r="20" spans="1:21" s="12" customFormat="1" x14ac:dyDescent="0.25">
      <c r="A20" s="216" t="s">
        <v>737</v>
      </c>
      <c r="B20" s="64">
        <v>4.99</v>
      </c>
      <c r="C20" s="64">
        <v>29.58</v>
      </c>
      <c r="D20" s="64">
        <v>19.38</v>
      </c>
      <c r="E20" s="64">
        <v>1.69</v>
      </c>
      <c r="F20" s="64">
        <v>5.77</v>
      </c>
      <c r="G20" s="64">
        <v>74.27</v>
      </c>
      <c r="H20" s="64">
        <v>25.74</v>
      </c>
      <c r="I20" s="64">
        <v>7.42</v>
      </c>
      <c r="J20" s="64">
        <v>0.32</v>
      </c>
      <c r="K20" s="64">
        <v>326.39</v>
      </c>
      <c r="L20" s="64">
        <v>29.43</v>
      </c>
      <c r="M20" s="64">
        <v>29.77</v>
      </c>
      <c r="N20" s="64">
        <v>16.100000000000001</v>
      </c>
      <c r="O20" s="64">
        <v>0</v>
      </c>
      <c r="P20" s="64">
        <v>0.67</v>
      </c>
      <c r="Q20" s="64">
        <v>10.15</v>
      </c>
      <c r="R20" s="198"/>
      <c r="S20" s="198"/>
      <c r="T20" s="198"/>
      <c r="U20" s="198"/>
    </row>
    <row r="21" spans="1:21" s="12" customFormat="1" x14ac:dyDescent="0.25">
      <c r="A21" s="216" t="s">
        <v>738</v>
      </c>
      <c r="B21" s="64">
        <v>5.0199999999999996</v>
      </c>
      <c r="C21" s="64">
        <v>28.48</v>
      </c>
      <c r="D21" s="64">
        <v>18.829999999999998</v>
      </c>
      <c r="E21" s="64">
        <v>1.86</v>
      </c>
      <c r="F21" s="64">
        <v>5.18</v>
      </c>
      <c r="G21" s="64">
        <v>74.010000000000005</v>
      </c>
      <c r="H21" s="64">
        <v>26.34</v>
      </c>
      <c r="I21" s="64">
        <v>6.78</v>
      </c>
      <c r="J21" s="64">
        <v>0.33</v>
      </c>
      <c r="K21" s="64">
        <v>310.76</v>
      </c>
      <c r="L21" s="64">
        <v>28.91</v>
      </c>
      <c r="M21" s="64">
        <v>30.76</v>
      </c>
      <c r="N21" s="64">
        <v>16.399999999999999</v>
      </c>
      <c r="O21" s="64">
        <v>0</v>
      </c>
      <c r="P21" s="64">
        <v>0.65</v>
      </c>
      <c r="Q21" s="64">
        <v>10.16</v>
      </c>
      <c r="R21" s="198"/>
      <c r="S21" s="198"/>
      <c r="T21" s="198"/>
      <c r="U21" s="198"/>
    </row>
    <row r="22" spans="1:21" s="12" customFormat="1" x14ac:dyDescent="0.25">
      <c r="A22" s="216" t="s">
        <v>739</v>
      </c>
      <c r="B22" s="64">
        <v>5.0599999999999996</v>
      </c>
      <c r="C22" s="64">
        <v>27.49</v>
      </c>
      <c r="D22" s="64">
        <v>18.34</v>
      </c>
      <c r="E22" s="64">
        <v>1.64</v>
      </c>
      <c r="F22" s="64">
        <v>5.54</v>
      </c>
      <c r="G22" s="64">
        <v>74.010000000000005</v>
      </c>
      <c r="H22" s="64">
        <v>26.34</v>
      </c>
      <c r="I22" s="64">
        <v>6.59</v>
      </c>
      <c r="J22" s="64">
        <v>0.18</v>
      </c>
      <c r="K22" s="64">
        <v>340.17</v>
      </c>
      <c r="L22" s="64">
        <v>28.69</v>
      </c>
      <c r="M22" s="64">
        <v>30.74</v>
      </c>
      <c r="N22" s="64">
        <v>16.2</v>
      </c>
      <c r="O22" s="64">
        <v>0</v>
      </c>
      <c r="P22" s="64">
        <v>0.63</v>
      </c>
      <c r="Q22" s="64">
        <v>10.16</v>
      </c>
      <c r="R22" s="198"/>
      <c r="S22" s="198"/>
      <c r="T22" s="198"/>
      <c r="U22" s="198"/>
    </row>
    <row r="23" spans="1:21" s="12" customFormat="1" x14ac:dyDescent="0.25">
      <c r="A23" s="216" t="s">
        <v>740</v>
      </c>
      <c r="B23" s="64">
        <v>5.0599999999999996</v>
      </c>
      <c r="C23" s="64">
        <v>27.31</v>
      </c>
      <c r="D23" s="64">
        <v>18.239999999999998</v>
      </c>
      <c r="E23" s="64">
        <v>1.64</v>
      </c>
      <c r="F23" s="64">
        <v>5.26</v>
      </c>
      <c r="G23" s="64">
        <v>74.010000000000005</v>
      </c>
      <c r="H23" s="64">
        <v>26.34</v>
      </c>
      <c r="I23" s="64">
        <v>6.65</v>
      </c>
      <c r="J23" s="64">
        <v>0.22</v>
      </c>
      <c r="K23" s="64">
        <v>338.17</v>
      </c>
      <c r="L23" s="64">
        <v>28.73</v>
      </c>
      <c r="M23" s="64">
        <v>31.93</v>
      </c>
      <c r="N23" s="64">
        <v>16</v>
      </c>
      <c r="O23" s="64">
        <v>0</v>
      </c>
      <c r="P23" s="64">
        <v>0.61</v>
      </c>
      <c r="Q23" s="64">
        <v>10.119999999999999</v>
      </c>
      <c r="R23" s="198"/>
      <c r="S23" s="198"/>
      <c r="T23" s="198"/>
      <c r="U23" s="198"/>
    </row>
    <row r="24" spans="1:21" s="12" customFormat="1" x14ac:dyDescent="0.25">
      <c r="A24" s="216" t="s">
        <v>741</v>
      </c>
      <c r="B24" s="64">
        <v>5.1100000000000003</v>
      </c>
      <c r="C24" s="64">
        <v>26.95</v>
      </c>
      <c r="D24" s="64">
        <v>18.09</v>
      </c>
      <c r="E24" s="64">
        <v>2.21</v>
      </c>
      <c r="F24" s="64">
        <v>5.27</v>
      </c>
      <c r="G24" s="64">
        <v>71.209999999999994</v>
      </c>
      <c r="H24" s="64">
        <v>25.86</v>
      </c>
      <c r="I24" s="64">
        <v>6.39</v>
      </c>
      <c r="J24" s="64">
        <v>0.25</v>
      </c>
      <c r="K24" s="64">
        <v>329.91</v>
      </c>
      <c r="L24" s="64">
        <v>28.71</v>
      </c>
      <c r="M24" s="64">
        <v>33.79</v>
      </c>
      <c r="N24" s="64">
        <v>15.8</v>
      </c>
      <c r="O24" s="64">
        <v>0</v>
      </c>
      <c r="P24" s="64">
        <v>0.59</v>
      </c>
      <c r="Q24" s="64">
        <v>10.16</v>
      </c>
      <c r="R24" s="198"/>
      <c r="S24" s="198"/>
      <c r="T24" s="198"/>
      <c r="U24" s="198"/>
    </row>
    <row r="25" spans="1:21" s="12" customFormat="1" x14ac:dyDescent="0.25">
      <c r="A25" s="216" t="s">
        <v>742</v>
      </c>
      <c r="B25" s="64">
        <v>5.14</v>
      </c>
      <c r="C25" s="64">
        <v>26.3</v>
      </c>
      <c r="D25" s="64">
        <v>17.78</v>
      </c>
      <c r="E25" s="64">
        <v>1.86</v>
      </c>
      <c r="F25" s="64">
        <v>5.57</v>
      </c>
      <c r="G25" s="64">
        <v>69.260000000000005</v>
      </c>
      <c r="H25" s="64">
        <v>25.52</v>
      </c>
      <c r="I25" s="64">
        <v>6.58</v>
      </c>
      <c r="J25" s="64">
        <v>0.23</v>
      </c>
      <c r="K25" s="64">
        <v>351.99</v>
      </c>
      <c r="L25" s="64">
        <v>28.84</v>
      </c>
      <c r="M25" s="64">
        <v>36.130000000000003</v>
      </c>
      <c r="N25" s="64">
        <v>15.5</v>
      </c>
      <c r="O25" s="64">
        <v>0</v>
      </c>
      <c r="P25" s="64">
        <v>0.56000000000000005</v>
      </c>
      <c r="Q25" s="64">
        <v>10.16</v>
      </c>
      <c r="R25" s="198"/>
      <c r="S25" s="198"/>
      <c r="T25" s="198"/>
      <c r="U25" s="198"/>
    </row>
    <row r="26" spans="1:21" s="12" customFormat="1" x14ac:dyDescent="0.25">
      <c r="A26" s="216" t="s">
        <v>743</v>
      </c>
      <c r="B26" s="64">
        <v>5.0199999999999996</v>
      </c>
      <c r="C26" s="64">
        <v>25.61</v>
      </c>
      <c r="D26" s="64">
        <v>17.329999999999998</v>
      </c>
      <c r="E26" s="64">
        <v>2.2400000000000002</v>
      </c>
      <c r="F26" s="64">
        <v>6.45</v>
      </c>
      <c r="G26" s="64">
        <v>69.260000000000005</v>
      </c>
      <c r="H26" s="64">
        <v>25.52</v>
      </c>
      <c r="I26" s="64">
        <v>6.43</v>
      </c>
      <c r="J26" s="64">
        <v>0.25</v>
      </c>
      <c r="K26" s="64">
        <v>14.86</v>
      </c>
      <c r="L26" s="64">
        <v>29.19</v>
      </c>
      <c r="M26" s="64">
        <v>35.799999999999997</v>
      </c>
      <c r="N26" s="64">
        <v>15.5</v>
      </c>
      <c r="O26" s="64">
        <v>0</v>
      </c>
      <c r="P26" s="64">
        <v>0.53</v>
      </c>
      <c r="Q26" s="64">
        <v>10.16</v>
      </c>
      <c r="R26" s="198"/>
      <c r="S26" s="198"/>
      <c r="T26" s="198"/>
      <c r="U26" s="198"/>
    </row>
    <row r="27" spans="1:21" s="12" customFormat="1" x14ac:dyDescent="0.25">
      <c r="A27" s="216" t="s">
        <v>744</v>
      </c>
      <c r="B27" s="64">
        <v>4.96</v>
      </c>
      <c r="C27" s="64">
        <v>25.17</v>
      </c>
      <c r="D27" s="64">
        <v>17.05</v>
      </c>
      <c r="E27" s="64">
        <v>2.14</v>
      </c>
      <c r="F27" s="64">
        <v>6.7</v>
      </c>
      <c r="G27" s="64">
        <v>69.260000000000005</v>
      </c>
      <c r="H27" s="64">
        <v>25.52</v>
      </c>
      <c r="I27" s="64">
        <v>6.25</v>
      </c>
      <c r="J27" s="64">
        <v>0.12</v>
      </c>
      <c r="K27" s="64">
        <v>13.32</v>
      </c>
      <c r="L27" s="64">
        <v>29.09</v>
      </c>
      <c r="M27" s="64">
        <v>36.28</v>
      </c>
      <c r="N27" s="64">
        <v>15.9</v>
      </c>
      <c r="O27" s="64">
        <v>0</v>
      </c>
      <c r="P27" s="64">
        <v>0.5</v>
      </c>
      <c r="Q27" s="64">
        <v>10.17</v>
      </c>
      <c r="R27" s="198"/>
      <c r="S27" s="198"/>
      <c r="T27" s="198"/>
      <c r="U27" s="198"/>
    </row>
    <row r="28" spans="1:21" s="12" customFormat="1" x14ac:dyDescent="0.25">
      <c r="A28" s="216" t="s">
        <v>745</v>
      </c>
      <c r="B28" s="64">
        <v>5.05</v>
      </c>
      <c r="C28" s="64">
        <v>25.45</v>
      </c>
      <c r="D28" s="64">
        <v>17.27</v>
      </c>
      <c r="E28" s="64">
        <v>2.09</v>
      </c>
      <c r="F28" s="64">
        <v>6.14</v>
      </c>
      <c r="G28" s="64">
        <v>66.69</v>
      </c>
      <c r="H28" s="64">
        <v>23.51</v>
      </c>
      <c r="I28" s="64">
        <v>5.84</v>
      </c>
      <c r="J28" s="64">
        <v>0.13</v>
      </c>
      <c r="K28" s="64">
        <v>21.22</v>
      </c>
      <c r="L28" s="64">
        <v>28.94</v>
      </c>
      <c r="M28" s="64">
        <v>36.82</v>
      </c>
      <c r="N28" s="64">
        <v>16</v>
      </c>
      <c r="O28" s="64">
        <v>0</v>
      </c>
      <c r="P28" s="64">
        <v>0.48</v>
      </c>
      <c r="Q28" s="64">
        <v>10.24</v>
      </c>
      <c r="R28" s="198"/>
      <c r="S28" s="198"/>
      <c r="T28" s="198"/>
      <c r="U28" s="198"/>
    </row>
    <row r="29" spans="1:21" s="12" customFormat="1" x14ac:dyDescent="0.25">
      <c r="A29" s="216" t="s">
        <v>746</v>
      </c>
      <c r="B29" s="64">
        <v>5.16</v>
      </c>
      <c r="C29" s="64">
        <v>25.57</v>
      </c>
      <c r="D29" s="64">
        <v>17.420000000000002</v>
      </c>
      <c r="E29" s="64">
        <v>2.16</v>
      </c>
      <c r="F29" s="64">
        <v>5.62</v>
      </c>
      <c r="G29" s="64">
        <v>64.89</v>
      </c>
      <c r="H29" s="64">
        <v>22.11</v>
      </c>
      <c r="I29" s="64">
        <v>5.37</v>
      </c>
      <c r="J29" s="64">
        <v>0.04</v>
      </c>
      <c r="K29" s="64">
        <v>7.44</v>
      </c>
      <c r="L29" s="64">
        <v>28.65</v>
      </c>
      <c r="M29" s="64">
        <v>38.090000000000003</v>
      </c>
      <c r="N29" s="64">
        <v>16.2</v>
      </c>
      <c r="O29" s="64">
        <v>0</v>
      </c>
      <c r="P29" s="64">
        <v>0.47</v>
      </c>
      <c r="Q29" s="64">
        <v>10.32</v>
      </c>
      <c r="R29" s="198"/>
      <c r="S29" s="198"/>
      <c r="T29" s="198"/>
      <c r="U29" s="198"/>
    </row>
    <row r="30" spans="1:21" s="12" customFormat="1" x14ac:dyDescent="0.25">
      <c r="A30" s="216" t="s">
        <v>747</v>
      </c>
      <c r="B30" s="64">
        <v>5.42</v>
      </c>
      <c r="C30" s="64">
        <v>25.63</v>
      </c>
      <c r="D30" s="64">
        <v>17.649999999999999</v>
      </c>
      <c r="E30" s="64">
        <v>2.15</v>
      </c>
      <c r="F30" s="64">
        <v>5.2</v>
      </c>
      <c r="G30" s="64">
        <v>64.89</v>
      </c>
      <c r="H30" s="64">
        <v>22.11</v>
      </c>
      <c r="I30" s="64">
        <v>5.27</v>
      </c>
      <c r="J30" s="64">
        <v>0.14000000000000001</v>
      </c>
      <c r="K30" s="64">
        <v>353.1</v>
      </c>
      <c r="L30" s="64">
        <v>28.53</v>
      </c>
      <c r="M30" s="64">
        <v>38.94</v>
      </c>
      <c r="N30" s="64">
        <v>17.3</v>
      </c>
      <c r="O30" s="64">
        <v>0</v>
      </c>
      <c r="P30" s="64">
        <v>0.46</v>
      </c>
      <c r="Q30" s="64">
        <v>10.37</v>
      </c>
      <c r="R30" s="198"/>
      <c r="S30" s="198"/>
      <c r="T30" s="198"/>
      <c r="U30" s="198"/>
    </row>
    <row r="31" spans="1:21" s="12" customFormat="1" x14ac:dyDescent="0.25">
      <c r="A31" s="216" t="s">
        <v>748</v>
      </c>
      <c r="B31" s="64">
        <v>5.7</v>
      </c>
      <c r="C31" s="64">
        <v>26.12</v>
      </c>
      <c r="D31" s="64">
        <v>18.13</v>
      </c>
      <c r="E31" s="64">
        <v>2.04</v>
      </c>
      <c r="F31" s="64">
        <v>4.83</v>
      </c>
      <c r="G31" s="64">
        <v>64.89</v>
      </c>
      <c r="H31" s="64">
        <v>22.11</v>
      </c>
      <c r="I31" s="64">
        <v>5.15</v>
      </c>
      <c r="J31" s="64">
        <v>0.19</v>
      </c>
      <c r="K31" s="64">
        <v>31.56</v>
      </c>
      <c r="L31" s="64">
        <v>28.47</v>
      </c>
      <c r="M31" s="64">
        <v>39.56</v>
      </c>
      <c r="N31" s="64">
        <v>20.7</v>
      </c>
      <c r="O31" s="64">
        <v>0</v>
      </c>
      <c r="P31" s="64">
        <v>0.45</v>
      </c>
      <c r="Q31" s="64">
        <v>10.43</v>
      </c>
      <c r="R31" s="198"/>
      <c r="S31" s="198"/>
      <c r="T31" s="198"/>
      <c r="U31" s="198"/>
    </row>
    <row r="32" spans="1:21" s="12" customFormat="1" x14ac:dyDescent="0.25">
      <c r="A32" s="216" t="s">
        <v>749</v>
      </c>
      <c r="B32" s="64">
        <v>5.91</v>
      </c>
      <c r="C32" s="64">
        <v>24.64</v>
      </c>
      <c r="D32" s="64">
        <v>17.54</v>
      </c>
      <c r="E32" s="64">
        <v>2.21</v>
      </c>
      <c r="F32" s="64">
        <v>4.7699999999999996</v>
      </c>
      <c r="G32" s="64">
        <v>62.81</v>
      </c>
      <c r="H32" s="64">
        <v>22.3</v>
      </c>
      <c r="I32" s="64">
        <v>5.0599999999999996</v>
      </c>
      <c r="J32" s="64">
        <v>0.05</v>
      </c>
      <c r="K32" s="64">
        <v>312.45999999999998</v>
      </c>
      <c r="L32" s="64">
        <v>28.35</v>
      </c>
      <c r="M32" s="64">
        <v>40.56</v>
      </c>
      <c r="N32" s="64">
        <v>28.1</v>
      </c>
      <c r="O32" s="64">
        <v>0</v>
      </c>
      <c r="P32" s="64">
        <v>0.45</v>
      </c>
      <c r="Q32" s="64">
        <v>10.39</v>
      </c>
      <c r="R32" s="198"/>
      <c r="S32" s="198"/>
      <c r="T32" s="198"/>
      <c r="U32" s="198"/>
    </row>
    <row r="33" spans="1:21" s="12" customFormat="1" x14ac:dyDescent="0.25">
      <c r="A33" s="216" t="s">
        <v>750</v>
      </c>
      <c r="B33" s="64">
        <v>6.12</v>
      </c>
      <c r="C33" s="64">
        <v>24.46</v>
      </c>
      <c r="D33" s="64">
        <v>17.61</v>
      </c>
      <c r="E33" s="64">
        <v>2.06</v>
      </c>
      <c r="F33" s="64">
        <v>4.9400000000000004</v>
      </c>
      <c r="G33" s="64">
        <v>61.36</v>
      </c>
      <c r="H33" s="64">
        <v>22.44</v>
      </c>
      <c r="I33" s="64">
        <v>4.9000000000000004</v>
      </c>
      <c r="J33" s="64">
        <v>0.08</v>
      </c>
      <c r="K33" s="64">
        <v>346.66</v>
      </c>
      <c r="L33" s="64">
        <v>28.31</v>
      </c>
      <c r="M33" s="64">
        <v>41.27</v>
      </c>
      <c r="N33" s="64">
        <v>33.799999999999997</v>
      </c>
      <c r="O33" s="64">
        <v>0</v>
      </c>
      <c r="P33" s="64">
        <v>0.44</v>
      </c>
      <c r="Q33" s="64">
        <v>10.38</v>
      </c>
      <c r="R33" s="198"/>
      <c r="S33" s="198"/>
      <c r="T33" s="198"/>
      <c r="U33" s="198"/>
    </row>
    <row r="34" spans="1:21" s="12" customFormat="1" x14ac:dyDescent="0.25">
      <c r="A34" s="216" t="s">
        <v>751</v>
      </c>
      <c r="B34" s="64">
        <v>6.41</v>
      </c>
      <c r="C34" s="64">
        <v>25.21</v>
      </c>
      <c r="D34" s="64">
        <v>18.23</v>
      </c>
      <c r="E34" s="64">
        <v>2.0299999999999998</v>
      </c>
      <c r="F34" s="64">
        <v>4.57</v>
      </c>
      <c r="G34" s="64">
        <v>61.36</v>
      </c>
      <c r="H34" s="64">
        <v>22.44</v>
      </c>
      <c r="I34" s="64">
        <v>4.66</v>
      </c>
      <c r="J34" s="64">
        <v>0.17</v>
      </c>
      <c r="K34" s="64">
        <v>28.12</v>
      </c>
      <c r="L34" s="64">
        <v>28.23</v>
      </c>
      <c r="M34" s="64">
        <v>41.75</v>
      </c>
      <c r="N34" s="64">
        <v>38.299999999999997</v>
      </c>
      <c r="O34" s="64">
        <v>0</v>
      </c>
      <c r="P34" s="64">
        <v>0.44</v>
      </c>
      <c r="Q34" s="64">
        <v>10.45</v>
      </c>
      <c r="R34" s="198"/>
      <c r="S34" s="198"/>
      <c r="T34" s="198"/>
      <c r="U34" s="198"/>
    </row>
    <row r="35" spans="1:21" s="12" customFormat="1" x14ac:dyDescent="0.25">
      <c r="A35" s="216" t="s">
        <v>752</v>
      </c>
      <c r="B35" s="64">
        <v>6.87</v>
      </c>
      <c r="C35" s="64">
        <v>25.75</v>
      </c>
      <c r="D35" s="64">
        <v>18.88</v>
      </c>
      <c r="E35" s="64">
        <v>2.17</v>
      </c>
      <c r="F35" s="64">
        <v>4.22</v>
      </c>
      <c r="G35" s="64">
        <v>61.36</v>
      </c>
      <c r="H35" s="64">
        <v>22.44</v>
      </c>
      <c r="I35" s="64">
        <v>4.7300000000000004</v>
      </c>
      <c r="J35" s="64">
        <v>0.21</v>
      </c>
      <c r="K35" s="64">
        <v>7.55</v>
      </c>
      <c r="L35" s="64">
        <v>28.31</v>
      </c>
      <c r="M35" s="64">
        <v>41.96</v>
      </c>
      <c r="N35" s="64">
        <v>53.9</v>
      </c>
      <c r="O35" s="64">
        <v>0</v>
      </c>
      <c r="P35" s="64">
        <v>0.45</v>
      </c>
      <c r="Q35" s="64">
        <v>10.39</v>
      </c>
      <c r="R35" s="198"/>
      <c r="S35" s="198"/>
      <c r="T35" s="198"/>
      <c r="U35" s="198"/>
    </row>
    <row r="36" spans="1:21" s="12" customFormat="1" x14ac:dyDescent="0.25">
      <c r="A36" s="216" t="s">
        <v>753</v>
      </c>
      <c r="B36" s="64">
        <v>7.53</v>
      </c>
      <c r="C36" s="64">
        <v>26.32</v>
      </c>
      <c r="D36" s="64">
        <v>19.72</v>
      </c>
      <c r="E36" s="64">
        <v>2.1</v>
      </c>
      <c r="F36" s="64">
        <v>4.4000000000000004</v>
      </c>
      <c r="G36" s="64">
        <v>61.34</v>
      </c>
      <c r="H36" s="64">
        <v>22.29</v>
      </c>
      <c r="I36" s="64">
        <v>4.84</v>
      </c>
      <c r="J36" s="64">
        <v>0.18</v>
      </c>
      <c r="K36" s="64">
        <v>349.01</v>
      </c>
      <c r="L36" s="64">
        <v>28.4</v>
      </c>
      <c r="M36" s="64">
        <v>42.82</v>
      </c>
      <c r="N36" s="64">
        <v>78</v>
      </c>
      <c r="O36" s="64">
        <v>0</v>
      </c>
      <c r="P36" s="64">
        <v>0.45</v>
      </c>
      <c r="Q36" s="64">
        <v>10.3</v>
      </c>
      <c r="R36" s="198"/>
      <c r="S36" s="198"/>
      <c r="T36" s="198"/>
      <c r="U36" s="198"/>
    </row>
    <row r="37" spans="1:21" s="12" customFormat="1" x14ac:dyDescent="0.25">
      <c r="A37" s="216" t="s">
        <v>754</v>
      </c>
      <c r="B37" s="64">
        <v>7.96</v>
      </c>
      <c r="C37" s="64">
        <v>26.56</v>
      </c>
      <c r="D37" s="64">
        <v>20.18</v>
      </c>
      <c r="E37" s="64">
        <v>2.48</v>
      </c>
      <c r="F37" s="64">
        <v>4.22</v>
      </c>
      <c r="G37" s="64">
        <v>61.33</v>
      </c>
      <c r="H37" s="64">
        <v>22.19</v>
      </c>
      <c r="I37" s="64">
        <v>5.01</v>
      </c>
      <c r="J37" s="64">
        <v>0.22</v>
      </c>
      <c r="K37" s="64">
        <v>330.61</v>
      </c>
      <c r="L37" s="64">
        <v>28.56</v>
      </c>
      <c r="M37" s="64">
        <v>42.21</v>
      </c>
      <c r="N37" s="64">
        <v>95.8</v>
      </c>
      <c r="O37" s="64">
        <v>0</v>
      </c>
      <c r="P37" s="64">
        <v>0.44</v>
      </c>
      <c r="Q37" s="64">
        <v>10.29</v>
      </c>
      <c r="R37" s="198"/>
      <c r="S37" s="198"/>
      <c r="T37" s="198"/>
      <c r="U37" s="198"/>
    </row>
    <row r="38" spans="1:21" s="12" customFormat="1" x14ac:dyDescent="0.25">
      <c r="A38" s="216" t="s">
        <v>755</v>
      </c>
      <c r="B38" s="64">
        <v>8.2200000000000006</v>
      </c>
      <c r="C38" s="64">
        <v>26.39</v>
      </c>
      <c r="D38" s="64">
        <v>20.3</v>
      </c>
      <c r="E38" s="64">
        <v>2.3199999999999998</v>
      </c>
      <c r="F38" s="64">
        <v>4.1900000000000004</v>
      </c>
      <c r="G38" s="64">
        <v>61.33</v>
      </c>
      <c r="H38" s="64">
        <v>22.19</v>
      </c>
      <c r="I38" s="64">
        <v>4.8600000000000003</v>
      </c>
      <c r="J38" s="64">
        <v>0.28000000000000003</v>
      </c>
      <c r="K38" s="64">
        <v>314.26</v>
      </c>
      <c r="L38" s="64">
        <v>28.9</v>
      </c>
      <c r="M38" s="64">
        <v>42.94</v>
      </c>
      <c r="N38" s="64">
        <v>126.9</v>
      </c>
      <c r="O38" s="64">
        <v>0</v>
      </c>
      <c r="P38" s="64">
        <v>0.46</v>
      </c>
      <c r="Q38" s="64">
        <v>10.24</v>
      </c>
      <c r="R38" s="198"/>
      <c r="S38" s="198"/>
      <c r="T38" s="198"/>
      <c r="U38" s="198"/>
    </row>
    <row r="39" spans="1:21" s="12" customFormat="1" x14ac:dyDescent="0.25">
      <c r="A39" s="216" t="s">
        <v>756</v>
      </c>
      <c r="B39" s="64">
        <v>8.58</v>
      </c>
      <c r="C39" s="64">
        <v>26.41</v>
      </c>
      <c r="D39" s="64">
        <v>20.6</v>
      </c>
      <c r="E39" s="64">
        <v>2.13</v>
      </c>
      <c r="F39" s="64">
        <v>4</v>
      </c>
      <c r="G39" s="64">
        <v>61.33</v>
      </c>
      <c r="H39" s="64">
        <v>22.19</v>
      </c>
      <c r="I39" s="64">
        <v>5.28</v>
      </c>
      <c r="J39" s="64">
        <v>0.23</v>
      </c>
      <c r="K39" s="64">
        <v>333.79</v>
      </c>
      <c r="L39" s="64">
        <v>29.28</v>
      </c>
      <c r="M39" s="64">
        <v>42.87</v>
      </c>
      <c r="N39" s="64">
        <v>143.6</v>
      </c>
      <c r="O39" s="64">
        <v>0</v>
      </c>
      <c r="P39" s="64">
        <v>0.45</v>
      </c>
      <c r="Q39" s="64">
        <v>10.25</v>
      </c>
      <c r="R39" s="198"/>
      <c r="S39" s="198"/>
      <c r="T39" s="198"/>
      <c r="U39" s="198"/>
    </row>
    <row r="40" spans="1:21" s="12" customFormat="1" x14ac:dyDescent="0.25">
      <c r="A40" s="216" t="s">
        <v>757</v>
      </c>
      <c r="B40" s="64">
        <v>8.6999999999999993</v>
      </c>
      <c r="C40" s="64">
        <v>26.14</v>
      </c>
      <c r="D40" s="64">
        <v>20.55</v>
      </c>
      <c r="E40" s="64">
        <v>1.23</v>
      </c>
      <c r="F40" s="64">
        <v>4.1100000000000003</v>
      </c>
      <c r="G40" s="64">
        <v>60.49</v>
      </c>
      <c r="H40" s="64">
        <v>21.83</v>
      </c>
      <c r="I40" s="64">
        <v>5.34</v>
      </c>
      <c r="J40" s="64">
        <v>0.09</v>
      </c>
      <c r="K40" s="64">
        <v>323.45</v>
      </c>
      <c r="L40" s="64">
        <v>29.37</v>
      </c>
      <c r="M40" s="64">
        <v>43.37</v>
      </c>
      <c r="N40" s="64">
        <v>148.9</v>
      </c>
      <c r="O40" s="64">
        <v>0</v>
      </c>
      <c r="P40" s="64">
        <v>0.47</v>
      </c>
      <c r="Q40" s="64">
        <v>10.199999999999999</v>
      </c>
      <c r="R40" s="198"/>
      <c r="S40" s="198"/>
      <c r="T40" s="198"/>
      <c r="U40" s="198"/>
    </row>
    <row r="41" spans="1:21" s="12" customFormat="1" x14ac:dyDescent="0.25">
      <c r="A41" s="216" t="s">
        <v>758</v>
      </c>
      <c r="B41" s="64">
        <v>8.5500000000000007</v>
      </c>
      <c r="C41" s="64">
        <v>26.8</v>
      </c>
      <c r="D41" s="64">
        <v>20.78</v>
      </c>
      <c r="E41" s="64">
        <v>1.54</v>
      </c>
      <c r="F41" s="64">
        <v>5.36</v>
      </c>
      <c r="G41" s="64">
        <v>59.9</v>
      </c>
      <c r="H41" s="64">
        <v>21.59</v>
      </c>
      <c r="I41" s="64">
        <v>5.5</v>
      </c>
      <c r="J41" s="64">
        <v>0.2</v>
      </c>
      <c r="K41" s="64">
        <v>18.29</v>
      </c>
      <c r="L41" s="64">
        <v>29.27</v>
      </c>
      <c r="M41" s="64">
        <v>43.64</v>
      </c>
      <c r="N41" s="64">
        <v>230.7</v>
      </c>
      <c r="O41" s="64">
        <v>0</v>
      </c>
      <c r="P41" s="64">
        <v>0.47</v>
      </c>
      <c r="Q41" s="64">
        <v>10.210000000000001</v>
      </c>
      <c r="R41" s="198"/>
      <c r="S41" s="198"/>
      <c r="T41" s="198"/>
      <c r="U41" s="198"/>
    </row>
    <row r="42" spans="1:21" s="12" customFormat="1" x14ac:dyDescent="0.25">
      <c r="A42" s="216" t="s">
        <v>759</v>
      </c>
      <c r="B42" s="64">
        <v>8.14</v>
      </c>
      <c r="C42" s="64">
        <v>27.52</v>
      </c>
      <c r="D42" s="64">
        <v>20.83</v>
      </c>
      <c r="E42" s="64">
        <v>1.46</v>
      </c>
      <c r="F42" s="64">
        <v>5.18</v>
      </c>
      <c r="G42" s="64">
        <v>59.9</v>
      </c>
      <c r="H42" s="64">
        <v>21.59</v>
      </c>
      <c r="I42" s="64">
        <v>5.48</v>
      </c>
      <c r="J42" s="64">
        <v>0.25</v>
      </c>
      <c r="K42" s="64">
        <v>329.23</v>
      </c>
      <c r="L42" s="64">
        <v>30.43</v>
      </c>
      <c r="M42" s="64">
        <v>43.16</v>
      </c>
      <c r="N42" s="64">
        <v>276.8</v>
      </c>
      <c r="O42" s="64">
        <v>0</v>
      </c>
      <c r="P42" s="64">
        <v>0.48</v>
      </c>
      <c r="Q42" s="64">
        <v>10.199999999999999</v>
      </c>
      <c r="R42" s="198"/>
      <c r="S42" s="198"/>
      <c r="T42" s="198"/>
      <c r="U42" s="198"/>
    </row>
    <row r="43" spans="1:21" s="12" customFormat="1" x14ac:dyDescent="0.25">
      <c r="A43" s="216" t="s">
        <v>760</v>
      </c>
      <c r="B43" s="64">
        <v>8.1300000000000008</v>
      </c>
      <c r="C43" s="64">
        <v>28.16</v>
      </c>
      <c r="D43" s="64">
        <v>21.15</v>
      </c>
      <c r="E43" s="64">
        <v>1.63</v>
      </c>
      <c r="F43" s="64">
        <v>4.83</v>
      </c>
      <c r="G43" s="64">
        <v>59.9</v>
      </c>
      <c r="H43" s="64">
        <v>21.59</v>
      </c>
      <c r="I43" s="64">
        <v>5.51</v>
      </c>
      <c r="J43" s="64">
        <v>0.23</v>
      </c>
      <c r="K43" s="64">
        <v>4.51</v>
      </c>
      <c r="L43" s="64">
        <v>31.18</v>
      </c>
      <c r="M43" s="64">
        <v>41.62</v>
      </c>
      <c r="N43" s="64">
        <v>286.39999999999998</v>
      </c>
      <c r="O43" s="64">
        <v>0</v>
      </c>
      <c r="P43" s="64">
        <v>0.49</v>
      </c>
      <c r="Q43" s="64">
        <v>10.199999999999999</v>
      </c>
      <c r="R43" s="198"/>
      <c r="S43" s="198"/>
      <c r="T43" s="198"/>
      <c r="U43" s="198"/>
    </row>
    <row r="44" spans="1:21" s="12" customFormat="1" x14ac:dyDescent="0.25">
      <c r="A44" s="216" t="s">
        <v>761</v>
      </c>
      <c r="B44" s="64">
        <v>8.16</v>
      </c>
      <c r="C44" s="64">
        <v>28.75</v>
      </c>
      <c r="D44" s="64">
        <v>21.48</v>
      </c>
      <c r="E44" s="64">
        <v>1.76</v>
      </c>
      <c r="F44" s="64">
        <v>4.7</v>
      </c>
      <c r="G44" s="64">
        <v>60.39</v>
      </c>
      <c r="H44" s="64">
        <v>21.98</v>
      </c>
      <c r="I44" s="64">
        <v>5.34</v>
      </c>
      <c r="J44" s="64">
        <v>0.26</v>
      </c>
      <c r="K44" s="64">
        <v>336.74</v>
      </c>
      <c r="L44" s="64">
        <v>31.35</v>
      </c>
      <c r="M44" s="64">
        <v>41.84</v>
      </c>
      <c r="N44" s="64">
        <v>239.5</v>
      </c>
      <c r="O44" s="64">
        <v>0</v>
      </c>
      <c r="P44" s="64">
        <v>0.5</v>
      </c>
      <c r="Q44" s="64">
        <v>10.199999999999999</v>
      </c>
      <c r="R44" s="198"/>
      <c r="S44" s="198"/>
      <c r="T44" s="198"/>
      <c r="U44" s="198"/>
    </row>
    <row r="45" spans="1:21" s="12" customFormat="1" x14ac:dyDescent="0.25">
      <c r="A45" s="216" t="s">
        <v>762</v>
      </c>
      <c r="B45" s="64">
        <v>7.97</v>
      </c>
      <c r="C45" s="64">
        <v>30.01</v>
      </c>
      <c r="D45" s="64">
        <v>21.99</v>
      </c>
      <c r="E45" s="64">
        <v>1.75</v>
      </c>
      <c r="F45" s="64">
        <v>5.86</v>
      </c>
      <c r="G45" s="64">
        <v>60.72</v>
      </c>
      <c r="H45" s="64">
        <v>22.25</v>
      </c>
      <c r="I45" s="64">
        <v>5.31</v>
      </c>
      <c r="J45" s="64">
        <v>0.32</v>
      </c>
      <c r="K45" s="64">
        <v>348.83</v>
      </c>
      <c r="L45" s="64">
        <v>31.15</v>
      </c>
      <c r="M45" s="64">
        <v>40.9</v>
      </c>
      <c r="N45" s="64">
        <v>204.8</v>
      </c>
      <c r="O45" s="64">
        <v>0</v>
      </c>
      <c r="P45" s="64">
        <v>0.51</v>
      </c>
      <c r="Q45" s="64">
        <v>10.25</v>
      </c>
      <c r="R45" s="198"/>
      <c r="S45" s="198"/>
      <c r="T45" s="198"/>
      <c r="U45" s="198"/>
    </row>
    <row r="46" spans="1:21" s="12" customFormat="1" x14ac:dyDescent="0.25">
      <c r="A46" s="216" t="s">
        <v>763</v>
      </c>
      <c r="B46" s="64">
        <v>7.53</v>
      </c>
      <c r="C46" s="64">
        <v>31.81</v>
      </c>
      <c r="D46" s="64">
        <v>22.58</v>
      </c>
      <c r="E46" s="64">
        <v>1.66</v>
      </c>
      <c r="F46" s="64">
        <v>5.55</v>
      </c>
      <c r="G46" s="64">
        <v>60.72</v>
      </c>
      <c r="H46" s="64">
        <v>22.25</v>
      </c>
      <c r="I46" s="64">
        <v>5.27</v>
      </c>
      <c r="J46" s="64">
        <v>0.28999999999999998</v>
      </c>
      <c r="K46" s="64">
        <v>346.59</v>
      </c>
      <c r="L46" s="64">
        <v>31.01</v>
      </c>
      <c r="M46" s="64">
        <v>40.64</v>
      </c>
      <c r="N46" s="64">
        <v>203.7</v>
      </c>
      <c r="O46" s="64">
        <v>0</v>
      </c>
      <c r="P46" s="64">
        <v>0.51</v>
      </c>
      <c r="Q46" s="64">
        <v>10.29</v>
      </c>
      <c r="R46" s="198"/>
      <c r="S46" s="198"/>
      <c r="T46" s="198"/>
      <c r="U46" s="198"/>
    </row>
    <row r="47" spans="1:21" s="12" customFormat="1" x14ac:dyDescent="0.25">
      <c r="A47" s="216" t="s">
        <v>764</v>
      </c>
      <c r="B47" s="64">
        <v>7.32</v>
      </c>
      <c r="C47" s="64">
        <v>33.42</v>
      </c>
      <c r="D47" s="64">
        <v>23.25</v>
      </c>
      <c r="E47" s="64">
        <v>2.04</v>
      </c>
      <c r="F47" s="64">
        <v>5.07</v>
      </c>
      <c r="G47" s="64">
        <v>60.72</v>
      </c>
      <c r="H47" s="64">
        <v>22.25</v>
      </c>
      <c r="I47" s="64">
        <v>5.05</v>
      </c>
      <c r="J47" s="64">
        <v>0.3</v>
      </c>
      <c r="K47" s="64">
        <v>359.25</v>
      </c>
      <c r="L47" s="64">
        <v>31.2</v>
      </c>
      <c r="M47" s="64">
        <v>39.409999999999997</v>
      </c>
      <c r="N47" s="64">
        <v>289.89999999999998</v>
      </c>
      <c r="O47" s="64">
        <v>0</v>
      </c>
      <c r="P47" s="64">
        <v>0.52</v>
      </c>
      <c r="Q47" s="64">
        <v>10.29</v>
      </c>
      <c r="R47" s="198"/>
      <c r="S47" s="198"/>
      <c r="T47" s="198"/>
      <c r="U47" s="198"/>
    </row>
    <row r="48" spans="1:21" s="12" customFormat="1" x14ac:dyDescent="0.25">
      <c r="A48" s="216" t="s">
        <v>765</v>
      </c>
      <c r="B48" s="64">
        <v>7.15</v>
      </c>
      <c r="C48" s="64">
        <v>33.75</v>
      </c>
      <c r="D48" s="64">
        <v>23.29</v>
      </c>
      <c r="E48" s="64">
        <v>2</v>
      </c>
      <c r="F48" s="64">
        <v>5.55</v>
      </c>
      <c r="G48" s="64">
        <v>57.96</v>
      </c>
      <c r="H48" s="64">
        <v>21.74</v>
      </c>
      <c r="I48" s="64">
        <v>4.8499999999999996</v>
      </c>
      <c r="J48" s="64">
        <v>0.2</v>
      </c>
      <c r="K48" s="64">
        <v>33.49</v>
      </c>
      <c r="L48" s="64">
        <v>31.67</v>
      </c>
      <c r="M48" s="64">
        <v>37.53</v>
      </c>
      <c r="N48" s="64">
        <v>445.3</v>
      </c>
      <c r="O48" s="64">
        <v>0</v>
      </c>
      <c r="P48" s="64">
        <v>0.53</v>
      </c>
      <c r="Q48" s="64">
        <v>10.31</v>
      </c>
      <c r="R48" s="198"/>
      <c r="S48" s="198"/>
      <c r="T48" s="198"/>
      <c r="U48" s="198"/>
    </row>
    <row r="49" spans="1:21" s="12" customFormat="1" x14ac:dyDescent="0.25">
      <c r="A49" s="216" t="s">
        <v>766</v>
      </c>
      <c r="B49" s="64">
        <v>6.87</v>
      </c>
      <c r="C49" s="64">
        <v>31.6</v>
      </c>
      <c r="D49" s="64">
        <v>21.94</v>
      </c>
      <c r="E49" s="64">
        <v>1.95</v>
      </c>
      <c r="F49" s="64">
        <v>5.84</v>
      </c>
      <c r="G49" s="64">
        <v>56.02</v>
      </c>
      <c r="H49" s="64">
        <v>21.39</v>
      </c>
      <c r="I49" s="64">
        <v>4.82</v>
      </c>
      <c r="J49" s="64">
        <v>0.25</v>
      </c>
      <c r="K49" s="64">
        <v>315.43</v>
      </c>
      <c r="L49" s="64">
        <v>33.700000000000003</v>
      </c>
      <c r="M49" s="64">
        <v>32.67</v>
      </c>
      <c r="N49" s="64">
        <v>870.7</v>
      </c>
      <c r="O49" s="64">
        <v>0</v>
      </c>
      <c r="P49" s="64">
        <v>0.54</v>
      </c>
      <c r="Q49" s="64">
        <v>10.26</v>
      </c>
      <c r="R49" s="198"/>
      <c r="S49" s="198"/>
      <c r="T49" s="198"/>
      <c r="U49" s="198"/>
    </row>
    <row r="50" spans="1:21" s="12" customFormat="1" x14ac:dyDescent="0.25">
      <c r="A50" s="216" t="s">
        <v>767</v>
      </c>
      <c r="B50" s="64">
        <v>6.8</v>
      </c>
      <c r="C50" s="64">
        <v>28.46</v>
      </c>
      <c r="D50" s="64">
        <v>20.25</v>
      </c>
      <c r="E50" s="64">
        <v>2.19</v>
      </c>
      <c r="F50" s="64">
        <v>6.36</v>
      </c>
      <c r="G50" s="64">
        <v>56.02</v>
      </c>
      <c r="H50" s="64">
        <v>21.39</v>
      </c>
      <c r="I50" s="64">
        <v>4.6100000000000003</v>
      </c>
      <c r="J50" s="64">
        <v>0.12</v>
      </c>
      <c r="K50" s="64">
        <v>351.07</v>
      </c>
      <c r="L50" s="64">
        <v>34.81</v>
      </c>
      <c r="M50" s="64">
        <v>26.13</v>
      </c>
      <c r="N50" s="64">
        <v>709.7</v>
      </c>
      <c r="O50" s="64">
        <v>0</v>
      </c>
      <c r="P50" s="64">
        <v>0.55000000000000004</v>
      </c>
      <c r="Q50" s="64">
        <v>10.130000000000001</v>
      </c>
      <c r="R50" s="198"/>
      <c r="S50" s="198"/>
      <c r="T50" s="198"/>
      <c r="U50" s="198"/>
    </row>
    <row r="51" spans="1:21" s="12" customFormat="1" x14ac:dyDescent="0.25">
      <c r="A51" s="216" t="s">
        <v>768</v>
      </c>
      <c r="B51" s="64">
        <v>6.54</v>
      </c>
      <c r="C51" s="64">
        <v>26.18</v>
      </c>
      <c r="D51" s="64">
        <v>18.84</v>
      </c>
      <c r="E51" s="64">
        <v>2.39</v>
      </c>
      <c r="F51" s="64">
        <v>13.05</v>
      </c>
      <c r="G51" s="64">
        <v>56.02</v>
      </c>
      <c r="H51" s="64">
        <v>21.39</v>
      </c>
      <c r="I51" s="64">
        <v>4.47</v>
      </c>
      <c r="J51" s="64">
        <v>0.56000000000000005</v>
      </c>
      <c r="K51" s="64">
        <v>312.27999999999997</v>
      </c>
      <c r="L51" s="64">
        <v>36.49</v>
      </c>
      <c r="M51" s="64">
        <v>24.93</v>
      </c>
      <c r="N51" s="64">
        <v>898</v>
      </c>
      <c r="O51" s="64">
        <v>0</v>
      </c>
      <c r="P51" s="64">
        <v>0.62</v>
      </c>
      <c r="Q51" s="64">
        <v>9.9600000000000009</v>
      </c>
      <c r="R51" s="198"/>
      <c r="S51" s="198"/>
      <c r="T51" s="198"/>
      <c r="U51" s="198"/>
    </row>
    <row r="52" spans="1:21" s="12" customFormat="1" x14ac:dyDescent="0.25">
      <c r="A52" s="216" t="s">
        <v>769</v>
      </c>
      <c r="B52" s="64">
        <v>4.68</v>
      </c>
      <c r="C52" s="64">
        <v>39.64</v>
      </c>
      <c r="D52" s="64">
        <v>24.38</v>
      </c>
      <c r="E52" s="64">
        <v>5.0599999999999996</v>
      </c>
      <c r="F52" s="64">
        <v>33.22</v>
      </c>
      <c r="G52" s="64">
        <v>48.81</v>
      </c>
      <c r="H52" s="64">
        <v>20.11</v>
      </c>
      <c r="I52" s="64">
        <v>4.42</v>
      </c>
      <c r="J52" s="64">
        <v>0.54</v>
      </c>
      <c r="K52" s="64">
        <v>313.66000000000003</v>
      </c>
      <c r="L52" s="64">
        <v>38.82</v>
      </c>
      <c r="M52" s="64">
        <v>21.3</v>
      </c>
      <c r="N52" s="64">
        <v>929.3</v>
      </c>
      <c r="O52" s="64">
        <v>0</v>
      </c>
      <c r="P52" s="64">
        <v>0.94</v>
      </c>
      <c r="Q52" s="64">
        <v>9.9600000000000009</v>
      </c>
      <c r="R52" s="198"/>
      <c r="S52" s="198"/>
      <c r="T52" s="198"/>
      <c r="U52" s="198"/>
    </row>
    <row r="53" spans="1:21" s="12" customFormat="1" x14ac:dyDescent="0.25">
      <c r="A53" s="216" t="s">
        <v>770</v>
      </c>
      <c r="B53" s="64">
        <v>3.56</v>
      </c>
      <c r="C53" s="64">
        <v>47.18</v>
      </c>
      <c r="D53" s="64">
        <v>27.43</v>
      </c>
      <c r="E53" s="64">
        <v>3.4</v>
      </c>
      <c r="F53" s="64">
        <v>28.08</v>
      </c>
      <c r="G53" s="64">
        <v>43.77</v>
      </c>
      <c r="H53" s="64">
        <v>19.22</v>
      </c>
      <c r="I53" s="64">
        <v>4.4800000000000004</v>
      </c>
      <c r="J53" s="64">
        <v>0.72</v>
      </c>
      <c r="K53" s="64">
        <v>329.34</v>
      </c>
      <c r="L53" s="64">
        <v>38.770000000000003</v>
      </c>
      <c r="M53" s="64">
        <v>19.91</v>
      </c>
      <c r="N53" s="64">
        <v>910.4</v>
      </c>
      <c r="O53" s="64">
        <v>0</v>
      </c>
      <c r="P53" s="64">
        <v>0.94</v>
      </c>
      <c r="Q53" s="64">
        <v>10.07</v>
      </c>
      <c r="R53" s="198"/>
      <c r="S53" s="198"/>
      <c r="T53" s="198"/>
      <c r="U53" s="198"/>
    </row>
    <row r="54" spans="1:21" s="12" customFormat="1" x14ac:dyDescent="0.25">
      <c r="A54" s="216" t="s">
        <v>771</v>
      </c>
      <c r="B54" s="64">
        <v>3.35</v>
      </c>
      <c r="C54" s="64">
        <v>48.11</v>
      </c>
      <c r="D54" s="64">
        <v>27.74</v>
      </c>
      <c r="E54" s="64">
        <v>3.44</v>
      </c>
      <c r="F54" s="64">
        <v>35.42</v>
      </c>
      <c r="G54" s="64">
        <v>43.77</v>
      </c>
      <c r="H54" s="64">
        <v>19.22</v>
      </c>
      <c r="I54" s="64">
        <v>4.62</v>
      </c>
      <c r="J54" s="64">
        <v>0.76</v>
      </c>
      <c r="K54" s="64">
        <v>319.42</v>
      </c>
      <c r="L54" s="64">
        <v>39.81</v>
      </c>
      <c r="M54" s="64">
        <v>16.850000000000001</v>
      </c>
      <c r="N54" s="64">
        <v>776.1</v>
      </c>
      <c r="O54" s="64">
        <v>0</v>
      </c>
      <c r="P54" s="64">
        <v>0.76</v>
      </c>
      <c r="Q54" s="64">
        <v>10.199999999999999</v>
      </c>
      <c r="R54" s="198"/>
      <c r="S54" s="198"/>
      <c r="T54" s="198"/>
      <c r="U54" s="198"/>
    </row>
    <row r="55" spans="1:21" s="12" customFormat="1" x14ac:dyDescent="0.25">
      <c r="A55" s="216" t="s">
        <v>772</v>
      </c>
      <c r="B55" s="64">
        <v>2.5299999999999998</v>
      </c>
      <c r="C55" s="64">
        <v>41.94</v>
      </c>
      <c r="D55" s="64">
        <v>23.86</v>
      </c>
      <c r="E55" s="64">
        <v>3.98</v>
      </c>
      <c r="F55" s="64">
        <v>32.21</v>
      </c>
      <c r="G55" s="64">
        <v>43.77</v>
      </c>
      <c r="H55" s="64">
        <v>19.22</v>
      </c>
      <c r="I55" s="64">
        <v>4.8899999999999997</v>
      </c>
      <c r="J55" s="64">
        <v>0.61</v>
      </c>
      <c r="K55" s="64">
        <v>316.52</v>
      </c>
      <c r="L55" s="64">
        <v>39.369999999999997</v>
      </c>
      <c r="M55" s="64">
        <v>16.600000000000001</v>
      </c>
      <c r="N55" s="64">
        <v>667.9</v>
      </c>
      <c r="O55" s="64">
        <v>0</v>
      </c>
      <c r="P55" s="64">
        <v>0.49</v>
      </c>
      <c r="Q55" s="64">
        <v>10.06</v>
      </c>
      <c r="R55" s="198"/>
      <c r="S55" s="198"/>
      <c r="T55" s="198"/>
      <c r="U55" s="198"/>
    </row>
    <row r="56" spans="1:21" s="12" customFormat="1" x14ac:dyDescent="0.25">
      <c r="A56" s="216" t="s">
        <v>773</v>
      </c>
      <c r="B56" s="64">
        <v>2.91</v>
      </c>
      <c r="C56" s="64">
        <v>43.57</v>
      </c>
      <c r="D56" s="64">
        <v>25.02</v>
      </c>
      <c r="E56" s="64">
        <v>1.88</v>
      </c>
      <c r="F56" s="64">
        <v>14.93</v>
      </c>
      <c r="G56" s="64">
        <v>45.16</v>
      </c>
      <c r="H56" s="64">
        <v>17.87</v>
      </c>
      <c r="I56" s="64">
        <v>4.16</v>
      </c>
      <c r="J56" s="64">
        <v>0.6</v>
      </c>
      <c r="K56" s="64">
        <v>327.86</v>
      </c>
      <c r="L56" s="64">
        <v>39.619999999999997</v>
      </c>
      <c r="M56" s="64">
        <v>17.100000000000001</v>
      </c>
      <c r="N56" s="64">
        <v>822</v>
      </c>
      <c r="O56" s="64">
        <v>0</v>
      </c>
      <c r="P56" s="64">
        <v>0.49</v>
      </c>
      <c r="Q56" s="64">
        <v>10.01</v>
      </c>
      <c r="R56" s="198"/>
      <c r="S56" s="198"/>
      <c r="T56" s="198"/>
      <c r="U56" s="198"/>
    </row>
    <row r="57" spans="1:21" s="12" customFormat="1" x14ac:dyDescent="0.25">
      <c r="A57" s="216" t="s">
        <v>774</v>
      </c>
      <c r="B57" s="64">
        <v>3.53</v>
      </c>
      <c r="C57" s="64">
        <v>41.16</v>
      </c>
      <c r="D57" s="64">
        <v>24.25</v>
      </c>
      <c r="E57" s="64">
        <v>1.61</v>
      </c>
      <c r="F57" s="64">
        <v>9.33</v>
      </c>
      <c r="G57" s="64">
        <v>46.13</v>
      </c>
      <c r="H57" s="64">
        <v>16.93</v>
      </c>
      <c r="I57" s="64">
        <v>2.63</v>
      </c>
      <c r="J57" s="64">
        <v>0.73</v>
      </c>
      <c r="K57" s="64">
        <v>317.37</v>
      </c>
      <c r="L57" s="64">
        <v>40.11</v>
      </c>
      <c r="M57" s="64">
        <v>16.57</v>
      </c>
      <c r="N57" s="64">
        <v>891.2</v>
      </c>
      <c r="O57" s="64">
        <v>0</v>
      </c>
      <c r="P57" s="64">
        <v>0.49</v>
      </c>
      <c r="Q57" s="64">
        <v>10.07</v>
      </c>
      <c r="R57" s="198"/>
      <c r="S57" s="198"/>
      <c r="T57" s="198"/>
      <c r="U57" s="198"/>
    </row>
    <row r="58" spans="1:21" s="12" customFormat="1" x14ac:dyDescent="0.25">
      <c r="A58" s="216" t="s">
        <v>775</v>
      </c>
      <c r="B58" s="64">
        <v>3.81</v>
      </c>
      <c r="C58" s="64">
        <v>37.979999999999997</v>
      </c>
      <c r="D58" s="64">
        <v>22.82</v>
      </c>
      <c r="E58" s="64">
        <v>2.06</v>
      </c>
      <c r="F58" s="64">
        <v>13.12</v>
      </c>
      <c r="G58" s="64">
        <v>46.13</v>
      </c>
      <c r="H58" s="64">
        <v>16.93</v>
      </c>
      <c r="I58" s="64">
        <v>2.94</v>
      </c>
      <c r="J58" s="64">
        <v>0.92</v>
      </c>
      <c r="K58" s="64">
        <v>315.45</v>
      </c>
      <c r="L58" s="64">
        <v>40.69</v>
      </c>
      <c r="M58" s="64">
        <v>14.91</v>
      </c>
      <c r="N58" s="64">
        <v>872.3</v>
      </c>
      <c r="O58" s="64">
        <v>0</v>
      </c>
      <c r="P58" s="64">
        <v>0.46</v>
      </c>
      <c r="Q58" s="64">
        <v>10.050000000000001</v>
      </c>
      <c r="R58" s="198"/>
      <c r="S58" s="198"/>
      <c r="T58" s="198"/>
      <c r="U58" s="198"/>
    </row>
    <row r="59" spans="1:21" s="12" customFormat="1" x14ac:dyDescent="0.25">
      <c r="A59" s="216" t="s">
        <v>776</v>
      </c>
      <c r="B59" s="64">
        <v>3.9</v>
      </c>
      <c r="C59" s="64">
        <v>37.93</v>
      </c>
      <c r="D59" s="64">
        <v>22.86</v>
      </c>
      <c r="E59" s="64">
        <v>1.59</v>
      </c>
      <c r="F59" s="64">
        <v>11.27</v>
      </c>
      <c r="G59" s="64">
        <v>46.13</v>
      </c>
      <c r="H59" s="64">
        <v>16.93</v>
      </c>
      <c r="I59" s="64">
        <v>2.85</v>
      </c>
      <c r="J59" s="64">
        <v>0.2</v>
      </c>
      <c r="K59" s="64">
        <v>268.35000000000002</v>
      </c>
      <c r="L59" s="64">
        <v>39.74</v>
      </c>
      <c r="M59" s="64">
        <v>15.21</v>
      </c>
      <c r="N59" s="64">
        <v>903.5</v>
      </c>
      <c r="O59" s="64">
        <v>0</v>
      </c>
      <c r="P59" s="64">
        <v>0.45</v>
      </c>
      <c r="Q59" s="64">
        <v>9.9700000000000006</v>
      </c>
      <c r="R59" s="198"/>
      <c r="S59" s="198"/>
      <c r="T59" s="198"/>
      <c r="U59" s="198"/>
    </row>
    <row r="60" spans="1:21" s="12" customFormat="1" x14ac:dyDescent="0.25">
      <c r="A60" s="216" t="s">
        <v>777</v>
      </c>
      <c r="B60" s="64">
        <v>4.29</v>
      </c>
      <c r="C60" s="64">
        <v>39.81</v>
      </c>
      <c r="D60" s="64">
        <v>24.16</v>
      </c>
      <c r="E60" s="64">
        <v>1.56</v>
      </c>
      <c r="F60" s="64">
        <v>9.65</v>
      </c>
      <c r="G60" s="64">
        <v>52</v>
      </c>
      <c r="H60" s="64">
        <v>18.510000000000002</v>
      </c>
      <c r="I60" s="64">
        <v>2.8</v>
      </c>
      <c r="J60" s="64">
        <v>7.0000000000000007E-2</v>
      </c>
      <c r="K60" s="64">
        <v>298.16000000000003</v>
      </c>
      <c r="L60" s="64">
        <v>39.78</v>
      </c>
      <c r="M60" s="64">
        <v>15.14</v>
      </c>
      <c r="N60" s="64">
        <v>886.2</v>
      </c>
      <c r="O60" s="64">
        <v>0</v>
      </c>
      <c r="P60" s="64">
        <v>0.44</v>
      </c>
      <c r="Q60" s="64">
        <v>10.02</v>
      </c>
      <c r="R60" s="198"/>
      <c r="S60" s="198"/>
      <c r="T60" s="198"/>
      <c r="U60" s="198"/>
    </row>
    <row r="61" spans="1:21" s="12" customFormat="1" x14ac:dyDescent="0.25">
      <c r="A61" s="216" t="s">
        <v>778</v>
      </c>
      <c r="B61" s="64">
        <v>4.28</v>
      </c>
      <c r="C61" s="64">
        <v>41.4</v>
      </c>
      <c r="D61" s="64">
        <v>24.99</v>
      </c>
      <c r="E61" s="64">
        <v>1.88</v>
      </c>
      <c r="F61" s="64">
        <v>9.09</v>
      </c>
      <c r="G61" s="64">
        <v>56.09</v>
      </c>
      <c r="H61" s="64">
        <v>19.61</v>
      </c>
      <c r="I61" s="64">
        <v>2.74</v>
      </c>
      <c r="J61" s="64">
        <v>0.21</v>
      </c>
      <c r="K61" s="64">
        <v>326.51</v>
      </c>
      <c r="L61" s="64">
        <v>38.74</v>
      </c>
      <c r="M61" s="64">
        <v>15.73</v>
      </c>
      <c r="N61" s="64">
        <v>869.9</v>
      </c>
      <c r="O61" s="64">
        <v>0</v>
      </c>
      <c r="P61" s="64">
        <v>0.43</v>
      </c>
      <c r="Q61" s="64">
        <v>10.1</v>
      </c>
      <c r="R61" s="198"/>
      <c r="S61" s="198"/>
      <c r="T61" s="198"/>
      <c r="U61" s="198"/>
    </row>
    <row r="62" spans="1:21" s="12" customFormat="1" x14ac:dyDescent="0.25">
      <c r="A62" s="216" t="s">
        <v>779</v>
      </c>
      <c r="B62" s="64">
        <v>4.25</v>
      </c>
      <c r="C62" s="64">
        <v>40.86</v>
      </c>
      <c r="D62" s="64">
        <v>24.67</v>
      </c>
      <c r="E62" s="64">
        <v>1.24</v>
      </c>
      <c r="F62" s="64">
        <v>17.72</v>
      </c>
      <c r="G62" s="64">
        <v>56.09</v>
      </c>
      <c r="H62" s="64">
        <v>19.61</v>
      </c>
      <c r="I62" s="64">
        <v>2.77</v>
      </c>
      <c r="J62" s="64">
        <v>0.66</v>
      </c>
      <c r="K62" s="64">
        <v>316.44</v>
      </c>
      <c r="L62" s="64">
        <v>39.71</v>
      </c>
      <c r="M62" s="64">
        <v>16.09</v>
      </c>
      <c r="N62" s="64">
        <v>822.5</v>
      </c>
      <c r="O62" s="64">
        <v>0</v>
      </c>
      <c r="P62" s="64">
        <v>0.43</v>
      </c>
      <c r="Q62" s="64">
        <v>10.09</v>
      </c>
      <c r="R62" s="198"/>
      <c r="S62" s="198"/>
      <c r="T62" s="198"/>
      <c r="U62" s="198"/>
    </row>
    <row r="63" spans="1:21" s="12" customFormat="1" x14ac:dyDescent="0.25">
      <c r="A63" s="216" t="s">
        <v>780</v>
      </c>
      <c r="B63" s="64">
        <v>4.16</v>
      </c>
      <c r="C63" s="64">
        <v>42.54</v>
      </c>
      <c r="D63" s="64">
        <v>25.48</v>
      </c>
      <c r="E63" s="64">
        <v>2.2999999999999998</v>
      </c>
      <c r="F63" s="64">
        <v>14.36</v>
      </c>
      <c r="G63" s="64">
        <v>56.09</v>
      </c>
      <c r="H63" s="64">
        <v>19.61</v>
      </c>
      <c r="I63" s="64">
        <v>2.76</v>
      </c>
      <c r="J63" s="64">
        <v>0.78</v>
      </c>
      <c r="K63" s="64">
        <v>311.32</v>
      </c>
      <c r="L63" s="64">
        <v>40.58</v>
      </c>
      <c r="M63" s="64">
        <v>16</v>
      </c>
      <c r="N63" s="64">
        <v>777.3</v>
      </c>
      <c r="O63" s="64">
        <v>0</v>
      </c>
      <c r="P63" s="64">
        <v>0.43</v>
      </c>
      <c r="Q63" s="64">
        <v>10.07</v>
      </c>
      <c r="R63" s="198"/>
      <c r="S63" s="198"/>
      <c r="T63" s="198"/>
      <c r="U63" s="198"/>
    </row>
    <row r="64" spans="1:21" s="12" customFormat="1" x14ac:dyDescent="0.25">
      <c r="A64" s="216" t="s">
        <v>781</v>
      </c>
      <c r="B64" s="64">
        <v>4.32</v>
      </c>
      <c r="C64" s="64">
        <v>42.74</v>
      </c>
      <c r="D64" s="64">
        <v>25.72</v>
      </c>
      <c r="E64" s="64">
        <v>2.0499999999999998</v>
      </c>
      <c r="F64" s="64">
        <v>12.47</v>
      </c>
      <c r="G64" s="64">
        <v>47.28</v>
      </c>
      <c r="H64" s="64">
        <v>19.440000000000001</v>
      </c>
      <c r="I64" s="64">
        <v>2.66</v>
      </c>
      <c r="J64" s="64">
        <v>0.66</v>
      </c>
      <c r="K64" s="64">
        <v>324.64999999999998</v>
      </c>
      <c r="L64" s="64">
        <v>40.19</v>
      </c>
      <c r="M64" s="64">
        <v>16.09</v>
      </c>
      <c r="N64" s="64">
        <v>715.5</v>
      </c>
      <c r="O64" s="64">
        <v>0</v>
      </c>
      <c r="P64" s="64">
        <v>0.45</v>
      </c>
      <c r="Q64" s="64">
        <v>10.119999999999999</v>
      </c>
      <c r="R64" s="198"/>
      <c r="S64" s="198"/>
      <c r="T64" s="198"/>
      <c r="U64" s="198"/>
    </row>
    <row r="65" spans="1:21" s="12" customFormat="1" x14ac:dyDescent="0.25">
      <c r="A65" s="216" t="s">
        <v>782</v>
      </c>
      <c r="B65" s="64">
        <v>4.42</v>
      </c>
      <c r="C65" s="64">
        <v>41.44</v>
      </c>
      <c r="D65" s="64">
        <v>25.12</v>
      </c>
      <c r="E65" s="64">
        <v>1.68</v>
      </c>
      <c r="F65" s="64">
        <v>10.08</v>
      </c>
      <c r="G65" s="64">
        <v>41.13</v>
      </c>
      <c r="H65" s="64">
        <v>19.309999999999999</v>
      </c>
      <c r="I65" s="64">
        <v>2.6</v>
      </c>
      <c r="J65" s="64">
        <v>0.62</v>
      </c>
      <c r="K65" s="64">
        <v>317.10000000000002</v>
      </c>
      <c r="L65" s="64">
        <v>39.6</v>
      </c>
      <c r="M65" s="64">
        <v>16.79</v>
      </c>
      <c r="N65" s="64">
        <v>474.2</v>
      </c>
      <c r="O65" s="64">
        <v>0</v>
      </c>
      <c r="P65" s="64">
        <v>0.45</v>
      </c>
      <c r="Q65" s="64">
        <v>10.16</v>
      </c>
      <c r="R65" s="198"/>
      <c r="S65" s="198"/>
      <c r="T65" s="198"/>
      <c r="U65" s="198"/>
    </row>
    <row r="66" spans="1:21" s="12" customFormat="1" x14ac:dyDescent="0.25">
      <c r="A66" s="216" t="s">
        <v>783</v>
      </c>
      <c r="B66" s="64">
        <v>4.45</v>
      </c>
      <c r="C66" s="64">
        <v>38.92</v>
      </c>
      <c r="D66" s="64">
        <v>23.82</v>
      </c>
      <c r="E66" s="64">
        <v>1.87</v>
      </c>
      <c r="F66" s="64">
        <v>10.4</v>
      </c>
      <c r="G66" s="64">
        <v>41.13</v>
      </c>
      <c r="H66" s="64">
        <v>19.309999999999999</v>
      </c>
      <c r="I66" s="64">
        <v>2.58</v>
      </c>
      <c r="J66" s="64">
        <v>7.0000000000000007E-2</v>
      </c>
      <c r="K66" s="64">
        <v>257.19</v>
      </c>
      <c r="L66" s="64">
        <v>37.71</v>
      </c>
      <c r="M66" s="64">
        <v>16.8</v>
      </c>
      <c r="N66" s="64">
        <v>435.8</v>
      </c>
      <c r="O66" s="64">
        <v>0</v>
      </c>
      <c r="P66" s="64">
        <v>0.45</v>
      </c>
      <c r="Q66" s="64">
        <v>10.17</v>
      </c>
      <c r="R66" s="198"/>
      <c r="S66" s="198"/>
      <c r="T66" s="198"/>
      <c r="U66" s="198"/>
    </row>
    <row r="67" spans="1:21" s="12" customFormat="1" x14ac:dyDescent="0.25">
      <c r="A67" s="216" t="s">
        <v>784</v>
      </c>
      <c r="B67" s="64">
        <v>4.37</v>
      </c>
      <c r="C67" s="64">
        <v>36.79</v>
      </c>
      <c r="D67" s="64">
        <v>22.65</v>
      </c>
      <c r="E67" s="64">
        <v>1.65</v>
      </c>
      <c r="F67" s="64">
        <v>10.220000000000001</v>
      </c>
      <c r="G67" s="64">
        <v>41.13</v>
      </c>
      <c r="H67" s="64">
        <v>19.309999999999999</v>
      </c>
      <c r="I67" s="64">
        <v>2.65</v>
      </c>
      <c r="J67" s="64">
        <v>0.34</v>
      </c>
      <c r="K67" s="64">
        <v>346.97</v>
      </c>
      <c r="L67" s="64">
        <v>38.44</v>
      </c>
      <c r="M67" s="64">
        <v>16.21</v>
      </c>
      <c r="N67" s="64">
        <v>409.7</v>
      </c>
      <c r="O67" s="64">
        <v>0</v>
      </c>
      <c r="P67" s="64">
        <v>0.44</v>
      </c>
      <c r="Q67" s="64">
        <v>10.16</v>
      </c>
      <c r="R67" s="198"/>
      <c r="S67" s="198"/>
      <c r="T67" s="198"/>
      <c r="U67" s="198"/>
    </row>
    <row r="68" spans="1:21" s="12" customFormat="1" x14ac:dyDescent="0.25">
      <c r="A68" s="216" t="s">
        <v>785</v>
      </c>
      <c r="B68" s="64">
        <v>4.57</v>
      </c>
      <c r="C68" s="64">
        <v>35.89</v>
      </c>
      <c r="D68" s="64">
        <v>22.34</v>
      </c>
      <c r="E68" s="64">
        <v>1.77</v>
      </c>
      <c r="F68" s="64">
        <v>8.39</v>
      </c>
      <c r="G68" s="64">
        <v>49.35</v>
      </c>
      <c r="H68" s="64">
        <v>21.04</v>
      </c>
      <c r="I68" s="64">
        <v>2.71</v>
      </c>
      <c r="J68" s="64">
        <v>0.22</v>
      </c>
      <c r="K68" s="64">
        <v>347.14</v>
      </c>
      <c r="L68" s="64">
        <v>38.31</v>
      </c>
      <c r="M68" s="64">
        <v>16.059999999999999</v>
      </c>
      <c r="N68" s="64">
        <v>231.9</v>
      </c>
      <c r="O68" s="64">
        <v>0</v>
      </c>
      <c r="P68" s="64">
        <v>0.43</v>
      </c>
      <c r="Q68" s="64">
        <v>10.14</v>
      </c>
      <c r="R68" s="198"/>
      <c r="S68" s="198"/>
      <c r="T68" s="198"/>
      <c r="U68" s="198"/>
    </row>
    <row r="69" spans="1:21" s="12" customFormat="1" x14ac:dyDescent="0.25">
      <c r="A69" s="216" t="s">
        <v>786</v>
      </c>
      <c r="B69" s="64">
        <v>4.72</v>
      </c>
      <c r="C69" s="64">
        <v>32.15</v>
      </c>
      <c r="D69" s="64">
        <v>20.5</v>
      </c>
      <c r="E69" s="64">
        <v>1.4</v>
      </c>
      <c r="F69" s="64">
        <v>7.6</v>
      </c>
      <c r="G69" s="64">
        <v>55.08</v>
      </c>
      <c r="H69" s="64">
        <v>22.24</v>
      </c>
      <c r="I69" s="64">
        <v>2.72</v>
      </c>
      <c r="J69" s="64">
        <v>0.28999999999999998</v>
      </c>
      <c r="K69" s="64">
        <v>344.09</v>
      </c>
      <c r="L69" s="64">
        <v>37.79</v>
      </c>
      <c r="M69" s="64">
        <v>16.72</v>
      </c>
      <c r="N69" s="64">
        <v>293.89999999999998</v>
      </c>
      <c r="O69" s="64">
        <v>0</v>
      </c>
      <c r="P69" s="64">
        <v>0.43</v>
      </c>
      <c r="Q69" s="64">
        <v>10.119999999999999</v>
      </c>
      <c r="R69" s="198"/>
      <c r="S69" s="198"/>
      <c r="T69" s="198"/>
      <c r="U69" s="198"/>
    </row>
    <row r="70" spans="1:21" s="12" customFormat="1" x14ac:dyDescent="0.25">
      <c r="A70" s="216" t="s">
        <v>787</v>
      </c>
      <c r="B70" s="64">
        <v>4.83</v>
      </c>
      <c r="C70" s="64">
        <v>33.75</v>
      </c>
      <c r="D70" s="64">
        <v>21.43</v>
      </c>
      <c r="E70" s="64">
        <v>1.5</v>
      </c>
      <c r="F70" s="64">
        <v>6.7</v>
      </c>
      <c r="G70" s="64">
        <v>55.08</v>
      </c>
      <c r="H70" s="64">
        <v>22.24</v>
      </c>
      <c r="I70" s="64">
        <v>2.73</v>
      </c>
      <c r="J70" s="64">
        <v>0.11</v>
      </c>
      <c r="K70" s="64">
        <v>312.61</v>
      </c>
      <c r="L70" s="64">
        <v>37.67</v>
      </c>
      <c r="M70" s="64">
        <v>16.63</v>
      </c>
      <c r="N70" s="64">
        <v>271</v>
      </c>
      <c r="O70" s="64">
        <v>0</v>
      </c>
      <c r="P70" s="64">
        <v>0.42</v>
      </c>
      <c r="Q70" s="64">
        <v>10.17</v>
      </c>
      <c r="R70" s="198"/>
      <c r="S70" s="198"/>
      <c r="T70" s="198"/>
      <c r="U70" s="198"/>
    </row>
    <row r="71" spans="1:21" s="12" customFormat="1" x14ac:dyDescent="0.25">
      <c r="A71" s="216" t="s">
        <v>788</v>
      </c>
      <c r="B71" s="64">
        <v>5.01</v>
      </c>
      <c r="C71" s="64">
        <v>33.42</v>
      </c>
      <c r="D71" s="64">
        <v>21.4</v>
      </c>
      <c r="E71" s="64">
        <v>1.47</v>
      </c>
      <c r="F71" s="64">
        <v>6.56</v>
      </c>
      <c r="G71" s="64">
        <v>55.08</v>
      </c>
      <c r="H71" s="64">
        <v>22.24</v>
      </c>
      <c r="I71" s="64">
        <v>2.71</v>
      </c>
      <c r="J71" s="64">
        <v>0.39</v>
      </c>
      <c r="K71" s="64">
        <v>338.69</v>
      </c>
      <c r="L71" s="64">
        <v>37.979999999999997</v>
      </c>
      <c r="M71" s="64">
        <v>15.47</v>
      </c>
      <c r="N71" s="64">
        <v>146.19999999999999</v>
      </c>
      <c r="O71" s="64">
        <v>0</v>
      </c>
      <c r="P71" s="64">
        <v>0.41</v>
      </c>
      <c r="Q71" s="64">
        <v>10.25</v>
      </c>
      <c r="R71" s="198"/>
      <c r="S71" s="198"/>
      <c r="T71" s="198"/>
      <c r="U71" s="198"/>
    </row>
    <row r="72" spans="1:21" s="12" customFormat="1" x14ac:dyDescent="0.25">
      <c r="A72" s="216" t="s">
        <v>789</v>
      </c>
      <c r="B72" s="64">
        <v>4.92</v>
      </c>
      <c r="C72" s="64">
        <v>32.99</v>
      </c>
      <c r="D72" s="64">
        <v>21.1</v>
      </c>
      <c r="E72" s="64">
        <v>1.24</v>
      </c>
      <c r="F72" s="64">
        <v>7.21</v>
      </c>
      <c r="G72" s="64">
        <v>50.26</v>
      </c>
      <c r="H72" s="64">
        <v>20.27</v>
      </c>
      <c r="I72" s="64">
        <v>2.73</v>
      </c>
      <c r="J72" s="64">
        <v>0.5</v>
      </c>
      <c r="K72" s="64">
        <v>323.32</v>
      </c>
      <c r="L72" s="64">
        <v>37.71</v>
      </c>
      <c r="M72" s="64">
        <v>15.25</v>
      </c>
      <c r="N72" s="64">
        <v>228.9</v>
      </c>
      <c r="O72" s="64">
        <v>0</v>
      </c>
      <c r="P72" s="64">
        <v>0.38</v>
      </c>
      <c r="Q72" s="64">
        <v>10.27</v>
      </c>
      <c r="R72" s="198"/>
      <c r="S72" s="198"/>
      <c r="T72" s="198"/>
      <c r="U72" s="198"/>
    </row>
    <row r="73" spans="1:21" s="12" customFormat="1" x14ac:dyDescent="0.25">
      <c r="A73" s="216" t="s">
        <v>790</v>
      </c>
      <c r="B73" s="64">
        <v>4.8499999999999996</v>
      </c>
      <c r="C73" s="64">
        <v>31.58</v>
      </c>
      <c r="D73" s="64">
        <v>20.3</v>
      </c>
      <c r="E73" s="64">
        <v>1.77</v>
      </c>
      <c r="F73" s="64">
        <v>6.96</v>
      </c>
      <c r="G73" s="64">
        <v>46.89</v>
      </c>
      <c r="H73" s="64">
        <v>18.89</v>
      </c>
      <c r="I73" s="64">
        <v>2.67</v>
      </c>
      <c r="J73" s="64">
        <v>1.01</v>
      </c>
      <c r="K73" s="64">
        <v>311.38</v>
      </c>
      <c r="L73" s="64">
        <v>37.520000000000003</v>
      </c>
      <c r="M73" s="64">
        <v>15.8</v>
      </c>
      <c r="N73" s="64">
        <v>131.69999999999999</v>
      </c>
      <c r="O73" s="64">
        <v>0</v>
      </c>
      <c r="P73" s="64">
        <v>0.36</v>
      </c>
      <c r="Q73" s="64">
        <v>10.25</v>
      </c>
      <c r="R73" s="198"/>
      <c r="S73" s="198"/>
      <c r="T73" s="198"/>
      <c r="U73" s="198"/>
    </row>
    <row r="74" spans="1:21" s="12" customFormat="1" x14ac:dyDescent="0.25">
      <c r="A74" s="216" t="s">
        <v>791</v>
      </c>
      <c r="B74" s="64">
        <v>5.08</v>
      </c>
      <c r="C74" s="64">
        <v>30.67</v>
      </c>
      <c r="D74" s="64">
        <v>20.02</v>
      </c>
      <c r="E74" s="64">
        <v>1.54</v>
      </c>
      <c r="F74" s="64">
        <v>6.38</v>
      </c>
      <c r="G74" s="64">
        <v>46.89</v>
      </c>
      <c r="H74" s="64">
        <v>18.89</v>
      </c>
      <c r="I74" s="64">
        <v>2.48</v>
      </c>
      <c r="J74" s="64">
        <v>0.62</v>
      </c>
      <c r="K74" s="64">
        <v>318.39999999999998</v>
      </c>
      <c r="L74" s="64">
        <v>37.39</v>
      </c>
      <c r="M74" s="64">
        <v>15.03</v>
      </c>
      <c r="N74" s="64">
        <v>81.7</v>
      </c>
      <c r="O74" s="64">
        <v>0</v>
      </c>
      <c r="P74" s="64">
        <v>0.35</v>
      </c>
      <c r="Q74" s="64">
        <v>10.210000000000001</v>
      </c>
      <c r="R74" s="198"/>
      <c r="S74" s="198"/>
      <c r="T74" s="198"/>
      <c r="U74" s="198"/>
    </row>
    <row r="75" spans="1:21" s="12" customFormat="1" x14ac:dyDescent="0.25">
      <c r="A75" s="216" t="s">
        <v>792</v>
      </c>
      <c r="B75" s="64">
        <v>5.29</v>
      </c>
      <c r="C75" s="64">
        <v>32.229999999999997</v>
      </c>
      <c r="D75" s="64">
        <v>21</v>
      </c>
      <c r="E75" s="64">
        <v>1.75</v>
      </c>
      <c r="F75" s="64">
        <v>6.25</v>
      </c>
      <c r="G75" s="64">
        <v>46.89</v>
      </c>
      <c r="H75" s="64">
        <v>18.89</v>
      </c>
      <c r="I75" s="64">
        <v>2.37</v>
      </c>
      <c r="J75" s="64">
        <v>0.89</v>
      </c>
      <c r="K75" s="64">
        <v>310.14999999999998</v>
      </c>
      <c r="L75" s="64">
        <v>37.22</v>
      </c>
      <c r="M75" s="64">
        <v>15.22</v>
      </c>
      <c r="N75" s="64">
        <v>73.099999999999994</v>
      </c>
      <c r="O75" s="64">
        <v>0</v>
      </c>
      <c r="P75" s="64">
        <v>0.34</v>
      </c>
      <c r="Q75" s="64">
        <v>10.220000000000001</v>
      </c>
      <c r="R75" s="198"/>
      <c r="S75" s="198"/>
      <c r="T75" s="198"/>
      <c r="U75" s="198"/>
    </row>
    <row r="76" spans="1:21" s="12" customFormat="1" x14ac:dyDescent="0.25">
      <c r="A76" s="216" t="s">
        <v>793</v>
      </c>
      <c r="B76" s="64">
        <v>5.08</v>
      </c>
      <c r="C76" s="64">
        <v>32.71</v>
      </c>
      <c r="D76" s="64">
        <v>21.09</v>
      </c>
      <c r="E76" s="64">
        <v>1.79</v>
      </c>
      <c r="F76" s="64">
        <v>6.88</v>
      </c>
      <c r="G76" s="64">
        <v>42.57</v>
      </c>
      <c r="H76" s="64">
        <v>17.809999999999999</v>
      </c>
      <c r="I76" s="64">
        <v>2.29</v>
      </c>
      <c r="J76" s="64">
        <v>0.32</v>
      </c>
      <c r="K76" s="64">
        <v>352.61</v>
      </c>
      <c r="L76" s="64">
        <v>37.119999999999997</v>
      </c>
      <c r="M76" s="64">
        <v>15.33</v>
      </c>
      <c r="N76" s="64">
        <v>63.8</v>
      </c>
      <c r="O76" s="64">
        <v>0</v>
      </c>
      <c r="P76" s="64">
        <v>0.34</v>
      </c>
      <c r="Q76" s="64">
        <v>10.24</v>
      </c>
      <c r="R76" s="198"/>
      <c r="S76" s="198"/>
      <c r="T76" s="198"/>
      <c r="U76" s="198"/>
    </row>
    <row r="77" spans="1:21" s="12" customFormat="1" x14ac:dyDescent="0.25">
      <c r="A77" s="216" t="s">
        <v>794</v>
      </c>
      <c r="B77" s="64">
        <v>4.93</v>
      </c>
      <c r="C77" s="64">
        <v>32.159999999999997</v>
      </c>
      <c r="D77" s="64">
        <v>20.68</v>
      </c>
      <c r="E77" s="64">
        <v>1.53</v>
      </c>
      <c r="F77" s="64">
        <v>8.15</v>
      </c>
      <c r="G77" s="64">
        <v>39.54</v>
      </c>
      <c r="H77" s="64">
        <v>17.059999999999999</v>
      </c>
      <c r="I77" s="64">
        <v>2.16</v>
      </c>
      <c r="J77" s="64">
        <v>0.39</v>
      </c>
      <c r="K77" s="64">
        <v>330.09</v>
      </c>
      <c r="L77" s="64">
        <v>36.94</v>
      </c>
      <c r="M77" s="64">
        <v>15.6</v>
      </c>
      <c r="N77" s="64">
        <v>64</v>
      </c>
      <c r="O77" s="64">
        <v>0</v>
      </c>
      <c r="P77" s="64">
        <v>0.33</v>
      </c>
      <c r="Q77" s="64">
        <v>10.19</v>
      </c>
      <c r="R77" s="198"/>
      <c r="S77" s="198"/>
      <c r="T77" s="198"/>
      <c r="U77" s="198"/>
    </row>
    <row r="78" spans="1:21" s="12" customFormat="1" x14ac:dyDescent="0.25">
      <c r="A78" s="216" t="s">
        <v>795</v>
      </c>
      <c r="B78" s="64">
        <v>4.88</v>
      </c>
      <c r="C78" s="64">
        <v>33.53</v>
      </c>
      <c r="D78" s="64">
        <v>21.35</v>
      </c>
      <c r="E78" s="64">
        <v>1.74</v>
      </c>
      <c r="F78" s="64">
        <v>6.48</v>
      </c>
      <c r="G78" s="64">
        <v>39.54</v>
      </c>
      <c r="H78" s="64">
        <v>17.059999999999999</v>
      </c>
      <c r="I78" s="64">
        <v>2.04</v>
      </c>
      <c r="J78" s="64">
        <v>0.5</v>
      </c>
      <c r="K78" s="64">
        <v>313.22000000000003</v>
      </c>
      <c r="L78" s="64">
        <v>36.56</v>
      </c>
      <c r="M78" s="64">
        <v>16.82</v>
      </c>
      <c r="N78" s="64">
        <v>52.2</v>
      </c>
      <c r="O78" s="64">
        <v>0</v>
      </c>
      <c r="P78" s="64">
        <v>0.34</v>
      </c>
      <c r="Q78" s="64">
        <v>10.16</v>
      </c>
      <c r="R78" s="198"/>
      <c r="S78" s="198"/>
      <c r="T78" s="198"/>
      <c r="U78" s="198"/>
    </row>
    <row r="79" spans="1:21" s="12" customFormat="1" x14ac:dyDescent="0.25">
      <c r="A79" s="216" t="s">
        <v>796</v>
      </c>
      <c r="B79" s="64">
        <v>5.26</v>
      </c>
      <c r="C79" s="64">
        <v>34.26</v>
      </c>
      <c r="D79" s="64">
        <v>22.03</v>
      </c>
      <c r="E79" s="64">
        <v>2.09</v>
      </c>
      <c r="F79" s="64">
        <v>5.4</v>
      </c>
      <c r="G79" s="64">
        <v>39.54</v>
      </c>
      <c r="H79" s="64">
        <v>17.059999999999999</v>
      </c>
      <c r="I79" s="64">
        <v>1.93</v>
      </c>
      <c r="J79" s="64">
        <v>0.6</v>
      </c>
      <c r="K79" s="64">
        <v>312.47000000000003</v>
      </c>
      <c r="L79" s="64">
        <v>36.03</v>
      </c>
      <c r="M79" s="64">
        <v>18.04</v>
      </c>
      <c r="N79" s="64">
        <v>44.1</v>
      </c>
      <c r="O79" s="64">
        <v>0</v>
      </c>
      <c r="P79" s="64">
        <v>0.35</v>
      </c>
      <c r="Q79" s="64">
        <v>10.18</v>
      </c>
      <c r="R79" s="198"/>
      <c r="S79" s="198"/>
      <c r="T79" s="198"/>
      <c r="U79" s="198"/>
    </row>
    <row r="80" spans="1:21" s="12" customFormat="1" x14ac:dyDescent="0.25">
      <c r="A80" s="216" t="s">
        <v>797</v>
      </c>
      <c r="B80" s="64">
        <v>5.56</v>
      </c>
      <c r="C80" s="64">
        <v>36.33</v>
      </c>
      <c r="D80" s="64">
        <v>23.36</v>
      </c>
      <c r="E80" s="64">
        <v>2.0099999999999998</v>
      </c>
      <c r="F80" s="64">
        <v>5.83</v>
      </c>
      <c r="G80" s="64">
        <v>34.5</v>
      </c>
      <c r="H80" s="64">
        <v>14.66</v>
      </c>
      <c r="I80" s="64">
        <v>1.91</v>
      </c>
      <c r="J80" s="64">
        <v>0.74</v>
      </c>
      <c r="K80" s="64">
        <v>319.38</v>
      </c>
      <c r="L80" s="64">
        <v>34.36</v>
      </c>
      <c r="M80" s="64">
        <v>25.09</v>
      </c>
      <c r="N80" s="64">
        <v>32.799999999999997</v>
      </c>
      <c r="O80" s="64">
        <v>0</v>
      </c>
      <c r="P80" s="64">
        <v>0.38</v>
      </c>
      <c r="Q80" s="64">
        <v>10.16</v>
      </c>
      <c r="R80" s="198"/>
      <c r="S80" s="198"/>
      <c r="T80" s="198"/>
      <c r="U80" s="198"/>
    </row>
    <row r="81" spans="1:26" s="12" customFormat="1" x14ac:dyDescent="0.25">
      <c r="A81" s="216" t="s">
        <v>798</v>
      </c>
      <c r="B81" s="64">
        <v>5.54</v>
      </c>
      <c r="C81" s="64">
        <v>37.770000000000003</v>
      </c>
      <c r="D81" s="64">
        <v>24.1</v>
      </c>
      <c r="E81" s="64">
        <v>1.67</v>
      </c>
      <c r="F81" s="64">
        <v>5.88</v>
      </c>
      <c r="G81" s="64">
        <v>30.97</v>
      </c>
      <c r="H81" s="64">
        <v>12.98</v>
      </c>
      <c r="I81" s="64">
        <v>1.96</v>
      </c>
      <c r="J81" s="64">
        <v>0.84</v>
      </c>
      <c r="K81" s="64">
        <v>321.55</v>
      </c>
      <c r="L81" s="64">
        <v>32.29</v>
      </c>
      <c r="M81" s="64">
        <v>29.99</v>
      </c>
      <c r="N81" s="64">
        <v>23.6</v>
      </c>
      <c r="O81" s="64">
        <v>0</v>
      </c>
      <c r="P81" s="64">
        <v>0.39</v>
      </c>
      <c r="Q81" s="64">
        <v>10.19</v>
      </c>
      <c r="R81" s="198"/>
      <c r="S81" s="198"/>
      <c r="T81" s="198"/>
      <c r="U81" s="198"/>
    </row>
    <row r="82" spans="1:26" s="12" customFormat="1" x14ac:dyDescent="0.25">
      <c r="A82" s="216" t="s">
        <v>799</v>
      </c>
      <c r="B82" s="64">
        <v>5.4</v>
      </c>
      <c r="C82" s="64">
        <v>39.6</v>
      </c>
      <c r="D82" s="64">
        <v>24.94</v>
      </c>
      <c r="E82" s="64">
        <v>1.92</v>
      </c>
      <c r="F82" s="64">
        <v>5.27</v>
      </c>
      <c r="G82" s="64">
        <v>30.97</v>
      </c>
      <c r="H82" s="64">
        <v>12.98</v>
      </c>
      <c r="I82" s="64">
        <v>2.06</v>
      </c>
      <c r="J82" s="64">
        <v>0.76</v>
      </c>
      <c r="K82" s="64">
        <v>322.19</v>
      </c>
      <c r="L82" s="64">
        <v>31.91</v>
      </c>
      <c r="M82" s="64">
        <v>30.31</v>
      </c>
      <c r="N82" s="64">
        <v>17.5</v>
      </c>
      <c r="O82" s="64">
        <v>0</v>
      </c>
      <c r="P82" s="64">
        <v>0.42</v>
      </c>
      <c r="Q82" s="64">
        <v>10.17</v>
      </c>
      <c r="R82" s="198"/>
      <c r="S82" s="198"/>
      <c r="T82" s="198"/>
      <c r="U82" s="198"/>
    </row>
    <row r="83" spans="1:26" s="12" customFormat="1" x14ac:dyDescent="0.25">
      <c r="A83" s="216" t="s">
        <v>800</v>
      </c>
      <c r="B83" s="64">
        <v>5.7</v>
      </c>
      <c r="C83" s="64">
        <v>40.11</v>
      </c>
      <c r="D83" s="64">
        <v>25.44</v>
      </c>
      <c r="E83" s="64">
        <v>2.02</v>
      </c>
      <c r="F83" s="64">
        <v>4.6900000000000004</v>
      </c>
      <c r="G83" s="64">
        <v>30.97</v>
      </c>
      <c r="H83" s="64">
        <v>12.98</v>
      </c>
      <c r="I83" s="64">
        <v>2.2000000000000002</v>
      </c>
      <c r="J83" s="64">
        <v>0.73</v>
      </c>
      <c r="K83" s="64">
        <v>318.74</v>
      </c>
      <c r="L83" s="64">
        <v>31.46</v>
      </c>
      <c r="M83" s="64">
        <v>30.82</v>
      </c>
      <c r="N83" s="64">
        <v>15.5</v>
      </c>
      <c r="O83" s="64">
        <v>0</v>
      </c>
      <c r="P83" s="64">
        <v>0.45</v>
      </c>
      <c r="Q83" s="64">
        <v>10.17</v>
      </c>
      <c r="R83" s="198"/>
      <c r="S83" s="198"/>
      <c r="T83" s="198"/>
      <c r="U83" s="198"/>
    </row>
    <row r="84" spans="1:26" s="12" customFormat="1" x14ac:dyDescent="0.25">
      <c r="A84" s="216" t="s">
        <v>801</v>
      </c>
      <c r="B84" s="64">
        <v>6.18</v>
      </c>
      <c r="C84" s="64">
        <v>39.92</v>
      </c>
      <c r="D84" s="64">
        <v>25.73</v>
      </c>
      <c r="E84" s="64">
        <v>1.74</v>
      </c>
      <c r="F84" s="64">
        <v>4.21</v>
      </c>
      <c r="G84" s="64">
        <v>36.770000000000003</v>
      </c>
      <c r="H84" s="64">
        <v>14.61</v>
      </c>
      <c r="I84" s="64">
        <v>2.44</v>
      </c>
      <c r="J84" s="64">
        <v>0.67</v>
      </c>
      <c r="K84" s="64">
        <v>321.22000000000003</v>
      </c>
      <c r="L84" s="64">
        <v>31.16</v>
      </c>
      <c r="M84" s="64">
        <v>31.35</v>
      </c>
      <c r="N84" s="64">
        <v>15.4</v>
      </c>
      <c r="O84" s="64">
        <v>0</v>
      </c>
      <c r="P84" s="64">
        <v>0.47</v>
      </c>
      <c r="Q84" s="64">
        <v>10.19</v>
      </c>
      <c r="R84" s="198"/>
      <c r="S84" s="198"/>
      <c r="T84" s="198"/>
      <c r="U84" s="198"/>
    </row>
    <row r="85" spans="1:26" s="12" customFormat="1" x14ac:dyDescent="0.25">
      <c r="A85" s="216" t="s">
        <v>802</v>
      </c>
      <c r="B85" s="64">
        <v>7.19</v>
      </c>
      <c r="C85" s="64">
        <v>40.22</v>
      </c>
      <c r="D85" s="64">
        <v>26.69</v>
      </c>
      <c r="E85" s="64">
        <v>1.65</v>
      </c>
      <c r="F85" s="64">
        <v>3.88</v>
      </c>
      <c r="G85" s="64">
        <v>40.82</v>
      </c>
      <c r="H85" s="64">
        <v>15.75</v>
      </c>
      <c r="I85" s="64">
        <v>2.8</v>
      </c>
      <c r="J85" s="64">
        <v>0.38</v>
      </c>
      <c r="K85" s="64">
        <v>317.62</v>
      </c>
      <c r="L85" s="64">
        <v>31.44</v>
      </c>
      <c r="M85" s="64">
        <v>26.14</v>
      </c>
      <c r="N85" s="64">
        <v>15.6</v>
      </c>
      <c r="O85" s="64">
        <v>0</v>
      </c>
      <c r="P85" s="64">
        <v>0.5</v>
      </c>
      <c r="Q85" s="64">
        <v>10.199999999999999</v>
      </c>
      <c r="R85" s="198"/>
      <c r="S85" s="198"/>
      <c r="T85" s="198"/>
      <c r="U85" s="198"/>
    </row>
    <row r="86" spans="1:26" s="12" customFormat="1" x14ac:dyDescent="0.25">
      <c r="A86" s="216" t="s">
        <v>803</v>
      </c>
      <c r="B86" s="64">
        <v>8.61</v>
      </c>
      <c r="C86" s="64">
        <v>41.46</v>
      </c>
      <c r="D86" s="64">
        <v>28.48</v>
      </c>
      <c r="E86" s="64">
        <v>1.57</v>
      </c>
      <c r="F86" s="64">
        <v>3.72</v>
      </c>
      <c r="G86" s="64">
        <v>40.82</v>
      </c>
      <c r="H86" s="64">
        <v>15.75</v>
      </c>
      <c r="I86" s="64">
        <v>2.7</v>
      </c>
      <c r="J86" s="64">
        <v>0.37</v>
      </c>
      <c r="K86" s="64">
        <v>323.13</v>
      </c>
      <c r="L86" s="64">
        <v>32.33</v>
      </c>
      <c r="M86" s="64">
        <v>22.43</v>
      </c>
      <c r="N86" s="64">
        <v>15.2</v>
      </c>
      <c r="O86" s="64">
        <v>0</v>
      </c>
      <c r="P86" s="64">
        <v>0.56999999999999995</v>
      </c>
      <c r="Q86" s="64">
        <v>10.220000000000001</v>
      </c>
      <c r="R86" s="198"/>
      <c r="S86" s="198"/>
      <c r="T86" s="198"/>
      <c r="U86" s="198"/>
    </row>
    <row r="87" spans="1:26" s="12" customFormat="1" x14ac:dyDescent="0.25">
      <c r="A87" s="216" t="s">
        <v>804</v>
      </c>
      <c r="B87" s="64">
        <v>9.41</v>
      </c>
      <c r="C87" s="64">
        <v>40.44</v>
      </c>
      <c r="D87" s="64">
        <v>28.59</v>
      </c>
      <c r="E87" s="64">
        <v>1.78</v>
      </c>
      <c r="F87" s="64">
        <v>3.83</v>
      </c>
      <c r="G87" s="64">
        <v>40.82</v>
      </c>
      <c r="H87" s="64">
        <v>15.75</v>
      </c>
      <c r="I87" s="64">
        <v>2.98</v>
      </c>
      <c r="J87" s="64">
        <v>0.26</v>
      </c>
      <c r="K87" s="64">
        <v>346.35</v>
      </c>
      <c r="L87" s="64">
        <v>32.61</v>
      </c>
      <c r="M87" s="64">
        <v>22.03</v>
      </c>
      <c r="N87" s="64">
        <v>15.1</v>
      </c>
      <c r="O87" s="64">
        <v>0</v>
      </c>
      <c r="P87" s="64">
        <v>0.61</v>
      </c>
      <c r="Q87" s="64">
        <v>10.28</v>
      </c>
      <c r="R87" s="198"/>
      <c r="S87" s="198"/>
      <c r="T87" s="198"/>
      <c r="U87" s="198"/>
    </row>
    <row r="88" spans="1:26" s="12" customFormat="1" x14ac:dyDescent="0.25">
      <c r="A88" s="216" t="s">
        <v>805</v>
      </c>
      <c r="B88" s="64">
        <v>9.86</v>
      </c>
      <c r="C88" s="64">
        <v>39.700000000000003</v>
      </c>
      <c r="D88" s="64">
        <v>28.57</v>
      </c>
      <c r="E88" s="64">
        <v>2.69</v>
      </c>
      <c r="F88" s="64">
        <v>3.93</v>
      </c>
      <c r="G88" s="64">
        <v>42.67</v>
      </c>
      <c r="H88" s="64">
        <v>14.06</v>
      </c>
      <c r="I88" s="64">
        <v>3.3</v>
      </c>
      <c r="J88" s="64">
        <v>0.23</v>
      </c>
      <c r="K88" s="64">
        <v>320.3</v>
      </c>
      <c r="L88" s="64">
        <v>32.369999999999997</v>
      </c>
      <c r="M88" s="64">
        <v>22.83</v>
      </c>
      <c r="N88" s="64">
        <v>15.4</v>
      </c>
      <c r="O88" s="64">
        <v>0</v>
      </c>
      <c r="P88" s="64">
        <v>0.65</v>
      </c>
      <c r="Q88" s="64">
        <v>10.29</v>
      </c>
      <c r="R88" s="198"/>
      <c r="S88" s="198"/>
      <c r="T88" s="198"/>
      <c r="U88" s="198"/>
    </row>
    <row r="89" spans="1:26" s="12" customFormat="1" x14ac:dyDescent="0.25">
      <c r="A89" s="216" t="s">
        <v>806</v>
      </c>
      <c r="B89" s="64">
        <v>10.76</v>
      </c>
      <c r="C89" s="64">
        <v>39.65</v>
      </c>
      <c r="D89" s="64">
        <v>29.26</v>
      </c>
      <c r="E89" s="64">
        <v>1.52</v>
      </c>
      <c r="F89" s="64">
        <v>3.89</v>
      </c>
      <c r="G89" s="64">
        <v>43.96</v>
      </c>
      <c r="H89" s="64">
        <v>12.88</v>
      </c>
      <c r="I89" s="64">
        <v>3.5</v>
      </c>
      <c r="J89" s="64">
        <v>0.21</v>
      </c>
      <c r="K89" s="64">
        <v>349.77</v>
      </c>
      <c r="L89" s="64">
        <v>32.270000000000003</v>
      </c>
      <c r="M89" s="64">
        <v>23.47</v>
      </c>
      <c r="N89" s="64">
        <v>15.1</v>
      </c>
      <c r="O89" s="64">
        <v>0</v>
      </c>
      <c r="P89" s="64">
        <v>0.7</v>
      </c>
      <c r="Q89" s="64">
        <v>10.33</v>
      </c>
      <c r="R89" s="198"/>
      <c r="S89" s="198"/>
      <c r="T89" s="198"/>
      <c r="U89" s="198"/>
    </row>
    <row r="90" spans="1:26" s="12" customFormat="1" x14ac:dyDescent="0.25">
      <c r="A90" s="216" t="s">
        <v>807</v>
      </c>
      <c r="B90" s="64">
        <v>11.86</v>
      </c>
      <c r="C90" s="64">
        <v>39.22</v>
      </c>
      <c r="D90" s="64">
        <v>29.92</v>
      </c>
      <c r="E90" s="64">
        <v>1.85</v>
      </c>
      <c r="F90" s="64">
        <v>3.87</v>
      </c>
      <c r="G90" s="64">
        <v>43.96</v>
      </c>
      <c r="H90" s="64">
        <v>12.88</v>
      </c>
      <c r="I90" s="64">
        <v>3.99</v>
      </c>
      <c r="J90" s="64">
        <v>0.11</v>
      </c>
      <c r="K90" s="64">
        <v>278.48</v>
      </c>
      <c r="L90" s="64">
        <v>32.01</v>
      </c>
      <c r="M90" s="64">
        <v>23.97</v>
      </c>
      <c r="N90" s="64">
        <v>15.5</v>
      </c>
      <c r="O90" s="64">
        <v>0</v>
      </c>
      <c r="P90" s="64">
        <v>0.74</v>
      </c>
      <c r="Q90" s="64">
        <v>10.4</v>
      </c>
      <c r="R90" s="198"/>
      <c r="S90" s="198"/>
      <c r="T90" s="198"/>
      <c r="U90" s="198"/>
    </row>
    <row r="91" spans="1:26" s="12" customFormat="1" x14ac:dyDescent="0.25">
      <c r="A91" s="216" t="s">
        <v>808</v>
      </c>
      <c r="B91" s="64">
        <v>13.29</v>
      </c>
      <c r="C91" s="64">
        <v>38.57</v>
      </c>
      <c r="D91" s="64">
        <v>30.73</v>
      </c>
      <c r="E91" s="64">
        <v>1.65</v>
      </c>
      <c r="F91" s="64">
        <v>3.73</v>
      </c>
      <c r="G91" s="64">
        <v>43.96</v>
      </c>
      <c r="H91" s="64">
        <v>12.88</v>
      </c>
      <c r="I91" s="64">
        <v>4.5999999999999996</v>
      </c>
      <c r="J91" s="64">
        <v>0.24</v>
      </c>
      <c r="K91" s="64">
        <v>255.03</v>
      </c>
      <c r="L91" s="64">
        <v>31.14</v>
      </c>
      <c r="M91" s="64">
        <v>26.53</v>
      </c>
      <c r="N91" s="64">
        <v>15.5</v>
      </c>
      <c r="O91" s="64">
        <v>0</v>
      </c>
      <c r="P91" s="64">
        <v>0.76</v>
      </c>
      <c r="Q91" s="64">
        <v>10.42</v>
      </c>
      <c r="R91" s="198"/>
      <c r="S91" s="198"/>
      <c r="T91" s="198"/>
      <c r="U91" s="198"/>
    </row>
    <row r="92" spans="1:26" s="12" customFormat="1" x14ac:dyDescent="0.25">
      <c r="A92" s="216" t="s">
        <v>809</v>
      </c>
      <c r="B92" s="64">
        <v>14.31</v>
      </c>
      <c r="C92" s="64">
        <v>37.86</v>
      </c>
      <c r="D92" s="64">
        <v>31.18</v>
      </c>
      <c r="E92" s="64">
        <v>1.74</v>
      </c>
      <c r="F92" s="64">
        <v>3.59</v>
      </c>
      <c r="G92" s="64">
        <v>49.41</v>
      </c>
      <c r="H92" s="64">
        <v>14.67</v>
      </c>
      <c r="I92" s="64">
        <v>5.23</v>
      </c>
      <c r="J92" s="64">
        <v>7.0000000000000007E-2</v>
      </c>
      <c r="K92" s="64">
        <v>189.89</v>
      </c>
      <c r="L92" s="64">
        <v>31.47</v>
      </c>
      <c r="M92" s="64">
        <v>25.49</v>
      </c>
      <c r="N92" s="64">
        <v>15</v>
      </c>
      <c r="O92" s="64">
        <v>0</v>
      </c>
      <c r="P92" s="64">
        <v>0.77</v>
      </c>
      <c r="Q92" s="64">
        <v>10.45</v>
      </c>
      <c r="R92" s="198"/>
      <c r="S92" s="198"/>
      <c r="T92" s="198"/>
      <c r="U92" s="198"/>
    </row>
    <row r="93" spans="1:26" s="12" customFormat="1" x14ac:dyDescent="0.25">
      <c r="A93" s="216" t="s">
        <v>810</v>
      </c>
      <c r="B93" s="64">
        <v>14.59</v>
      </c>
      <c r="C93" s="64">
        <v>37.65</v>
      </c>
      <c r="D93" s="64">
        <v>31.29</v>
      </c>
      <c r="E93" s="64">
        <v>1.5</v>
      </c>
      <c r="F93" s="64">
        <v>3.3</v>
      </c>
      <c r="G93" s="64">
        <v>53.21</v>
      </c>
      <c r="H93" s="64">
        <v>15.92</v>
      </c>
      <c r="I93" s="64">
        <v>5.72</v>
      </c>
      <c r="J93" s="64">
        <v>0.09</v>
      </c>
      <c r="K93" s="64">
        <v>2.4300000000000002</v>
      </c>
      <c r="L93" s="64">
        <v>31.02</v>
      </c>
      <c r="M93" s="64">
        <v>27.95</v>
      </c>
      <c r="N93" s="64">
        <v>15.2</v>
      </c>
      <c r="O93" s="64">
        <v>0</v>
      </c>
      <c r="P93" s="64">
        <v>0.79</v>
      </c>
      <c r="Q93" s="64">
        <v>10.48</v>
      </c>
      <c r="R93" s="198"/>
      <c r="S93" s="198"/>
      <c r="T93" s="198"/>
      <c r="U93" s="198"/>
    </row>
    <row r="94" spans="1:26" s="12" customFormat="1" x14ac:dyDescent="0.25">
      <c r="A94" s="216" t="s">
        <v>811</v>
      </c>
      <c r="B94" s="64">
        <v>15.31</v>
      </c>
      <c r="C94" s="64">
        <v>36.49</v>
      </c>
      <c r="D94" s="64">
        <v>31.26</v>
      </c>
      <c r="E94" s="64">
        <v>1.47</v>
      </c>
      <c r="F94" s="64">
        <v>3.33</v>
      </c>
      <c r="G94" s="64">
        <v>53.21</v>
      </c>
      <c r="H94" s="64">
        <v>15.92</v>
      </c>
      <c r="I94" s="64">
        <v>6.08</v>
      </c>
      <c r="J94" s="64">
        <v>0.1</v>
      </c>
      <c r="K94" s="64">
        <v>306.92</v>
      </c>
      <c r="L94" s="64">
        <v>30.47</v>
      </c>
      <c r="M94" s="64">
        <v>31.92</v>
      </c>
      <c r="N94" s="64">
        <v>15.5</v>
      </c>
      <c r="O94" s="64">
        <v>0</v>
      </c>
      <c r="P94" s="64">
        <v>0.83</v>
      </c>
      <c r="Q94" s="64">
        <v>10.5</v>
      </c>
      <c r="R94" s="198"/>
      <c r="S94" s="198"/>
      <c r="T94" s="198"/>
      <c r="U94" s="198"/>
    </row>
    <row r="95" spans="1:26" s="12" customFormat="1" x14ac:dyDescent="0.25">
      <c r="A95" s="216" t="s">
        <v>812</v>
      </c>
      <c r="B95" s="64">
        <v>16.600000000000001</v>
      </c>
      <c r="C95" s="64">
        <v>34.44</v>
      </c>
      <c r="D95" s="64">
        <v>31.22</v>
      </c>
      <c r="E95" s="64">
        <v>1.89</v>
      </c>
      <c r="F95" s="64">
        <v>3.66</v>
      </c>
      <c r="G95" s="64">
        <v>53.21</v>
      </c>
      <c r="H95" s="64">
        <v>15.92</v>
      </c>
      <c r="I95" s="64">
        <v>6.91</v>
      </c>
      <c r="J95" s="64">
        <v>0.08</v>
      </c>
      <c r="K95" s="64">
        <v>170.42</v>
      </c>
      <c r="L95" s="64">
        <v>29.46</v>
      </c>
      <c r="M95" s="64">
        <v>35.01</v>
      </c>
      <c r="N95" s="64">
        <v>15.2</v>
      </c>
      <c r="O95" s="64">
        <v>0</v>
      </c>
      <c r="P95" s="64">
        <v>0.9</v>
      </c>
      <c r="Q95" s="64">
        <v>10.45</v>
      </c>
      <c r="R95" s="198"/>
      <c r="S95" s="198"/>
      <c r="T95" s="198"/>
      <c r="U95" s="198"/>
    </row>
    <row r="96" spans="1:26" s="12" customFormat="1" x14ac:dyDescent="0.25">
      <c r="A96" s="216" t="s">
        <v>813</v>
      </c>
      <c r="B96" s="64">
        <v>18.579999999999998</v>
      </c>
      <c r="C96" s="64">
        <v>35.049999999999997</v>
      </c>
      <c r="D96" s="64">
        <v>33.130000000000003</v>
      </c>
      <c r="E96" s="64">
        <v>1.73</v>
      </c>
      <c r="F96" s="64">
        <v>3.34</v>
      </c>
      <c r="G96" s="64">
        <v>62.45</v>
      </c>
      <c r="H96" s="64">
        <v>17.760000000000002</v>
      </c>
      <c r="I96" s="64">
        <v>7.67</v>
      </c>
      <c r="J96" s="64">
        <v>0.17</v>
      </c>
      <c r="K96" s="64">
        <v>341.65</v>
      </c>
      <c r="L96" s="64">
        <v>29.49</v>
      </c>
      <c r="M96" s="64">
        <v>31.91</v>
      </c>
      <c r="N96" s="64">
        <v>15.6</v>
      </c>
      <c r="O96" s="64">
        <v>0</v>
      </c>
      <c r="P96" s="64">
        <v>0.93</v>
      </c>
      <c r="Q96" s="64">
        <v>10.46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814</v>
      </c>
      <c r="B97" s="64">
        <v>22.34</v>
      </c>
      <c r="C97" s="64">
        <v>35.83</v>
      </c>
      <c r="D97" s="64">
        <v>36.56</v>
      </c>
      <c r="E97" s="64">
        <v>1.67</v>
      </c>
      <c r="F97" s="64">
        <v>3.16</v>
      </c>
      <c r="G97" s="64">
        <v>68.89</v>
      </c>
      <c r="H97" s="64">
        <v>19.05</v>
      </c>
      <c r="I97" s="64">
        <v>8.15</v>
      </c>
      <c r="J97" s="64">
        <v>0.13</v>
      </c>
      <c r="K97" s="64">
        <v>308.19</v>
      </c>
      <c r="L97" s="64">
        <v>29.5</v>
      </c>
      <c r="M97" s="64">
        <v>31.21</v>
      </c>
      <c r="N97" s="64">
        <v>15.3</v>
      </c>
      <c r="O97" s="64">
        <v>0</v>
      </c>
      <c r="P97" s="64">
        <v>0.99</v>
      </c>
      <c r="Q97" s="64">
        <v>10.5</v>
      </c>
      <c r="R97" s="198"/>
      <c r="S97" s="198"/>
      <c r="T97" s="198"/>
      <c r="U97" s="198"/>
    </row>
    <row r="98" spans="1:33" s="12" customFormat="1" x14ac:dyDescent="0.25">
      <c r="A98" s="216" t="s">
        <v>815</v>
      </c>
      <c r="B98" s="64">
        <v>24.72</v>
      </c>
      <c r="C98" s="64">
        <v>35.78</v>
      </c>
      <c r="D98" s="64">
        <v>38.44</v>
      </c>
      <c r="E98" s="64">
        <v>2.16</v>
      </c>
      <c r="F98" s="64">
        <v>3.47</v>
      </c>
      <c r="G98" s="64">
        <v>68.89</v>
      </c>
      <c r="H98" s="64">
        <v>19.05</v>
      </c>
      <c r="I98" s="64">
        <v>8.24</v>
      </c>
      <c r="J98" s="64">
        <v>0.11</v>
      </c>
      <c r="K98" s="64">
        <v>190.22</v>
      </c>
      <c r="L98" s="64">
        <v>30.09</v>
      </c>
      <c r="M98" s="64">
        <v>29</v>
      </c>
      <c r="N98" s="64">
        <v>14.6</v>
      </c>
      <c r="O98" s="64">
        <v>0</v>
      </c>
      <c r="P98" s="64">
        <v>1</v>
      </c>
      <c r="Q98" s="64">
        <v>10.6</v>
      </c>
      <c r="R98" s="198"/>
      <c r="S98" s="198"/>
      <c r="T98" s="198"/>
      <c r="U98" s="198"/>
    </row>
    <row r="99" spans="1:33" s="12" customFormat="1" x14ac:dyDescent="0.25">
      <c r="A99" s="216" t="s">
        <v>816</v>
      </c>
      <c r="B99" s="64">
        <v>23.67</v>
      </c>
      <c r="C99" s="64">
        <v>36.85</v>
      </c>
      <c r="D99" s="64">
        <v>38.15</v>
      </c>
      <c r="E99" s="64">
        <v>1.97</v>
      </c>
      <c r="F99" s="64">
        <v>3.63</v>
      </c>
      <c r="G99" s="64">
        <v>68.89</v>
      </c>
      <c r="H99" s="64">
        <v>19.05</v>
      </c>
      <c r="I99" s="64">
        <v>8.32</v>
      </c>
      <c r="J99" s="64">
        <v>0.06</v>
      </c>
      <c r="K99" s="64">
        <v>318.11</v>
      </c>
      <c r="L99" s="64">
        <v>29.86</v>
      </c>
      <c r="M99" s="64">
        <v>29.36</v>
      </c>
      <c r="N99" s="64">
        <v>15.1</v>
      </c>
      <c r="O99" s="64">
        <v>0</v>
      </c>
      <c r="P99" s="64">
        <v>0.98</v>
      </c>
      <c r="Q99" s="64">
        <v>10.68</v>
      </c>
      <c r="R99" s="198"/>
      <c r="S99" s="198"/>
      <c r="T99" s="198"/>
      <c r="U99" s="198"/>
    </row>
    <row r="100" spans="1:33" s="12" customFormat="1" x14ac:dyDescent="0.25">
      <c r="A100" s="216" t="s">
        <v>817</v>
      </c>
      <c r="B100" s="64">
        <v>22.68</v>
      </c>
      <c r="C100" s="64">
        <v>37.119999999999997</v>
      </c>
      <c r="D100" s="64">
        <v>37.5</v>
      </c>
      <c r="E100" s="64">
        <v>2.1</v>
      </c>
      <c r="F100" s="64">
        <v>3.31</v>
      </c>
      <c r="G100" s="64">
        <v>71.42</v>
      </c>
      <c r="H100" s="64">
        <v>20.96</v>
      </c>
      <c r="I100" s="64">
        <v>8.26</v>
      </c>
      <c r="J100" s="64">
        <v>0.12</v>
      </c>
      <c r="K100" s="64">
        <v>300.94</v>
      </c>
      <c r="L100" s="64">
        <v>29.54</v>
      </c>
      <c r="M100" s="64">
        <v>30.22</v>
      </c>
      <c r="N100" s="64">
        <v>15.4</v>
      </c>
      <c r="O100" s="64">
        <v>0</v>
      </c>
      <c r="P100" s="64">
        <v>0.97</v>
      </c>
      <c r="Q100" s="64">
        <v>10.68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818</v>
      </c>
      <c r="B101" s="64">
        <v>22.43</v>
      </c>
      <c r="C101" s="64">
        <v>37.17</v>
      </c>
      <c r="D101" s="64">
        <v>37.33</v>
      </c>
      <c r="E101" s="64">
        <v>1.74</v>
      </c>
      <c r="F101" s="64">
        <v>3.45</v>
      </c>
      <c r="G101" s="64">
        <v>73.180000000000007</v>
      </c>
      <c r="H101" s="64">
        <v>22.3</v>
      </c>
      <c r="I101" s="64">
        <v>8.17</v>
      </c>
      <c r="J101" s="64">
        <v>0.02</v>
      </c>
      <c r="K101" s="64">
        <v>334.39</v>
      </c>
      <c r="L101" s="64">
        <v>29.32</v>
      </c>
      <c r="M101" s="64">
        <v>30.71</v>
      </c>
      <c r="N101" s="64">
        <v>15.3</v>
      </c>
      <c r="O101" s="64">
        <v>0</v>
      </c>
      <c r="P101" s="64">
        <v>0.96</v>
      </c>
      <c r="Q101" s="64">
        <v>10.74</v>
      </c>
      <c r="R101" s="198"/>
      <c r="S101" s="198"/>
      <c r="T101" s="198"/>
      <c r="U101" s="198"/>
    </row>
    <row r="102" spans="1:33" s="12" customFormat="1" x14ac:dyDescent="0.25">
      <c r="A102" s="216" t="s">
        <v>819</v>
      </c>
      <c r="B102" s="64">
        <v>22.28</v>
      </c>
      <c r="C102" s="64">
        <v>37</v>
      </c>
      <c r="D102" s="64">
        <v>37.119999999999997</v>
      </c>
      <c r="E102" s="64">
        <v>1.77</v>
      </c>
      <c r="F102" s="64">
        <v>3.56</v>
      </c>
      <c r="G102" s="64">
        <v>73.180000000000007</v>
      </c>
      <c r="H102" s="64">
        <v>22.3</v>
      </c>
      <c r="I102" s="64">
        <v>8.07</v>
      </c>
      <c r="J102" s="64">
        <v>0.18</v>
      </c>
      <c r="K102" s="64">
        <v>340.47</v>
      </c>
      <c r="L102" s="64">
        <v>28.81</v>
      </c>
      <c r="M102" s="64">
        <v>34.24</v>
      </c>
      <c r="N102" s="64">
        <v>15.5</v>
      </c>
      <c r="O102" s="64">
        <v>0</v>
      </c>
      <c r="P102" s="64">
        <v>0.95</v>
      </c>
      <c r="Q102" s="64">
        <v>10.68</v>
      </c>
      <c r="R102" s="198"/>
      <c r="S102" s="198"/>
      <c r="T102" s="198"/>
      <c r="U102" s="198"/>
    </row>
    <row r="103" spans="1:33" s="12" customFormat="1" x14ac:dyDescent="0.25">
      <c r="A103" s="216" t="s">
        <v>820</v>
      </c>
      <c r="B103" s="64">
        <v>23.11</v>
      </c>
      <c r="C103" s="64">
        <v>36.81</v>
      </c>
      <c r="D103" s="64">
        <v>37.69</v>
      </c>
      <c r="E103" s="64">
        <v>1.75</v>
      </c>
      <c r="F103" s="64">
        <v>3.27</v>
      </c>
      <c r="G103" s="64">
        <v>73.180000000000007</v>
      </c>
      <c r="H103" s="64">
        <v>22.3</v>
      </c>
      <c r="I103" s="64">
        <v>7.99</v>
      </c>
      <c r="J103" s="64">
        <v>0.08</v>
      </c>
      <c r="K103" s="64">
        <v>359.9</v>
      </c>
      <c r="L103" s="64">
        <v>28.82</v>
      </c>
      <c r="M103" s="64">
        <v>33.049999999999997</v>
      </c>
      <c r="N103" s="64">
        <v>14.8</v>
      </c>
      <c r="O103" s="64">
        <v>0</v>
      </c>
      <c r="P103" s="64">
        <v>0.93</v>
      </c>
      <c r="Q103" s="64">
        <v>10.7</v>
      </c>
      <c r="R103" s="198"/>
      <c r="S103" s="198"/>
      <c r="T103" s="198"/>
      <c r="U103" s="198"/>
    </row>
    <row r="104" spans="1:33" s="12" customFormat="1" x14ac:dyDescent="0.25">
      <c r="A104" s="216" t="s">
        <v>821</v>
      </c>
      <c r="B104" s="64">
        <v>21.55</v>
      </c>
      <c r="C104" s="64">
        <v>37.47</v>
      </c>
      <c r="D104" s="64">
        <v>36.78</v>
      </c>
      <c r="E104" s="64">
        <v>1.97</v>
      </c>
      <c r="F104" s="64">
        <v>3.55</v>
      </c>
      <c r="G104" s="64">
        <v>78.94</v>
      </c>
      <c r="H104" s="64">
        <v>21.88</v>
      </c>
      <c r="I104" s="64">
        <v>7.88</v>
      </c>
      <c r="J104" s="64">
        <v>0.12</v>
      </c>
      <c r="K104" s="64">
        <v>4.8899999999999997</v>
      </c>
      <c r="L104" s="64">
        <v>29.79</v>
      </c>
      <c r="M104" s="64">
        <v>30.31</v>
      </c>
      <c r="N104" s="64">
        <v>14.8</v>
      </c>
      <c r="O104" s="64">
        <v>0</v>
      </c>
      <c r="P104" s="64">
        <v>0.9</v>
      </c>
      <c r="Q104" s="64">
        <v>10.77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2.5299999999999998</v>
      </c>
      <c r="C106" s="67">
        <f>MIN(C9:C104)</f>
        <v>24.46</v>
      </c>
      <c r="D106" s="67">
        <f t="shared" ref="D106:Q106" si="0">MIN(D9:D104)</f>
        <v>17.05</v>
      </c>
      <c r="E106" s="67">
        <f t="shared" si="0"/>
        <v>1.23</v>
      </c>
      <c r="F106" s="67">
        <f t="shared" si="0"/>
        <v>3.16</v>
      </c>
      <c r="G106" s="67">
        <f t="shared" si="0"/>
        <v>30.97</v>
      </c>
      <c r="H106" s="67">
        <f t="shared" si="0"/>
        <v>12.88</v>
      </c>
      <c r="I106" s="67">
        <f t="shared" si="0"/>
        <v>1.91</v>
      </c>
      <c r="J106" s="67">
        <f t="shared" si="0"/>
        <v>0.02</v>
      </c>
      <c r="K106" s="67">
        <f t="shared" si="0"/>
        <v>2.4300000000000002</v>
      </c>
      <c r="L106" s="67">
        <f t="shared" si="0"/>
        <v>28.23</v>
      </c>
      <c r="M106" s="67">
        <f t="shared" si="0"/>
        <v>14.91</v>
      </c>
      <c r="N106" s="67">
        <f t="shared" si="0"/>
        <v>14.6</v>
      </c>
      <c r="O106" s="67">
        <f t="shared" si="0"/>
        <v>0</v>
      </c>
      <c r="P106" s="67">
        <f t="shared" si="0"/>
        <v>0.33</v>
      </c>
      <c r="Q106" s="67">
        <f t="shared" si="0"/>
        <v>9.9600000000000009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24.72</v>
      </c>
      <c r="C107" s="66">
        <f t="shared" ref="C107:Q107" si="1">MAX(C9:C104)</f>
        <v>48.11</v>
      </c>
      <c r="D107" s="66">
        <f t="shared" si="1"/>
        <v>38.44</v>
      </c>
      <c r="E107" s="66">
        <f t="shared" si="1"/>
        <v>5.0599999999999996</v>
      </c>
      <c r="F107" s="66">
        <f t="shared" si="1"/>
        <v>35.42</v>
      </c>
      <c r="G107" s="66">
        <f t="shared" si="1"/>
        <v>78.94</v>
      </c>
      <c r="H107" s="66">
        <f t="shared" si="1"/>
        <v>27.52</v>
      </c>
      <c r="I107" s="66">
        <f t="shared" si="1"/>
        <v>8.32</v>
      </c>
      <c r="J107" s="66">
        <f t="shared" si="1"/>
        <v>1.01</v>
      </c>
      <c r="K107" s="66">
        <f t="shared" si="1"/>
        <v>359.9</v>
      </c>
      <c r="L107" s="66">
        <f t="shared" si="1"/>
        <v>40.69</v>
      </c>
      <c r="M107" s="66">
        <f t="shared" si="1"/>
        <v>43.64</v>
      </c>
      <c r="N107" s="66">
        <f t="shared" si="1"/>
        <v>929.3</v>
      </c>
      <c r="O107" s="66">
        <f t="shared" si="1"/>
        <v>0</v>
      </c>
      <c r="P107" s="66">
        <f t="shared" si="1"/>
        <v>1</v>
      </c>
      <c r="Q107" s="66">
        <f t="shared" si="1"/>
        <v>10.77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8.1927083333333321</v>
      </c>
      <c r="C108" s="67">
        <f t="shared" ref="C108:Q108" si="2">AVERAGE(C9:C104)</f>
        <v>34.224479166666669</v>
      </c>
      <c r="D108" s="67">
        <f t="shared" si="2"/>
        <v>24.370833333333337</v>
      </c>
      <c r="E108" s="67">
        <f t="shared" si="2"/>
        <v>1.9366666666666668</v>
      </c>
      <c r="F108" s="67">
        <f t="shared" si="2"/>
        <v>7.0380208333333343</v>
      </c>
      <c r="G108" s="67">
        <f t="shared" si="2"/>
        <v>57.200416666666683</v>
      </c>
      <c r="H108" s="67">
        <f t="shared" si="2"/>
        <v>20.52354166666667</v>
      </c>
      <c r="I108" s="67">
        <f t="shared" si="2"/>
        <v>4.9036458333333375</v>
      </c>
      <c r="J108" s="67">
        <f t="shared" si="2"/>
        <v>0.31989583333333343</v>
      </c>
      <c r="K108" s="67">
        <f t="shared" si="2"/>
        <v>266.28937500000006</v>
      </c>
      <c r="L108" s="67">
        <f t="shared" si="2"/>
        <v>32.648541666666652</v>
      </c>
      <c r="M108" s="67">
        <f t="shared" si="2"/>
        <v>27.618333333333325</v>
      </c>
      <c r="N108" s="67">
        <f t="shared" si="2"/>
        <v>208.63645833333331</v>
      </c>
      <c r="O108" s="67">
        <f t="shared" si="2"/>
        <v>0</v>
      </c>
      <c r="P108" s="67">
        <f t="shared" si="2"/>
        <v>0.59468750000000037</v>
      </c>
      <c r="Q108" s="67">
        <f t="shared" si="2"/>
        <v>10.250416666666666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5.3658951240642212</v>
      </c>
      <c r="C109" s="67">
        <f t="shared" ref="C109:Q109" si="3">STDEV(C9:C104)</f>
        <v>5.8756892307543991</v>
      </c>
      <c r="D109" s="67">
        <f t="shared" si="3"/>
        <v>5.5972127775521114</v>
      </c>
      <c r="E109" s="67">
        <f t="shared" si="3"/>
        <v>0.52503767617525299</v>
      </c>
      <c r="F109" s="67">
        <f t="shared" si="3"/>
        <v>6.0065163946801476</v>
      </c>
      <c r="G109" s="67">
        <f t="shared" si="3"/>
        <v>12.923191060762854</v>
      </c>
      <c r="H109" s="67">
        <f t="shared" si="3"/>
        <v>3.8156654877013052</v>
      </c>
      <c r="I109" s="67">
        <f t="shared" si="3"/>
        <v>2.0054090643434392</v>
      </c>
      <c r="J109" s="67">
        <f t="shared" si="3"/>
        <v>0.23652971235039663</v>
      </c>
      <c r="K109" s="67">
        <f t="shared" si="3"/>
        <v>118.29457173836477</v>
      </c>
      <c r="L109" s="67">
        <f t="shared" si="3"/>
        <v>4.1350990516150521</v>
      </c>
      <c r="M109" s="67">
        <f t="shared" si="3"/>
        <v>9.3546248248679422</v>
      </c>
      <c r="N109" s="67">
        <f t="shared" si="3"/>
        <v>301.79851386742729</v>
      </c>
      <c r="O109" s="67">
        <f t="shared" si="3"/>
        <v>0</v>
      </c>
      <c r="P109" s="67">
        <f t="shared" si="3"/>
        <v>0.20098679257471941</v>
      </c>
      <c r="Q109" s="67">
        <f t="shared" si="3"/>
        <v>0.17220499819549007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822</v>
      </c>
      <c r="B9" s="64">
        <v>19.61</v>
      </c>
      <c r="C9" s="64">
        <v>37.11</v>
      </c>
      <c r="D9" s="64">
        <v>35.03</v>
      </c>
      <c r="E9" s="64">
        <v>1.64</v>
      </c>
      <c r="F9" s="64">
        <v>3.79</v>
      </c>
      <c r="G9" s="64">
        <v>82.96</v>
      </c>
      <c r="H9" s="64">
        <v>21.59</v>
      </c>
      <c r="I9" s="64">
        <v>7.76</v>
      </c>
      <c r="J9" s="64">
        <v>0.16</v>
      </c>
      <c r="K9" s="64">
        <v>7.53</v>
      </c>
      <c r="L9" s="64">
        <v>29.46</v>
      </c>
      <c r="M9" s="64">
        <v>31.79</v>
      </c>
      <c r="N9" s="64">
        <v>15.3</v>
      </c>
      <c r="O9" s="64">
        <v>0</v>
      </c>
      <c r="P9" s="64">
        <v>0.86</v>
      </c>
      <c r="Q9" s="64">
        <v>10.75</v>
      </c>
      <c r="R9" s="198"/>
      <c r="S9" s="198"/>
      <c r="T9" s="198"/>
      <c r="U9" s="198"/>
    </row>
    <row r="10" spans="1:21" s="12" customFormat="1" x14ac:dyDescent="0.25">
      <c r="A10" s="216" t="s">
        <v>823</v>
      </c>
      <c r="B10" s="64">
        <v>18.25</v>
      </c>
      <c r="C10" s="64">
        <v>35.61</v>
      </c>
      <c r="D10" s="64">
        <v>33.159999999999997</v>
      </c>
      <c r="E10" s="64">
        <v>1.42</v>
      </c>
      <c r="F10" s="64">
        <v>3.76</v>
      </c>
      <c r="G10" s="64">
        <v>82.96</v>
      </c>
      <c r="H10" s="64">
        <v>21.59</v>
      </c>
      <c r="I10" s="64">
        <v>7.44</v>
      </c>
      <c r="J10" s="64">
        <v>0.09</v>
      </c>
      <c r="K10" s="64">
        <v>0.32</v>
      </c>
      <c r="L10" s="64">
        <v>29.39</v>
      </c>
      <c r="M10" s="64">
        <v>31.99</v>
      </c>
      <c r="N10" s="64">
        <v>15.2</v>
      </c>
      <c r="O10" s="64">
        <v>0</v>
      </c>
      <c r="P10" s="64">
        <v>0.83</v>
      </c>
      <c r="Q10" s="64">
        <v>10.7</v>
      </c>
      <c r="R10" s="198"/>
      <c r="S10" s="198"/>
      <c r="T10" s="198"/>
      <c r="U10" s="198"/>
    </row>
    <row r="11" spans="1:21" s="12" customFormat="1" x14ac:dyDescent="0.25">
      <c r="A11" s="216" t="s">
        <v>824</v>
      </c>
      <c r="B11" s="64">
        <v>17.16</v>
      </c>
      <c r="C11" s="64">
        <v>35.22</v>
      </c>
      <c r="D11" s="64">
        <v>32.090000000000003</v>
      </c>
      <c r="E11" s="64">
        <v>1.61</v>
      </c>
      <c r="F11" s="64">
        <v>3.6</v>
      </c>
      <c r="G11" s="64">
        <v>82.96</v>
      </c>
      <c r="H11" s="64">
        <v>21.59</v>
      </c>
      <c r="I11" s="64">
        <v>6.87</v>
      </c>
      <c r="J11" s="64">
        <v>0.08</v>
      </c>
      <c r="K11" s="64">
        <v>7.57</v>
      </c>
      <c r="L11" s="64">
        <v>29.44</v>
      </c>
      <c r="M11" s="64">
        <v>32.11</v>
      </c>
      <c r="N11" s="64">
        <v>15.4</v>
      </c>
      <c r="O11" s="64">
        <v>0</v>
      </c>
      <c r="P11" s="64">
        <v>0.8</v>
      </c>
      <c r="Q11" s="64">
        <v>10.7</v>
      </c>
      <c r="R11" s="198"/>
      <c r="S11" s="198"/>
      <c r="T11" s="198"/>
      <c r="U11" s="198"/>
    </row>
    <row r="12" spans="1:21" s="12" customFormat="1" x14ac:dyDescent="0.25">
      <c r="A12" s="216" t="s">
        <v>825</v>
      </c>
      <c r="B12" s="64">
        <v>16.02</v>
      </c>
      <c r="C12" s="64">
        <v>34.549999999999997</v>
      </c>
      <c r="D12" s="64">
        <v>30.82</v>
      </c>
      <c r="E12" s="64">
        <v>1.27</v>
      </c>
      <c r="F12" s="64">
        <v>3.6</v>
      </c>
      <c r="G12" s="64">
        <v>71.52</v>
      </c>
      <c r="H12" s="64">
        <v>20.45</v>
      </c>
      <c r="I12" s="64">
        <v>6.54</v>
      </c>
      <c r="J12" s="64">
        <v>0.12</v>
      </c>
      <c r="K12" s="64">
        <v>9.44</v>
      </c>
      <c r="L12" s="64">
        <v>29.46</v>
      </c>
      <c r="M12" s="64">
        <v>32.090000000000003</v>
      </c>
      <c r="N12" s="64">
        <v>15.1</v>
      </c>
      <c r="O12" s="64">
        <v>0</v>
      </c>
      <c r="P12" s="64">
        <v>0.78</v>
      </c>
      <c r="Q12" s="64">
        <v>10.72</v>
      </c>
      <c r="R12" s="198"/>
      <c r="S12" s="198"/>
      <c r="T12" s="198"/>
      <c r="U12" s="198"/>
    </row>
    <row r="13" spans="1:21" s="12" customFormat="1" x14ac:dyDescent="0.25">
      <c r="A13" s="216" t="s">
        <v>826</v>
      </c>
      <c r="B13" s="64">
        <v>14.76</v>
      </c>
      <c r="C13" s="64">
        <v>34.380000000000003</v>
      </c>
      <c r="D13" s="64">
        <v>29.72</v>
      </c>
      <c r="E13" s="64">
        <v>1.6</v>
      </c>
      <c r="F13" s="64">
        <v>3.7</v>
      </c>
      <c r="G13" s="64">
        <v>63.53</v>
      </c>
      <c r="H13" s="64">
        <v>19.66</v>
      </c>
      <c r="I13" s="64">
        <v>6.49</v>
      </c>
      <c r="J13" s="64">
        <v>0.08</v>
      </c>
      <c r="K13" s="64">
        <v>329.61</v>
      </c>
      <c r="L13" s="64">
        <v>29.41</v>
      </c>
      <c r="M13" s="64">
        <v>32.44</v>
      </c>
      <c r="N13" s="64">
        <v>15.4</v>
      </c>
      <c r="O13" s="64">
        <v>0</v>
      </c>
      <c r="P13" s="64">
        <v>0.69</v>
      </c>
      <c r="Q13" s="64">
        <v>10.69</v>
      </c>
      <c r="R13" s="198"/>
      <c r="S13" s="198"/>
      <c r="T13" s="198"/>
      <c r="U13" s="198"/>
    </row>
    <row r="14" spans="1:21" s="12" customFormat="1" x14ac:dyDescent="0.25">
      <c r="A14" s="216" t="s">
        <v>827</v>
      </c>
      <c r="B14" s="64">
        <v>13.68</v>
      </c>
      <c r="C14" s="64">
        <v>33.58</v>
      </c>
      <c r="D14" s="64">
        <v>28.43</v>
      </c>
      <c r="E14" s="64">
        <v>1.1299999999999999</v>
      </c>
      <c r="F14" s="64">
        <v>3.81</v>
      </c>
      <c r="G14" s="64">
        <v>63.53</v>
      </c>
      <c r="H14" s="64">
        <v>19.66</v>
      </c>
      <c r="I14" s="64">
        <v>6.87</v>
      </c>
      <c r="J14" s="64">
        <v>0.01</v>
      </c>
      <c r="K14" s="64">
        <v>350.46</v>
      </c>
      <c r="L14" s="64">
        <v>29.35</v>
      </c>
      <c r="M14" s="64">
        <v>32.68</v>
      </c>
      <c r="N14" s="64">
        <v>15.1</v>
      </c>
      <c r="O14" s="64">
        <v>0</v>
      </c>
      <c r="P14" s="64">
        <v>0.69</v>
      </c>
      <c r="Q14" s="64">
        <v>10.7</v>
      </c>
      <c r="R14" s="198"/>
      <c r="S14" s="198"/>
      <c r="T14" s="198"/>
      <c r="U14" s="198"/>
    </row>
    <row r="15" spans="1:21" s="12" customFormat="1" x14ac:dyDescent="0.25">
      <c r="A15" s="216" t="s">
        <v>828</v>
      </c>
      <c r="B15" s="64">
        <v>12.07</v>
      </c>
      <c r="C15" s="64">
        <v>33.340000000000003</v>
      </c>
      <c r="D15" s="64">
        <v>27.02</v>
      </c>
      <c r="E15" s="64">
        <v>1.57</v>
      </c>
      <c r="F15" s="64">
        <v>3.73</v>
      </c>
      <c r="G15" s="64">
        <v>63.53</v>
      </c>
      <c r="H15" s="64">
        <v>19.66</v>
      </c>
      <c r="I15" s="64">
        <v>7.11</v>
      </c>
      <c r="J15" s="64">
        <v>0.11</v>
      </c>
      <c r="K15" s="64">
        <v>15.08</v>
      </c>
      <c r="L15" s="64">
        <v>29.34</v>
      </c>
      <c r="M15" s="64">
        <v>32.4</v>
      </c>
      <c r="N15" s="64">
        <v>15.4</v>
      </c>
      <c r="O15" s="64">
        <v>0</v>
      </c>
      <c r="P15" s="64">
        <v>0.66</v>
      </c>
      <c r="Q15" s="64">
        <v>10.65</v>
      </c>
      <c r="R15" s="198"/>
      <c r="S15" s="198"/>
      <c r="T15" s="198"/>
      <c r="U15" s="198"/>
    </row>
    <row r="16" spans="1:21" s="12" customFormat="1" x14ac:dyDescent="0.25">
      <c r="A16" s="216" t="s">
        <v>829</v>
      </c>
      <c r="B16" s="64">
        <v>10.67</v>
      </c>
      <c r="C16" s="64">
        <v>32.92</v>
      </c>
      <c r="D16" s="64">
        <v>25.67</v>
      </c>
      <c r="E16" s="64">
        <v>1.84</v>
      </c>
      <c r="F16" s="64">
        <v>3.93</v>
      </c>
      <c r="G16" s="64">
        <v>55.84</v>
      </c>
      <c r="H16" s="64">
        <v>18.38</v>
      </c>
      <c r="I16" s="64">
        <v>6.99</v>
      </c>
      <c r="J16" s="64">
        <v>0.06</v>
      </c>
      <c r="K16" s="64">
        <v>262.39</v>
      </c>
      <c r="L16" s="64">
        <v>29.02</v>
      </c>
      <c r="M16" s="64">
        <v>33.1</v>
      </c>
      <c r="N16" s="64">
        <v>15.5</v>
      </c>
      <c r="O16" s="64">
        <v>0</v>
      </c>
      <c r="P16" s="64">
        <v>0.63</v>
      </c>
      <c r="Q16" s="64">
        <v>10.62</v>
      </c>
      <c r="R16" s="198"/>
      <c r="S16" s="198"/>
      <c r="T16" s="198"/>
      <c r="U16" s="198"/>
    </row>
    <row r="17" spans="1:21" s="12" customFormat="1" x14ac:dyDescent="0.25">
      <c r="A17" s="216" t="s">
        <v>830</v>
      </c>
      <c r="B17" s="64">
        <v>9.8000000000000007</v>
      </c>
      <c r="C17" s="64">
        <v>32.590000000000003</v>
      </c>
      <c r="D17" s="64">
        <v>24.81</v>
      </c>
      <c r="E17" s="64">
        <v>1.29</v>
      </c>
      <c r="F17" s="64">
        <v>3.74</v>
      </c>
      <c r="G17" s="64">
        <v>50.47</v>
      </c>
      <c r="H17" s="64">
        <v>17.489999999999998</v>
      </c>
      <c r="I17" s="64">
        <v>7.04</v>
      </c>
      <c r="J17" s="64">
        <v>0.16</v>
      </c>
      <c r="K17" s="64">
        <v>173.61</v>
      </c>
      <c r="L17" s="64">
        <v>28.54</v>
      </c>
      <c r="M17" s="64">
        <v>34.76</v>
      </c>
      <c r="N17" s="64">
        <v>15.5</v>
      </c>
      <c r="O17" s="64">
        <v>0</v>
      </c>
      <c r="P17" s="64">
        <v>0.61</v>
      </c>
      <c r="Q17" s="64">
        <v>10.61</v>
      </c>
      <c r="R17" s="198"/>
      <c r="S17" s="198"/>
      <c r="T17" s="198"/>
      <c r="U17" s="198"/>
    </row>
    <row r="18" spans="1:21" s="12" customFormat="1" x14ac:dyDescent="0.25">
      <c r="A18" s="216" t="s">
        <v>831</v>
      </c>
      <c r="B18" s="64">
        <v>9.02</v>
      </c>
      <c r="C18" s="64">
        <v>31.79</v>
      </c>
      <c r="D18" s="64">
        <v>23.77</v>
      </c>
      <c r="E18" s="64">
        <v>1.39</v>
      </c>
      <c r="F18" s="64">
        <v>3.78</v>
      </c>
      <c r="G18" s="64">
        <v>50.47</v>
      </c>
      <c r="H18" s="64">
        <v>17.489999999999998</v>
      </c>
      <c r="I18" s="64">
        <v>6.43</v>
      </c>
      <c r="J18" s="64">
        <v>0.16</v>
      </c>
      <c r="K18" s="64">
        <v>183.59</v>
      </c>
      <c r="L18" s="64">
        <v>28</v>
      </c>
      <c r="M18" s="64">
        <v>36.64</v>
      </c>
      <c r="N18" s="64">
        <v>15.6</v>
      </c>
      <c r="O18" s="64">
        <v>0</v>
      </c>
      <c r="P18" s="64">
        <v>0.59</v>
      </c>
      <c r="Q18" s="64">
        <v>10.54</v>
      </c>
      <c r="R18" s="198"/>
      <c r="S18" s="198"/>
      <c r="T18" s="198"/>
      <c r="U18" s="198"/>
    </row>
    <row r="19" spans="1:21" s="12" customFormat="1" x14ac:dyDescent="0.25">
      <c r="A19" s="216" t="s">
        <v>832</v>
      </c>
      <c r="B19" s="64">
        <v>8.3800000000000008</v>
      </c>
      <c r="C19" s="64">
        <v>31.41</v>
      </c>
      <c r="D19" s="64">
        <v>23.05</v>
      </c>
      <c r="E19" s="64">
        <v>1.41</v>
      </c>
      <c r="F19" s="64">
        <v>3.64</v>
      </c>
      <c r="G19" s="64">
        <v>50.47</v>
      </c>
      <c r="H19" s="64">
        <v>17.489999999999998</v>
      </c>
      <c r="I19" s="64">
        <v>6.91</v>
      </c>
      <c r="J19" s="64">
        <v>0.14000000000000001</v>
      </c>
      <c r="K19" s="64">
        <v>225.51</v>
      </c>
      <c r="L19" s="64">
        <v>27.95</v>
      </c>
      <c r="M19" s="64">
        <v>36.93</v>
      </c>
      <c r="N19" s="64">
        <v>15.5</v>
      </c>
      <c r="O19" s="64">
        <v>0</v>
      </c>
      <c r="P19" s="64">
        <v>0.57999999999999996</v>
      </c>
      <c r="Q19" s="64">
        <v>10.49</v>
      </c>
      <c r="R19" s="198"/>
      <c r="S19" s="198"/>
      <c r="T19" s="198"/>
      <c r="U19" s="198"/>
    </row>
    <row r="20" spans="1:21" s="12" customFormat="1" x14ac:dyDescent="0.25">
      <c r="A20" s="216" t="s">
        <v>833</v>
      </c>
      <c r="B20" s="64">
        <v>7.86</v>
      </c>
      <c r="C20" s="64">
        <v>31.56</v>
      </c>
      <c r="D20" s="64">
        <v>22.71</v>
      </c>
      <c r="E20" s="64">
        <v>1.53</v>
      </c>
      <c r="F20" s="64">
        <v>3.92</v>
      </c>
      <c r="G20" s="64">
        <v>49.01</v>
      </c>
      <c r="H20" s="64">
        <v>17.3</v>
      </c>
      <c r="I20" s="64">
        <v>7.06</v>
      </c>
      <c r="J20" s="64">
        <v>0.2</v>
      </c>
      <c r="K20" s="64">
        <v>131.78</v>
      </c>
      <c r="L20" s="64">
        <v>27.85</v>
      </c>
      <c r="M20" s="64">
        <v>37.74</v>
      </c>
      <c r="N20" s="64">
        <v>15.5</v>
      </c>
      <c r="O20" s="64">
        <v>0</v>
      </c>
      <c r="P20" s="64">
        <v>0.55000000000000004</v>
      </c>
      <c r="Q20" s="64">
        <v>10.44</v>
      </c>
      <c r="R20" s="198"/>
      <c r="S20" s="198"/>
      <c r="T20" s="198"/>
      <c r="U20" s="198"/>
    </row>
    <row r="21" spans="1:21" s="12" customFormat="1" x14ac:dyDescent="0.25">
      <c r="A21" s="216" t="s">
        <v>834</v>
      </c>
      <c r="B21" s="64">
        <v>7.44</v>
      </c>
      <c r="C21" s="64">
        <v>30.6</v>
      </c>
      <c r="D21" s="64">
        <v>21.87</v>
      </c>
      <c r="E21" s="64">
        <v>1.35</v>
      </c>
      <c r="F21" s="64">
        <v>3.88</v>
      </c>
      <c r="G21" s="64">
        <v>47.99</v>
      </c>
      <c r="H21" s="64">
        <v>17.18</v>
      </c>
      <c r="I21" s="64">
        <v>6.99</v>
      </c>
      <c r="J21" s="64">
        <v>0.41</v>
      </c>
      <c r="K21" s="64">
        <v>161.68</v>
      </c>
      <c r="L21" s="64">
        <v>27.82</v>
      </c>
      <c r="M21" s="64">
        <v>38.700000000000003</v>
      </c>
      <c r="N21" s="64">
        <v>15.4</v>
      </c>
      <c r="O21" s="64">
        <v>0</v>
      </c>
      <c r="P21" s="64">
        <v>0.53</v>
      </c>
      <c r="Q21" s="64">
        <v>10.37</v>
      </c>
      <c r="R21" s="198"/>
      <c r="S21" s="198"/>
      <c r="T21" s="198"/>
      <c r="U21" s="198"/>
    </row>
    <row r="22" spans="1:21" s="12" customFormat="1" x14ac:dyDescent="0.25">
      <c r="A22" s="216" t="s">
        <v>835</v>
      </c>
      <c r="B22" s="64">
        <v>7.04</v>
      </c>
      <c r="C22" s="64">
        <v>30.81</v>
      </c>
      <c r="D22" s="64">
        <v>21.66</v>
      </c>
      <c r="E22" s="64">
        <v>1.43</v>
      </c>
      <c r="F22" s="64">
        <v>3.98</v>
      </c>
      <c r="G22" s="64">
        <v>47.99</v>
      </c>
      <c r="H22" s="64">
        <v>17.18</v>
      </c>
      <c r="I22" s="64">
        <v>6.83</v>
      </c>
      <c r="J22" s="64">
        <v>0.13</v>
      </c>
      <c r="K22" s="64">
        <v>330.99</v>
      </c>
      <c r="L22" s="64">
        <v>27.82</v>
      </c>
      <c r="M22" s="64">
        <v>39.11</v>
      </c>
      <c r="N22" s="64">
        <v>15.8</v>
      </c>
      <c r="O22" s="64">
        <v>0</v>
      </c>
      <c r="P22" s="64">
        <v>0.51</v>
      </c>
      <c r="Q22" s="64">
        <v>10.38</v>
      </c>
      <c r="R22" s="198"/>
      <c r="S22" s="198"/>
      <c r="T22" s="198"/>
      <c r="U22" s="198"/>
    </row>
    <row r="23" spans="1:21" s="12" customFormat="1" x14ac:dyDescent="0.25">
      <c r="A23" s="216" t="s">
        <v>836</v>
      </c>
      <c r="B23" s="64">
        <v>6.72</v>
      </c>
      <c r="C23" s="64">
        <v>30.53</v>
      </c>
      <c r="D23" s="64">
        <v>21.26</v>
      </c>
      <c r="E23" s="64">
        <v>1.1000000000000001</v>
      </c>
      <c r="F23" s="64">
        <v>4.1900000000000004</v>
      </c>
      <c r="G23" s="64">
        <v>47.99</v>
      </c>
      <c r="H23" s="64">
        <v>17.18</v>
      </c>
      <c r="I23" s="64">
        <v>6.59</v>
      </c>
      <c r="J23" s="64">
        <v>0.27</v>
      </c>
      <c r="K23" s="64">
        <v>331.58</v>
      </c>
      <c r="L23" s="64">
        <v>27.38</v>
      </c>
      <c r="M23" s="64">
        <v>42.13</v>
      </c>
      <c r="N23" s="64">
        <v>16</v>
      </c>
      <c r="O23" s="64">
        <v>0</v>
      </c>
      <c r="P23" s="64">
        <v>0.5</v>
      </c>
      <c r="Q23" s="64">
        <v>10.37</v>
      </c>
      <c r="R23" s="198"/>
      <c r="S23" s="198"/>
      <c r="T23" s="198"/>
      <c r="U23" s="198"/>
    </row>
    <row r="24" spans="1:21" s="12" customFormat="1" x14ac:dyDescent="0.25">
      <c r="A24" s="216" t="s">
        <v>837</v>
      </c>
      <c r="B24" s="64">
        <v>6.53</v>
      </c>
      <c r="C24" s="64">
        <v>29.42</v>
      </c>
      <c r="D24" s="64">
        <v>20.53</v>
      </c>
      <c r="E24" s="64">
        <v>1.43</v>
      </c>
      <c r="F24" s="64">
        <v>4.17</v>
      </c>
      <c r="G24" s="64">
        <v>44.92</v>
      </c>
      <c r="H24" s="64">
        <v>15.52</v>
      </c>
      <c r="I24" s="64">
        <v>6.3</v>
      </c>
      <c r="J24" s="64">
        <v>0.06</v>
      </c>
      <c r="K24" s="64">
        <v>338.36</v>
      </c>
      <c r="L24" s="64">
        <v>27.54</v>
      </c>
      <c r="M24" s="64">
        <v>39.409999999999997</v>
      </c>
      <c r="N24" s="64">
        <v>15.6</v>
      </c>
      <c r="O24" s="64">
        <v>0</v>
      </c>
      <c r="P24" s="64">
        <v>0.48</v>
      </c>
      <c r="Q24" s="64">
        <v>10.36</v>
      </c>
      <c r="R24" s="198"/>
      <c r="S24" s="198"/>
      <c r="T24" s="198"/>
      <c r="U24" s="198"/>
    </row>
    <row r="25" spans="1:21" s="12" customFormat="1" x14ac:dyDescent="0.25">
      <c r="A25" s="216" t="s">
        <v>838</v>
      </c>
      <c r="B25" s="64">
        <v>6.27</v>
      </c>
      <c r="C25" s="64">
        <v>29.65</v>
      </c>
      <c r="D25" s="64">
        <v>20.440000000000001</v>
      </c>
      <c r="E25" s="64">
        <v>0.88</v>
      </c>
      <c r="F25" s="64">
        <v>4.03</v>
      </c>
      <c r="G25" s="64">
        <v>42.78</v>
      </c>
      <c r="H25" s="64">
        <v>14.36</v>
      </c>
      <c r="I25" s="64">
        <v>6.52</v>
      </c>
      <c r="J25" s="64">
        <v>0.2</v>
      </c>
      <c r="K25" s="64">
        <v>334.02</v>
      </c>
      <c r="L25" s="64">
        <v>28.08</v>
      </c>
      <c r="M25" s="64">
        <v>36.880000000000003</v>
      </c>
      <c r="N25" s="64">
        <v>15.4</v>
      </c>
      <c r="O25" s="64">
        <v>0</v>
      </c>
      <c r="P25" s="64">
        <v>0.47</v>
      </c>
      <c r="Q25" s="64">
        <v>10.33</v>
      </c>
      <c r="R25" s="198"/>
      <c r="S25" s="198"/>
      <c r="T25" s="198"/>
      <c r="U25" s="198"/>
    </row>
    <row r="26" spans="1:21" s="12" customFormat="1" x14ac:dyDescent="0.25">
      <c r="A26" s="216" t="s">
        <v>839</v>
      </c>
      <c r="B26" s="64">
        <v>5.98</v>
      </c>
      <c r="C26" s="64">
        <v>29.61</v>
      </c>
      <c r="D26" s="64">
        <v>20.18</v>
      </c>
      <c r="E26" s="64">
        <v>1.08</v>
      </c>
      <c r="F26" s="64">
        <v>4.2</v>
      </c>
      <c r="G26" s="64">
        <v>42.78</v>
      </c>
      <c r="H26" s="64">
        <v>14.36</v>
      </c>
      <c r="I26" s="64">
        <v>6.4</v>
      </c>
      <c r="J26" s="64">
        <v>0.51</v>
      </c>
      <c r="K26" s="64">
        <v>181.28</v>
      </c>
      <c r="L26" s="64">
        <v>28.67</v>
      </c>
      <c r="M26" s="64">
        <v>35.31</v>
      </c>
      <c r="N26" s="64">
        <v>14.5</v>
      </c>
      <c r="O26" s="64">
        <v>0</v>
      </c>
      <c r="P26" s="64">
        <v>0.46</v>
      </c>
      <c r="Q26" s="64">
        <v>10.3</v>
      </c>
      <c r="R26" s="198"/>
      <c r="S26" s="198"/>
      <c r="T26" s="198"/>
      <c r="U26" s="198"/>
    </row>
    <row r="27" spans="1:21" s="12" customFormat="1" x14ac:dyDescent="0.25">
      <c r="A27" s="216" t="s">
        <v>840</v>
      </c>
      <c r="B27" s="64">
        <v>5.82</v>
      </c>
      <c r="C27" s="64">
        <v>30.99</v>
      </c>
      <c r="D27" s="64">
        <v>20.78</v>
      </c>
      <c r="E27" s="64">
        <v>1.04</v>
      </c>
      <c r="F27" s="64">
        <v>3.98</v>
      </c>
      <c r="G27" s="64">
        <v>42.78</v>
      </c>
      <c r="H27" s="64">
        <v>14.36</v>
      </c>
      <c r="I27" s="64">
        <v>6.16</v>
      </c>
      <c r="J27" s="64">
        <v>1.67</v>
      </c>
      <c r="K27" s="64">
        <v>146.63999999999999</v>
      </c>
      <c r="L27" s="64">
        <v>27.64</v>
      </c>
      <c r="M27" s="64">
        <v>40.619999999999997</v>
      </c>
      <c r="N27" s="64">
        <v>16.3</v>
      </c>
      <c r="O27" s="64">
        <v>0</v>
      </c>
      <c r="P27" s="64">
        <v>0.45</v>
      </c>
      <c r="Q27" s="64">
        <v>10.32</v>
      </c>
      <c r="R27" s="198"/>
      <c r="S27" s="198"/>
      <c r="T27" s="198"/>
      <c r="U27" s="198"/>
    </row>
    <row r="28" spans="1:21" s="12" customFormat="1" x14ac:dyDescent="0.25">
      <c r="A28" s="216" t="s">
        <v>841</v>
      </c>
      <c r="B28" s="64">
        <v>5.64</v>
      </c>
      <c r="C28" s="64">
        <v>28.06</v>
      </c>
      <c r="D28" s="64">
        <v>19.11</v>
      </c>
      <c r="E28" s="64">
        <v>0.69</v>
      </c>
      <c r="F28" s="64">
        <v>4.05</v>
      </c>
      <c r="G28" s="64">
        <v>41.27</v>
      </c>
      <c r="H28" s="64">
        <v>14.11</v>
      </c>
      <c r="I28" s="64">
        <v>6.04</v>
      </c>
      <c r="J28" s="64">
        <v>0.42</v>
      </c>
      <c r="K28" s="64">
        <v>174.91</v>
      </c>
      <c r="L28" s="64">
        <v>27.2</v>
      </c>
      <c r="M28" s="64">
        <v>41.97</v>
      </c>
      <c r="N28" s="64">
        <v>16</v>
      </c>
      <c r="O28" s="64">
        <v>0</v>
      </c>
      <c r="P28" s="64">
        <v>0.44</v>
      </c>
      <c r="Q28" s="64">
        <v>10.28</v>
      </c>
      <c r="R28" s="198"/>
      <c r="S28" s="198"/>
      <c r="T28" s="198"/>
      <c r="U28" s="198"/>
    </row>
    <row r="29" spans="1:21" s="12" customFormat="1" x14ac:dyDescent="0.25">
      <c r="A29" s="216" t="s">
        <v>842</v>
      </c>
      <c r="B29" s="64">
        <v>5.6</v>
      </c>
      <c r="C29" s="64">
        <v>27.69</v>
      </c>
      <c r="D29" s="64">
        <v>18.88</v>
      </c>
      <c r="E29" s="64">
        <v>0.91</v>
      </c>
      <c r="F29" s="64">
        <v>4.0599999999999996</v>
      </c>
      <c r="G29" s="64">
        <v>40.229999999999997</v>
      </c>
      <c r="H29" s="64">
        <v>13.94</v>
      </c>
      <c r="I29" s="64">
        <v>5.88</v>
      </c>
      <c r="J29" s="64">
        <v>0.1</v>
      </c>
      <c r="K29" s="64">
        <v>175.85</v>
      </c>
      <c r="L29" s="64">
        <v>26.98</v>
      </c>
      <c r="M29" s="64">
        <v>43.3</v>
      </c>
      <c r="N29" s="64">
        <v>16.2</v>
      </c>
      <c r="O29" s="64">
        <v>0</v>
      </c>
      <c r="P29" s="64">
        <v>0.43</v>
      </c>
      <c r="Q29" s="64">
        <v>10.26</v>
      </c>
      <c r="R29" s="198"/>
      <c r="S29" s="198"/>
      <c r="T29" s="198"/>
      <c r="U29" s="198"/>
    </row>
    <row r="30" spans="1:21" s="12" customFormat="1" x14ac:dyDescent="0.25">
      <c r="A30" s="216" t="s">
        <v>843</v>
      </c>
      <c r="B30" s="64">
        <v>5.79</v>
      </c>
      <c r="C30" s="64">
        <v>27.54</v>
      </c>
      <c r="D30" s="64">
        <v>18.95</v>
      </c>
      <c r="E30" s="64">
        <v>1.19</v>
      </c>
      <c r="F30" s="64">
        <v>3.72</v>
      </c>
      <c r="G30" s="64">
        <v>40.229999999999997</v>
      </c>
      <c r="H30" s="64">
        <v>13.94</v>
      </c>
      <c r="I30" s="64">
        <v>5.72</v>
      </c>
      <c r="J30" s="64">
        <v>0.42</v>
      </c>
      <c r="K30" s="64">
        <v>171.8</v>
      </c>
      <c r="L30" s="64">
        <v>27.07</v>
      </c>
      <c r="M30" s="64">
        <v>43</v>
      </c>
      <c r="N30" s="64">
        <v>17.399999999999999</v>
      </c>
      <c r="O30" s="64">
        <v>0</v>
      </c>
      <c r="P30" s="64">
        <v>0.42</v>
      </c>
      <c r="Q30" s="64">
        <v>10.3</v>
      </c>
      <c r="R30" s="198"/>
      <c r="S30" s="198"/>
      <c r="T30" s="198"/>
      <c r="U30" s="198"/>
    </row>
    <row r="31" spans="1:21" s="12" customFormat="1" x14ac:dyDescent="0.25">
      <c r="A31" s="216" t="s">
        <v>844</v>
      </c>
      <c r="B31" s="64">
        <v>5.92</v>
      </c>
      <c r="C31" s="64">
        <v>27.39</v>
      </c>
      <c r="D31" s="64">
        <v>18.98</v>
      </c>
      <c r="E31" s="64">
        <v>0.91</v>
      </c>
      <c r="F31" s="64">
        <v>3.78</v>
      </c>
      <c r="G31" s="64">
        <v>40.229999999999997</v>
      </c>
      <c r="H31" s="64">
        <v>13.94</v>
      </c>
      <c r="I31" s="64">
        <v>5.48</v>
      </c>
      <c r="J31" s="64">
        <v>0.37</v>
      </c>
      <c r="K31" s="64">
        <v>168.21</v>
      </c>
      <c r="L31" s="64">
        <v>27.01</v>
      </c>
      <c r="M31" s="64">
        <v>44.21</v>
      </c>
      <c r="N31" s="64">
        <v>25</v>
      </c>
      <c r="O31" s="64">
        <v>0</v>
      </c>
      <c r="P31" s="64">
        <v>0.41</v>
      </c>
      <c r="Q31" s="64">
        <v>10.3</v>
      </c>
      <c r="R31" s="198"/>
      <c r="S31" s="198"/>
      <c r="T31" s="198"/>
      <c r="U31" s="198"/>
    </row>
    <row r="32" spans="1:21" s="12" customFormat="1" x14ac:dyDescent="0.25">
      <c r="A32" s="216" t="s">
        <v>845</v>
      </c>
      <c r="B32" s="64">
        <v>6.07</v>
      </c>
      <c r="C32" s="64">
        <v>27.09</v>
      </c>
      <c r="D32" s="64">
        <v>18.940000000000001</v>
      </c>
      <c r="E32" s="64">
        <v>0.98</v>
      </c>
      <c r="F32" s="64">
        <v>3.86</v>
      </c>
      <c r="G32" s="64">
        <v>39.590000000000003</v>
      </c>
      <c r="H32" s="64">
        <v>14.14</v>
      </c>
      <c r="I32" s="64">
        <v>5.4</v>
      </c>
      <c r="J32" s="64">
        <v>0.09</v>
      </c>
      <c r="K32" s="64">
        <v>114.19</v>
      </c>
      <c r="L32" s="64">
        <v>27.06</v>
      </c>
      <c r="M32" s="64">
        <v>46.38</v>
      </c>
      <c r="N32" s="64">
        <v>27.2</v>
      </c>
      <c r="O32" s="64">
        <v>0</v>
      </c>
      <c r="P32" s="64">
        <v>0.41</v>
      </c>
      <c r="Q32" s="64">
        <v>10.33</v>
      </c>
      <c r="R32" s="198"/>
      <c r="S32" s="198"/>
      <c r="T32" s="198"/>
      <c r="U32" s="198"/>
    </row>
    <row r="33" spans="1:21" s="12" customFormat="1" x14ac:dyDescent="0.25">
      <c r="A33" s="216" t="s">
        <v>846</v>
      </c>
      <c r="B33" s="64">
        <v>5.68</v>
      </c>
      <c r="C33" s="64">
        <v>27.3</v>
      </c>
      <c r="D33" s="64">
        <v>18.739999999999998</v>
      </c>
      <c r="E33" s="64">
        <v>1.24</v>
      </c>
      <c r="F33" s="64">
        <v>4.8099999999999996</v>
      </c>
      <c r="G33" s="64">
        <v>39.15</v>
      </c>
      <c r="H33" s="64">
        <v>14.29</v>
      </c>
      <c r="I33" s="64">
        <v>5.86</v>
      </c>
      <c r="J33" s="64">
        <v>0.03</v>
      </c>
      <c r="K33" s="64">
        <v>151.41999999999999</v>
      </c>
      <c r="L33" s="64">
        <v>26.7</v>
      </c>
      <c r="M33" s="64">
        <v>53.41</v>
      </c>
      <c r="N33" s="64">
        <v>42.1</v>
      </c>
      <c r="O33" s="64">
        <v>0</v>
      </c>
      <c r="P33" s="64">
        <v>0.4</v>
      </c>
      <c r="Q33" s="64">
        <v>10.37</v>
      </c>
      <c r="R33" s="198"/>
      <c r="S33" s="198"/>
      <c r="T33" s="198"/>
      <c r="U33" s="198"/>
    </row>
    <row r="34" spans="1:21" s="12" customFormat="1" x14ac:dyDescent="0.25">
      <c r="A34" s="216" t="s">
        <v>847</v>
      </c>
      <c r="B34" s="64">
        <v>5.17</v>
      </c>
      <c r="C34" s="64">
        <v>27.67</v>
      </c>
      <c r="D34" s="64">
        <v>18.52</v>
      </c>
      <c r="E34" s="64">
        <v>1.28</v>
      </c>
      <c r="F34" s="64">
        <v>4.76</v>
      </c>
      <c r="G34" s="64">
        <v>39.15</v>
      </c>
      <c r="H34" s="64">
        <v>14.29</v>
      </c>
      <c r="I34" s="64">
        <v>6.07</v>
      </c>
      <c r="J34" s="64">
        <v>0.32</v>
      </c>
      <c r="K34" s="64">
        <v>307.02</v>
      </c>
      <c r="L34" s="64">
        <v>27.11</v>
      </c>
      <c r="M34" s="64">
        <v>49.4</v>
      </c>
      <c r="N34" s="64">
        <v>93.7</v>
      </c>
      <c r="O34" s="64">
        <v>0</v>
      </c>
      <c r="P34" s="64">
        <v>0.39</v>
      </c>
      <c r="Q34" s="64">
        <v>10.42</v>
      </c>
      <c r="R34" s="198"/>
      <c r="S34" s="198"/>
      <c r="T34" s="198"/>
      <c r="U34" s="198"/>
    </row>
    <row r="35" spans="1:21" s="12" customFormat="1" x14ac:dyDescent="0.25">
      <c r="A35" s="216" t="s">
        <v>848</v>
      </c>
      <c r="B35" s="64">
        <v>4.96</v>
      </c>
      <c r="C35" s="64">
        <v>26.92</v>
      </c>
      <c r="D35" s="64">
        <v>17.96</v>
      </c>
      <c r="E35" s="64">
        <v>1.34</v>
      </c>
      <c r="F35" s="64">
        <v>4.38</v>
      </c>
      <c r="G35" s="64">
        <v>39.15</v>
      </c>
      <c r="H35" s="64">
        <v>14.29</v>
      </c>
      <c r="I35" s="64">
        <v>5.88</v>
      </c>
      <c r="J35" s="64">
        <v>0.49</v>
      </c>
      <c r="K35" s="64">
        <v>331.94</v>
      </c>
      <c r="L35" s="64">
        <v>27.61</v>
      </c>
      <c r="M35" s="64">
        <v>46.57</v>
      </c>
      <c r="N35" s="64">
        <v>77.8</v>
      </c>
      <c r="O35" s="64">
        <v>0</v>
      </c>
      <c r="P35" s="64">
        <v>0.38</v>
      </c>
      <c r="Q35" s="64">
        <v>10.38</v>
      </c>
      <c r="R35" s="198"/>
      <c r="S35" s="198"/>
      <c r="T35" s="198"/>
      <c r="U35" s="198"/>
    </row>
    <row r="36" spans="1:21" s="12" customFormat="1" x14ac:dyDescent="0.25">
      <c r="A36" s="216" t="s">
        <v>849</v>
      </c>
      <c r="B36" s="64">
        <v>4.9000000000000004</v>
      </c>
      <c r="C36" s="64">
        <v>26.19</v>
      </c>
      <c r="D36" s="64">
        <v>17.53</v>
      </c>
      <c r="E36" s="64">
        <v>1.25</v>
      </c>
      <c r="F36" s="64">
        <v>4.6500000000000004</v>
      </c>
      <c r="G36" s="64">
        <v>42.96</v>
      </c>
      <c r="H36" s="64">
        <v>14.35</v>
      </c>
      <c r="I36" s="64">
        <v>5.72</v>
      </c>
      <c r="J36" s="64">
        <v>0.33</v>
      </c>
      <c r="K36" s="64">
        <v>198.69</v>
      </c>
      <c r="L36" s="64">
        <v>27.14</v>
      </c>
      <c r="M36" s="64">
        <v>46.68</v>
      </c>
      <c r="N36" s="64">
        <v>62.5</v>
      </c>
      <c r="O36" s="64">
        <v>0</v>
      </c>
      <c r="P36" s="64">
        <v>0.38</v>
      </c>
      <c r="Q36" s="64">
        <v>10.28</v>
      </c>
      <c r="R36" s="198"/>
      <c r="S36" s="198"/>
      <c r="T36" s="198"/>
      <c r="U36" s="198"/>
    </row>
    <row r="37" spans="1:21" s="12" customFormat="1" x14ac:dyDescent="0.25">
      <c r="A37" s="216" t="s">
        <v>850</v>
      </c>
      <c r="B37" s="64">
        <v>4.63</v>
      </c>
      <c r="C37" s="64">
        <v>26.21</v>
      </c>
      <c r="D37" s="64">
        <v>17.329999999999998</v>
      </c>
      <c r="E37" s="64">
        <v>1.03</v>
      </c>
      <c r="F37" s="64">
        <v>5.08</v>
      </c>
      <c r="G37" s="64">
        <v>45.62</v>
      </c>
      <c r="H37" s="64">
        <v>14.39</v>
      </c>
      <c r="I37" s="64">
        <v>5.59</v>
      </c>
      <c r="J37" s="64">
        <v>0.64</v>
      </c>
      <c r="K37" s="64">
        <v>204.63</v>
      </c>
      <c r="L37" s="64">
        <v>26.12</v>
      </c>
      <c r="M37" s="64">
        <v>49.79</v>
      </c>
      <c r="N37" s="64">
        <v>59.1</v>
      </c>
      <c r="O37" s="64">
        <v>0</v>
      </c>
      <c r="P37" s="64">
        <v>0.35</v>
      </c>
      <c r="Q37" s="64">
        <v>10.34</v>
      </c>
      <c r="R37" s="198"/>
      <c r="S37" s="198"/>
      <c r="T37" s="198"/>
      <c r="U37" s="198"/>
    </row>
    <row r="38" spans="1:21" s="12" customFormat="1" x14ac:dyDescent="0.25">
      <c r="A38" s="216" t="s">
        <v>851</v>
      </c>
      <c r="B38" s="64">
        <v>4.13</v>
      </c>
      <c r="C38" s="64">
        <v>26.6</v>
      </c>
      <c r="D38" s="64">
        <v>17.13</v>
      </c>
      <c r="E38" s="64">
        <v>1.58</v>
      </c>
      <c r="F38" s="64">
        <v>5.71</v>
      </c>
      <c r="G38" s="64">
        <v>45.62</v>
      </c>
      <c r="H38" s="64">
        <v>14.39</v>
      </c>
      <c r="I38" s="64">
        <v>5.38</v>
      </c>
      <c r="J38" s="64">
        <v>0.39</v>
      </c>
      <c r="K38" s="64">
        <v>158.93</v>
      </c>
      <c r="L38" s="64">
        <v>25.5</v>
      </c>
      <c r="M38" s="64">
        <v>51.93</v>
      </c>
      <c r="N38" s="64">
        <v>61.1</v>
      </c>
      <c r="O38" s="64">
        <v>0</v>
      </c>
      <c r="P38" s="64">
        <v>0.35</v>
      </c>
      <c r="Q38" s="64">
        <v>10.41</v>
      </c>
      <c r="R38" s="198"/>
      <c r="S38" s="198"/>
      <c r="T38" s="198"/>
      <c r="U38" s="198"/>
    </row>
    <row r="39" spans="1:21" s="12" customFormat="1" x14ac:dyDescent="0.25">
      <c r="A39" s="216" t="s">
        <v>852</v>
      </c>
      <c r="B39" s="64">
        <v>4.0199999999999996</v>
      </c>
      <c r="C39" s="64">
        <v>27.11</v>
      </c>
      <c r="D39" s="64">
        <v>17.309999999999999</v>
      </c>
      <c r="E39" s="64">
        <v>1.52</v>
      </c>
      <c r="F39" s="64">
        <v>5.12</v>
      </c>
      <c r="G39" s="64">
        <v>45.62</v>
      </c>
      <c r="H39" s="64">
        <v>14.39</v>
      </c>
      <c r="I39" s="64">
        <v>5.08</v>
      </c>
      <c r="J39" s="64">
        <v>1.28</v>
      </c>
      <c r="K39" s="64">
        <v>157.81</v>
      </c>
      <c r="L39" s="64">
        <v>25.39</v>
      </c>
      <c r="M39" s="64">
        <v>51.54</v>
      </c>
      <c r="N39" s="64">
        <v>68.3</v>
      </c>
      <c r="O39" s="64">
        <v>0</v>
      </c>
      <c r="P39" s="64">
        <v>0.33</v>
      </c>
      <c r="Q39" s="64">
        <v>10.4</v>
      </c>
      <c r="R39" s="198"/>
      <c r="S39" s="198"/>
      <c r="T39" s="198"/>
      <c r="U39" s="198"/>
    </row>
    <row r="40" spans="1:21" s="12" customFormat="1" x14ac:dyDescent="0.25">
      <c r="A40" s="216" t="s">
        <v>853</v>
      </c>
      <c r="B40" s="64">
        <v>4.07</v>
      </c>
      <c r="C40" s="64">
        <v>27.74</v>
      </c>
      <c r="D40" s="64">
        <v>17.670000000000002</v>
      </c>
      <c r="E40" s="64">
        <v>0.81</v>
      </c>
      <c r="F40" s="64">
        <v>4.63</v>
      </c>
      <c r="G40" s="64">
        <v>41.66</v>
      </c>
      <c r="H40" s="64">
        <v>13.89</v>
      </c>
      <c r="I40" s="64">
        <v>4.8099999999999996</v>
      </c>
      <c r="J40" s="64">
        <v>1.24</v>
      </c>
      <c r="K40" s="64">
        <v>166.36</v>
      </c>
      <c r="L40" s="64">
        <v>25.15</v>
      </c>
      <c r="M40" s="64">
        <v>52.67</v>
      </c>
      <c r="N40" s="64">
        <v>68.400000000000006</v>
      </c>
      <c r="O40" s="64">
        <v>0</v>
      </c>
      <c r="P40" s="64">
        <v>0.33</v>
      </c>
      <c r="Q40" s="64">
        <v>10.44</v>
      </c>
      <c r="R40" s="198"/>
      <c r="S40" s="198"/>
      <c r="T40" s="198"/>
      <c r="U40" s="198"/>
    </row>
    <row r="41" spans="1:21" s="12" customFormat="1" x14ac:dyDescent="0.25">
      <c r="A41" s="216" t="s">
        <v>854</v>
      </c>
      <c r="B41" s="64">
        <v>3.98</v>
      </c>
      <c r="C41" s="64">
        <v>26.46</v>
      </c>
      <c r="D41" s="64">
        <v>16.93</v>
      </c>
      <c r="E41" s="64">
        <v>1.18</v>
      </c>
      <c r="F41" s="64">
        <v>5.44</v>
      </c>
      <c r="G41" s="64">
        <v>38.89</v>
      </c>
      <c r="H41" s="64">
        <v>13.55</v>
      </c>
      <c r="I41" s="64">
        <v>4.6900000000000004</v>
      </c>
      <c r="J41" s="64">
        <v>0.72</v>
      </c>
      <c r="K41" s="64">
        <v>184.54</v>
      </c>
      <c r="L41" s="64">
        <v>24.58</v>
      </c>
      <c r="M41" s="64">
        <v>57.29</v>
      </c>
      <c r="N41" s="64">
        <v>92.1</v>
      </c>
      <c r="O41" s="64">
        <v>0</v>
      </c>
      <c r="P41" s="64">
        <v>0.3</v>
      </c>
      <c r="Q41" s="64">
        <v>10.35</v>
      </c>
      <c r="R41" s="198"/>
      <c r="S41" s="198"/>
      <c r="T41" s="198"/>
      <c r="U41" s="198"/>
    </row>
    <row r="42" spans="1:21" s="12" customFormat="1" x14ac:dyDescent="0.25">
      <c r="A42" s="216" t="s">
        <v>855</v>
      </c>
      <c r="B42" s="64">
        <v>3.76</v>
      </c>
      <c r="C42" s="64">
        <v>25.74</v>
      </c>
      <c r="D42" s="64">
        <v>16.38</v>
      </c>
      <c r="E42" s="64">
        <v>1.23</v>
      </c>
      <c r="F42" s="64">
        <v>5.73</v>
      </c>
      <c r="G42" s="64">
        <v>38.89</v>
      </c>
      <c r="H42" s="64">
        <v>13.55</v>
      </c>
      <c r="I42" s="64">
        <v>4.45</v>
      </c>
      <c r="J42" s="64">
        <v>0.39</v>
      </c>
      <c r="K42" s="64">
        <v>193.52</v>
      </c>
      <c r="L42" s="64">
        <v>24.22</v>
      </c>
      <c r="M42" s="64">
        <v>61.01</v>
      </c>
      <c r="N42" s="64">
        <v>138.9</v>
      </c>
      <c r="O42" s="64">
        <v>0</v>
      </c>
      <c r="P42" s="64">
        <v>0.28999999999999998</v>
      </c>
      <c r="Q42" s="64">
        <v>10.29</v>
      </c>
      <c r="R42" s="198"/>
      <c r="S42" s="198"/>
      <c r="T42" s="198"/>
      <c r="U42" s="198"/>
    </row>
    <row r="43" spans="1:21" s="12" customFormat="1" x14ac:dyDescent="0.25">
      <c r="A43" s="216" t="s">
        <v>856</v>
      </c>
      <c r="B43" s="64">
        <v>3.7</v>
      </c>
      <c r="C43" s="64">
        <v>25.07</v>
      </c>
      <c r="D43" s="64">
        <v>15.99</v>
      </c>
      <c r="E43" s="64">
        <v>1.24</v>
      </c>
      <c r="F43" s="64">
        <v>5.48</v>
      </c>
      <c r="G43" s="64">
        <v>38.89</v>
      </c>
      <c r="H43" s="64">
        <v>13.55</v>
      </c>
      <c r="I43" s="64">
        <v>4.16</v>
      </c>
      <c r="J43" s="64">
        <v>0.49</v>
      </c>
      <c r="K43" s="64">
        <v>179.35</v>
      </c>
      <c r="L43" s="64">
        <v>24.48</v>
      </c>
      <c r="M43" s="64">
        <v>59.63</v>
      </c>
      <c r="N43" s="64">
        <v>169.5</v>
      </c>
      <c r="O43" s="64">
        <v>0</v>
      </c>
      <c r="P43" s="64">
        <v>0.28000000000000003</v>
      </c>
      <c r="Q43" s="64">
        <v>10.27</v>
      </c>
      <c r="R43" s="198"/>
      <c r="S43" s="198"/>
      <c r="T43" s="198"/>
      <c r="U43" s="198"/>
    </row>
    <row r="44" spans="1:21" s="12" customFormat="1" x14ac:dyDescent="0.25">
      <c r="A44" s="216" t="s">
        <v>857</v>
      </c>
      <c r="B44" s="64">
        <v>3.74</v>
      </c>
      <c r="C44" s="64">
        <v>25.37</v>
      </c>
      <c r="D44" s="64">
        <v>16.170000000000002</v>
      </c>
      <c r="E44" s="64">
        <v>0.76</v>
      </c>
      <c r="F44" s="64">
        <v>4.9400000000000004</v>
      </c>
      <c r="G44" s="64">
        <v>40.82</v>
      </c>
      <c r="H44" s="64">
        <v>12.43</v>
      </c>
      <c r="I44" s="64">
        <v>3.89</v>
      </c>
      <c r="J44" s="64">
        <v>0.38</v>
      </c>
      <c r="K44" s="64">
        <v>171.59</v>
      </c>
      <c r="L44" s="64">
        <v>24.99</v>
      </c>
      <c r="M44" s="64">
        <v>54.79</v>
      </c>
      <c r="N44" s="64">
        <v>162</v>
      </c>
      <c r="O44" s="64">
        <v>0</v>
      </c>
      <c r="P44" s="64">
        <v>0.27</v>
      </c>
      <c r="Q44" s="64">
        <v>10.29</v>
      </c>
      <c r="R44" s="198"/>
      <c r="S44" s="198"/>
      <c r="T44" s="198"/>
      <c r="U44" s="198"/>
    </row>
    <row r="45" spans="1:21" s="12" customFormat="1" x14ac:dyDescent="0.25">
      <c r="A45" s="216" t="s">
        <v>858</v>
      </c>
      <c r="B45" s="64">
        <v>3.77</v>
      </c>
      <c r="C45" s="64">
        <v>25.28</v>
      </c>
      <c r="D45" s="64">
        <v>16.149999999999999</v>
      </c>
      <c r="E45" s="64">
        <v>1.36</v>
      </c>
      <c r="F45" s="64">
        <v>5</v>
      </c>
      <c r="G45" s="64">
        <v>42.17</v>
      </c>
      <c r="H45" s="64">
        <v>11.65</v>
      </c>
      <c r="I45" s="64">
        <v>3.71</v>
      </c>
      <c r="J45" s="64">
        <v>0.15</v>
      </c>
      <c r="K45" s="64">
        <v>210.66</v>
      </c>
      <c r="L45" s="64">
        <v>25.59</v>
      </c>
      <c r="M45" s="64">
        <v>49.24</v>
      </c>
      <c r="N45" s="64">
        <v>194.9</v>
      </c>
      <c r="O45" s="64">
        <v>0</v>
      </c>
      <c r="P45" s="64">
        <v>0.27</v>
      </c>
      <c r="Q45" s="64">
        <v>10.27</v>
      </c>
      <c r="R45" s="198"/>
      <c r="S45" s="198"/>
      <c r="T45" s="198"/>
      <c r="U45" s="198"/>
    </row>
    <row r="46" spans="1:21" s="12" customFormat="1" x14ac:dyDescent="0.25">
      <c r="A46" s="216" t="s">
        <v>859</v>
      </c>
      <c r="B46" s="64">
        <v>3.68</v>
      </c>
      <c r="C46" s="64">
        <v>24.55</v>
      </c>
      <c r="D46" s="64">
        <v>15.7</v>
      </c>
      <c r="E46" s="64">
        <v>1.02</v>
      </c>
      <c r="F46" s="64">
        <v>5.07</v>
      </c>
      <c r="G46" s="64">
        <v>42.17</v>
      </c>
      <c r="H46" s="64">
        <v>11.65</v>
      </c>
      <c r="I46" s="64">
        <v>3.58</v>
      </c>
      <c r="J46" s="64">
        <v>0.62</v>
      </c>
      <c r="K46" s="64">
        <v>198.68</v>
      </c>
      <c r="L46" s="64">
        <v>26.31</v>
      </c>
      <c r="M46" s="64">
        <v>45.3</v>
      </c>
      <c r="N46" s="64">
        <v>392.2</v>
      </c>
      <c r="O46" s="64">
        <v>0</v>
      </c>
      <c r="P46" s="64">
        <v>0.26</v>
      </c>
      <c r="Q46" s="64">
        <v>10.220000000000001</v>
      </c>
      <c r="R46" s="198"/>
      <c r="S46" s="198"/>
      <c r="T46" s="198"/>
      <c r="U46" s="198"/>
    </row>
    <row r="47" spans="1:21" s="12" customFormat="1" x14ac:dyDescent="0.25">
      <c r="A47" s="216" t="s">
        <v>860</v>
      </c>
      <c r="B47" s="64">
        <v>3.48</v>
      </c>
      <c r="C47" s="64">
        <v>23.86</v>
      </c>
      <c r="D47" s="64">
        <v>15.17</v>
      </c>
      <c r="E47" s="64">
        <v>0.95</v>
      </c>
      <c r="F47" s="64">
        <v>6.36</v>
      </c>
      <c r="G47" s="64">
        <v>42.17</v>
      </c>
      <c r="H47" s="64">
        <v>11.65</v>
      </c>
      <c r="I47" s="64">
        <v>3.47</v>
      </c>
      <c r="J47" s="64">
        <v>0.16</v>
      </c>
      <c r="K47" s="64">
        <v>226.19</v>
      </c>
      <c r="L47" s="64">
        <v>27.32</v>
      </c>
      <c r="M47" s="64">
        <v>42.27</v>
      </c>
      <c r="N47" s="64">
        <v>573.20000000000005</v>
      </c>
      <c r="O47" s="64">
        <v>0</v>
      </c>
      <c r="P47" s="64">
        <v>0.24</v>
      </c>
      <c r="Q47" s="64">
        <v>10.16</v>
      </c>
      <c r="R47" s="198"/>
      <c r="S47" s="198"/>
      <c r="T47" s="198"/>
      <c r="U47" s="198"/>
    </row>
    <row r="48" spans="1:21" s="12" customFormat="1" x14ac:dyDescent="0.25">
      <c r="A48" s="216" t="s">
        <v>861</v>
      </c>
      <c r="B48" s="64">
        <v>3.16</v>
      </c>
      <c r="C48" s="64">
        <v>24.29</v>
      </c>
      <c r="D48" s="64">
        <v>15.15</v>
      </c>
      <c r="E48" s="64">
        <v>0.96</v>
      </c>
      <c r="F48" s="64">
        <v>7.3</v>
      </c>
      <c r="G48" s="64">
        <v>37.92</v>
      </c>
      <c r="H48" s="64">
        <v>11.01</v>
      </c>
      <c r="I48" s="64">
        <v>3.36</v>
      </c>
      <c r="J48" s="64">
        <v>0.6</v>
      </c>
      <c r="K48" s="64">
        <v>188.4</v>
      </c>
      <c r="L48" s="64">
        <v>28.47</v>
      </c>
      <c r="M48" s="64">
        <v>38.200000000000003</v>
      </c>
      <c r="N48" s="64">
        <v>817.2</v>
      </c>
      <c r="O48" s="64">
        <v>0</v>
      </c>
      <c r="P48" s="64">
        <v>0.23</v>
      </c>
      <c r="Q48" s="64">
        <v>10.220000000000001</v>
      </c>
      <c r="R48" s="198"/>
      <c r="S48" s="198"/>
      <c r="T48" s="198"/>
      <c r="U48" s="198"/>
    </row>
    <row r="49" spans="1:21" s="12" customFormat="1" x14ac:dyDescent="0.25">
      <c r="A49" s="216" t="s">
        <v>862</v>
      </c>
      <c r="B49" s="64">
        <v>3.04</v>
      </c>
      <c r="C49" s="64">
        <v>24.4</v>
      </c>
      <c r="D49" s="64">
        <v>15.11</v>
      </c>
      <c r="E49" s="64">
        <v>1.07</v>
      </c>
      <c r="F49" s="64">
        <v>7.74</v>
      </c>
      <c r="G49" s="64">
        <v>34.94</v>
      </c>
      <c r="H49" s="64">
        <v>10.57</v>
      </c>
      <c r="I49" s="64">
        <v>3.08</v>
      </c>
      <c r="J49" s="64">
        <v>0.67</v>
      </c>
      <c r="K49" s="64">
        <v>179.13</v>
      </c>
      <c r="L49" s="64">
        <v>28.9</v>
      </c>
      <c r="M49" s="64">
        <v>37.619999999999997</v>
      </c>
      <c r="N49" s="64">
        <v>700.3</v>
      </c>
      <c r="O49" s="64">
        <v>0</v>
      </c>
      <c r="P49" s="64">
        <v>0.22</v>
      </c>
      <c r="Q49" s="64">
        <v>10.25</v>
      </c>
      <c r="R49" s="198"/>
      <c r="S49" s="198"/>
      <c r="T49" s="198"/>
      <c r="U49" s="198"/>
    </row>
    <row r="50" spans="1:21" s="12" customFormat="1" x14ac:dyDescent="0.25">
      <c r="A50" s="216" t="s">
        <v>863</v>
      </c>
      <c r="B50" s="64">
        <v>2.96</v>
      </c>
      <c r="C50" s="64">
        <v>24.14</v>
      </c>
      <c r="D50" s="64">
        <v>14.91</v>
      </c>
      <c r="E50" s="64">
        <v>1.43</v>
      </c>
      <c r="F50" s="64">
        <v>7.86</v>
      </c>
      <c r="G50" s="64">
        <v>34.94</v>
      </c>
      <c r="H50" s="64">
        <v>10.57</v>
      </c>
      <c r="I50" s="64">
        <v>2.74</v>
      </c>
      <c r="J50" s="64">
        <v>0.77</v>
      </c>
      <c r="K50" s="64">
        <v>189.58</v>
      </c>
      <c r="L50" s="64">
        <v>28.25</v>
      </c>
      <c r="M50" s="64">
        <v>39.880000000000003</v>
      </c>
      <c r="N50" s="64">
        <v>475.6</v>
      </c>
      <c r="O50" s="64">
        <v>0</v>
      </c>
      <c r="P50" s="64">
        <v>0.21</v>
      </c>
      <c r="Q50" s="64">
        <v>10.26</v>
      </c>
      <c r="R50" s="198"/>
      <c r="S50" s="198"/>
      <c r="T50" s="198"/>
      <c r="U50" s="198"/>
    </row>
    <row r="51" spans="1:21" s="12" customFormat="1" x14ac:dyDescent="0.25">
      <c r="A51" s="216" t="s">
        <v>864</v>
      </c>
      <c r="B51" s="64">
        <v>2.86</v>
      </c>
      <c r="C51" s="64">
        <v>23.74</v>
      </c>
      <c r="D51" s="64">
        <v>14.62</v>
      </c>
      <c r="E51" s="64">
        <v>0.89</v>
      </c>
      <c r="F51" s="64">
        <v>8.73</v>
      </c>
      <c r="G51" s="64">
        <v>34.94</v>
      </c>
      <c r="H51" s="64">
        <v>10.57</v>
      </c>
      <c r="I51" s="64">
        <v>2.66</v>
      </c>
      <c r="J51" s="64">
        <v>1.06</v>
      </c>
      <c r="K51" s="64">
        <v>187.25</v>
      </c>
      <c r="L51" s="64">
        <v>28.12</v>
      </c>
      <c r="M51" s="64">
        <v>40.9</v>
      </c>
      <c r="N51" s="64">
        <v>924.1</v>
      </c>
      <c r="O51" s="64">
        <v>0</v>
      </c>
      <c r="P51" s="64">
        <v>0.2</v>
      </c>
      <c r="Q51" s="64">
        <v>10.25</v>
      </c>
      <c r="R51" s="198"/>
      <c r="S51" s="198"/>
      <c r="T51" s="198"/>
      <c r="U51" s="198"/>
    </row>
    <row r="52" spans="1:21" s="12" customFormat="1" x14ac:dyDescent="0.25">
      <c r="A52" s="216" t="s">
        <v>865</v>
      </c>
      <c r="B52" s="64">
        <v>2.77</v>
      </c>
      <c r="C52" s="64">
        <v>23.7</v>
      </c>
      <c r="D52" s="64">
        <v>14.52</v>
      </c>
      <c r="E52" s="64">
        <v>1.05</v>
      </c>
      <c r="F52" s="64">
        <v>8.75</v>
      </c>
      <c r="G52" s="64">
        <v>34.020000000000003</v>
      </c>
      <c r="H52" s="64">
        <v>10.07</v>
      </c>
      <c r="I52" s="64">
        <v>2.62</v>
      </c>
      <c r="J52" s="64">
        <v>0.91</v>
      </c>
      <c r="K52" s="64">
        <v>185.94</v>
      </c>
      <c r="L52" s="64">
        <v>28.68</v>
      </c>
      <c r="M52" s="64">
        <v>39.03</v>
      </c>
      <c r="N52" s="64">
        <v>862.8</v>
      </c>
      <c r="O52" s="64">
        <v>0</v>
      </c>
      <c r="P52" s="64">
        <v>0.19</v>
      </c>
      <c r="Q52" s="64">
        <v>10.24</v>
      </c>
      <c r="R52" s="198"/>
      <c r="S52" s="198"/>
      <c r="T52" s="198"/>
      <c r="U52" s="198"/>
    </row>
    <row r="53" spans="1:21" s="12" customFormat="1" x14ac:dyDescent="0.25">
      <c r="A53" s="216" t="s">
        <v>866</v>
      </c>
      <c r="B53" s="64">
        <v>2.75</v>
      </c>
      <c r="C53" s="64">
        <v>23.51</v>
      </c>
      <c r="D53" s="64">
        <v>14.41</v>
      </c>
      <c r="E53" s="64">
        <v>1.32</v>
      </c>
      <c r="F53" s="64">
        <v>8.66</v>
      </c>
      <c r="G53" s="64">
        <v>33.380000000000003</v>
      </c>
      <c r="H53" s="64">
        <v>9.7200000000000006</v>
      </c>
      <c r="I53" s="64">
        <v>2.35</v>
      </c>
      <c r="J53" s="64">
        <v>0.96</v>
      </c>
      <c r="K53" s="64">
        <v>190.18</v>
      </c>
      <c r="L53" s="64">
        <v>29.28</v>
      </c>
      <c r="M53" s="64">
        <v>38.42</v>
      </c>
      <c r="N53" s="64">
        <v>906</v>
      </c>
      <c r="O53" s="64">
        <v>0</v>
      </c>
      <c r="P53" s="64">
        <v>0.18</v>
      </c>
      <c r="Q53" s="64">
        <v>10.210000000000001</v>
      </c>
      <c r="R53" s="198"/>
      <c r="S53" s="198"/>
      <c r="T53" s="198"/>
      <c r="U53" s="198"/>
    </row>
    <row r="54" spans="1:21" s="12" customFormat="1" x14ac:dyDescent="0.25">
      <c r="A54" s="216" t="s">
        <v>867</v>
      </c>
      <c r="B54" s="64">
        <v>2.83</v>
      </c>
      <c r="C54" s="64">
        <v>22.83</v>
      </c>
      <c r="D54" s="64">
        <v>14.12</v>
      </c>
      <c r="E54" s="64">
        <v>1.18</v>
      </c>
      <c r="F54" s="64">
        <v>8.06</v>
      </c>
      <c r="G54" s="64">
        <v>33.380000000000003</v>
      </c>
      <c r="H54" s="64">
        <v>9.7200000000000006</v>
      </c>
      <c r="I54" s="64">
        <v>2.1</v>
      </c>
      <c r="J54" s="64">
        <v>1.2</v>
      </c>
      <c r="K54" s="64">
        <v>172.51</v>
      </c>
      <c r="L54" s="64">
        <v>30.07</v>
      </c>
      <c r="M54" s="64">
        <v>36.47</v>
      </c>
      <c r="N54" s="64">
        <v>911.5</v>
      </c>
      <c r="O54" s="64">
        <v>0</v>
      </c>
      <c r="P54" s="64">
        <v>0.18</v>
      </c>
      <c r="Q54" s="64">
        <v>10.039999999999999</v>
      </c>
      <c r="R54" s="198"/>
      <c r="S54" s="198"/>
      <c r="T54" s="198"/>
      <c r="U54" s="198"/>
    </row>
    <row r="55" spans="1:21" s="12" customFormat="1" x14ac:dyDescent="0.25">
      <c r="A55" s="216" t="s">
        <v>868</v>
      </c>
      <c r="B55" s="64">
        <v>2.91</v>
      </c>
      <c r="C55" s="64">
        <v>24.72</v>
      </c>
      <c r="D55" s="64">
        <v>15.17</v>
      </c>
      <c r="E55" s="64">
        <v>1.07</v>
      </c>
      <c r="F55" s="64">
        <v>7.81</v>
      </c>
      <c r="G55" s="64">
        <v>33.380000000000003</v>
      </c>
      <c r="H55" s="64">
        <v>9.7200000000000006</v>
      </c>
      <c r="I55" s="64">
        <v>2.09</v>
      </c>
      <c r="J55" s="64">
        <v>1.01</v>
      </c>
      <c r="K55" s="64">
        <v>193.44</v>
      </c>
      <c r="L55" s="64">
        <v>30.32</v>
      </c>
      <c r="M55" s="64">
        <v>34.81</v>
      </c>
      <c r="N55" s="64">
        <v>907.5</v>
      </c>
      <c r="O55" s="64">
        <v>0</v>
      </c>
      <c r="P55" s="64">
        <v>0.17</v>
      </c>
      <c r="Q55" s="64">
        <v>10.039999999999999</v>
      </c>
      <c r="R55" s="198"/>
      <c r="S55" s="198"/>
      <c r="T55" s="198"/>
      <c r="U55" s="198"/>
    </row>
    <row r="56" spans="1:21" s="12" customFormat="1" x14ac:dyDescent="0.25">
      <c r="A56" s="216" t="s">
        <v>869</v>
      </c>
      <c r="B56" s="64">
        <v>2.83</v>
      </c>
      <c r="C56" s="64">
        <v>25.09</v>
      </c>
      <c r="D56" s="64">
        <v>15.3</v>
      </c>
      <c r="E56" s="64">
        <v>2.12</v>
      </c>
      <c r="F56" s="64">
        <v>8.25</v>
      </c>
      <c r="G56" s="64">
        <v>31.5</v>
      </c>
      <c r="H56" s="64">
        <v>10.45</v>
      </c>
      <c r="I56" s="64">
        <v>1.94</v>
      </c>
      <c r="J56" s="64">
        <v>1.41</v>
      </c>
      <c r="K56" s="64">
        <v>172.36</v>
      </c>
      <c r="L56" s="64">
        <v>30.78</v>
      </c>
      <c r="M56" s="64">
        <v>33</v>
      </c>
      <c r="N56" s="64">
        <v>904.2</v>
      </c>
      <c r="O56" s="64">
        <v>0</v>
      </c>
      <c r="P56" s="64">
        <v>0.17</v>
      </c>
      <c r="Q56" s="64">
        <v>10.039999999999999</v>
      </c>
      <c r="R56" s="198"/>
      <c r="S56" s="198"/>
      <c r="T56" s="198"/>
      <c r="U56" s="198"/>
    </row>
    <row r="57" spans="1:21" s="12" customFormat="1" x14ac:dyDescent="0.25">
      <c r="A57" s="216" t="s">
        <v>870</v>
      </c>
      <c r="B57" s="64">
        <v>2.78</v>
      </c>
      <c r="C57" s="64">
        <v>24.79</v>
      </c>
      <c r="D57" s="64">
        <v>15.1</v>
      </c>
      <c r="E57" s="64">
        <v>1.88</v>
      </c>
      <c r="F57" s="64">
        <v>8.7100000000000009</v>
      </c>
      <c r="G57" s="64">
        <v>30.18</v>
      </c>
      <c r="H57" s="64">
        <v>10.96</v>
      </c>
      <c r="I57" s="64">
        <v>1.95</v>
      </c>
      <c r="J57" s="64">
        <v>1.18</v>
      </c>
      <c r="K57" s="64">
        <v>181.05</v>
      </c>
      <c r="L57" s="64">
        <v>30.84</v>
      </c>
      <c r="M57" s="64">
        <v>33.56</v>
      </c>
      <c r="N57" s="64">
        <v>909.2</v>
      </c>
      <c r="O57" s="64">
        <v>0</v>
      </c>
      <c r="P57" s="64">
        <v>0.16</v>
      </c>
      <c r="Q57" s="64">
        <v>10.029999999999999</v>
      </c>
      <c r="R57" s="198"/>
      <c r="S57" s="198"/>
      <c r="T57" s="198"/>
      <c r="U57" s="198"/>
    </row>
    <row r="58" spans="1:21" s="12" customFormat="1" x14ac:dyDescent="0.25">
      <c r="A58" s="216" t="s">
        <v>871</v>
      </c>
      <c r="B58" s="64">
        <v>2.73</v>
      </c>
      <c r="C58" s="64">
        <v>25.77</v>
      </c>
      <c r="D58" s="64">
        <v>15.57</v>
      </c>
      <c r="E58" s="64">
        <v>1.72</v>
      </c>
      <c r="F58" s="64">
        <v>9.07</v>
      </c>
      <c r="G58" s="64">
        <v>30.18</v>
      </c>
      <c r="H58" s="64">
        <v>10.96</v>
      </c>
      <c r="I58" s="64">
        <v>1.91</v>
      </c>
      <c r="J58" s="64">
        <v>0.6</v>
      </c>
      <c r="K58" s="64">
        <v>172.79</v>
      </c>
      <c r="L58" s="64">
        <v>31.49</v>
      </c>
      <c r="M58" s="64">
        <v>34.299999999999997</v>
      </c>
      <c r="N58" s="64">
        <v>905.2</v>
      </c>
      <c r="O58" s="64">
        <v>0</v>
      </c>
      <c r="P58" s="64">
        <v>0.16</v>
      </c>
      <c r="Q58" s="64">
        <v>10.06</v>
      </c>
      <c r="R58" s="198"/>
      <c r="S58" s="198"/>
      <c r="T58" s="198"/>
      <c r="U58" s="198"/>
    </row>
    <row r="59" spans="1:21" s="12" customFormat="1" x14ac:dyDescent="0.25">
      <c r="A59" s="216" t="s">
        <v>872</v>
      </c>
      <c r="B59" s="64">
        <v>2.65</v>
      </c>
      <c r="C59" s="64">
        <v>25.41</v>
      </c>
      <c r="D59" s="64">
        <v>15.32</v>
      </c>
      <c r="E59" s="64">
        <v>1.98</v>
      </c>
      <c r="F59" s="64">
        <v>9.8800000000000008</v>
      </c>
      <c r="G59" s="64">
        <v>30.18</v>
      </c>
      <c r="H59" s="64">
        <v>10.96</v>
      </c>
      <c r="I59" s="64">
        <v>1.94</v>
      </c>
      <c r="J59" s="64">
        <v>0.9</v>
      </c>
      <c r="K59" s="64">
        <v>174.22</v>
      </c>
      <c r="L59" s="64">
        <v>31.78</v>
      </c>
      <c r="M59" s="64">
        <v>34.840000000000003</v>
      </c>
      <c r="N59" s="64">
        <v>887.6</v>
      </c>
      <c r="O59" s="64">
        <v>0</v>
      </c>
      <c r="P59" s="64">
        <v>0.16</v>
      </c>
      <c r="Q59" s="64">
        <v>10.039999999999999</v>
      </c>
      <c r="R59" s="198"/>
      <c r="S59" s="198"/>
      <c r="T59" s="198"/>
      <c r="U59" s="198"/>
    </row>
    <row r="60" spans="1:21" s="12" customFormat="1" x14ac:dyDescent="0.25">
      <c r="A60" s="216" t="s">
        <v>873</v>
      </c>
      <c r="B60" s="64">
        <v>2.63</v>
      </c>
      <c r="C60" s="64">
        <v>25.85</v>
      </c>
      <c r="D60" s="64">
        <v>15.54</v>
      </c>
      <c r="E60" s="64">
        <v>1.85</v>
      </c>
      <c r="F60" s="64">
        <v>9.11</v>
      </c>
      <c r="G60" s="64">
        <v>28.86</v>
      </c>
      <c r="H60" s="64">
        <v>10.48</v>
      </c>
      <c r="I60" s="64">
        <v>1.78</v>
      </c>
      <c r="J60" s="64">
        <v>1.54</v>
      </c>
      <c r="K60" s="64">
        <v>163.31</v>
      </c>
      <c r="L60" s="64">
        <v>31.82</v>
      </c>
      <c r="M60" s="64">
        <v>35.229999999999997</v>
      </c>
      <c r="N60" s="64">
        <v>873.5</v>
      </c>
      <c r="O60" s="64">
        <v>0</v>
      </c>
      <c r="P60" s="64">
        <v>0.16</v>
      </c>
      <c r="Q60" s="64">
        <v>10.050000000000001</v>
      </c>
      <c r="R60" s="198"/>
      <c r="S60" s="198"/>
      <c r="T60" s="198"/>
      <c r="U60" s="198"/>
    </row>
    <row r="61" spans="1:21" s="12" customFormat="1" x14ac:dyDescent="0.25">
      <c r="A61" s="216" t="s">
        <v>874</v>
      </c>
      <c r="B61" s="64">
        <v>2.68</v>
      </c>
      <c r="C61" s="64">
        <v>26.51</v>
      </c>
      <c r="D61" s="64">
        <v>15.92</v>
      </c>
      <c r="E61" s="64">
        <v>1.73</v>
      </c>
      <c r="F61" s="64">
        <v>8.82</v>
      </c>
      <c r="G61" s="64">
        <v>27.94</v>
      </c>
      <c r="H61" s="64">
        <v>10.15</v>
      </c>
      <c r="I61" s="64">
        <v>1.69</v>
      </c>
      <c r="J61" s="64">
        <v>0.93</v>
      </c>
      <c r="K61" s="64">
        <v>168.36</v>
      </c>
      <c r="L61" s="64">
        <v>32.19</v>
      </c>
      <c r="M61" s="64">
        <v>34.53</v>
      </c>
      <c r="N61" s="64">
        <v>838.8</v>
      </c>
      <c r="O61" s="64">
        <v>0</v>
      </c>
      <c r="P61" s="64">
        <v>0.17</v>
      </c>
      <c r="Q61" s="64">
        <v>10.02</v>
      </c>
      <c r="R61" s="198"/>
      <c r="S61" s="198"/>
      <c r="T61" s="198"/>
      <c r="U61" s="198"/>
    </row>
    <row r="62" spans="1:21" s="12" customFormat="1" x14ac:dyDescent="0.25">
      <c r="A62" s="216" t="s">
        <v>875</v>
      </c>
      <c r="B62" s="64">
        <v>2.71</v>
      </c>
      <c r="C62" s="64">
        <v>26.41</v>
      </c>
      <c r="D62" s="64">
        <v>15.89</v>
      </c>
      <c r="E62" s="64">
        <v>1.97</v>
      </c>
      <c r="F62" s="64">
        <v>8.51</v>
      </c>
      <c r="G62" s="64">
        <v>27.94</v>
      </c>
      <c r="H62" s="64">
        <v>10.15</v>
      </c>
      <c r="I62" s="64">
        <v>1.62</v>
      </c>
      <c r="J62" s="64">
        <v>1.31</v>
      </c>
      <c r="K62" s="64">
        <v>168.37</v>
      </c>
      <c r="L62" s="64">
        <v>32.4</v>
      </c>
      <c r="M62" s="64">
        <v>33.1</v>
      </c>
      <c r="N62" s="64">
        <v>810.9</v>
      </c>
      <c r="O62" s="64">
        <v>0</v>
      </c>
      <c r="P62" s="64">
        <v>0.19</v>
      </c>
      <c r="Q62" s="64">
        <v>10.01</v>
      </c>
      <c r="R62" s="198"/>
      <c r="S62" s="198"/>
      <c r="T62" s="198"/>
      <c r="U62" s="198"/>
    </row>
    <row r="63" spans="1:21" s="12" customFormat="1" x14ac:dyDescent="0.25">
      <c r="A63" s="216" t="s">
        <v>876</v>
      </c>
      <c r="B63" s="64">
        <v>2.74</v>
      </c>
      <c r="C63" s="64">
        <v>24.32</v>
      </c>
      <c r="D63" s="64">
        <v>14.82</v>
      </c>
      <c r="E63" s="64">
        <v>2.12</v>
      </c>
      <c r="F63" s="64">
        <v>8.4499999999999993</v>
      </c>
      <c r="G63" s="64">
        <v>27.94</v>
      </c>
      <c r="H63" s="64">
        <v>10.15</v>
      </c>
      <c r="I63" s="64">
        <v>1.68</v>
      </c>
      <c r="J63" s="64">
        <v>0.78</v>
      </c>
      <c r="K63" s="64">
        <v>182.86</v>
      </c>
      <c r="L63" s="64">
        <v>32.74</v>
      </c>
      <c r="M63" s="64">
        <v>32.369999999999997</v>
      </c>
      <c r="N63" s="64">
        <v>783.1</v>
      </c>
      <c r="O63" s="64">
        <v>0</v>
      </c>
      <c r="P63" s="64">
        <v>0.18</v>
      </c>
      <c r="Q63" s="64">
        <v>9.86</v>
      </c>
      <c r="R63" s="198"/>
      <c r="S63" s="198"/>
      <c r="T63" s="198"/>
      <c r="U63" s="198"/>
    </row>
    <row r="64" spans="1:21" s="12" customFormat="1" x14ac:dyDescent="0.25">
      <c r="A64" s="216" t="s">
        <v>877</v>
      </c>
      <c r="B64" s="64">
        <v>2.75</v>
      </c>
      <c r="C64" s="64">
        <v>21.8</v>
      </c>
      <c r="D64" s="64">
        <v>13.52</v>
      </c>
      <c r="E64" s="64">
        <v>1.89</v>
      </c>
      <c r="F64" s="64">
        <v>8.42</v>
      </c>
      <c r="G64" s="64">
        <v>26.26</v>
      </c>
      <c r="H64" s="64">
        <v>10.17</v>
      </c>
      <c r="I64" s="64">
        <v>1.66</v>
      </c>
      <c r="J64" s="64">
        <v>1.0900000000000001</v>
      </c>
      <c r="K64" s="64">
        <v>165.17</v>
      </c>
      <c r="L64" s="64">
        <v>32.94</v>
      </c>
      <c r="M64" s="64">
        <v>32.56</v>
      </c>
      <c r="N64" s="64">
        <v>745.9</v>
      </c>
      <c r="O64" s="64">
        <v>0</v>
      </c>
      <c r="P64" s="64">
        <v>0.18</v>
      </c>
      <c r="Q64" s="64">
        <v>9.7799999999999994</v>
      </c>
      <c r="R64" s="198"/>
      <c r="S64" s="198"/>
      <c r="T64" s="198"/>
      <c r="U64" s="198"/>
    </row>
    <row r="65" spans="1:21" s="12" customFormat="1" x14ac:dyDescent="0.25">
      <c r="A65" s="216" t="s">
        <v>878</v>
      </c>
      <c r="B65" s="64">
        <v>2.75</v>
      </c>
      <c r="C65" s="64">
        <v>19.77</v>
      </c>
      <c r="D65" s="64">
        <v>12.45</v>
      </c>
      <c r="E65" s="64">
        <v>1.73</v>
      </c>
      <c r="F65" s="64">
        <v>8.81</v>
      </c>
      <c r="G65" s="64">
        <v>25.08</v>
      </c>
      <c r="H65" s="64">
        <v>10.19</v>
      </c>
      <c r="I65" s="64">
        <v>1.59</v>
      </c>
      <c r="J65" s="64">
        <v>1.42</v>
      </c>
      <c r="K65" s="64">
        <v>171.73</v>
      </c>
      <c r="L65" s="64">
        <v>32.799999999999997</v>
      </c>
      <c r="M65" s="64">
        <v>33.68</v>
      </c>
      <c r="N65" s="64">
        <v>665.6</v>
      </c>
      <c r="O65" s="64">
        <v>0</v>
      </c>
      <c r="P65" s="64">
        <v>0.17</v>
      </c>
      <c r="Q65" s="64">
        <v>9.69</v>
      </c>
      <c r="R65" s="198"/>
      <c r="S65" s="198"/>
      <c r="T65" s="198"/>
      <c r="U65" s="198"/>
    </row>
    <row r="66" spans="1:21" s="12" customFormat="1" x14ac:dyDescent="0.25">
      <c r="A66" s="216" t="s">
        <v>879</v>
      </c>
      <c r="B66" s="64">
        <v>2.75</v>
      </c>
      <c r="C66" s="64">
        <v>21.3</v>
      </c>
      <c r="D66" s="64">
        <v>13.26</v>
      </c>
      <c r="E66" s="64">
        <v>1.77</v>
      </c>
      <c r="F66" s="64">
        <v>8.98</v>
      </c>
      <c r="G66" s="64">
        <v>25.08</v>
      </c>
      <c r="H66" s="64">
        <v>10.19</v>
      </c>
      <c r="I66" s="64">
        <v>1.61</v>
      </c>
      <c r="J66" s="64">
        <v>0.75</v>
      </c>
      <c r="K66" s="64">
        <v>183.04</v>
      </c>
      <c r="L66" s="64">
        <v>33</v>
      </c>
      <c r="M66" s="64">
        <v>33.54</v>
      </c>
      <c r="N66" s="64">
        <v>309.60000000000002</v>
      </c>
      <c r="O66" s="64">
        <v>0</v>
      </c>
      <c r="P66" s="64">
        <v>0.18</v>
      </c>
      <c r="Q66" s="64">
        <v>9.77</v>
      </c>
      <c r="R66" s="198"/>
      <c r="S66" s="198"/>
      <c r="T66" s="198"/>
      <c r="U66" s="198"/>
    </row>
    <row r="67" spans="1:21" s="12" customFormat="1" x14ac:dyDescent="0.25">
      <c r="A67" s="216" t="s">
        <v>880</v>
      </c>
      <c r="B67" s="64">
        <v>2.7</v>
      </c>
      <c r="C67" s="64">
        <v>21.75</v>
      </c>
      <c r="D67" s="64">
        <v>13.45</v>
      </c>
      <c r="E67" s="64">
        <v>1.78</v>
      </c>
      <c r="F67" s="64">
        <v>9.8699999999999992</v>
      </c>
      <c r="G67" s="64">
        <v>25.08</v>
      </c>
      <c r="H67" s="64">
        <v>10.19</v>
      </c>
      <c r="I67" s="64">
        <v>1.61</v>
      </c>
      <c r="J67" s="64">
        <v>0.56000000000000005</v>
      </c>
      <c r="K67" s="64">
        <v>183.27</v>
      </c>
      <c r="L67" s="64">
        <v>33.299999999999997</v>
      </c>
      <c r="M67" s="64">
        <v>33.36</v>
      </c>
      <c r="N67" s="64">
        <v>260.8</v>
      </c>
      <c r="O67" s="64">
        <v>0</v>
      </c>
      <c r="P67" s="64">
        <v>0.18</v>
      </c>
      <c r="Q67" s="64">
        <v>9.8800000000000008</v>
      </c>
      <c r="R67" s="198"/>
      <c r="S67" s="198"/>
      <c r="T67" s="198"/>
      <c r="U67" s="198"/>
    </row>
    <row r="68" spans="1:21" s="12" customFormat="1" x14ac:dyDescent="0.25">
      <c r="A68" s="216" t="s">
        <v>881</v>
      </c>
      <c r="B68" s="64">
        <v>2.69</v>
      </c>
      <c r="C68" s="64">
        <v>21.5</v>
      </c>
      <c r="D68" s="64">
        <v>13.31</v>
      </c>
      <c r="E68" s="64">
        <v>2.2000000000000002</v>
      </c>
      <c r="F68" s="64">
        <v>10.220000000000001</v>
      </c>
      <c r="G68" s="64">
        <v>23.28</v>
      </c>
      <c r="H68" s="64">
        <v>10.199999999999999</v>
      </c>
      <c r="I68" s="64">
        <v>1.59</v>
      </c>
      <c r="J68" s="64">
        <v>0.8</v>
      </c>
      <c r="K68" s="64">
        <v>188.32</v>
      </c>
      <c r="L68" s="64">
        <v>32.96</v>
      </c>
      <c r="M68" s="64">
        <v>33.549999999999997</v>
      </c>
      <c r="N68" s="64">
        <v>275.8</v>
      </c>
      <c r="O68" s="64">
        <v>0</v>
      </c>
      <c r="P68" s="64">
        <v>0.18</v>
      </c>
      <c r="Q68" s="64">
        <v>9.94</v>
      </c>
      <c r="R68" s="198"/>
      <c r="S68" s="198"/>
      <c r="T68" s="198"/>
      <c r="U68" s="198"/>
    </row>
    <row r="69" spans="1:21" s="12" customFormat="1" x14ac:dyDescent="0.25">
      <c r="A69" s="216" t="s">
        <v>882</v>
      </c>
      <c r="B69" s="64">
        <v>2.68</v>
      </c>
      <c r="C69" s="64">
        <v>21.75</v>
      </c>
      <c r="D69" s="64">
        <v>13.44</v>
      </c>
      <c r="E69" s="64">
        <v>2.11</v>
      </c>
      <c r="F69" s="64">
        <v>10.130000000000001</v>
      </c>
      <c r="G69" s="64">
        <v>22.02</v>
      </c>
      <c r="H69" s="64">
        <v>10.199999999999999</v>
      </c>
      <c r="I69" s="64">
        <v>1.53</v>
      </c>
      <c r="J69" s="64">
        <v>0.61</v>
      </c>
      <c r="K69" s="64">
        <v>160.91</v>
      </c>
      <c r="L69" s="64">
        <v>33.25</v>
      </c>
      <c r="M69" s="64">
        <v>33.78</v>
      </c>
      <c r="N69" s="64">
        <v>346.6</v>
      </c>
      <c r="O69" s="64">
        <v>0</v>
      </c>
      <c r="P69" s="64">
        <v>0.18</v>
      </c>
      <c r="Q69" s="64">
        <v>10.01</v>
      </c>
      <c r="R69" s="198"/>
      <c r="S69" s="198"/>
      <c r="T69" s="198"/>
      <c r="U69" s="198"/>
    </row>
    <row r="70" spans="1:21" s="12" customFormat="1" x14ac:dyDescent="0.25">
      <c r="A70" s="216" t="s">
        <v>883</v>
      </c>
      <c r="B70" s="64">
        <v>2.72</v>
      </c>
      <c r="C70" s="64">
        <v>21.46</v>
      </c>
      <c r="D70" s="64">
        <v>13.31</v>
      </c>
      <c r="E70" s="64">
        <v>2.41</v>
      </c>
      <c r="F70" s="64">
        <v>10.06</v>
      </c>
      <c r="G70" s="64">
        <v>22.02</v>
      </c>
      <c r="H70" s="64">
        <v>10.199999999999999</v>
      </c>
      <c r="I70" s="64">
        <v>1.34</v>
      </c>
      <c r="J70" s="64">
        <v>0.85</v>
      </c>
      <c r="K70" s="64">
        <v>192.8</v>
      </c>
      <c r="L70" s="64">
        <v>33.28</v>
      </c>
      <c r="M70" s="64">
        <v>32.14</v>
      </c>
      <c r="N70" s="64">
        <v>271.8</v>
      </c>
      <c r="O70" s="64">
        <v>0</v>
      </c>
      <c r="P70" s="64">
        <v>0.18</v>
      </c>
      <c r="Q70" s="64">
        <v>10.039999999999999</v>
      </c>
      <c r="R70" s="198"/>
      <c r="S70" s="198"/>
      <c r="T70" s="198"/>
      <c r="U70" s="198"/>
    </row>
    <row r="71" spans="1:21" s="12" customFormat="1" x14ac:dyDescent="0.25">
      <c r="A71" s="216" t="s">
        <v>884</v>
      </c>
      <c r="B71" s="64">
        <v>2.7</v>
      </c>
      <c r="C71" s="64">
        <v>20.91</v>
      </c>
      <c r="D71" s="64">
        <v>13.01</v>
      </c>
      <c r="E71" s="64">
        <v>1.83</v>
      </c>
      <c r="F71" s="64">
        <v>10.36</v>
      </c>
      <c r="G71" s="64">
        <v>22.02</v>
      </c>
      <c r="H71" s="64">
        <v>10.199999999999999</v>
      </c>
      <c r="I71" s="64">
        <v>1.44</v>
      </c>
      <c r="J71" s="64">
        <v>1.34</v>
      </c>
      <c r="K71" s="64">
        <v>168.52</v>
      </c>
      <c r="L71" s="64">
        <v>33.03</v>
      </c>
      <c r="M71" s="64">
        <v>32.270000000000003</v>
      </c>
      <c r="N71" s="64">
        <v>179.6</v>
      </c>
      <c r="O71" s="64">
        <v>0</v>
      </c>
      <c r="P71" s="64">
        <v>0.18</v>
      </c>
      <c r="Q71" s="64">
        <v>10.029999999999999</v>
      </c>
      <c r="R71" s="198"/>
      <c r="S71" s="198"/>
      <c r="T71" s="198"/>
      <c r="U71" s="198"/>
    </row>
    <row r="72" spans="1:21" s="12" customFormat="1" x14ac:dyDescent="0.25">
      <c r="A72" s="216" t="s">
        <v>885</v>
      </c>
      <c r="B72" s="64">
        <v>2.77</v>
      </c>
      <c r="C72" s="64">
        <v>23.96</v>
      </c>
      <c r="D72" s="64">
        <v>14.66</v>
      </c>
      <c r="E72" s="64">
        <v>1.08</v>
      </c>
      <c r="F72" s="64">
        <v>9.5</v>
      </c>
      <c r="G72" s="64">
        <v>20.62</v>
      </c>
      <c r="H72" s="64">
        <v>9.19</v>
      </c>
      <c r="I72" s="64">
        <v>1.66</v>
      </c>
      <c r="J72" s="64">
        <v>1.17</v>
      </c>
      <c r="K72" s="64">
        <v>168.77</v>
      </c>
      <c r="L72" s="64">
        <v>32.64</v>
      </c>
      <c r="M72" s="64">
        <v>33.450000000000003</v>
      </c>
      <c r="N72" s="64">
        <v>190.3</v>
      </c>
      <c r="O72" s="64">
        <v>0</v>
      </c>
      <c r="P72" s="64">
        <v>0.18</v>
      </c>
      <c r="Q72" s="64">
        <v>9.99</v>
      </c>
      <c r="R72" s="198"/>
      <c r="S72" s="198"/>
      <c r="T72" s="198"/>
      <c r="U72" s="198"/>
    </row>
    <row r="73" spans="1:21" s="12" customFormat="1" x14ac:dyDescent="0.25">
      <c r="A73" s="216" t="s">
        <v>886</v>
      </c>
      <c r="B73" s="64">
        <v>2.85</v>
      </c>
      <c r="C73" s="64">
        <v>22.31</v>
      </c>
      <c r="D73" s="64">
        <v>13.86</v>
      </c>
      <c r="E73" s="64">
        <v>0.89</v>
      </c>
      <c r="F73" s="64">
        <v>9.57</v>
      </c>
      <c r="G73" s="64">
        <v>19.64</v>
      </c>
      <c r="H73" s="64">
        <v>8.48</v>
      </c>
      <c r="I73" s="64">
        <v>1.56</v>
      </c>
      <c r="J73" s="64">
        <v>1.21</v>
      </c>
      <c r="K73" s="64">
        <v>179.09</v>
      </c>
      <c r="L73" s="64">
        <v>32.299999999999997</v>
      </c>
      <c r="M73" s="64">
        <v>35</v>
      </c>
      <c r="N73" s="64">
        <v>184.3</v>
      </c>
      <c r="O73" s="64">
        <v>0</v>
      </c>
      <c r="P73" s="64">
        <v>0.18</v>
      </c>
      <c r="Q73" s="64">
        <v>9.89</v>
      </c>
      <c r="R73" s="198"/>
      <c r="S73" s="198"/>
      <c r="T73" s="198"/>
      <c r="U73" s="198"/>
    </row>
    <row r="74" spans="1:21" s="12" customFormat="1" x14ac:dyDescent="0.25">
      <c r="A74" s="216" t="s">
        <v>887</v>
      </c>
      <c r="B74" s="64">
        <v>2.83</v>
      </c>
      <c r="C74" s="64">
        <v>21.53</v>
      </c>
      <c r="D74" s="64">
        <v>13.44</v>
      </c>
      <c r="E74" s="64">
        <v>0.93</v>
      </c>
      <c r="F74" s="64">
        <v>9.2100000000000009</v>
      </c>
      <c r="G74" s="64">
        <v>19.64</v>
      </c>
      <c r="H74" s="64">
        <v>8.48</v>
      </c>
      <c r="I74" s="64">
        <v>1.54</v>
      </c>
      <c r="J74" s="64">
        <v>1.68</v>
      </c>
      <c r="K74" s="64">
        <v>156.18</v>
      </c>
      <c r="L74" s="64">
        <v>32.01</v>
      </c>
      <c r="M74" s="64">
        <v>35.4</v>
      </c>
      <c r="N74" s="64">
        <v>96.3</v>
      </c>
      <c r="O74" s="64">
        <v>0</v>
      </c>
      <c r="P74" s="64">
        <v>0.18</v>
      </c>
      <c r="Q74" s="64">
        <v>9.85</v>
      </c>
      <c r="R74" s="198"/>
      <c r="S74" s="198"/>
      <c r="T74" s="198"/>
      <c r="U74" s="198"/>
    </row>
    <row r="75" spans="1:21" s="12" customFormat="1" x14ac:dyDescent="0.25">
      <c r="A75" s="216" t="s">
        <v>888</v>
      </c>
      <c r="B75" s="64">
        <v>2.9</v>
      </c>
      <c r="C75" s="64">
        <v>21.03</v>
      </c>
      <c r="D75" s="64">
        <v>13.23</v>
      </c>
      <c r="E75" s="64">
        <v>0.93</v>
      </c>
      <c r="F75" s="64">
        <v>8.59</v>
      </c>
      <c r="G75" s="64">
        <v>19.64</v>
      </c>
      <c r="H75" s="64">
        <v>8.48</v>
      </c>
      <c r="I75" s="64">
        <v>1.47</v>
      </c>
      <c r="J75" s="64">
        <v>1.1399999999999999</v>
      </c>
      <c r="K75" s="64">
        <v>169.39</v>
      </c>
      <c r="L75" s="64">
        <v>31.71</v>
      </c>
      <c r="M75" s="64">
        <v>36.19</v>
      </c>
      <c r="N75" s="64">
        <v>82.3</v>
      </c>
      <c r="O75" s="64">
        <v>0</v>
      </c>
      <c r="P75" s="64">
        <v>0.18</v>
      </c>
      <c r="Q75" s="64">
        <v>9.85</v>
      </c>
      <c r="R75" s="198"/>
      <c r="S75" s="198"/>
      <c r="T75" s="198"/>
      <c r="U75" s="198"/>
    </row>
    <row r="76" spans="1:21" s="12" customFormat="1" x14ac:dyDescent="0.25">
      <c r="A76" s="216" t="s">
        <v>889</v>
      </c>
      <c r="B76" s="64">
        <v>2.95</v>
      </c>
      <c r="C76" s="64">
        <v>20.9</v>
      </c>
      <c r="D76" s="64">
        <v>13.21</v>
      </c>
      <c r="E76" s="64">
        <v>0.96</v>
      </c>
      <c r="F76" s="64">
        <v>8.15</v>
      </c>
      <c r="G76" s="64">
        <v>20.47</v>
      </c>
      <c r="H76" s="64">
        <v>8.34</v>
      </c>
      <c r="I76" s="64">
        <v>1.27</v>
      </c>
      <c r="J76" s="64">
        <v>0.74</v>
      </c>
      <c r="K76" s="64">
        <v>185.4</v>
      </c>
      <c r="L76" s="64">
        <v>31.23</v>
      </c>
      <c r="M76" s="64">
        <v>37.17</v>
      </c>
      <c r="N76" s="64">
        <v>58.4</v>
      </c>
      <c r="O76" s="64">
        <v>0</v>
      </c>
      <c r="P76" s="64">
        <v>0.18</v>
      </c>
      <c r="Q76" s="64">
        <v>9.83</v>
      </c>
      <c r="R76" s="198"/>
      <c r="S76" s="198"/>
      <c r="T76" s="198"/>
      <c r="U76" s="198"/>
    </row>
    <row r="77" spans="1:21" s="12" customFormat="1" x14ac:dyDescent="0.25">
      <c r="A77" s="216" t="s">
        <v>890</v>
      </c>
      <c r="B77" s="64">
        <v>3.01</v>
      </c>
      <c r="C77" s="64">
        <v>20.86</v>
      </c>
      <c r="D77" s="64">
        <v>13.23</v>
      </c>
      <c r="E77" s="64">
        <v>1.07</v>
      </c>
      <c r="F77" s="64">
        <v>7.82</v>
      </c>
      <c r="G77" s="64">
        <v>21.05</v>
      </c>
      <c r="H77" s="64">
        <v>8.24</v>
      </c>
      <c r="I77" s="64">
        <v>1.34</v>
      </c>
      <c r="J77" s="64">
        <v>0.31</v>
      </c>
      <c r="K77" s="64">
        <v>156.43</v>
      </c>
      <c r="L77" s="64">
        <v>30.66</v>
      </c>
      <c r="M77" s="64">
        <v>39.64</v>
      </c>
      <c r="N77" s="64">
        <v>77.3</v>
      </c>
      <c r="O77" s="64">
        <v>0</v>
      </c>
      <c r="P77" s="64">
        <v>0.18</v>
      </c>
      <c r="Q77" s="64">
        <v>9.81</v>
      </c>
      <c r="R77" s="198"/>
      <c r="S77" s="198"/>
      <c r="T77" s="198"/>
      <c r="U77" s="198"/>
    </row>
    <row r="78" spans="1:21" s="12" customFormat="1" x14ac:dyDescent="0.25">
      <c r="A78" s="216" t="s">
        <v>891</v>
      </c>
      <c r="B78" s="64">
        <v>3.26</v>
      </c>
      <c r="C78" s="64">
        <v>21.15</v>
      </c>
      <c r="D78" s="64">
        <v>13.59</v>
      </c>
      <c r="E78" s="64">
        <v>1.41</v>
      </c>
      <c r="F78" s="64">
        <v>6.63</v>
      </c>
      <c r="G78" s="64">
        <v>21.05</v>
      </c>
      <c r="H78" s="64">
        <v>8.24</v>
      </c>
      <c r="I78" s="64">
        <v>1.52</v>
      </c>
      <c r="J78" s="64">
        <v>2.16</v>
      </c>
      <c r="K78" s="64">
        <v>349.13</v>
      </c>
      <c r="L78" s="64">
        <v>29.71</v>
      </c>
      <c r="M78" s="64">
        <v>41.13</v>
      </c>
      <c r="N78" s="64">
        <v>34.299999999999997</v>
      </c>
      <c r="O78" s="64">
        <v>0</v>
      </c>
      <c r="P78" s="64">
        <v>0.2</v>
      </c>
      <c r="Q78" s="64">
        <v>9.76</v>
      </c>
      <c r="R78" s="198"/>
      <c r="S78" s="198"/>
      <c r="T78" s="198"/>
      <c r="U78" s="198"/>
    </row>
    <row r="79" spans="1:21" s="12" customFormat="1" x14ac:dyDescent="0.25">
      <c r="A79" s="216" t="s">
        <v>892</v>
      </c>
      <c r="B79" s="64">
        <v>3.8</v>
      </c>
      <c r="C79" s="64">
        <v>22.33</v>
      </c>
      <c r="D79" s="64">
        <v>14.63</v>
      </c>
      <c r="E79" s="64">
        <v>1.29</v>
      </c>
      <c r="F79" s="64">
        <v>7.2</v>
      </c>
      <c r="G79" s="64">
        <v>21.05</v>
      </c>
      <c r="H79" s="64">
        <v>8.24</v>
      </c>
      <c r="I79" s="64">
        <v>1.45</v>
      </c>
      <c r="J79" s="64">
        <v>3.72</v>
      </c>
      <c r="K79" s="64">
        <v>350.48</v>
      </c>
      <c r="L79" s="64">
        <v>27.15</v>
      </c>
      <c r="M79" s="64">
        <v>44.57</v>
      </c>
      <c r="N79" s="64">
        <v>31.2</v>
      </c>
      <c r="O79" s="64">
        <v>0</v>
      </c>
      <c r="P79" s="64">
        <v>0.23</v>
      </c>
      <c r="Q79" s="64">
        <v>9.6999999999999993</v>
      </c>
      <c r="R79" s="198"/>
      <c r="S79" s="198"/>
      <c r="T79" s="198"/>
      <c r="U79" s="198"/>
    </row>
    <row r="80" spans="1:21" s="12" customFormat="1" x14ac:dyDescent="0.25">
      <c r="A80" s="216" t="s">
        <v>893</v>
      </c>
      <c r="B80" s="64">
        <v>3.5</v>
      </c>
      <c r="C80" s="64">
        <v>29.1</v>
      </c>
      <c r="D80" s="64">
        <v>17.93</v>
      </c>
      <c r="E80" s="64">
        <v>1.34</v>
      </c>
      <c r="F80" s="64">
        <v>8.5500000000000007</v>
      </c>
      <c r="G80" s="64">
        <v>32.11</v>
      </c>
      <c r="H80" s="64">
        <v>8.24</v>
      </c>
      <c r="I80" s="64">
        <v>1.44</v>
      </c>
      <c r="J80" s="64">
        <v>4.47</v>
      </c>
      <c r="K80" s="64">
        <v>349.56</v>
      </c>
      <c r="L80" s="64">
        <v>24.44</v>
      </c>
      <c r="M80" s="64">
        <v>65.13</v>
      </c>
      <c r="N80" s="64">
        <v>28.4</v>
      </c>
      <c r="O80" s="64">
        <v>1.4</v>
      </c>
      <c r="P80" s="64">
        <v>0.25</v>
      </c>
      <c r="Q80" s="64">
        <v>9.8800000000000008</v>
      </c>
      <c r="R80" s="198"/>
      <c r="S80" s="198"/>
      <c r="T80" s="198"/>
      <c r="U80" s="198"/>
    </row>
    <row r="81" spans="1:26" s="12" customFormat="1" x14ac:dyDescent="0.25">
      <c r="A81" s="216" t="s">
        <v>894</v>
      </c>
      <c r="B81" s="64">
        <v>3.15</v>
      </c>
      <c r="C81" s="64">
        <v>35.159999999999997</v>
      </c>
      <c r="D81" s="64">
        <v>20.82</v>
      </c>
      <c r="E81" s="64">
        <v>1.29</v>
      </c>
      <c r="F81" s="64">
        <v>8.4499999999999993</v>
      </c>
      <c r="G81" s="64">
        <v>39.840000000000003</v>
      </c>
      <c r="H81" s="64">
        <v>8.23</v>
      </c>
      <c r="I81" s="64">
        <v>1.7</v>
      </c>
      <c r="J81" s="64">
        <v>3.29</v>
      </c>
      <c r="K81" s="64">
        <v>351.19</v>
      </c>
      <c r="L81" s="64">
        <v>20.83</v>
      </c>
      <c r="M81" s="64">
        <v>92.07</v>
      </c>
      <c r="N81" s="64">
        <v>17.399999999999999</v>
      </c>
      <c r="O81" s="64">
        <v>1</v>
      </c>
      <c r="P81" s="64">
        <v>0.26</v>
      </c>
      <c r="Q81" s="64">
        <v>9.9700000000000006</v>
      </c>
      <c r="R81" s="198"/>
      <c r="S81" s="198"/>
      <c r="T81" s="198"/>
      <c r="U81" s="198"/>
    </row>
    <row r="82" spans="1:26" s="12" customFormat="1" x14ac:dyDescent="0.25">
      <c r="A82" s="216" t="s">
        <v>895</v>
      </c>
      <c r="B82" s="64">
        <v>3.21</v>
      </c>
      <c r="C82" s="64">
        <v>34.4</v>
      </c>
      <c r="D82" s="64">
        <v>20.47</v>
      </c>
      <c r="E82" s="64">
        <v>1.3</v>
      </c>
      <c r="F82" s="64">
        <v>7.01</v>
      </c>
      <c r="G82" s="64">
        <v>39.840000000000003</v>
      </c>
      <c r="H82" s="64">
        <v>8.23</v>
      </c>
      <c r="I82" s="64">
        <v>1.82</v>
      </c>
      <c r="J82" s="64">
        <v>3.01</v>
      </c>
      <c r="K82" s="64">
        <v>346.95</v>
      </c>
      <c r="L82" s="64">
        <v>20.72</v>
      </c>
      <c r="M82" s="64">
        <v>91.11</v>
      </c>
      <c r="N82" s="64">
        <v>16.7</v>
      </c>
      <c r="O82" s="64">
        <v>0.2</v>
      </c>
      <c r="P82" s="64">
        <v>0.27</v>
      </c>
      <c r="Q82" s="64">
        <v>9.9499999999999993</v>
      </c>
      <c r="R82" s="198"/>
      <c r="S82" s="198"/>
      <c r="T82" s="198"/>
      <c r="U82" s="198"/>
    </row>
    <row r="83" spans="1:26" s="12" customFormat="1" x14ac:dyDescent="0.25">
      <c r="A83" s="216" t="s">
        <v>896</v>
      </c>
      <c r="B83" s="64">
        <v>3.38</v>
      </c>
      <c r="C83" s="64">
        <v>30.22</v>
      </c>
      <c r="D83" s="64">
        <v>18.420000000000002</v>
      </c>
      <c r="E83" s="64">
        <v>1.27</v>
      </c>
      <c r="F83" s="64">
        <v>5.73</v>
      </c>
      <c r="G83" s="64">
        <v>39.840000000000003</v>
      </c>
      <c r="H83" s="64">
        <v>8.23</v>
      </c>
      <c r="I83" s="64">
        <v>1.8</v>
      </c>
      <c r="J83" s="64">
        <v>2.61</v>
      </c>
      <c r="K83" s="64">
        <v>345.13</v>
      </c>
      <c r="L83" s="64">
        <v>20.73</v>
      </c>
      <c r="M83" s="64">
        <v>86.66</v>
      </c>
      <c r="N83" s="64">
        <v>18</v>
      </c>
      <c r="O83" s="64">
        <v>0</v>
      </c>
      <c r="P83" s="64">
        <v>0.28000000000000003</v>
      </c>
      <c r="Q83" s="64">
        <v>9.83</v>
      </c>
      <c r="R83" s="198"/>
      <c r="S83" s="198"/>
      <c r="T83" s="198"/>
      <c r="U83" s="198"/>
    </row>
    <row r="84" spans="1:26" s="12" customFormat="1" x14ac:dyDescent="0.25">
      <c r="A84" s="216" t="s">
        <v>897</v>
      </c>
      <c r="B84" s="64">
        <v>3.5</v>
      </c>
      <c r="C84" s="64">
        <v>25.94</v>
      </c>
      <c r="D84" s="64">
        <v>16.28</v>
      </c>
      <c r="E84" s="64">
        <v>1.07</v>
      </c>
      <c r="F84" s="64">
        <v>5.82</v>
      </c>
      <c r="G84" s="64">
        <v>41.98</v>
      </c>
      <c r="H84" s="64">
        <v>9.89</v>
      </c>
      <c r="I84" s="64">
        <v>1.85</v>
      </c>
      <c r="J84" s="64">
        <v>1.49</v>
      </c>
      <c r="K84" s="64">
        <v>318.12</v>
      </c>
      <c r="L84" s="64">
        <v>20.23</v>
      </c>
      <c r="M84" s="64">
        <v>93.32</v>
      </c>
      <c r="N84" s="64">
        <v>16.399999999999999</v>
      </c>
      <c r="O84" s="64">
        <v>0.4</v>
      </c>
      <c r="P84" s="64">
        <v>0.3</v>
      </c>
      <c r="Q84" s="64">
        <v>9.74</v>
      </c>
      <c r="R84" s="198"/>
      <c r="S84" s="198"/>
      <c r="T84" s="198"/>
      <c r="U84" s="198"/>
    </row>
    <row r="85" spans="1:26" s="12" customFormat="1" x14ac:dyDescent="0.25">
      <c r="A85" s="216" t="s">
        <v>898</v>
      </c>
      <c r="B85" s="64">
        <v>3.39</v>
      </c>
      <c r="C85" s="64">
        <v>26.42</v>
      </c>
      <c r="D85" s="64">
        <v>16.440000000000001</v>
      </c>
      <c r="E85" s="64">
        <v>1.27</v>
      </c>
      <c r="F85" s="64">
        <v>6.02</v>
      </c>
      <c r="G85" s="64">
        <v>43.47</v>
      </c>
      <c r="H85" s="64">
        <v>11.05</v>
      </c>
      <c r="I85" s="64">
        <v>2.04</v>
      </c>
      <c r="J85" s="64">
        <v>0.67</v>
      </c>
      <c r="K85" s="64">
        <v>325.43</v>
      </c>
      <c r="L85" s="64">
        <v>19.190000000000001</v>
      </c>
      <c r="M85" s="64">
        <v>98.12</v>
      </c>
      <c r="N85" s="64">
        <v>16.3</v>
      </c>
      <c r="O85" s="64">
        <v>2.2000000000000002</v>
      </c>
      <c r="P85" s="64">
        <v>0.28999999999999998</v>
      </c>
      <c r="Q85" s="64">
        <v>9.85</v>
      </c>
      <c r="R85" s="198"/>
      <c r="S85" s="198"/>
      <c r="T85" s="198"/>
      <c r="U85" s="198"/>
    </row>
    <row r="86" spans="1:26" s="12" customFormat="1" x14ac:dyDescent="0.25">
      <c r="A86" s="216" t="s">
        <v>899</v>
      </c>
      <c r="B86" s="64">
        <v>3.26</v>
      </c>
      <c r="C86" s="64">
        <v>26.27</v>
      </c>
      <c r="D86" s="64">
        <v>16.260000000000002</v>
      </c>
      <c r="E86" s="64">
        <v>1.3</v>
      </c>
      <c r="F86" s="64">
        <v>6.26</v>
      </c>
      <c r="G86" s="64">
        <v>43.47</v>
      </c>
      <c r="H86" s="64">
        <v>11.05</v>
      </c>
      <c r="I86" s="64">
        <v>1.88</v>
      </c>
      <c r="J86" s="64">
        <v>0.41</v>
      </c>
      <c r="K86" s="64">
        <v>358.1</v>
      </c>
      <c r="L86" s="64">
        <v>18.61</v>
      </c>
      <c r="M86" s="64">
        <v>98.16</v>
      </c>
      <c r="N86" s="64">
        <v>16.100000000000001</v>
      </c>
      <c r="O86" s="64">
        <v>4.2</v>
      </c>
      <c r="P86" s="64">
        <v>0.3</v>
      </c>
      <c r="Q86" s="64">
        <v>9.9</v>
      </c>
      <c r="R86" s="198"/>
      <c r="S86" s="198"/>
      <c r="T86" s="198"/>
      <c r="U86" s="198"/>
    </row>
    <row r="87" spans="1:26" s="12" customFormat="1" x14ac:dyDescent="0.25">
      <c r="A87" s="216" t="s">
        <v>900</v>
      </c>
      <c r="B87" s="64">
        <v>3.29</v>
      </c>
      <c r="C87" s="64">
        <v>25.69</v>
      </c>
      <c r="D87" s="64">
        <v>15.98</v>
      </c>
      <c r="E87" s="64">
        <v>1.48</v>
      </c>
      <c r="F87" s="64">
        <v>5.49</v>
      </c>
      <c r="G87" s="64">
        <v>43.47</v>
      </c>
      <c r="H87" s="64">
        <v>11.05</v>
      </c>
      <c r="I87" s="64">
        <v>1.69</v>
      </c>
      <c r="J87" s="64">
        <v>0.21</v>
      </c>
      <c r="K87" s="64">
        <v>233.69</v>
      </c>
      <c r="L87" s="64">
        <v>17.86</v>
      </c>
      <c r="M87" s="64">
        <v>98.18</v>
      </c>
      <c r="N87" s="64">
        <v>16.600000000000001</v>
      </c>
      <c r="O87" s="64">
        <v>3.8</v>
      </c>
      <c r="P87" s="64">
        <v>0.28000000000000003</v>
      </c>
      <c r="Q87" s="64">
        <v>9.92</v>
      </c>
      <c r="R87" s="198"/>
      <c r="S87" s="198"/>
      <c r="T87" s="198"/>
      <c r="U87" s="198"/>
    </row>
    <row r="88" spans="1:26" s="12" customFormat="1" x14ac:dyDescent="0.25">
      <c r="A88" s="216" t="s">
        <v>901</v>
      </c>
      <c r="B88" s="64">
        <v>3.39</v>
      </c>
      <c r="C88" s="64">
        <v>25.24</v>
      </c>
      <c r="D88" s="64">
        <v>15.82</v>
      </c>
      <c r="E88" s="64">
        <v>0.75</v>
      </c>
      <c r="F88" s="64">
        <v>4.54</v>
      </c>
      <c r="G88" s="64">
        <v>36.909999999999997</v>
      </c>
      <c r="H88" s="64">
        <v>9.1199999999999992</v>
      </c>
      <c r="I88" s="64">
        <v>1.62</v>
      </c>
      <c r="J88" s="64">
        <v>1.08</v>
      </c>
      <c r="K88" s="64">
        <v>156.16</v>
      </c>
      <c r="L88" s="64">
        <v>17.75</v>
      </c>
      <c r="M88" s="64">
        <v>98.18</v>
      </c>
      <c r="N88" s="64">
        <v>16.399999999999999</v>
      </c>
      <c r="O88" s="64">
        <v>0.6</v>
      </c>
      <c r="P88" s="64">
        <v>0.28000000000000003</v>
      </c>
      <c r="Q88" s="64">
        <v>9.9</v>
      </c>
      <c r="R88" s="198"/>
      <c r="S88" s="198"/>
      <c r="T88" s="198"/>
      <c r="U88" s="198"/>
    </row>
    <row r="89" spans="1:26" s="12" customFormat="1" x14ac:dyDescent="0.25">
      <c r="A89" s="216" t="s">
        <v>902</v>
      </c>
      <c r="B89" s="64">
        <v>3.56</v>
      </c>
      <c r="C89" s="64">
        <v>24.89</v>
      </c>
      <c r="D89" s="64">
        <v>15.78</v>
      </c>
      <c r="E89" s="64">
        <v>0.97</v>
      </c>
      <c r="F89" s="64">
        <v>4.5</v>
      </c>
      <c r="G89" s="64">
        <v>32.340000000000003</v>
      </c>
      <c r="H89" s="64">
        <v>7.77</v>
      </c>
      <c r="I89" s="64">
        <v>1.61</v>
      </c>
      <c r="J89" s="64">
        <v>1.62</v>
      </c>
      <c r="K89" s="64">
        <v>154.47</v>
      </c>
      <c r="L89" s="64">
        <v>17.75</v>
      </c>
      <c r="M89" s="64">
        <v>98.18</v>
      </c>
      <c r="N89" s="64">
        <v>16.3</v>
      </c>
      <c r="O89" s="64">
        <v>0.8</v>
      </c>
      <c r="P89" s="64">
        <v>0.28000000000000003</v>
      </c>
      <c r="Q89" s="64">
        <v>9.9</v>
      </c>
      <c r="R89" s="198"/>
      <c r="S89" s="198"/>
      <c r="T89" s="198"/>
      <c r="U89" s="198"/>
    </row>
    <row r="90" spans="1:26" s="12" customFormat="1" x14ac:dyDescent="0.25">
      <c r="A90" s="216" t="s">
        <v>903</v>
      </c>
      <c r="B90" s="64">
        <v>3.66</v>
      </c>
      <c r="C90" s="64">
        <v>24.93</v>
      </c>
      <c r="D90" s="64">
        <v>15.88</v>
      </c>
      <c r="E90" s="64">
        <v>1.06</v>
      </c>
      <c r="F90" s="64">
        <v>4.8</v>
      </c>
      <c r="G90" s="64">
        <v>32.340000000000003</v>
      </c>
      <c r="H90" s="64">
        <v>7.77</v>
      </c>
      <c r="I90" s="64">
        <v>1.73</v>
      </c>
      <c r="J90" s="64">
        <v>2.0699999999999998</v>
      </c>
      <c r="K90" s="64">
        <v>160.94999999999999</v>
      </c>
      <c r="L90" s="64">
        <v>18.260000000000002</v>
      </c>
      <c r="M90" s="64">
        <v>98.18</v>
      </c>
      <c r="N90" s="64">
        <v>15.8</v>
      </c>
      <c r="O90" s="64">
        <v>0.4</v>
      </c>
      <c r="P90" s="64">
        <v>0.28000000000000003</v>
      </c>
      <c r="Q90" s="64">
        <v>9.86</v>
      </c>
      <c r="R90" s="198"/>
      <c r="S90" s="198"/>
      <c r="T90" s="198"/>
      <c r="U90" s="198"/>
    </row>
    <row r="91" spans="1:26" s="12" customFormat="1" x14ac:dyDescent="0.25">
      <c r="A91" s="216" t="s">
        <v>904</v>
      </c>
      <c r="B91" s="64">
        <v>3.41</v>
      </c>
      <c r="C91" s="64">
        <v>24.3</v>
      </c>
      <c r="D91" s="64">
        <v>15.35</v>
      </c>
      <c r="E91" s="64">
        <v>1.02</v>
      </c>
      <c r="F91" s="64">
        <v>6.24</v>
      </c>
      <c r="G91" s="64">
        <v>32.340000000000003</v>
      </c>
      <c r="H91" s="64">
        <v>7.77</v>
      </c>
      <c r="I91" s="64">
        <v>1.99</v>
      </c>
      <c r="J91" s="64">
        <v>1.97</v>
      </c>
      <c r="K91" s="64">
        <v>163.6</v>
      </c>
      <c r="L91" s="64">
        <v>18.57</v>
      </c>
      <c r="M91" s="64">
        <v>98.09</v>
      </c>
      <c r="N91" s="64">
        <v>17.399999999999999</v>
      </c>
      <c r="O91" s="64">
        <v>0</v>
      </c>
      <c r="P91" s="64">
        <v>0.27</v>
      </c>
      <c r="Q91" s="64">
        <v>9.7799999999999994</v>
      </c>
      <c r="R91" s="198"/>
      <c r="S91" s="198"/>
      <c r="T91" s="198"/>
      <c r="U91" s="198"/>
    </row>
    <row r="92" spans="1:26" s="12" customFormat="1" x14ac:dyDescent="0.25">
      <c r="A92" s="216" t="s">
        <v>905</v>
      </c>
      <c r="B92" s="64">
        <v>3.08</v>
      </c>
      <c r="C92" s="64">
        <v>23.97</v>
      </c>
      <c r="D92" s="64">
        <v>14.91</v>
      </c>
      <c r="E92" s="64">
        <v>0.99</v>
      </c>
      <c r="F92" s="64">
        <v>6.97</v>
      </c>
      <c r="G92" s="64">
        <v>24.99</v>
      </c>
      <c r="H92" s="64">
        <v>7.2</v>
      </c>
      <c r="I92" s="64">
        <v>1.95</v>
      </c>
      <c r="J92" s="64">
        <v>1.0900000000000001</v>
      </c>
      <c r="K92" s="64">
        <v>99.57</v>
      </c>
      <c r="L92" s="64">
        <v>19.16</v>
      </c>
      <c r="M92" s="64">
        <v>96.2</v>
      </c>
      <c r="N92" s="64">
        <v>17.2</v>
      </c>
      <c r="O92" s="64">
        <v>0</v>
      </c>
      <c r="P92" s="64">
        <v>0.26</v>
      </c>
      <c r="Q92" s="64">
        <v>9.82</v>
      </c>
      <c r="R92" s="198"/>
      <c r="S92" s="198"/>
      <c r="T92" s="198"/>
      <c r="U92" s="198"/>
    </row>
    <row r="93" spans="1:26" s="12" customFormat="1" x14ac:dyDescent="0.25">
      <c r="A93" s="216" t="s">
        <v>906</v>
      </c>
      <c r="B93" s="64">
        <v>3.02</v>
      </c>
      <c r="C93" s="64">
        <v>23.18</v>
      </c>
      <c r="D93" s="64">
        <v>14.46</v>
      </c>
      <c r="E93" s="64">
        <v>0.95</v>
      </c>
      <c r="F93" s="64">
        <v>6.01</v>
      </c>
      <c r="G93" s="64">
        <v>19.86</v>
      </c>
      <c r="H93" s="64">
        <v>6.81</v>
      </c>
      <c r="I93" s="64">
        <v>1.73</v>
      </c>
      <c r="J93" s="64">
        <v>1.66</v>
      </c>
      <c r="K93" s="64">
        <v>98.51</v>
      </c>
      <c r="L93" s="64">
        <v>20.27</v>
      </c>
      <c r="M93" s="64">
        <v>86.37</v>
      </c>
      <c r="N93" s="64">
        <v>17.7</v>
      </c>
      <c r="O93" s="64">
        <v>0</v>
      </c>
      <c r="P93" s="64">
        <v>0.26</v>
      </c>
      <c r="Q93" s="64">
        <v>9.7899999999999991</v>
      </c>
      <c r="R93" s="198"/>
      <c r="S93" s="198"/>
      <c r="T93" s="198"/>
      <c r="U93" s="198"/>
    </row>
    <row r="94" spans="1:26" s="12" customFormat="1" x14ac:dyDescent="0.25">
      <c r="A94" s="216" t="s">
        <v>907</v>
      </c>
      <c r="B94" s="64">
        <v>3.07</v>
      </c>
      <c r="C94" s="64">
        <v>22.42</v>
      </c>
      <c r="D94" s="64">
        <v>14.09</v>
      </c>
      <c r="E94" s="64">
        <v>0.77</v>
      </c>
      <c r="F94" s="64">
        <v>5.44</v>
      </c>
      <c r="G94" s="64">
        <v>19.86</v>
      </c>
      <c r="H94" s="64">
        <v>6.81</v>
      </c>
      <c r="I94" s="64">
        <v>1.9</v>
      </c>
      <c r="J94" s="64">
        <v>1.51</v>
      </c>
      <c r="K94" s="64">
        <v>95.21</v>
      </c>
      <c r="L94" s="64">
        <v>21.34</v>
      </c>
      <c r="M94" s="64">
        <v>77.36</v>
      </c>
      <c r="N94" s="64">
        <v>16.899999999999999</v>
      </c>
      <c r="O94" s="64">
        <v>0</v>
      </c>
      <c r="P94" s="64">
        <v>0.25</v>
      </c>
      <c r="Q94" s="64">
        <v>9.76</v>
      </c>
      <c r="R94" s="198"/>
      <c r="S94" s="198"/>
      <c r="T94" s="198"/>
      <c r="U94" s="198"/>
    </row>
    <row r="95" spans="1:26" s="12" customFormat="1" x14ac:dyDescent="0.25">
      <c r="A95" s="216" t="s">
        <v>908</v>
      </c>
      <c r="B95" s="64">
        <v>3.13</v>
      </c>
      <c r="C95" s="64">
        <v>21.84</v>
      </c>
      <c r="D95" s="64">
        <v>13.84</v>
      </c>
      <c r="E95" s="64">
        <v>0.91</v>
      </c>
      <c r="F95" s="64">
        <v>4.79</v>
      </c>
      <c r="G95" s="64">
        <v>19.86</v>
      </c>
      <c r="H95" s="64">
        <v>6.81</v>
      </c>
      <c r="I95" s="64">
        <v>2.37</v>
      </c>
      <c r="J95" s="64">
        <v>0.74</v>
      </c>
      <c r="K95" s="64">
        <v>123.83</v>
      </c>
      <c r="L95" s="64">
        <v>22</v>
      </c>
      <c r="M95" s="64">
        <v>73.38</v>
      </c>
      <c r="N95" s="64">
        <v>15.3</v>
      </c>
      <c r="O95" s="64">
        <v>0</v>
      </c>
      <c r="P95" s="64">
        <v>0.25</v>
      </c>
      <c r="Q95" s="64">
        <v>9.76</v>
      </c>
      <c r="R95" s="198"/>
      <c r="S95" s="198"/>
      <c r="T95" s="198"/>
      <c r="U95" s="198"/>
    </row>
    <row r="96" spans="1:26" s="12" customFormat="1" x14ac:dyDescent="0.25">
      <c r="A96" s="216" t="s">
        <v>909</v>
      </c>
      <c r="B96" s="64">
        <v>3.21</v>
      </c>
      <c r="C96" s="64">
        <v>22.22</v>
      </c>
      <c r="D96" s="64">
        <v>14.1</v>
      </c>
      <c r="E96" s="64">
        <v>0.9</v>
      </c>
      <c r="F96" s="64">
        <v>4.34</v>
      </c>
      <c r="G96" s="64">
        <v>18.350000000000001</v>
      </c>
      <c r="H96" s="64">
        <v>5.67</v>
      </c>
      <c r="I96" s="64">
        <v>2.5499999999999998</v>
      </c>
      <c r="J96" s="64">
        <v>1.1000000000000001</v>
      </c>
      <c r="K96" s="64">
        <v>152.34</v>
      </c>
      <c r="L96" s="64">
        <v>22.4</v>
      </c>
      <c r="M96" s="64">
        <v>73.489999999999995</v>
      </c>
      <c r="N96" s="64">
        <v>15</v>
      </c>
      <c r="O96" s="64">
        <v>0</v>
      </c>
      <c r="P96" s="64">
        <v>0.25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910</v>
      </c>
      <c r="B97" s="64">
        <v>3.34</v>
      </c>
      <c r="C97" s="64">
        <v>22.33</v>
      </c>
      <c r="D97" s="64">
        <v>14.27</v>
      </c>
      <c r="E97" s="64">
        <v>0.73</v>
      </c>
      <c r="F97" s="64">
        <v>4.25</v>
      </c>
      <c r="G97" s="64">
        <v>17.3</v>
      </c>
      <c r="H97" s="64">
        <v>4.87</v>
      </c>
      <c r="I97" s="64">
        <v>2.74</v>
      </c>
      <c r="J97" s="64">
        <v>0.78</v>
      </c>
      <c r="K97" s="64">
        <v>135.02000000000001</v>
      </c>
      <c r="L97" s="64">
        <v>22.82</v>
      </c>
      <c r="M97" s="64">
        <v>68.239999999999995</v>
      </c>
      <c r="N97" s="64">
        <v>14.9</v>
      </c>
      <c r="O97" s="64">
        <v>0</v>
      </c>
      <c r="P97" s="64">
        <v>0.25</v>
      </c>
      <c r="Q97" s="64">
        <v>9.76</v>
      </c>
      <c r="R97" s="198"/>
      <c r="S97" s="198"/>
      <c r="T97" s="198"/>
      <c r="U97" s="198"/>
    </row>
    <row r="98" spans="1:33" s="12" customFormat="1" x14ac:dyDescent="0.25">
      <c r="A98" s="216" t="s">
        <v>911</v>
      </c>
      <c r="B98" s="64">
        <v>3.45</v>
      </c>
      <c r="C98" s="64">
        <v>22.57</v>
      </c>
      <c r="D98" s="64">
        <v>14.48</v>
      </c>
      <c r="E98" s="64">
        <v>0.95</v>
      </c>
      <c r="F98" s="64">
        <v>4.24</v>
      </c>
      <c r="G98" s="64">
        <v>17.3</v>
      </c>
      <c r="H98" s="64">
        <v>4.87</v>
      </c>
      <c r="I98" s="64">
        <v>2.72</v>
      </c>
      <c r="J98" s="64">
        <v>0.72</v>
      </c>
      <c r="K98" s="64">
        <v>65.86</v>
      </c>
      <c r="L98" s="64">
        <v>23.01</v>
      </c>
      <c r="M98" s="64">
        <v>67.25</v>
      </c>
      <c r="N98" s="64">
        <v>15.8</v>
      </c>
      <c r="O98" s="64">
        <v>0</v>
      </c>
      <c r="P98" s="64">
        <v>0.24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6" t="s">
        <v>912</v>
      </c>
      <c r="B99" s="64">
        <v>3.69</v>
      </c>
      <c r="C99" s="64">
        <v>22.3</v>
      </c>
      <c r="D99" s="64">
        <v>14.53</v>
      </c>
      <c r="E99" s="64">
        <v>0.85</v>
      </c>
      <c r="F99" s="64">
        <v>4.62</v>
      </c>
      <c r="G99" s="64">
        <v>17.3</v>
      </c>
      <c r="H99" s="64">
        <v>4.87</v>
      </c>
      <c r="I99" s="64">
        <v>2.74</v>
      </c>
      <c r="J99" s="64">
        <v>1.1399999999999999</v>
      </c>
      <c r="K99" s="64">
        <v>4.05</v>
      </c>
      <c r="L99" s="64">
        <v>22.38</v>
      </c>
      <c r="M99" s="64">
        <v>71.989999999999995</v>
      </c>
      <c r="N99" s="64">
        <v>16.5</v>
      </c>
      <c r="O99" s="64">
        <v>0</v>
      </c>
      <c r="P99" s="64">
        <v>0.25</v>
      </c>
      <c r="Q99" s="64">
        <v>9.75</v>
      </c>
      <c r="R99" s="198"/>
      <c r="S99" s="198"/>
      <c r="T99" s="198"/>
      <c r="U99" s="198"/>
    </row>
    <row r="100" spans="1:33" s="12" customFormat="1" x14ac:dyDescent="0.25">
      <c r="A100" s="216" t="s">
        <v>913</v>
      </c>
      <c r="B100" s="64">
        <v>3.93</v>
      </c>
      <c r="C100" s="64">
        <v>22.78</v>
      </c>
      <c r="D100" s="64">
        <v>14.97</v>
      </c>
      <c r="E100" s="64">
        <v>0.43</v>
      </c>
      <c r="F100" s="64">
        <v>4.4800000000000004</v>
      </c>
      <c r="G100" s="64">
        <v>15.44</v>
      </c>
      <c r="H100" s="64">
        <v>5.27</v>
      </c>
      <c r="I100" s="64">
        <v>2.85</v>
      </c>
      <c r="J100" s="64">
        <v>1.36</v>
      </c>
      <c r="K100" s="64">
        <v>353.13</v>
      </c>
      <c r="L100" s="64">
        <v>21.27</v>
      </c>
      <c r="M100" s="64">
        <v>82</v>
      </c>
      <c r="N100" s="64">
        <v>17.3</v>
      </c>
      <c r="O100" s="64">
        <v>0</v>
      </c>
      <c r="P100" s="64">
        <v>0.25</v>
      </c>
      <c r="Q100" s="64">
        <v>9.77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914</v>
      </c>
      <c r="B101" s="64">
        <v>4.1500000000000004</v>
      </c>
      <c r="C101" s="64">
        <v>24.98</v>
      </c>
      <c r="D101" s="64">
        <v>16.3</v>
      </c>
      <c r="E101" s="64">
        <v>0.64</v>
      </c>
      <c r="F101" s="64">
        <v>4.37</v>
      </c>
      <c r="G101" s="64">
        <v>14.14</v>
      </c>
      <c r="H101" s="64">
        <v>5.54</v>
      </c>
      <c r="I101" s="64">
        <v>2.89</v>
      </c>
      <c r="J101" s="64">
        <v>1.68</v>
      </c>
      <c r="K101" s="64">
        <v>352.05</v>
      </c>
      <c r="L101" s="64">
        <v>20.83</v>
      </c>
      <c r="M101" s="64">
        <v>84.68</v>
      </c>
      <c r="N101" s="64">
        <v>16</v>
      </c>
      <c r="O101" s="64">
        <v>0</v>
      </c>
      <c r="P101" s="64">
        <v>0.26</v>
      </c>
      <c r="Q101" s="64">
        <v>9.77</v>
      </c>
      <c r="R101" s="198"/>
      <c r="S101" s="198"/>
      <c r="T101" s="198"/>
      <c r="U101" s="198"/>
    </row>
    <row r="102" spans="1:33" s="12" customFormat="1" x14ac:dyDescent="0.25">
      <c r="A102" s="216" t="s">
        <v>915</v>
      </c>
      <c r="B102" s="64">
        <v>4.47</v>
      </c>
      <c r="C102" s="64">
        <v>27.35</v>
      </c>
      <c r="D102" s="64">
        <v>17.8</v>
      </c>
      <c r="E102" s="64">
        <v>0.56999999999999995</v>
      </c>
      <c r="F102" s="64">
        <v>3.89</v>
      </c>
      <c r="G102" s="64">
        <v>14.14</v>
      </c>
      <c r="H102" s="64">
        <v>5.54</v>
      </c>
      <c r="I102" s="64">
        <v>2.9</v>
      </c>
      <c r="J102" s="64">
        <v>1.2</v>
      </c>
      <c r="K102" s="64">
        <v>352.59</v>
      </c>
      <c r="L102" s="64">
        <v>20.8</v>
      </c>
      <c r="M102" s="64">
        <v>84.26</v>
      </c>
      <c r="N102" s="64">
        <v>15.7</v>
      </c>
      <c r="O102" s="64">
        <v>0</v>
      </c>
      <c r="P102" s="64">
        <v>0.27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6" t="s">
        <v>916</v>
      </c>
      <c r="B103" s="64">
        <v>4.74</v>
      </c>
      <c r="C103" s="64">
        <v>28.18</v>
      </c>
      <c r="D103" s="64">
        <v>18.440000000000001</v>
      </c>
      <c r="E103" s="64">
        <v>0.33</v>
      </c>
      <c r="F103" s="64">
        <v>4.03</v>
      </c>
      <c r="G103" s="64">
        <v>14.14</v>
      </c>
      <c r="H103" s="64">
        <v>5.54</v>
      </c>
      <c r="I103" s="64">
        <v>2.93</v>
      </c>
      <c r="J103" s="64">
        <v>0.67</v>
      </c>
      <c r="K103" s="64">
        <v>5.87</v>
      </c>
      <c r="L103" s="64">
        <v>20.77</v>
      </c>
      <c r="M103" s="64">
        <v>84.31</v>
      </c>
      <c r="N103" s="64">
        <v>15.6</v>
      </c>
      <c r="O103" s="64">
        <v>0</v>
      </c>
      <c r="P103" s="64">
        <v>0.27</v>
      </c>
      <c r="Q103" s="64">
        <v>9.8699999999999992</v>
      </c>
      <c r="R103" s="198"/>
      <c r="S103" s="198"/>
      <c r="T103" s="198"/>
      <c r="U103" s="198"/>
    </row>
    <row r="104" spans="1:33" s="12" customFormat="1" x14ac:dyDescent="0.25">
      <c r="A104" s="216" t="s">
        <v>917</v>
      </c>
      <c r="B104" s="64">
        <v>4.95</v>
      </c>
      <c r="C104" s="64">
        <v>27.96</v>
      </c>
      <c r="D104" s="64">
        <v>18.5</v>
      </c>
      <c r="E104" s="64">
        <v>1.61</v>
      </c>
      <c r="F104" s="64">
        <v>3.4</v>
      </c>
      <c r="G104" s="64">
        <v>18.23</v>
      </c>
      <c r="H104" s="64">
        <v>6.2</v>
      </c>
      <c r="I104" s="64">
        <v>3.08</v>
      </c>
      <c r="J104" s="64">
        <v>0.94</v>
      </c>
      <c r="K104" s="64">
        <v>353.86</v>
      </c>
      <c r="L104" s="64">
        <v>20.86</v>
      </c>
      <c r="M104" s="64">
        <v>83.8</v>
      </c>
      <c r="N104" s="64">
        <v>15.6</v>
      </c>
      <c r="O104" s="64">
        <v>0</v>
      </c>
      <c r="P104" s="64">
        <v>0.28000000000000003</v>
      </c>
      <c r="Q104" s="64">
        <v>9.9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2.63</v>
      </c>
      <c r="C106" s="67">
        <f>MIN(C9:C104)</f>
        <v>19.77</v>
      </c>
      <c r="D106" s="67">
        <f t="shared" ref="D106:Q106" si="0">MIN(D9:D104)</f>
        <v>12.45</v>
      </c>
      <c r="E106" s="67">
        <f t="shared" si="0"/>
        <v>0.33</v>
      </c>
      <c r="F106" s="67">
        <f t="shared" si="0"/>
        <v>3.4</v>
      </c>
      <c r="G106" s="67">
        <f t="shared" si="0"/>
        <v>14.14</v>
      </c>
      <c r="H106" s="67">
        <f t="shared" si="0"/>
        <v>4.87</v>
      </c>
      <c r="I106" s="67">
        <f t="shared" si="0"/>
        <v>1.27</v>
      </c>
      <c r="J106" s="67">
        <f t="shared" si="0"/>
        <v>0.01</v>
      </c>
      <c r="K106" s="67">
        <f t="shared" si="0"/>
        <v>0.32</v>
      </c>
      <c r="L106" s="67">
        <f t="shared" si="0"/>
        <v>17.75</v>
      </c>
      <c r="M106" s="67">
        <f t="shared" si="0"/>
        <v>31.79</v>
      </c>
      <c r="N106" s="67">
        <f t="shared" si="0"/>
        <v>14.5</v>
      </c>
      <c r="O106" s="67">
        <f t="shared" si="0"/>
        <v>0</v>
      </c>
      <c r="P106" s="67">
        <f t="shared" si="0"/>
        <v>0.16</v>
      </c>
      <c r="Q106" s="67">
        <f t="shared" si="0"/>
        <v>9.69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19.61</v>
      </c>
      <c r="C107" s="66">
        <f t="shared" ref="C107:Q107" si="1">MAX(C9:C104)</f>
        <v>37.11</v>
      </c>
      <c r="D107" s="66">
        <f t="shared" si="1"/>
        <v>35.03</v>
      </c>
      <c r="E107" s="66">
        <f t="shared" si="1"/>
        <v>2.41</v>
      </c>
      <c r="F107" s="66">
        <f t="shared" si="1"/>
        <v>10.36</v>
      </c>
      <c r="G107" s="66">
        <f t="shared" si="1"/>
        <v>82.96</v>
      </c>
      <c r="H107" s="66">
        <f t="shared" si="1"/>
        <v>21.59</v>
      </c>
      <c r="I107" s="66">
        <f t="shared" si="1"/>
        <v>7.76</v>
      </c>
      <c r="J107" s="66">
        <f t="shared" si="1"/>
        <v>4.47</v>
      </c>
      <c r="K107" s="66">
        <f t="shared" si="1"/>
        <v>358.1</v>
      </c>
      <c r="L107" s="66">
        <f t="shared" si="1"/>
        <v>33.299999999999997</v>
      </c>
      <c r="M107" s="66">
        <f t="shared" si="1"/>
        <v>98.18</v>
      </c>
      <c r="N107" s="66">
        <f t="shared" si="1"/>
        <v>924.1</v>
      </c>
      <c r="O107" s="66">
        <f t="shared" si="1"/>
        <v>4.2</v>
      </c>
      <c r="P107" s="66">
        <f t="shared" si="1"/>
        <v>0.86</v>
      </c>
      <c r="Q107" s="66">
        <f t="shared" si="1"/>
        <v>10.75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4.9566666666666643</v>
      </c>
      <c r="C108" s="67">
        <f t="shared" ref="C108:Q108" si="2">AVERAGE(C9:C104)</f>
        <v>26.353541666666661</v>
      </c>
      <c r="D108" s="67">
        <f t="shared" si="2"/>
        <v>17.663854166666667</v>
      </c>
      <c r="E108" s="67">
        <f t="shared" si="2"/>
        <v>1.2692708333333333</v>
      </c>
      <c r="F108" s="67">
        <f t="shared" si="2"/>
        <v>6.0784375000000006</v>
      </c>
      <c r="G108" s="67">
        <f t="shared" si="2"/>
        <v>36.077500000000015</v>
      </c>
      <c r="H108" s="67">
        <f t="shared" si="2"/>
        <v>11.611562500000003</v>
      </c>
      <c r="I108" s="67">
        <f t="shared" si="2"/>
        <v>3.5871875000000002</v>
      </c>
      <c r="J108" s="67">
        <f t="shared" si="2"/>
        <v>0.90125</v>
      </c>
      <c r="K108" s="67">
        <f t="shared" si="2"/>
        <v>196.05572916666668</v>
      </c>
      <c r="L108" s="67">
        <f t="shared" si="2"/>
        <v>26.840000000000014</v>
      </c>
      <c r="M108" s="67">
        <f t="shared" si="2"/>
        <v>51.662604166666675</v>
      </c>
      <c r="N108" s="67">
        <f t="shared" si="2"/>
        <v>211.45833333333329</v>
      </c>
      <c r="O108" s="67">
        <f t="shared" si="2"/>
        <v>0.15625</v>
      </c>
      <c r="P108" s="67">
        <f t="shared" si="2"/>
        <v>0.32447916666666682</v>
      </c>
      <c r="Q108" s="67">
        <f t="shared" si="2"/>
        <v>10.12125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3.5755749384331024</v>
      </c>
      <c r="C109" s="67">
        <f t="shared" ref="C109:Q109" si="3">STDEV(C9:C104)</f>
        <v>4.0645092871851674</v>
      </c>
      <c r="D109" s="67">
        <f t="shared" si="3"/>
        <v>4.7294073000839862</v>
      </c>
      <c r="E109" s="67">
        <f t="shared" si="3"/>
        <v>0.41108135906646426</v>
      </c>
      <c r="F109" s="67">
        <f t="shared" si="3"/>
        <v>2.1557825923609082</v>
      </c>
      <c r="G109" s="67">
        <f t="shared" si="3"/>
        <v>14.841320199468727</v>
      </c>
      <c r="H109" s="67">
        <f t="shared" si="3"/>
        <v>4.1622906972824731</v>
      </c>
      <c r="I109" s="67">
        <f t="shared" si="3"/>
        <v>2.0931018046128762</v>
      </c>
      <c r="J109" s="67">
        <f t="shared" si="3"/>
        <v>0.80573372903538243</v>
      </c>
      <c r="K109" s="67">
        <f t="shared" si="3"/>
        <v>91.984476021426616</v>
      </c>
      <c r="L109" s="67">
        <f t="shared" si="3"/>
        <v>4.4484552020009955</v>
      </c>
      <c r="M109" s="67">
        <f t="shared" si="3"/>
        <v>22.141357646045254</v>
      </c>
      <c r="N109" s="67">
        <f t="shared" si="3"/>
        <v>314.08673279732506</v>
      </c>
      <c r="O109" s="67">
        <f t="shared" si="3"/>
        <v>0.63987046386461355</v>
      </c>
      <c r="P109" s="67">
        <f t="shared" si="3"/>
        <v>0.1694068276239602</v>
      </c>
      <c r="Q109" s="67">
        <f t="shared" si="3"/>
        <v>0.29327999913859937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918</v>
      </c>
      <c r="B9" s="64">
        <v>5.17</v>
      </c>
      <c r="C9" s="64">
        <v>27.41</v>
      </c>
      <c r="D9" s="64">
        <v>18.38</v>
      </c>
      <c r="E9" s="64">
        <v>1.38</v>
      </c>
      <c r="F9" s="64">
        <v>3.88</v>
      </c>
      <c r="G9" s="64">
        <v>20.96</v>
      </c>
      <c r="H9" s="64">
        <v>6.67</v>
      </c>
      <c r="I9" s="64">
        <v>3.17</v>
      </c>
      <c r="J9" s="64">
        <v>0.96</v>
      </c>
      <c r="K9" s="64">
        <v>332.79</v>
      </c>
      <c r="L9" s="64">
        <v>20.8</v>
      </c>
      <c r="M9" s="64">
        <v>85.77</v>
      </c>
      <c r="N9" s="64">
        <v>15.8</v>
      </c>
      <c r="O9" s="64">
        <v>0</v>
      </c>
      <c r="P9" s="64">
        <v>0.28000000000000003</v>
      </c>
      <c r="Q9" s="64">
        <v>9.89</v>
      </c>
      <c r="R9" s="198"/>
      <c r="S9" s="198"/>
      <c r="T9" s="198"/>
      <c r="U9" s="198"/>
    </row>
    <row r="10" spans="1:21" s="12" customFormat="1" x14ac:dyDescent="0.25">
      <c r="A10" s="216" t="s">
        <v>919</v>
      </c>
      <c r="B10" s="64">
        <v>5.43</v>
      </c>
      <c r="C10" s="64">
        <v>26.7</v>
      </c>
      <c r="D10" s="64">
        <v>18.23</v>
      </c>
      <c r="E10" s="64">
        <v>1.41</v>
      </c>
      <c r="F10" s="64">
        <v>3.02</v>
      </c>
      <c r="G10" s="64">
        <v>20.96</v>
      </c>
      <c r="H10" s="64">
        <v>6.67</v>
      </c>
      <c r="I10" s="64">
        <v>3.38</v>
      </c>
      <c r="J10" s="64">
        <v>0.63</v>
      </c>
      <c r="K10" s="64">
        <v>341.69</v>
      </c>
      <c r="L10" s="64">
        <v>20.65</v>
      </c>
      <c r="M10" s="64">
        <v>85.38</v>
      </c>
      <c r="N10" s="64">
        <v>15.7</v>
      </c>
      <c r="O10" s="64">
        <v>0</v>
      </c>
      <c r="P10" s="64">
        <v>0.28000000000000003</v>
      </c>
      <c r="Q10" s="64">
        <v>9.8699999999999992</v>
      </c>
      <c r="R10" s="198"/>
      <c r="S10" s="198"/>
      <c r="T10" s="198"/>
      <c r="U10" s="198"/>
    </row>
    <row r="11" spans="1:21" s="12" customFormat="1" x14ac:dyDescent="0.25">
      <c r="A11" s="216" t="s">
        <v>920</v>
      </c>
      <c r="B11" s="64">
        <v>5.88</v>
      </c>
      <c r="C11" s="64">
        <v>25.82</v>
      </c>
      <c r="D11" s="64">
        <v>18.13</v>
      </c>
      <c r="E11" s="64">
        <v>1.0900000000000001</v>
      </c>
      <c r="F11" s="64">
        <v>3.37</v>
      </c>
      <c r="G11" s="64">
        <v>20.96</v>
      </c>
      <c r="H11" s="64">
        <v>6.67</v>
      </c>
      <c r="I11" s="64">
        <v>3.56</v>
      </c>
      <c r="J11" s="64">
        <v>0.73</v>
      </c>
      <c r="K11" s="64">
        <v>325.99</v>
      </c>
      <c r="L11" s="64">
        <v>20.53</v>
      </c>
      <c r="M11" s="64">
        <v>87.38</v>
      </c>
      <c r="N11" s="64">
        <v>15.4</v>
      </c>
      <c r="O11" s="64">
        <v>0</v>
      </c>
      <c r="P11" s="64">
        <v>0.28000000000000003</v>
      </c>
      <c r="Q11" s="64">
        <v>9.85</v>
      </c>
      <c r="R11" s="198"/>
      <c r="S11" s="198"/>
      <c r="T11" s="198"/>
      <c r="U11" s="198"/>
    </row>
    <row r="12" spans="1:21" s="12" customFormat="1" x14ac:dyDescent="0.25">
      <c r="A12" s="216" t="s">
        <v>921</v>
      </c>
      <c r="B12" s="64">
        <v>6.23</v>
      </c>
      <c r="C12" s="64">
        <v>26.53</v>
      </c>
      <c r="D12" s="64">
        <v>18.78</v>
      </c>
      <c r="E12" s="64">
        <v>0.94</v>
      </c>
      <c r="F12" s="64">
        <v>3.59</v>
      </c>
      <c r="G12" s="64">
        <v>22.22</v>
      </c>
      <c r="H12" s="64">
        <v>6.86</v>
      </c>
      <c r="I12" s="64">
        <v>3.32</v>
      </c>
      <c r="J12" s="64">
        <v>0.48</v>
      </c>
      <c r="K12" s="64">
        <v>327.81</v>
      </c>
      <c r="L12" s="64">
        <v>20.5</v>
      </c>
      <c r="M12" s="64">
        <v>89.08</v>
      </c>
      <c r="N12" s="64">
        <v>15.7</v>
      </c>
      <c r="O12" s="64">
        <v>0</v>
      </c>
      <c r="P12" s="64">
        <v>0.28999999999999998</v>
      </c>
      <c r="Q12" s="64">
        <v>9.8800000000000008</v>
      </c>
      <c r="R12" s="198"/>
      <c r="S12" s="198"/>
      <c r="T12" s="198"/>
      <c r="U12" s="198"/>
    </row>
    <row r="13" spans="1:21" s="12" customFormat="1" x14ac:dyDescent="0.25">
      <c r="A13" s="216" t="s">
        <v>922</v>
      </c>
      <c r="B13" s="64">
        <v>6.04</v>
      </c>
      <c r="C13" s="64">
        <v>26.29</v>
      </c>
      <c r="D13" s="64">
        <v>18.5</v>
      </c>
      <c r="E13" s="64">
        <v>1.2</v>
      </c>
      <c r="F13" s="64">
        <v>3.91</v>
      </c>
      <c r="G13" s="64">
        <v>23.06</v>
      </c>
      <c r="H13" s="64">
        <v>6.98</v>
      </c>
      <c r="I13" s="64">
        <v>3.41</v>
      </c>
      <c r="J13" s="64">
        <v>0.35</v>
      </c>
      <c r="K13" s="64">
        <v>343.28</v>
      </c>
      <c r="L13" s="64">
        <v>20.27</v>
      </c>
      <c r="M13" s="64">
        <v>90.87</v>
      </c>
      <c r="N13" s="64">
        <v>15.7</v>
      </c>
      <c r="O13" s="64">
        <v>0</v>
      </c>
      <c r="P13" s="64">
        <v>0.27</v>
      </c>
      <c r="Q13" s="64">
        <v>9.9</v>
      </c>
      <c r="R13" s="198"/>
      <c r="S13" s="198"/>
      <c r="T13" s="198"/>
      <c r="U13" s="198"/>
    </row>
    <row r="14" spans="1:21" s="12" customFormat="1" x14ac:dyDescent="0.25">
      <c r="A14" s="216" t="s">
        <v>923</v>
      </c>
      <c r="B14" s="64">
        <v>5.4</v>
      </c>
      <c r="C14" s="64">
        <v>24.49</v>
      </c>
      <c r="D14" s="64">
        <v>17.04</v>
      </c>
      <c r="E14" s="64">
        <v>1.18</v>
      </c>
      <c r="F14" s="64">
        <v>3.92</v>
      </c>
      <c r="G14" s="64">
        <v>23.06</v>
      </c>
      <c r="H14" s="64">
        <v>6.98</v>
      </c>
      <c r="I14" s="64">
        <v>3.42</v>
      </c>
      <c r="J14" s="64">
        <v>0.2</v>
      </c>
      <c r="K14" s="64">
        <v>33.76</v>
      </c>
      <c r="L14" s="64">
        <v>20.18</v>
      </c>
      <c r="M14" s="64">
        <v>91.88</v>
      </c>
      <c r="N14" s="64">
        <v>15.7</v>
      </c>
      <c r="O14" s="64">
        <v>0</v>
      </c>
      <c r="P14" s="64">
        <v>0.28000000000000003</v>
      </c>
      <c r="Q14" s="64">
        <v>9.83</v>
      </c>
      <c r="R14" s="198"/>
      <c r="S14" s="198"/>
      <c r="T14" s="198"/>
      <c r="U14" s="198"/>
    </row>
    <row r="15" spans="1:21" s="12" customFormat="1" x14ac:dyDescent="0.25">
      <c r="A15" s="216" t="s">
        <v>924</v>
      </c>
      <c r="B15" s="64">
        <v>4.12</v>
      </c>
      <c r="C15" s="64">
        <v>24.08</v>
      </c>
      <c r="D15" s="64">
        <v>15.81</v>
      </c>
      <c r="E15" s="64">
        <v>1.04</v>
      </c>
      <c r="F15" s="64">
        <v>4.47</v>
      </c>
      <c r="G15" s="64">
        <v>23.06</v>
      </c>
      <c r="H15" s="64">
        <v>6.98</v>
      </c>
      <c r="I15" s="64">
        <v>3.19</v>
      </c>
      <c r="J15" s="64">
        <v>0.14000000000000001</v>
      </c>
      <c r="K15" s="64">
        <v>32.270000000000003</v>
      </c>
      <c r="L15" s="64">
        <v>19.940000000000001</v>
      </c>
      <c r="M15" s="64">
        <v>94.26</v>
      </c>
      <c r="N15" s="64">
        <v>15.7</v>
      </c>
      <c r="O15" s="64">
        <v>0</v>
      </c>
      <c r="P15" s="64">
        <v>0.28000000000000003</v>
      </c>
      <c r="Q15" s="64">
        <v>9.83</v>
      </c>
      <c r="R15" s="198"/>
      <c r="S15" s="198"/>
      <c r="T15" s="198"/>
      <c r="U15" s="198"/>
    </row>
    <row r="16" spans="1:21" s="12" customFormat="1" x14ac:dyDescent="0.25">
      <c r="A16" s="216" t="s">
        <v>925</v>
      </c>
      <c r="B16" s="64">
        <v>3.32</v>
      </c>
      <c r="C16" s="64">
        <v>24.09</v>
      </c>
      <c r="D16" s="64">
        <v>15.17</v>
      </c>
      <c r="E16" s="64">
        <v>1.18</v>
      </c>
      <c r="F16" s="64">
        <v>4.2</v>
      </c>
      <c r="G16" s="64">
        <v>28.33</v>
      </c>
      <c r="H16" s="64">
        <v>7.78</v>
      </c>
      <c r="I16" s="64">
        <v>2.96</v>
      </c>
      <c r="J16" s="64">
        <v>0.15</v>
      </c>
      <c r="K16" s="64">
        <v>38.15</v>
      </c>
      <c r="L16" s="64">
        <v>19.940000000000001</v>
      </c>
      <c r="M16" s="64">
        <v>94.15</v>
      </c>
      <c r="N16" s="64">
        <v>15.5</v>
      </c>
      <c r="O16" s="64">
        <v>0</v>
      </c>
      <c r="P16" s="64">
        <v>0.28999999999999998</v>
      </c>
      <c r="Q16" s="64">
        <v>9.81</v>
      </c>
      <c r="R16" s="198"/>
      <c r="S16" s="198"/>
      <c r="T16" s="198"/>
      <c r="U16" s="198"/>
    </row>
    <row r="17" spans="1:21" s="12" customFormat="1" x14ac:dyDescent="0.25">
      <c r="A17" s="216" t="s">
        <v>926</v>
      </c>
      <c r="B17" s="64">
        <v>3.09</v>
      </c>
      <c r="C17" s="64">
        <v>23.75</v>
      </c>
      <c r="D17" s="64">
        <v>14.81</v>
      </c>
      <c r="E17" s="64">
        <v>0.93</v>
      </c>
      <c r="F17" s="64">
        <v>4.5199999999999996</v>
      </c>
      <c r="G17" s="64">
        <v>32.01</v>
      </c>
      <c r="H17" s="64">
        <v>8.34</v>
      </c>
      <c r="I17" s="64">
        <v>2.8</v>
      </c>
      <c r="J17" s="64">
        <v>7.0000000000000007E-2</v>
      </c>
      <c r="K17" s="64">
        <v>190.91</v>
      </c>
      <c r="L17" s="64">
        <v>19.91</v>
      </c>
      <c r="M17" s="64">
        <v>93.6</v>
      </c>
      <c r="N17" s="64">
        <v>15.5</v>
      </c>
      <c r="O17" s="64">
        <v>0</v>
      </c>
      <c r="P17" s="64">
        <v>0.31</v>
      </c>
      <c r="Q17" s="64">
        <v>9.76</v>
      </c>
      <c r="R17" s="198"/>
      <c r="S17" s="198"/>
      <c r="T17" s="198"/>
      <c r="U17" s="198"/>
    </row>
    <row r="18" spans="1:21" s="12" customFormat="1" x14ac:dyDescent="0.25">
      <c r="A18" s="216" t="s">
        <v>927</v>
      </c>
      <c r="B18" s="64">
        <v>3.11</v>
      </c>
      <c r="C18" s="64">
        <v>22.85</v>
      </c>
      <c r="D18" s="64">
        <v>14.35</v>
      </c>
      <c r="E18" s="64">
        <v>1.08</v>
      </c>
      <c r="F18" s="64">
        <v>3.92</v>
      </c>
      <c r="G18" s="64">
        <v>32.01</v>
      </c>
      <c r="H18" s="64">
        <v>8.34</v>
      </c>
      <c r="I18" s="64">
        <v>3.05</v>
      </c>
      <c r="J18" s="64">
        <v>0.44</v>
      </c>
      <c r="K18" s="64">
        <v>180.77</v>
      </c>
      <c r="L18" s="64">
        <v>19.84</v>
      </c>
      <c r="M18" s="64">
        <v>94.13</v>
      </c>
      <c r="N18" s="64">
        <v>15.5</v>
      </c>
      <c r="O18" s="64">
        <v>0</v>
      </c>
      <c r="P18" s="64">
        <v>0.31</v>
      </c>
      <c r="Q18" s="64">
        <v>9.74</v>
      </c>
      <c r="R18" s="198"/>
      <c r="S18" s="198"/>
      <c r="T18" s="198"/>
      <c r="U18" s="198"/>
    </row>
    <row r="19" spans="1:21" s="12" customFormat="1" x14ac:dyDescent="0.25">
      <c r="A19" s="216" t="s">
        <v>928</v>
      </c>
      <c r="B19" s="64">
        <v>3.3</v>
      </c>
      <c r="C19" s="64">
        <v>21.7</v>
      </c>
      <c r="D19" s="64">
        <v>13.9</v>
      </c>
      <c r="E19" s="64">
        <v>0.71</v>
      </c>
      <c r="F19" s="64">
        <v>4.04</v>
      </c>
      <c r="G19" s="64">
        <v>32.01</v>
      </c>
      <c r="H19" s="64">
        <v>8.34</v>
      </c>
      <c r="I19" s="64">
        <v>3.05</v>
      </c>
      <c r="J19" s="64">
        <v>0.69</v>
      </c>
      <c r="K19" s="64">
        <v>175.2</v>
      </c>
      <c r="L19" s="64">
        <v>19.7</v>
      </c>
      <c r="M19" s="64">
        <v>95.14</v>
      </c>
      <c r="N19" s="64">
        <v>15.7</v>
      </c>
      <c r="O19" s="64">
        <v>0</v>
      </c>
      <c r="P19" s="64">
        <v>0.31</v>
      </c>
      <c r="Q19" s="64">
        <v>9.73</v>
      </c>
      <c r="R19" s="198"/>
      <c r="S19" s="198"/>
      <c r="T19" s="198"/>
      <c r="U19" s="198"/>
    </row>
    <row r="20" spans="1:21" s="12" customFormat="1" x14ac:dyDescent="0.25">
      <c r="A20" s="216" t="s">
        <v>929</v>
      </c>
      <c r="B20" s="64">
        <v>3.51</v>
      </c>
      <c r="C20" s="64">
        <v>21.52</v>
      </c>
      <c r="D20" s="64">
        <v>13.98</v>
      </c>
      <c r="E20" s="64">
        <v>0.94</v>
      </c>
      <c r="F20" s="64">
        <v>3.01</v>
      </c>
      <c r="G20" s="64">
        <v>30.51</v>
      </c>
      <c r="H20" s="64">
        <v>7.81</v>
      </c>
      <c r="I20" s="64">
        <v>2.98</v>
      </c>
      <c r="J20" s="64">
        <v>0.46</v>
      </c>
      <c r="K20" s="64">
        <v>205.77</v>
      </c>
      <c r="L20" s="64">
        <v>19.52</v>
      </c>
      <c r="M20" s="64">
        <v>96.77</v>
      </c>
      <c r="N20" s="64">
        <v>15.7</v>
      </c>
      <c r="O20" s="64">
        <v>0</v>
      </c>
      <c r="P20" s="64">
        <v>0.31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6" t="s">
        <v>930</v>
      </c>
      <c r="B21" s="64">
        <v>3.58</v>
      </c>
      <c r="C21" s="64">
        <v>21.21</v>
      </c>
      <c r="D21" s="64">
        <v>13.87</v>
      </c>
      <c r="E21" s="64">
        <v>1.28</v>
      </c>
      <c r="F21" s="64">
        <v>3.74</v>
      </c>
      <c r="G21" s="64">
        <v>29.46</v>
      </c>
      <c r="H21" s="64">
        <v>7.44</v>
      </c>
      <c r="I21" s="64">
        <v>2.89</v>
      </c>
      <c r="J21" s="64">
        <v>0.44</v>
      </c>
      <c r="K21" s="64">
        <v>196.45</v>
      </c>
      <c r="L21" s="64">
        <v>19.46</v>
      </c>
      <c r="M21" s="64">
        <v>96.75</v>
      </c>
      <c r="N21" s="64">
        <v>15.5</v>
      </c>
      <c r="O21" s="64">
        <v>0</v>
      </c>
      <c r="P21" s="64">
        <v>0.3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6" t="s">
        <v>931</v>
      </c>
      <c r="B22" s="64">
        <v>3.67</v>
      </c>
      <c r="C22" s="64">
        <v>21.33</v>
      </c>
      <c r="D22" s="64">
        <v>14</v>
      </c>
      <c r="E22" s="64">
        <v>1.26</v>
      </c>
      <c r="F22" s="64">
        <v>3.07</v>
      </c>
      <c r="G22" s="64">
        <v>29.46</v>
      </c>
      <c r="H22" s="64">
        <v>7.44</v>
      </c>
      <c r="I22" s="64">
        <v>2.79</v>
      </c>
      <c r="J22" s="64">
        <v>0.48</v>
      </c>
      <c r="K22" s="64">
        <v>180.45</v>
      </c>
      <c r="L22" s="64">
        <v>19.420000000000002</v>
      </c>
      <c r="M22" s="64">
        <v>95.75</v>
      </c>
      <c r="N22" s="64">
        <v>15.7</v>
      </c>
      <c r="O22" s="64">
        <v>0</v>
      </c>
      <c r="P22" s="64">
        <v>0.3</v>
      </c>
      <c r="Q22" s="64">
        <v>9.7100000000000009</v>
      </c>
      <c r="R22" s="198"/>
      <c r="S22" s="198"/>
      <c r="T22" s="198"/>
      <c r="U22" s="198"/>
    </row>
    <row r="23" spans="1:21" s="12" customFormat="1" x14ac:dyDescent="0.25">
      <c r="A23" s="216" t="s">
        <v>932</v>
      </c>
      <c r="B23" s="64">
        <v>3.79</v>
      </c>
      <c r="C23" s="64">
        <v>20.96</v>
      </c>
      <c r="D23" s="64">
        <v>13.91</v>
      </c>
      <c r="E23" s="64">
        <v>0.82</v>
      </c>
      <c r="F23" s="64">
        <v>3.76</v>
      </c>
      <c r="G23" s="64">
        <v>29.46</v>
      </c>
      <c r="H23" s="64">
        <v>7.44</v>
      </c>
      <c r="I23" s="64">
        <v>2.76</v>
      </c>
      <c r="J23" s="64">
        <v>0.15</v>
      </c>
      <c r="K23" s="64">
        <v>222.3</v>
      </c>
      <c r="L23" s="64">
        <v>19.510000000000002</v>
      </c>
      <c r="M23" s="64">
        <v>95.72</v>
      </c>
      <c r="N23" s="64">
        <v>15.6</v>
      </c>
      <c r="O23" s="64">
        <v>0</v>
      </c>
      <c r="P23" s="64">
        <v>0.28999999999999998</v>
      </c>
      <c r="Q23" s="64">
        <v>9.6999999999999993</v>
      </c>
      <c r="R23" s="198"/>
      <c r="S23" s="198"/>
      <c r="T23" s="198"/>
      <c r="U23" s="198"/>
    </row>
    <row r="24" spans="1:21" s="12" customFormat="1" x14ac:dyDescent="0.25">
      <c r="A24" s="216" t="s">
        <v>933</v>
      </c>
      <c r="B24" s="64">
        <v>3.83</v>
      </c>
      <c r="C24" s="64">
        <v>20.56</v>
      </c>
      <c r="D24" s="64">
        <v>13.74</v>
      </c>
      <c r="E24" s="64">
        <v>0.74</v>
      </c>
      <c r="F24" s="64">
        <v>4.2699999999999996</v>
      </c>
      <c r="G24" s="64">
        <v>23.49</v>
      </c>
      <c r="H24" s="64">
        <v>6.55</v>
      </c>
      <c r="I24" s="64">
        <v>2.83</v>
      </c>
      <c r="J24" s="64">
        <v>0.05</v>
      </c>
      <c r="K24" s="64">
        <v>14.75</v>
      </c>
      <c r="L24" s="64">
        <v>19.53</v>
      </c>
      <c r="M24" s="64">
        <v>96.16</v>
      </c>
      <c r="N24" s="64">
        <v>15.6</v>
      </c>
      <c r="O24" s="64">
        <v>0</v>
      </c>
      <c r="P24" s="64">
        <v>0.28999999999999998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6" t="s">
        <v>934</v>
      </c>
      <c r="B25" s="64">
        <v>3.93</v>
      </c>
      <c r="C25" s="64">
        <v>22.1</v>
      </c>
      <c r="D25" s="64">
        <v>14.62</v>
      </c>
      <c r="E25" s="64">
        <v>0.85</v>
      </c>
      <c r="F25" s="64">
        <v>3.57</v>
      </c>
      <c r="G25" s="64">
        <v>19.32</v>
      </c>
      <c r="H25" s="64">
        <v>5.93</v>
      </c>
      <c r="I25" s="64">
        <v>2.79</v>
      </c>
      <c r="J25" s="64">
        <v>0.01</v>
      </c>
      <c r="K25" s="64">
        <v>94.29</v>
      </c>
      <c r="L25" s="64">
        <v>19.71</v>
      </c>
      <c r="M25" s="64">
        <v>94.17</v>
      </c>
      <c r="N25" s="64">
        <v>15.5</v>
      </c>
      <c r="O25" s="64">
        <v>0</v>
      </c>
      <c r="P25" s="64">
        <v>0.28999999999999998</v>
      </c>
      <c r="Q25" s="64">
        <v>9.76</v>
      </c>
      <c r="R25" s="198"/>
      <c r="S25" s="198"/>
      <c r="T25" s="198"/>
      <c r="U25" s="198"/>
    </row>
    <row r="26" spans="1:21" s="12" customFormat="1" x14ac:dyDescent="0.25">
      <c r="A26" s="216" t="s">
        <v>935</v>
      </c>
      <c r="B26" s="64">
        <v>4.1100000000000003</v>
      </c>
      <c r="C26" s="64">
        <v>22.38</v>
      </c>
      <c r="D26" s="64">
        <v>14.9</v>
      </c>
      <c r="E26" s="64">
        <v>1.19</v>
      </c>
      <c r="F26" s="64">
        <v>4.07</v>
      </c>
      <c r="G26" s="64">
        <v>19.32</v>
      </c>
      <c r="H26" s="64">
        <v>5.93</v>
      </c>
      <c r="I26" s="64">
        <v>2.82</v>
      </c>
      <c r="J26" s="64">
        <v>0.24</v>
      </c>
      <c r="K26" s="64">
        <v>19.97</v>
      </c>
      <c r="L26" s="64">
        <v>19.82</v>
      </c>
      <c r="M26" s="64">
        <v>94.1</v>
      </c>
      <c r="N26" s="64">
        <v>15.8</v>
      </c>
      <c r="O26" s="64">
        <v>0</v>
      </c>
      <c r="P26" s="64">
        <v>0.28000000000000003</v>
      </c>
      <c r="Q26" s="64">
        <v>9.77</v>
      </c>
      <c r="R26" s="198"/>
      <c r="S26" s="198"/>
      <c r="T26" s="198"/>
      <c r="U26" s="198"/>
    </row>
    <row r="27" spans="1:21" s="12" customFormat="1" x14ac:dyDescent="0.25">
      <c r="A27" s="216" t="s">
        <v>936</v>
      </c>
      <c r="B27" s="64">
        <v>4.24</v>
      </c>
      <c r="C27" s="64">
        <v>22.69</v>
      </c>
      <c r="D27" s="64">
        <v>15.18</v>
      </c>
      <c r="E27" s="64">
        <v>1.02</v>
      </c>
      <c r="F27" s="64">
        <v>3.78</v>
      </c>
      <c r="G27" s="64">
        <v>19.32</v>
      </c>
      <c r="H27" s="64">
        <v>5.93</v>
      </c>
      <c r="I27" s="64">
        <v>2.81</v>
      </c>
      <c r="J27" s="64">
        <v>0.26</v>
      </c>
      <c r="K27" s="64">
        <v>356.22</v>
      </c>
      <c r="L27" s="64">
        <v>19.82</v>
      </c>
      <c r="M27" s="64">
        <v>95.18</v>
      </c>
      <c r="N27" s="64">
        <v>15.6</v>
      </c>
      <c r="O27" s="64">
        <v>0</v>
      </c>
      <c r="P27" s="64">
        <v>0.27</v>
      </c>
      <c r="Q27" s="64">
        <v>9.7799999999999994</v>
      </c>
      <c r="R27" s="198"/>
      <c r="S27" s="198"/>
      <c r="T27" s="198"/>
      <c r="U27" s="198"/>
    </row>
    <row r="28" spans="1:21" s="12" customFormat="1" x14ac:dyDescent="0.25">
      <c r="A28" s="216" t="s">
        <v>937</v>
      </c>
      <c r="B28" s="64">
        <v>4.25</v>
      </c>
      <c r="C28" s="64">
        <v>22.89</v>
      </c>
      <c r="D28" s="64">
        <v>15.29</v>
      </c>
      <c r="E28" s="64">
        <v>1.33</v>
      </c>
      <c r="F28" s="64">
        <v>4.4400000000000004</v>
      </c>
      <c r="G28" s="64">
        <v>19.28</v>
      </c>
      <c r="H28" s="64">
        <v>5.41</v>
      </c>
      <c r="I28" s="64">
        <v>2.79</v>
      </c>
      <c r="J28" s="64">
        <v>0.28999999999999998</v>
      </c>
      <c r="K28" s="64">
        <v>24.01</v>
      </c>
      <c r="L28" s="64">
        <v>19.899999999999999</v>
      </c>
      <c r="M28" s="64">
        <v>93.83</v>
      </c>
      <c r="N28" s="64">
        <v>15.5</v>
      </c>
      <c r="O28" s="64">
        <v>0</v>
      </c>
      <c r="P28" s="64">
        <v>0.28000000000000003</v>
      </c>
      <c r="Q28" s="64">
        <v>9.77</v>
      </c>
      <c r="R28" s="198"/>
      <c r="S28" s="198"/>
      <c r="T28" s="198"/>
      <c r="U28" s="198"/>
    </row>
    <row r="29" spans="1:21" s="12" customFormat="1" x14ac:dyDescent="0.25">
      <c r="A29" s="216" t="s">
        <v>938</v>
      </c>
      <c r="B29" s="64">
        <v>4.2</v>
      </c>
      <c r="C29" s="64">
        <v>23.71</v>
      </c>
      <c r="D29" s="64">
        <v>15.68</v>
      </c>
      <c r="E29" s="64">
        <v>1.45</v>
      </c>
      <c r="F29" s="64">
        <v>3.87</v>
      </c>
      <c r="G29" s="64">
        <v>19.25</v>
      </c>
      <c r="H29" s="64">
        <v>5.05</v>
      </c>
      <c r="I29" s="64">
        <v>2.74</v>
      </c>
      <c r="J29" s="64">
        <v>0.24</v>
      </c>
      <c r="K29" s="64">
        <v>23.14</v>
      </c>
      <c r="L29" s="64">
        <v>19.91</v>
      </c>
      <c r="M29" s="64">
        <v>93.46</v>
      </c>
      <c r="N29" s="64">
        <v>16</v>
      </c>
      <c r="O29" s="64">
        <v>0</v>
      </c>
      <c r="P29" s="64">
        <v>0.28000000000000003</v>
      </c>
      <c r="Q29" s="64">
        <v>9.77</v>
      </c>
      <c r="R29" s="198"/>
      <c r="S29" s="198"/>
      <c r="T29" s="198"/>
      <c r="U29" s="198"/>
    </row>
    <row r="30" spans="1:21" s="12" customFormat="1" x14ac:dyDescent="0.25">
      <c r="A30" s="216" t="s">
        <v>939</v>
      </c>
      <c r="B30" s="64">
        <v>4.3</v>
      </c>
      <c r="C30" s="64">
        <v>23.92</v>
      </c>
      <c r="D30" s="64">
        <v>15.86</v>
      </c>
      <c r="E30" s="64">
        <v>1.08</v>
      </c>
      <c r="F30" s="64">
        <v>3.57</v>
      </c>
      <c r="G30" s="64">
        <v>19.25</v>
      </c>
      <c r="H30" s="64">
        <v>5.05</v>
      </c>
      <c r="I30" s="64">
        <v>2.71</v>
      </c>
      <c r="J30" s="64">
        <v>0.26</v>
      </c>
      <c r="K30" s="64">
        <v>335.75</v>
      </c>
      <c r="L30" s="64">
        <v>19.91</v>
      </c>
      <c r="M30" s="64">
        <v>93.18</v>
      </c>
      <c r="N30" s="64">
        <v>19</v>
      </c>
      <c r="O30" s="64">
        <v>0</v>
      </c>
      <c r="P30" s="64">
        <v>0.28000000000000003</v>
      </c>
      <c r="Q30" s="64">
        <v>9.75</v>
      </c>
      <c r="R30" s="198"/>
      <c r="S30" s="198"/>
      <c r="T30" s="198"/>
      <c r="U30" s="198"/>
    </row>
    <row r="31" spans="1:21" s="12" customFormat="1" x14ac:dyDescent="0.25">
      <c r="A31" s="216" t="s">
        <v>940</v>
      </c>
      <c r="B31" s="64">
        <v>4.5999999999999996</v>
      </c>
      <c r="C31" s="64">
        <v>23.8</v>
      </c>
      <c r="D31" s="64">
        <v>16.04</v>
      </c>
      <c r="E31" s="64">
        <v>0.81</v>
      </c>
      <c r="F31" s="64">
        <v>3.38</v>
      </c>
      <c r="G31" s="64">
        <v>19.25</v>
      </c>
      <c r="H31" s="64">
        <v>5.05</v>
      </c>
      <c r="I31" s="64">
        <v>2.61</v>
      </c>
      <c r="J31" s="64">
        <v>0.23</v>
      </c>
      <c r="K31" s="64">
        <v>1.53</v>
      </c>
      <c r="L31" s="64">
        <v>19.88</v>
      </c>
      <c r="M31" s="64">
        <v>93.98</v>
      </c>
      <c r="N31" s="64">
        <v>29.2</v>
      </c>
      <c r="O31" s="64">
        <v>0</v>
      </c>
      <c r="P31" s="64">
        <v>0.28999999999999998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16" t="s">
        <v>941</v>
      </c>
      <c r="B32" s="64">
        <v>4.88</v>
      </c>
      <c r="C32" s="64">
        <v>23.49</v>
      </c>
      <c r="D32" s="64">
        <v>16.11</v>
      </c>
      <c r="E32" s="64">
        <v>0.7</v>
      </c>
      <c r="F32" s="64">
        <v>3.76</v>
      </c>
      <c r="G32" s="64">
        <v>18.989999999999998</v>
      </c>
      <c r="H32" s="64">
        <v>5.67</v>
      </c>
      <c r="I32" s="64">
        <v>2.54</v>
      </c>
      <c r="J32" s="64">
        <v>0.23</v>
      </c>
      <c r="K32" s="64">
        <v>146.97999999999999</v>
      </c>
      <c r="L32" s="64">
        <v>20.04</v>
      </c>
      <c r="M32" s="64">
        <v>91.95</v>
      </c>
      <c r="N32" s="64">
        <v>39</v>
      </c>
      <c r="O32" s="64">
        <v>0</v>
      </c>
      <c r="P32" s="64">
        <v>0.32</v>
      </c>
      <c r="Q32" s="64">
        <v>9.7799999999999994</v>
      </c>
      <c r="R32" s="198"/>
      <c r="S32" s="198"/>
      <c r="T32" s="198"/>
      <c r="U32" s="198"/>
    </row>
    <row r="33" spans="1:21" s="12" customFormat="1" x14ac:dyDescent="0.25">
      <c r="A33" s="216" t="s">
        <v>942</v>
      </c>
      <c r="B33" s="64">
        <v>5.04</v>
      </c>
      <c r="C33" s="64">
        <v>23.68</v>
      </c>
      <c r="D33" s="64">
        <v>16.329999999999998</v>
      </c>
      <c r="E33" s="64">
        <v>0.97</v>
      </c>
      <c r="F33" s="64">
        <v>3.55</v>
      </c>
      <c r="G33" s="64">
        <v>18.8</v>
      </c>
      <c r="H33" s="64">
        <v>6.11</v>
      </c>
      <c r="I33" s="64">
        <v>2.46</v>
      </c>
      <c r="J33" s="64">
        <v>0.47</v>
      </c>
      <c r="K33" s="64">
        <v>149.69</v>
      </c>
      <c r="L33" s="64">
        <v>20.07</v>
      </c>
      <c r="M33" s="64">
        <v>92.47</v>
      </c>
      <c r="N33" s="64">
        <v>61.3</v>
      </c>
      <c r="O33" s="64">
        <v>0</v>
      </c>
      <c r="P33" s="64">
        <v>0.34</v>
      </c>
      <c r="Q33" s="64">
        <v>9.77</v>
      </c>
      <c r="R33" s="198"/>
      <c r="S33" s="198"/>
      <c r="T33" s="198"/>
      <c r="U33" s="198"/>
    </row>
    <row r="34" spans="1:21" s="12" customFormat="1" x14ac:dyDescent="0.25">
      <c r="A34" s="216" t="s">
        <v>943</v>
      </c>
      <c r="B34" s="64">
        <v>5.16</v>
      </c>
      <c r="C34" s="64">
        <v>23.8</v>
      </c>
      <c r="D34" s="64">
        <v>16.489999999999998</v>
      </c>
      <c r="E34" s="64">
        <v>1.32</v>
      </c>
      <c r="F34" s="64">
        <v>3.68</v>
      </c>
      <c r="G34" s="64">
        <v>18.8</v>
      </c>
      <c r="H34" s="64">
        <v>6.11</v>
      </c>
      <c r="I34" s="64">
        <v>2.92</v>
      </c>
      <c r="J34" s="64">
        <v>0.23</v>
      </c>
      <c r="K34" s="64">
        <v>106.63</v>
      </c>
      <c r="L34" s="64">
        <v>20.47</v>
      </c>
      <c r="M34" s="64">
        <v>91.91</v>
      </c>
      <c r="N34" s="64">
        <v>112.3</v>
      </c>
      <c r="O34" s="64">
        <v>0</v>
      </c>
      <c r="P34" s="64">
        <v>0.34</v>
      </c>
      <c r="Q34" s="64">
        <v>9.7899999999999991</v>
      </c>
      <c r="R34" s="198"/>
      <c r="S34" s="198"/>
      <c r="T34" s="198"/>
      <c r="U34" s="198"/>
    </row>
    <row r="35" spans="1:21" s="12" customFormat="1" x14ac:dyDescent="0.25">
      <c r="A35" s="216" t="s">
        <v>944</v>
      </c>
      <c r="B35" s="64">
        <v>5.22</v>
      </c>
      <c r="C35" s="64">
        <v>23.88</v>
      </c>
      <c r="D35" s="64">
        <v>16.579999999999998</v>
      </c>
      <c r="E35" s="64">
        <v>1.19</v>
      </c>
      <c r="F35" s="64">
        <v>3.53</v>
      </c>
      <c r="G35" s="64">
        <v>18.8</v>
      </c>
      <c r="H35" s="64">
        <v>6.11</v>
      </c>
      <c r="I35" s="64">
        <v>3.06</v>
      </c>
      <c r="J35" s="64">
        <v>1.1399999999999999</v>
      </c>
      <c r="K35" s="64">
        <v>148.49</v>
      </c>
      <c r="L35" s="64">
        <v>20.54</v>
      </c>
      <c r="M35" s="64">
        <v>92.43</v>
      </c>
      <c r="N35" s="64">
        <v>126.3</v>
      </c>
      <c r="O35" s="64">
        <v>0</v>
      </c>
      <c r="P35" s="64">
        <v>0.35</v>
      </c>
      <c r="Q35" s="64">
        <v>9.77</v>
      </c>
      <c r="R35" s="198"/>
      <c r="S35" s="198"/>
      <c r="T35" s="198"/>
      <c r="U35" s="198"/>
    </row>
    <row r="36" spans="1:21" s="12" customFormat="1" x14ac:dyDescent="0.25">
      <c r="A36" s="216" t="s">
        <v>945</v>
      </c>
      <c r="B36" s="64">
        <v>5.54</v>
      </c>
      <c r="C36" s="64">
        <v>23.11</v>
      </c>
      <c r="D36" s="64">
        <v>16.43</v>
      </c>
      <c r="E36" s="64">
        <v>1.04</v>
      </c>
      <c r="F36" s="64">
        <v>3.73</v>
      </c>
      <c r="G36" s="64">
        <v>20.22</v>
      </c>
      <c r="H36" s="64">
        <v>5.55</v>
      </c>
      <c r="I36" s="64">
        <v>3.16</v>
      </c>
      <c r="J36" s="64">
        <v>1.08</v>
      </c>
      <c r="K36" s="64">
        <v>159.26</v>
      </c>
      <c r="L36" s="64">
        <v>20.71</v>
      </c>
      <c r="M36" s="64">
        <v>91.62</v>
      </c>
      <c r="N36" s="64">
        <v>133.1</v>
      </c>
      <c r="O36" s="64">
        <v>0</v>
      </c>
      <c r="P36" s="64">
        <v>0.34</v>
      </c>
      <c r="Q36" s="64">
        <v>9.75</v>
      </c>
      <c r="R36" s="198"/>
      <c r="S36" s="198"/>
      <c r="T36" s="198"/>
      <c r="U36" s="198"/>
    </row>
    <row r="37" spans="1:21" s="12" customFormat="1" x14ac:dyDescent="0.25">
      <c r="A37" s="216" t="s">
        <v>946</v>
      </c>
      <c r="B37" s="64">
        <v>5.81</v>
      </c>
      <c r="C37" s="64">
        <v>23.45</v>
      </c>
      <c r="D37" s="64">
        <v>16.829999999999998</v>
      </c>
      <c r="E37" s="64">
        <v>0.86</v>
      </c>
      <c r="F37" s="64">
        <v>3.36</v>
      </c>
      <c r="G37" s="64">
        <v>21.22</v>
      </c>
      <c r="H37" s="64">
        <v>5.17</v>
      </c>
      <c r="I37" s="64">
        <v>3.23</v>
      </c>
      <c r="J37" s="64">
        <v>0.97</v>
      </c>
      <c r="K37" s="64">
        <v>154.63</v>
      </c>
      <c r="L37" s="64">
        <v>21.15</v>
      </c>
      <c r="M37" s="64">
        <v>89.59</v>
      </c>
      <c r="N37" s="64">
        <v>195</v>
      </c>
      <c r="O37" s="64">
        <v>0</v>
      </c>
      <c r="P37" s="64">
        <v>0.34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16" t="s">
        <v>947</v>
      </c>
      <c r="B38" s="64">
        <v>5.94</v>
      </c>
      <c r="C38" s="64">
        <v>23.16</v>
      </c>
      <c r="D38" s="64">
        <v>16.78</v>
      </c>
      <c r="E38" s="64">
        <v>1.17</v>
      </c>
      <c r="F38" s="64">
        <v>3.56</v>
      </c>
      <c r="G38" s="64">
        <v>21.22</v>
      </c>
      <c r="H38" s="64">
        <v>5.17</v>
      </c>
      <c r="I38" s="64">
        <v>3.3</v>
      </c>
      <c r="J38" s="64">
        <v>1.19</v>
      </c>
      <c r="K38" s="64">
        <v>162.37</v>
      </c>
      <c r="L38" s="64">
        <v>21.77</v>
      </c>
      <c r="M38" s="64">
        <v>85.22</v>
      </c>
      <c r="N38" s="64">
        <v>301.7</v>
      </c>
      <c r="O38" s="64">
        <v>0</v>
      </c>
      <c r="P38" s="64">
        <v>0.36</v>
      </c>
      <c r="Q38" s="64">
        <v>9.7799999999999994</v>
      </c>
      <c r="R38" s="198"/>
      <c r="S38" s="198"/>
      <c r="T38" s="198"/>
      <c r="U38" s="198"/>
    </row>
    <row r="39" spans="1:21" s="12" customFormat="1" x14ac:dyDescent="0.25">
      <c r="A39" s="216" t="s">
        <v>948</v>
      </c>
      <c r="B39" s="64">
        <v>5.69</v>
      </c>
      <c r="C39" s="64">
        <v>23.5</v>
      </c>
      <c r="D39" s="64">
        <v>16.760000000000002</v>
      </c>
      <c r="E39" s="64">
        <v>1.02</v>
      </c>
      <c r="F39" s="64">
        <v>3.46</v>
      </c>
      <c r="G39" s="64">
        <v>21.22</v>
      </c>
      <c r="H39" s="64">
        <v>5.17</v>
      </c>
      <c r="I39" s="64">
        <v>3.34</v>
      </c>
      <c r="J39" s="64">
        <v>1.23</v>
      </c>
      <c r="K39" s="64">
        <v>152.43</v>
      </c>
      <c r="L39" s="64">
        <v>22.44</v>
      </c>
      <c r="M39" s="64">
        <v>82.41</v>
      </c>
      <c r="N39" s="64">
        <v>375.3</v>
      </c>
      <c r="O39" s="64">
        <v>0</v>
      </c>
      <c r="P39" s="64">
        <v>0.35</v>
      </c>
      <c r="Q39" s="64">
        <v>9.7799999999999994</v>
      </c>
      <c r="R39" s="198"/>
      <c r="S39" s="198"/>
      <c r="T39" s="198"/>
      <c r="U39" s="198"/>
    </row>
    <row r="40" spans="1:21" s="12" customFormat="1" x14ac:dyDescent="0.25">
      <c r="A40" s="216" t="s">
        <v>949</v>
      </c>
      <c r="B40" s="64">
        <v>5.56</v>
      </c>
      <c r="C40" s="64">
        <v>23.89</v>
      </c>
      <c r="D40" s="64">
        <v>16.86</v>
      </c>
      <c r="E40" s="64">
        <v>0.24</v>
      </c>
      <c r="F40" s="64">
        <v>3.8</v>
      </c>
      <c r="G40" s="64">
        <v>20.96</v>
      </c>
      <c r="H40" s="64">
        <v>4.43</v>
      </c>
      <c r="I40" s="64">
        <v>3.49</v>
      </c>
      <c r="J40" s="64">
        <v>1.05</v>
      </c>
      <c r="K40" s="64">
        <v>157.47</v>
      </c>
      <c r="L40" s="64">
        <v>23.3</v>
      </c>
      <c r="M40" s="64">
        <v>78.09</v>
      </c>
      <c r="N40" s="64">
        <v>449.6</v>
      </c>
      <c r="O40" s="64">
        <v>0</v>
      </c>
      <c r="P40" s="64">
        <v>0.35</v>
      </c>
      <c r="Q40" s="64">
        <v>9.7799999999999994</v>
      </c>
      <c r="R40" s="198"/>
      <c r="S40" s="198"/>
      <c r="T40" s="198"/>
      <c r="U40" s="198"/>
    </row>
    <row r="41" spans="1:21" s="12" customFormat="1" x14ac:dyDescent="0.25">
      <c r="A41" s="216" t="s">
        <v>950</v>
      </c>
      <c r="B41" s="64">
        <v>5.35</v>
      </c>
      <c r="C41" s="64">
        <v>24.16</v>
      </c>
      <c r="D41" s="64">
        <v>16.829999999999998</v>
      </c>
      <c r="E41" s="64">
        <v>0.69</v>
      </c>
      <c r="F41" s="64">
        <v>3.66</v>
      </c>
      <c r="G41" s="64">
        <v>20.78</v>
      </c>
      <c r="H41" s="64">
        <v>3.91</v>
      </c>
      <c r="I41" s="64">
        <v>3.51</v>
      </c>
      <c r="J41" s="64">
        <v>0.96</v>
      </c>
      <c r="K41" s="64">
        <v>145.41</v>
      </c>
      <c r="L41" s="64">
        <v>23.65</v>
      </c>
      <c r="M41" s="64">
        <v>76.64</v>
      </c>
      <c r="N41" s="64">
        <v>508.9</v>
      </c>
      <c r="O41" s="64">
        <v>0</v>
      </c>
      <c r="P41" s="64">
        <v>0.34</v>
      </c>
      <c r="Q41" s="64">
        <v>9.77</v>
      </c>
      <c r="R41" s="198"/>
      <c r="S41" s="198"/>
      <c r="T41" s="198"/>
      <c r="U41" s="198"/>
    </row>
    <row r="42" spans="1:21" s="12" customFormat="1" x14ac:dyDescent="0.25">
      <c r="A42" s="216" t="s">
        <v>951</v>
      </c>
      <c r="B42" s="64">
        <v>5.08</v>
      </c>
      <c r="C42" s="64">
        <v>22.81</v>
      </c>
      <c r="D42" s="64">
        <v>15.92</v>
      </c>
      <c r="E42" s="64">
        <v>0.38</v>
      </c>
      <c r="F42" s="64">
        <v>3.92</v>
      </c>
      <c r="G42" s="64">
        <v>20.78</v>
      </c>
      <c r="H42" s="64">
        <v>3.91</v>
      </c>
      <c r="I42" s="64">
        <v>3.55</v>
      </c>
      <c r="J42" s="64">
        <v>0.8</v>
      </c>
      <c r="K42" s="64">
        <v>142</v>
      </c>
      <c r="L42" s="64">
        <v>24.11</v>
      </c>
      <c r="M42" s="64">
        <v>74.87</v>
      </c>
      <c r="N42" s="64">
        <v>549.6</v>
      </c>
      <c r="O42" s="64">
        <v>0</v>
      </c>
      <c r="P42" s="64">
        <v>0.33</v>
      </c>
      <c r="Q42" s="64">
        <v>9.7200000000000006</v>
      </c>
      <c r="R42" s="198"/>
      <c r="S42" s="198"/>
      <c r="T42" s="198"/>
      <c r="U42" s="198"/>
    </row>
    <row r="43" spans="1:21" s="12" customFormat="1" x14ac:dyDescent="0.25">
      <c r="A43" s="216" t="s">
        <v>952</v>
      </c>
      <c r="B43" s="64">
        <v>4.7300000000000004</v>
      </c>
      <c r="C43" s="64">
        <v>23.52</v>
      </c>
      <c r="D43" s="64">
        <v>16</v>
      </c>
      <c r="E43" s="64">
        <v>0.46</v>
      </c>
      <c r="F43" s="64">
        <v>4.47</v>
      </c>
      <c r="G43" s="64">
        <v>20.78</v>
      </c>
      <c r="H43" s="64">
        <v>3.91</v>
      </c>
      <c r="I43" s="64">
        <v>3.62</v>
      </c>
      <c r="J43" s="64">
        <v>1.57</v>
      </c>
      <c r="K43" s="64">
        <v>160.18</v>
      </c>
      <c r="L43" s="64">
        <v>24.04</v>
      </c>
      <c r="M43" s="64">
        <v>74.19</v>
      </c>
      <c r="N43" s="64">
        <v>583.1</v>
      </c>
      <c r="O43" s="64">
        <v>0</v>
      </c>
      <c r="P43" s="64">
        <v>0.34</v>
      </c>
      <c r="Q43" s="64">
        <v>9.75</v>
      </c>
      <c r="R43" s="198"/>
      <c r="S43" s="198"/>
      <c r="T43" s="198"/>
      <c r="U43" s="198"/>
    </row>
    <row r="44" spans="1:21" s="12" customFormat="1" x14ac:dyDescent="0.25">
      <c r="A44" s="216" t="s">
        <v>953</v>
      </c>
      <c r="B44" s="64">
        <v>4.2699999999999996</v>
      </c>
      <c r="C44" s="64">
        <v>24.57</v>
      </c>
      <c r="D44" s="64">
        <v>16.18</v>
      </c>
      <c r="E44" s="64">
        <v>0.26</v>
      </c>
      <c r="F44" s="64">
        <v>4.16</v>
      </c>
      <c r="G44" s="64">
        <v>20.75</v>
      </c>
      <c r="H44" s="64">
        <v>4.6900000000000004</v>
      </c>
      <c r="I44" s="64">
        <v>3.79</v>
      </c>
      <c r="J44" s="64">
        <v>1.27</v>
      </c>
      <c r="K44" s="64">
        <v>148.07</v>
      </c>
      <c r="L44" s="64">
        <v>24.27</v>
      </c>
      <c r="M44" s="64">
        <v>74.38</v>
      </c>
      <c r="N44" s="64">
        <v>613.1</v>
      </c>
      <c r="O44" s="64">
        <v>0</v>
      </c>
      <c r="P44" s="64">
        <v>0.33</v>
      </c>
      <c r="Q44" s="64">
        <v>9.77</v>
      </c>
      <c r="R44" s="198"/>
      <c r="S44" s="198"/>
      <c r="T44" s="198"/>
      <c r="U44" s="198"/>
    </row>
    <row r="45" spans="1:21" s="12" customFormat="1" x14ac:dyDescent="0.25">
      <c r="A45" s="216" t="s">
        <v>954</v>
      </c>
      <c r="B45" s="64">
        <v>4.05</v>
      </c>
      <c r="C45" s="64">
        <v>25.18</v>
      </c>
      <c r="D45" s="64">
        <v>16.32</v>
      </c>
      <c r="E45" s="64">
        <v>0.4</v>
      </c>
      <c r="F45" s="64">
        <v>4.12</v>
      </c>
      <c r="G45" s="64">
        <v>20.73</v>
      </c>
      <c r="H45" s="64">
        <v>5.24</v>
      </c>
      <c r="I45" s="64">
        <v>3.92</v>
      </c>
      <c r="J45" s="64">
        <v>0.84</v>
      </c>
      <c r="K45" s="64">
        <v>163.89</v>
      </c>
      <c r="L45" s="64">
        <v>24.88</v>
      </c>
      <c r="M45" s="64">
        <v>72.510000000000005</v>
      </c>
      <c r="N45" s="64">
        <v>674</v>
      </c>
      <c r="O45" s="64">
        <v>0</v>
      </c>
      <c r="P45" s="64">
        <v>0.33</v>
      </c>
      <c r="Q45" s="64">
        <v>9.7799999999999994</v>
      </c>
      <c r="R45" s="198"/>
      <c r="S45" s="198"/>
      <c r="T45" s="198"/>
      <c r="U45" s="198"/>
    </row>
    <row r="46" spans="1:21" s="12" customFormat="1" x14ac:dyDescent="0.25">
      <c r="A46" s="216" t="s">
        <v>955</v>
      </c>
      <c r="B46" s="64">
        <v>3.94</v>
      </c>
      <c r="C46" s="64">
        <v>24.97</v>
      </c>
      <c r="D46" s="64">
        <v>16.13</v>
      </c>
      <c r="E46" s="64">
        <v>0.34</v>
      </c>
      <c r="F46" s="64">
        <v>4.55</v>
      </c>
      <c r="G46" s="64">
        <v>20.73</v>
      </c>
      <c r="H46" s="64">
        <v>5.24</v>
      </c>
      <c r="I46" s="64">
        <v>4.0199999999999996</v>
      </c>
      <c r="J46" s="64">
        <v>1.38</v>
      </c>
      <c r="K46" s="64">
        <v>157</v>
      </c>
      <c r="L46" s="64">
        <v>25.21</v>
      </c>
      <c r="M46" s="64">
        <v>70.88</v>
      </c>
      <c r="N46" s="64">
        <v>728.9</v>
      </c>
      <c r="O46" s="64">
        <v>0</v>
      </c>
      <c r="P46" s="64">
        <v>0.32</v>
      </c>
      <c r="Q46" s="64">
        <v>9.7899999999999991</v>
      </c>
      <c r="R46" s="198"/>
      <c r="S46" s="198"/>
      <c r="T46" s="198"/>
      <c r="U46" s="198"/>
    </row>
    <row r="47" spans="1:21" s="12" customFormat="1" x14ac:dyDescent="0.25">
      <c r="A47" s="216" t="s">
        <v>956</v>
      </c>
      <c r="B47" s="64">
        <v>3.73</v>
      </c>
      <c r="C47" s="64">
        <v>24.45</v>
      </c>
      <c r="D47" s="64">
        <v>15.68</v>
      </c>
      <c r="E47" s="64">
        <v>0.59</v>
      </c>
      <c r="F47" s="64">
        <v>4.72</v>
      </c>
      <c r="G47" s="64">
        <v>20.73</v>
      </c>
      <c r="H47" s="64">
        <v>5.24</v>
      </c>
      <c r="I47" s="64">
        <v>4.1100000000000003</v>
      </c>
      <c r="J47" s="64">
        <v>1.05</v>
      </c>
      <c r="K47" s="64">
        <v>155.41999999999999</v>
      </c>
      <c r="L47" s="64">
        <v>25.75</v>
      </c>
      <c r="M47" s="64">
        <v>67.02</v>
      </c>
      <c r="N47" s="64">
        <v>768.7</v>
      </c>
      <c r="O47" s="64">
        <v>0</v>
      </c>
      <c r="P47" s="64">
        <v>0.32</v>
      </c>
      <c r="Q47" s="64">
        <v>9.7799999999999994</v>
      </c>
      <c r="R47" s="198"/>
      <c r="S47" s="198"/>
      <c r="T47" s="198"/>
      <c r="U47" s="198"/>
    </row>
    <row r="48" spans="1:21" s="12" customFormat="1" x14ac:dyDescent="0.25">
      <c r="A48" s="216" t="s">
        <v>957</v>
      </c>
      <c r="B48" s="64">
        <v>3.48</v>
      </c>
      <c r="C48" s="64">
        <v>24.25</v>
      </c>
      <c r="D48" s="64">
        <v>15.38</v>
      </c>
      <c r="E48" s="64">
        <v>0.84</v>
      </c>
      <c r="F48" s="64">
        <v>4.43</v>
      </c>
      <c r="G48" s="64">
        <v>18.850000000000001</v>
      </c>
      <c r="H48" s="64">
        <v>4.9800000000000004</v>
      </c>
      <c r="I48" s="64">
        <v>4.13</v>
      </c>
      <c r="J48" s="64">
        <v>0.51</v>
      </c>
      <c r="K48" s="64">
        <v>180.64</v>
      </c>
      <c r="L48" s="64">
        <v>26.71</v>
      </c>
      <c r="M48" s="64">
        <v>63.95</v>
      </c>
      <c r="N48" s="64">
        <v>803.7</v>
      </c>
      <c r="O48" s="64">
        <v>0</v>
      </c>
      <c r="P48" s="64">
        <v>0.31</v>
      </c>
      <c r="Q48" s="64">
        <v>9.7899999999999991</v>
      </c>
      <c r="R48" s="198"/>
      <c r="S48" s="198"/>
      <c r="T48" s="198"/>
      <c r="U48" s="198"/>
    </row>
    <row r="49" spans="1:21" s="12" customFormat="1" x14ac:dyDescent="0.25">
      <c r="A49" s="216" t="s">
        <v>958</v>
      </c>
      <c r="B49" s="64">
        <v>3.28</v>
      </c>
      <c r="C49" s="64">
        <v>24.96</v>
      </c>
      <c r="D49" s="64">
        <v>15.59</v>
      </c>
      <c r="E49" s="64">
        <v>0.79</v>
      </c>
      <c r="F49" s="64">
        <v>4.66</v>
      </c>
      <c r="G49" s="64">
        <v>17.54</v>
      </c>
      <c r="H49" s="64">
        <v>4.8099999999999996</v>
      </c>
      <c r="I49" s="64">
        <v>4.1399999999999997</v>
      </c>
      <c r="J49" s="64">
        <v>1.26</v>
      </c>
      <c r="K49" s="64">
        <v>153.72</v>
      </c>
      <c r="L49" s="64">
        <v>26.89</v>
      </c>
      <c r="M49" s="64">
        <v>63.35</v>
      </c>
      <c r="N49" s="64">
        <v>845.1</v>
      </c>
      <c r="O49" s="64">
        <v>0</v>
      </c>
      <c r="P49" s="64">
        <v>0.32</v>
      </c>
      <c r="Q49" s="64">
        <v>9.7799999999999994</v>
      </c>
      <c r="R49" s="198"/>
      <c r="S49" s="198"/>
      <c r="T49" s="198"/>
      <c r="U49" s="198"/>
    </row>
    <row r="50" spans="1:21" s="12" customFormat="1" x14ac:dyDescent="0.25">
      <c r="A50" s="216" t="s">
        <v>959</v>
      </c>
      <c r="B50" s="64">
        <v>2.91</v>
      </c>
      <c r="C50" s="64">
        <v>23.6</v>
      </c>
      <c r="D50" s="64">
        <v>14.59</v>
      </c>
      <c r="E50" s="64">
        <v>0.83</v>
      </c>
      <c r="F50" s="64">
        <v>5.74</v>
      </c>
      <c r="G50" s="64">
        <v>17.54</v>
      </c>
      <c r="H50" s="64">
        <v>4.8099999999999996</v>
      </c>
      <c r="I50" s="64">
        <v>4.03</v>
      </c>
      <c r="J50" s="64">
        <v>0.54</v>
      </c>
      <c r="K50" s="64">
        <v>167.78</v>
      </c>
      <c r="L50" s="64">
        <v>26.81</v>
      </c>
      <c r="M50" s="64">
        <v>64.23</v>
      </c>
      <c r="N50" s="64">
        <v>878.5</v>
      </c>
      <c r="O50" s="64">
        <v>0</v>
      </c>
      <c r="P50" s="64">
        <v>0.31</v>
      </c>
      <c r="Q50" s="64">
        <v>9.73</v>
      </c>
      <c r="R50" s="198"/>
      <c r="S50" s="198"/>
      <c r="T50" s="198"/>
      <c r="U50" s="198"/>
    </row>
    <row r="51" spans="1:21" s="12" customFormat="1" x14ac:dyDescent="0.25">
      <c r="A51" s="216" t="s">
        <v>960</v>
      </c>
      <c r="B51" s="64">
        <v>2.14</v>
      </c>
      <c r="C51" s="64">
        <v>23.79</v>
      </c>
      <c r="D51" s="64">
        <v>14.06</v>
      </c>
      <c r="E51" s="64">
        <v>1.01</v>
      </c>
      <c r="F51" s="64">
        <v>19.559999999999999</v>
      </c>
      <c r="G51" s="64">
        <v>17.54</v>
      </c>
      <c r="H51" s="64">
        <v>4.8099999999999996</v>
      </c>
      <c r="I51" s="64">
        <v>3.74</v>
      </c>
      <c r="J51" s="64">
        <v>1.01</v>
      </c>
      <c r="K51" s="64">
        <v>163.5</v>
      </c>
      <c r="L51" s="64">
        <v>27.05</v>
      </c>
      <c r="M51" s="64">
        <v>62.56</v>
      </c>
      <c r="N51" s="64">
        <v>912.3</v>
      </c>
      <c r="O51" s="64">
        <v>0</v>
      </c>
      <c r="P51" s="64">
        <v>0.28000000000000003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6" t="s">
        <v>961</v>
      </c>
      <c r="B52" s="64">
        <v>1.64</v>
      </c>
      <c r="C52" s="64">
        <v>24.97</v>
      </c>
      <c r="D52" s="64">
        <v>14.28</v>
      </c>
      <c r="E52" s="64">
        <v>0.91</v>
      </c>
      <c r="F52" s="64">
        <v>11.31</v>
      </c>
      <c r="G52" s="64">
        <v>14.68</v>
      </c>
      <c r="H52" s="64">
        <v>5.05</v>
      </c>
      <c r="I52" s="64">
        <v>3.6</v>
      </c>
      <c r="J52" s="64">
        <v>0.47</v>
      </c>
      <c r="K52" s="64">
        <v>164.17</v>
      </c>
      <c r="L52" s="64">
        <v>27.44</v>
      </c>
      <c r="M52" s="64">
        <v>59.94</v>
      </c>
      <c r="N52" s="64">
        <v>928</v>
      </c>
      <c r="O52" s="64">
        <v>0</v>
      </c>
      <c r="P52" s="64">
        <v>0.27</v>
      </c>
      <c r="Q52" s="64">
        <v>9.69</v>
      </c>
      <c r="R52" s="198"/>
      <c r="S52" s="198"/>
      <c r="T52" s="198"/>
      <c r="U52" s="198"/>
    </row>
    <row r="53" spans="1:21" s="12" customFormat="1" x14ac:dyDescent="0.25">
      <c r="A53" s="216" t="s">
        <v>962</v>
      </c>
      <c r="B53" s="64">
        <v>1.66</v>
      </c>
      <c r="C53" s="64">
        <v>23.36</v>
      </c>
      <c r="D53" s="64">
        <v>13.46</v>
      </c>
      <c r="E53" s="64">
        <v>0.94</v>
      </c>
      <c r="F53" s="64">
        <v>8.85</v>
      </c>
      <c r="G53" s="64">
        <v>12.68</v>
      </c>
      <c r="H53" s="64">
        <v>5.21</v>
      </c>
      <c r="I53" s="64">
        <v>2.61</v>
      </c>
      <c r="J53" s="64">
        <v>0.45</v>
      </c>
      <c r="K53" s="64">
        <v>164.62</v>
      </c>
      <c r="L53" s="64">
        <v>28.24</v>
      </c>
      <c r="M53" s="64">
        <v>57.38</v>
      </c>
      <c r="N53" s="64">
        <v>946.8</v>
      </c>
      <c r="O53" s="64">
        <v>0</v>
      </c>
      <c r="P53" s="64">
        <v>0.26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6" t="s">
        <v>963</v>
      </c>
      <c r="B54" s="64">
        <v>1.75</v>
      </c>
      <c r="C54" s="64">
        <v>22.02</v>
      </c>
      <c r="D54" s="64">
        <v>12.83</v>
      </c>
      <c r="E54" s="64">
        <v>0.84</v>
      </c>
      <c r="F54" s="64">
        <v>7.08</v>
      </c>
      <c r="G54" s="64">
        <v>12.68</v>
      </c>
      <c r="H54" s="64">
        <v>5.21</v>
      </c>
      <c r="I54" s="64">
        <v>2.2799999999999998</v>
      </c>
      <c r="J54" s="64">
        <v>0.78</v>
      </c>
      <c r="K54" s="64">
        <v>149.55000000000001</v>
      </c>
      <c r="L54" s="64">
        <v>28.45</v>
      </c>
      <c r="M54" s="64">
        <v>57.75</v>
      </c>
      <c r="N54" s="64">
        <v>961</v>
      </c>
      <c r="O54" s="64">
        <v>0</v>
      </c>
      <c r="P54" s="64">
        <v>0.26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6" t="s">
        <v>964</v>
      </c>
      <c r="B55" s="64">
        <v>2.08</v>
      </c>
      <c r="C55" s="64">
        <v>23.48</v>
      </c>
      <c r="D55" s="64">
        <v>13.85</v>
      </c>
      <c r="E55" s="64">
        <v>0.94</v>
      </c>
      <c r="F55" s="64">
        <v>8</v>
      </c>
      <c r="G55" s="64">
        <v>12.68</v>
      </c>
      <c r="H55" s="64">
        <v>5.21</v>
      </c>
      <c r="I55" s="64">
        <v>2.02</v>
      </c>
      <c r="J55" s="64">
        <v>0.7</v>
      </c>
      <c r="K55" s="64">
        <v>148.65</v>
      </c>
      <c r="L55" s="64">
        <v>29.14</v>
      </c>
      <c r="M55" s="64">
        <v>54.89</v>
      </c>
      <c r="N55" s="64">
        <v>961.7</v>
      </c>
      <c r="O55" s="64">
        <v>0</v>
      </c>
      <c r="P55" s="64">
        <v>0.28000000000000003</v>
      </c>
      <c r="Q55" s="64">
        <v>9.56</v>
      </c>
      <c r="R55" s="198"/>
      <c r="S55" s="198"/>
      <c r="T55" s="198"/>
      <c r="U55" s="198"/>
    </row>
    <row r="56" spans="1:21" s="12" customFormat="1" x14ac:dyDescent="0.25">
      <c r="A56" s="216" t="s">
        <v>965</v>
      </c>
      <c r="B56" s="64">
        <v>2.0299999999999998</v>
      </c>
      <c r="C56" s="64">
        <v>23.3</v>
      </c>
      <c r="D56" s="64">
        <v>13.72</v>
      </c>
      <c r="E56" s="64">
        <v>2.39</v>
      </c>
      <c r="F56" s="64">
        <v>15.27</v>
      </c>
      <c r="G56" s="64">
        <v>18.03</v>
      </c>
      <c r="H56" s="64">
        <v>4.83</v>
      </c>
      <c r="I56" s="64">
        <v>2.09</v>
      </c>
      <c r="J56" s="64">
        <v>0.27</v>
      </c>
      <c r="K56" s="64">
        <v>189.33</v>
      </c>
      <c r="L56" s="64">
        <v>29.65</v>
      </c>
      <c r="M56" s="64">
        <v>49.65</v>
      </c>
      <c r="N56" s="64">
        <v>954.8</v>
      </c>
      <c r="O56" s="64">
        <v>0</v>
      </c>
      <c r="P56" s="64">
        <v>0.27</v>
      </c>
      <c r="Q56" s="64">
        <v>9.56</v>
      </c>
      <c r="R56" s="198"/>
      <c r="S56" s="198"/>
      <c r="T56" s="198"/>
      <c r="U56" s="198"/>
    </row>
    <row r="57" spans="1:21" s="12" customFormat="1" x14ac:dyDescent="0.25">
      <c r="A57" s="216" t="s">
        <v>966</v>
      </c>
      <c r="B57" s="64">
        <v>2.0099999999999998</v>
      </c>
      <c r="C57" s="64">
        <v>21.65</v>
      </c>
      <c r="D57" s="64">
        <v>12.85</v>
      </c>
      <c r="E57" s="64">
        <v>1.59</v>
      </c>
      <c r="F57" s="64">
        <v>8.9499999999999993</v>
      </c>
      <c r="G57" s="64">
        <v>21.76</v>
      </c>
      <c r="H57" s="64">
        <v>4.57</v>
      </c>
      <c r="I57" s="64">
        <v>2.29</v>
      </c>
      <c r="J57" s="64">
        <v>0.56999999999999995</v>
      </c>
      <c r="K57" s="64">
        <v>187.82</v>
      </c>
      <c r="L57" s="64">
        <v>29.68</v>
      </c>
      <c r="M57" s="64">
        <v>50.67</v>
      </c>
      <c r="N57" s="64">
        <v>955.2</v>
      </c>
      <c r="O57" s="64">
        <v>0</v>
      </c>
      <c r="P57" s="64">
        <v>0.26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16" t="s">
        <v>967</v>
      </c>
      <c r="B58" s="64">
        <v>2.27</v>
      </c>
      <c r="C58" s="64">
        <v>20.49</v>
      </c>
      <c r="D58" s="64">
        <v>12.44</v>
      </c>
      <c r="E58" s="64">
        <v>1.57</v>
      </c>
      <c r="F58" s="64">
        <v>5.97</v>
      </c>
      <c r="G58" s="64">
        <v>21.76</v>
      </c>
      <c r="H58" s="64">
        <v>4.57</v>
      </c>
      <c r="I58" s="64">
        <v>2.06</v>
      </c>
      <c r="J58" s="64">
        <v>0.25</v>
      </c>
      <c r="K58" s="64">
        <v>188.77</v>
      </c>
      <c r="L58" s="64">
        <v>30.3</v>
      </c>
      <c r="M58" s="64">
        <v>48.06</v>
      </c>
      <c r="N58" s="64">
        <v>950.7</v>
      </c>
      <c r="O58" s="64">
        <v>0</v>
      </c>
      <c r="P58" s="64">
        <v>0.26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16" t="s">
        <v>968</v>
      </c>
      <c r="B59" s="64">
        <v>2.36</v>
      </c>
      <c r="C59" s="64">
        <v>20.13</v>
      </c>
      <c r="D59" s="64">
        <v>12.33</v>
      </c>
      <c r="E59" s="64">
        <v>1.55</v>
      </c>
      <c r="F59" s="64">
        <v>7.32</v>
      </c>
      <c r="G59" s="64">
        <v>21.76</v>
      </c>
      <c r="H59" s="64">
        <v>4.57</v>
      </c>
      <c r="I59" s="64">
        <v>1.98</v>
      </c>
      <c r="J59" s="64">
        <v>0.18</v>
      </c>
      <c r="K59" s="64">
        <v>162.94999999999999</v>
      </c>
      <c r="L59" s="64">
        <v>30.74</v>
      </c>
      <c r="M59" s="64">
        <v>46.07</v>
      </c>
      <c r="N59" s="64">
        <v>936.8</v>
      </c>
      <c r="O59" s="64">
        <v>0</v>
      </c>
      <c r="P59" s="64">
        <v>0.26</v>
      </c>
      <c r="Q59" s="64">
        <v>9.42</v>
      </c>
      <c r="R59" s="198"/>
      <c r="S59" s="198"/>
      <c r="T59" s="198"/>
      <c r="U59" s="198"/>
    </row>
    <row r="60" spans="1:21" s="12" customFormat="1" x14ac:dyDescent="0.25">
      <c r="A60" s="216" t="s">
        <v>969</v>
      </c>
      <c r="B60" s="64">
        <v>2.17</v>
      </c>
      <c r="C60" s="64">
        <v>21.78</v>
      </c>
      <c r="D60" s="64">
        <v>13.04</v>
      </c>
      <c r="E60" s="64">
        <v>1.18</v>
      </c>
      <c r="F60" s="64">
        <v>7.13</v>
      </c>
      <c r="G60" s="64">
        <v>20.81</v>
      </c>
      <c r="H60" s="64">
        <v>6.84</v>
      </c>
      <c r="I60" s="64">
        <v>1.81</v>
      </c>
      <c r="J60" s="64">
        <v>0.41</v>
      </c>
      <c r="K60" s="64">
        <v>181.17</v>
      </c>
      <c r="L60" s="64">
        <v>30.53</v>
      </c>
      <c r="M60" s="64">
        <v>46.84</v>
      </c>
      <c r="N60" s="64">
        <v>914.8</v>
      </c>
      <c r="O60" s="64">
        <v>0</v>
      </c>
      <c r="P60" s="64">
        <v>0.26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6" t="s">
        <v>970</v>
      </c>
      <c r="B61" s="64">
        <v>2.17</v>
      </c>
      <c r="C61" s="64">
        <v>19.22</v>
      </c>
      <c r="D61" s="64">
        <v>11.71</v>
      </c>
      <c r="E61" s="64">
        <v>1</v>
      </c>
      <c r="F61" s="64">
        <v>8.07</v>
      </c>
      <c r="G61" s="64">
        <v>20.14</v>
      </c>
      <c r="H61" s="64">
        <v>8.42</v>
      </c>
      <c r="I61" s="64">
        <v>1.96</v>
      </c>
      <c r="J61" s="64">
        <v>0.06</v>
      </c>
      <c r="K61" s="64">
        <v>206.58</v>
      </c>
      <c r="L61" s="64">
        <v>31.14</v>
      </c>
      <c r="M61" s="64">
        <v>45.45</v>
      </c>
      <c r="N61" s="64">
        <v>890.6</v>
      </c>
      <c r="O61" s="64">
        <v>0</v>
      </c>
      <c r="P61" s="64">
        <v>0.25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16" t="s">
        <v>971</v>
      </c>
      <c r="B62" s="64">
        <v>2.37</v>
      </c>
      <c r="C62" s="64">
        <v>20.23</v>
      </c>
      <c r="D62" s="64">
        <v>12.39</v>
      </c>
      <c r="E62" s="64">
        <v>1.51</v>
      </c>
      <c r="F62" s="64">
        <v>8.26</v>
      </c>
      <c r="G62" s="64">
        <v>20.14</v>
      </c>
      <c r="H62" s="64">
        <v>8.42</v>
      </c>
      <c r="I62" s="64">
        <v>2</v>
      </c>
      <c r="J62" s="64">
        <v>0.86</v>
      </c>
      <c r="K62" s="64">
        <v>149.9</v>
      </c>
      <c r="L62" s="64">
        <v>31.32</v>
      </c>
      <c r="M62" s="64">
        <v>44.11</v>
      </c>
      <c r="N62" s="64">
        <v>870.2</v>
      </c>
      <c r="O62" s="64">
        <v>0</v>
      </c>
      <c r="P62" s="64">
        <v>0.28000000000000003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16" t="s">
        <v>972</v>
      </c>
      <c r="B63" s="64">
        <v>2.36</v>
      </c>
      <c r="C63" s="64">
        <v>20.170000000000002</v>
      </c>
      <c r="D63" s="64">
        <v>12.35</v>
      </c>
      <c r="E63" s="64">
        <v>1.71</v>
      </c>
      <c r="F63" s="64">
        <v>7.01</v>
      </c>
      <c r="G63" s="64">
        <v>20.14</v>
      </c>
      <c r="H63" s="64">
        <v>8.42</v>
      </c>
      <c r="I63" s="64">
        <v>1.87</v>
      </c>
      <c r="J63" s="64">
        <v>1.32</v>
      </c>
      <c r="K63" s="64">
        <v>157.38999999999999</v>
      </c>
      <c r="L63" s="64">
        <v>30.67</v>
      </c>
      <c r="M63" s="64">
        <v>44.78</v>
      </c>
      <c r="N63" s="64">
        <v>830.1</v>
      </c>
      <c r="O63" s="64">
        <v>0</v>
      </c>
      <c r="P63" s="64">
        <v>0.27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6" t="s">
        <v>973</v>
      </c>
      <c r="B64" s="64">
        <v>2.61</v>
      </c>
      <c r="C64" s="64">
        <v>19.28</v>
      </c>
      <c r="D64" s="64">
        <v>12.09</v>
      </c>
      <c r="E64" s="64">
        <v>1.53</v>
      </c>
      <c r="F64" s="64">
        <v>5.58</v>
      </c>
      <c r="G64" s="64">
        <v>21.55</v>
      </c>
      <c r="H64" s="64">
        <v>7.2</v>
      </c>
      <c r="I64" s="64">
        <v>1.95</v>
      </c>
      <c r="J64" s="64">
        <v>0.24</v>
      </c>
      <c r="K64" s="64">
        <v>341.29</v>
      </c>
      <c r="L64" s="64">
        <v>31.72</v>
      </c>
      <c r="M64" s="64">
        <v>43.47</v>
      </c>
      <c r="N64" s="64">
        <v>780.6</v>
      </c>
      <c r="O64" s="64">
        <v>0</v>
      </c>
      <c r="P64" s="64">
        <v>0.28000000000000003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6" t="s">
        <v>974</v>
      </c>
      <c r="B65" s="64">
        <v>2.89</v>
      </c>
      <c r="C65" s="64">
        <v>18.55</v>
      </c>
      <c r="D65" s="64">
        <v>11.93</v>
      </c>
      <c r="E65" s="64">
        <v>1.47</v>
      </c>
      <c r="F65" s="64">
        <v>5.26</v>
      </c>
      <c r="G65" s="64">
        <v>22.53</v>
      </c>
      <c r="H65" s="64">
        <v>6.35</v>
      </c>
      <c r="I65" s="64">
        <v>2.09</v>
      </c>
      <c r="J65" s="64">
        <v>0.71</v>
      </c>
      <c r="K65" s="64">
        <v>167.75</v>
      </c>
      <c r="L65" s="64">
        <v>30.83</v>
      </c>
      <c r="M65" s="64">
        <v>45.07</v>
      </c>
      <c r="N65" s="64">
        <v>506.5</v>
      </c>
      <c r="O65" s="64">
        <v>0</v>
      </c>
      <c r="P65" s="64">
        <v>0.28000000000000003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6" t="s">
        <v>975</v>
      </c>
      <c r="B66" s="64">
        <v>2.88</v>
      </c>
      <c r="C66" s="64">
        <v>18.03</v>
      </c>
      <c r="D66" s="64">
        <v>11.65</v>
      </c>
      <c r="E66" s="64">
        <v>1.2</v>
      </c>
      <c r="F66" s="64">
        <v>6.48</v>
      </c>
      <c r="G66" s="64">
        <v>22.53</v>
      </c>
      <c r="H66" s="64">
        <v>6.35</v>
      </c>
      <c r="I66" s="64">
        <v>2.31</v>
      </c>
      <c r="J66" s="64">
        <v>0.2</v>
      </c>
      <c r="K66" s="64">
        <v>356.53</v>
      </c>
      <c r="L66" s="64">
        <v>31.24</v>
      </c>
      <c r="M66" s="64">
        <v>44.39</v>
      </c>
      <c r="N66" s="64">
        <v>365.3</v>
      </c>
      <c r="O66" s="64">
        <v>0</v>
      </c>
      <c r="P66" s="64">
        <v>0.27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6" t="s">
        <v>976</v>
      </c>
      <c r="B67" s="64">
        <v>2.08</v>
      </c>
      <c r="C67" s="64">
        <v>19.61</v>
      </c>
      <c r="D67" s="64">
        <v>11.83</v>
      </c>
      <c r="E67" s="64">
        <v>2.14</v>
      </c>
      <c r="F67" s="64">
        <v>43.24</v>
      </c>
      <c r="G67" s="64">
        <v>22.53</v>
      </c>
      <c r="H67" s="64">
        <v>6.35</v>
      </c>
      <c r="I67" s="64">
        <v>2.72</v>
      </c>
      <c r="J67" s="64">
        <v>0.18</v>
      </c>
      <c r="K67" s="64">
        <v>178.36</v>
      </c>
      <c r="L67" s="64">
        <v>31.22</v>
      </c>
      <c r="M67" s="64">
        <v>44.44</v>
      </c>
      <c r="N67" s="64">
        <v>382.4</v>
      </c>
      <c r="O67" s="64">
        <v>0</v>
      </c>
      <c r="P67" s="64">
        <v>0.3</v>
      </c>
      <c r="Q67" s="64">
        <v>9.68</v>
      </c>
      <c r="R67" s="198"/>
      <c r="S67" s="198"/>
      <c r="T67" s="198"/>
      <c r="U67" s="198"/>
    </row>
    <row r="68" spans="1:21" s="12" customFormat="1" x14ac:dyDescent="0.25">
      <c r="A68" s="216" t="s">
        <v>977</v>
      </c>
      <c r="B68" s="64">
        <v>0.97</v>
      </c>
      <c r="C68" s="64">
        <v>19.03</v>
      </c>
      <c r="D68" s="64">
        <v>10.63</v>
      </c>
      <c r="E68" s="64">
        <v>3.59</v>
      </c>
      <c r="F68" s="64">
        <v>63.89</v>
      </c>
      <c r="G68" s="64">
        <v>19.72</v>
      </c>
      <c r="H68" s="64">
        <v>6.45</v>
      </c>
      <c r="I68" s="64">
        <v>2.54</v>
      </c>
      <c r="J68" s="64">
        <v>0.99</v>
      </c>
      <c r="K68" s="64">
        <v>156.34</v>
      </c>
      <c r="L68" s="64">
        <v>30.84</v>
      </c>
      <c r="M68" s="64">
        <v>44.49</v>
      </c>
      <c r="N68" s="64">
        <v>274</v>
      </c>
      <c r="O68" s="64">
        <v>0</v>
      </c>
      <c r="P68" s="64">
        <v>0.27</v>
      </c>
      <c r="Q68" s="64">
        <v>9.68</v>
      </c>
      <c r="R68" s="198"/>
      <c r="S68" s="198"/>
      <c r="T68" s="198"/>
      <c r="U68" s="198"/>
    </row>
    <row r="69" spans="1:21" s="12" customFormat="1" x14ac:dyDescent="0.25">
      <c r="A69" s="216" t="s">
        <v>978</v>
      </c>
      <c r="B69" s="64">
        <v>0.59</v>
      </c>
      <c r="C69" s="64">
        <v>18.34</v>
      </c>
      <c r="D69" s="64">
        <v>9.9700000000000006</v>
      </c>
      <c r="E69" s="64">
        <v>3.2</v>
      </c>
      <c r="F69" s="64">
        <v>50</v>
      </c>
      <c r="G69" s="64">
        <v>17.760000000000002</v>
      </c>
      <c r="H69" s="64">
        <v>6.52</v>
      </c>
      <c r="I69" s="64">
        <v>2.0499999999999998</v>
      </c>
      <c r="J69" s="64">
        <v>0.66</v>
      </c>
      <c r="K69" s="64">
        <v>166.7</v>
      </c>
      <c r="L69" s="64">
        <v>30.87</v>
      </c>
      <c r="M69" s="64">
        <v>43.7</v>
      </c>
      <c r="N69" s="64">
        <v>301.7</v>
      </c>
      <c r="O69" s="64">
        <v>0</v>
      </c>
      <c r="P69" s="64">
        <v>0.27</v>
      </c>
      <c r="Q69" s="64">
        <v>9.5399999999999991</v>
      </c>
      <c r="R69" s="198"/>
      <c r="S69" s="198"/>
      <c r="T69" s="198"/>
      <c r="U69" s="198"/>
    </row>
    <row r="70" spans="1:21" s="12" customFormat="1" x14ac:dyDescent="0.25">
      <c r="A70" s="216" t="s">
        <v>979</v>
      </c>
      <c r="B70" s="64">
        <v>0.27</v>
      </c>
      <c r="C70" s="64">
        <v>16.57</v>
      </c>
      <c r="D70" s="64">
        <v>8.7899999999999991</v>
      </c>
      <c r="E70" s="64">
        <v>3.75</v>
      </c>
      <c r="F70" s="64">
        <v>59.14</v>
      </c>
      <c r="G70" s="64">
        <v>17.760000000000002</v>
      </c>
      <c r="H70" s="64">
        <v>6.52</v>
      </c>
      <c r="I70" s="64">
        <v>1.42</v>
      </c>
      <c r="J70" s="64">
        <v>0.64</v>
      </c>
      <c r="K70" s="64">
        <v>149.87</v>
      </c>
      <c r="L70" s="64">
        <v>30.78</v>
      </c>
      <c r="M70" s="64">
        <v>43.39</v>
      </c>
      <c r="N70" s="64">
        <v>252.5</v>
      </c>
      <c r="O70" s="64">
        <v>0</v>
      </c>
      <c r="P70" s="64">
        <v>0.32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6" t="s">
        <v>980</v>
      </c>
      <c r="B71" s="64">
        <v>0.16</v>
      </c>
      <c r="C71" s="64">
        <v>19.89</v>
      </c>
      <c r="D71" s="64">
        <v>10.44</v>
      </c>
      <c r="E71" s="64">
        <v>3.81</v>
      </c>
      <c r="F71" s="64">
        <v>57.12</v>
      </c>
      <c r="G71" s="64">
        <v>17.760000000000002</v>
      </c>
      <c r="H71" s="64">
        <v>6.52</v>
      </c>
      <c r="I71" s="64">
        <v>1.61</v>
      </c>
      <c r="J71" s="64">
        <v>0.53</v>
      </c>
      <c r="K71" s="64">
        <v>168.95</v>
      </c>
      <c r="L71" s="64">
        <v>30.97</v>
      </c>
      <c r="M71" s="64">
        <v>42.02</v>
      </c>
      <c r="N71" s="64">
        <v>170</v>
      </c>
      <c r="O71" s="64">
        <v>0</v>
      </c>
      <c r="P71" s="64">
        <v>0.35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6" t="s">
        <v>981</v>
      </c>
      <c r="B72" s="64">
        <v>0.1</v>
      </c>
      <c r="C72" s="64">
        <v>20.23</v>
      </c>
      <c r="D72" s="64">
        <v>10.57</v>
      </c>
      <c r="E72" s="64">
        <v>3.48</v>
      </c>
      <c r="F72" s="64">
        <v>58.72</v>
      </c>
      <c r="G72" s="64">
        <v>18.12</v>
      </c>
      <c r="H72" s="64">
        <v>6.72</v>
      </c>
      <c r="I72" s="64">
        <v>1.95</v>
      </c>
      <c r="J72" s="64">
        <v>0.17</v>
      </c>
      <c r="K72" s="64">
        <v>192.92</v>
      </c>
      <c r="L72" s="64">
        <v>31.03</v>
      </c>
      <c r="M72" s="64">
        <v>42.25</v>
      </c>
      <c r="N72" s="64">
        <v>212.7</v>
      </c>
      <c r="O72" s="64">
        <v>0</v>
      </c>
      <c r="P72" s="64">
        <v>0.33</v>
      </c>
      <c r="Q72" s="64">
        <v>9.2100000000000009</v>
      </c>
      <c r="R72" s="198"/>
      <c r="S72" s="198"/>
      <c r="T72" s="198"/>
      <c r="U72" s="198"/>
    </row>
    <row r="73" spans="1:21" s="12" customFormat="1" x14ac:dyDescent="0.25">
      <c r="A73" s="216" t="s">
        <v>982</v>
      </c>
      <c r="B73" s="64">
        <v>0.1</v>
      </c>
      <c r="C73" s="64">
        <v>20.29</v>
      </c>
      <c r="D73" s="64">
        <v>10.6</v>
      </c>
      <c r="E73" s="64">
        <v>3.21</v>
      </c>
      <c r="F73" s="64">
        <v>50.02</v>
      </c>
      <c r="G73" s="64">
        <v>18.38</v>
      </c>
      <c r="H73" s="64">
        <v>6.86</v>
      </c>
      <c r="I73" s="64">
        <v>1.83</v>
      </c>
      <c r="J73" s="64">
        <v>0.43</v>
      </c>
      <c r="K73" s="64">
        <v>169.22</v>
      </c>
      <c r="L73" s="64">
        <v>31.12</v>
      </c>
      <c r="M73" s="64">
        <v>41.77</v>
      </c>
      <c r="N73" s="64">
        <v>137.5</v>
      </c>
      <c r="O73" s="64">
        <v>0</v>
      </c>
      <c r="P73" s="64">
        <v>0.3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6" t="s">
        <v>983</v>
      </c>
      <c r="B74" s="64">
        <v>0.1</v>
      </c>
      <c r="C74" s="64">
        <v>22.99</v>
      </c>
      <c r="D74" s="64">
        <v>12.01</v>
      </c>
      <c r="E74" s="64">
        <v>1.89</v>
      </c>
      <c r="F74" s="64">
        <v>24.91</v>
      </c>
      <c r="G74" s="64">
        <v>18.38</v>
      </c>
      <c r="H74" s="64">
        <v>6.86</v>
      </c>
      <c r="I74" s="64">
        <v>1.44</v>
      </c>
      <c r="J74" s="64">
        <v>0.45</v>
      </c>
      <c r="K74" s="64">
        <v>149.94999999999999</v>
      </c>
      <c r="L74" s="64">
        <v>30.88</v>
      </c>
      <c r="M74" s="64">
        <v>41.51</v>
      </c>
      <c r="N74" s="64">
        <v>110.6</v>
      </c>
      <c r="O74" s="64">
        <v>0</v>
      </c>
      <c r="P74" s="64">
        <v>0.31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6" t="s">
        <v>984</v>
      </c>
      <c r="B75" s="64">
        <v>0.13</v>
      </c>
      <c r="C75" s="64">
        <v>21.22</v>
      </c>
      <c r="D75" s="64">
        <v>11.11</v>
      </c>
      <c r="E75" s="64">
        <v>1.59</v>
      </c>
      <c r="F75" s="64">
        <v>29.04</v>
      </c>
      <c r="G75" s="64">
        <v>18.38</v>
      </c>
      <c r="H75" s="64">
        <v>6.86</v>
      </c>
      <c r="I75" s="64">
        <v>1.26</v>
      </c>
      <c r="J75" s="64">
        <v>0.61</v>
      </c>
      <c r="K75" s="64">
        <v>146.6</v>
      </c>
      <c r="L75" s="64">
        <v>30.76</v>
      </c>
      <c r="M75" s="64">
        <v>42.18</v>
      </c>
      <c r="N75" s="64">
        <v>98.7</v>
      </c>
      <c r="O75" s="64">
        <v>0</v>
      </c>
      <c r="P75" s="64">
        <v>0.28000000000000003</v>
      </c>
      <c r="Q75" s="64">
        <v>9.0399999999999991</v>
      </c>
      <c r="R75" s="198"/>
      <c r="S75" s="198"/>
      <c r="T75" s="198"/>
      <c r="U75" s="198"/>
    </row>
    <row r="76" spans="1:21" s="12" customFormat="1" x14ac:dyDescent="0.25">
      <c r="A76" s="216" t="s">
        <v>985</v>
      </c>
      <c r="B76" s="64">
        <v>0.1</v>
      </c>
      <c r="C76" s="64">
        <v>17.8</v>
      </c>
      <c r="D76" s="64">
        <v>9.3000000000000007</v>
      </c>
      <c r="E76" s="64">
        <v>2.4900000000000002</v>
      </c>
      <c r="F76" s="64">
        <v>47.4</v>
      </c>
      <c r="G76" s="64">
        <v>15.28</v>
      </c>
      <c r="H76" s="64">
        <v>6.56</v>
      </c>
      <c r="I76" s="64">
        <v>1.44</v>
      </c>
      <c r="J76" s="64">
        <v>0.66</v>
      </c>
      <c r="K76" s="64">
        <v>148.11000000000001</v>
      </c>
      <c r="L76" s="64">
        <v>30.71</v>
      </c>
      <c r="M76" s="64">
        <v>41.98</v>
      </c>
      <c r="N76" s="64">
        <v>90.6</v>
      </c>
      <c r="O76" s="64">
        <v>0</v>
      </c>
      <c r="P76" s="64">
        <v>0.26</v>
      </c>
      <c r="Q76" s="64">
        <v>9.08</v>
      </c>
      <c r="R76" s="198"/>
      <c r="S76" s="198"/>
      <c r="T76" s="198"/>
      <c r="U76" s="198"/>
    </row>
    <row r="77" spans="1:21" s="12" customFormat="1" x14ac:dyDescent="0.25">
      <c r="A77" s="216" t="s">
        <v>986</v>
      </c>
      <c r="B77" s="64">
        <v>0.1</v>
      </c>
      <c r="C77" s="64">
        <v>17.420000000000002</v>
      </c>
      <c r="D77" s="64">
        <v>9.1</v>
      </c>
      <c r="E77" s="64">
        <v>1.97</v>
      </c>
      <c r="F77" s="64">
        <v>28.97</v>
      </c>
      <c r="G77" s="64">
        <v>13.12</v>
      </c>
      <c r="H77" s="64">
        <v>6.34</v>
      </c>
      <c r="I77" s="64">
        <v>1.58</v>
      </c>
      <c r="J77" s="64">
        <v>0.66</v>
      </c>
      <c r="K77" s="64">
        <v>157.13999999999999</v>
      </c>
      <c r="L77" s="64">
        <v>30.62</v>
      </c>
      <c r="M77" s="64">
        <v>41.89</v>
      </c>
      <c r="N77" s="64">
        <v>81.7</v>
      </c>
      <c r="O77" s="64">
        <v>0</v>
      </c>
      <c r="P77" s="64">
        <v>0.26</v>
      </c>
      <c r="Q77" s="64">
        <v>9.0299999999999994</v>
      </c>
      <c r="R77" s="198"/>
      <c r="S77" s="198"/>
      <c r="T77" s="198"/>
      <c r="U77" s="198"/>
    </row>
    <row r="78" spans="1:21" s="12" customFormat="1" x14ac:dyDescent="0.25">
      <c r="A78" s="216" t="s">
        <v>987</v>
      </c>
      <c r="B78" s="64">
        <v>0.1</v>
      </c>
      <c r="C78" s="64">
        <v>20.13</v>
      </c>
      <c r="D78" s="64">
        <v>10.52</v>
      </c>
      <c r="E78" s="64">
        <v>2.4500000000000002</v>
      </c>
      <c r="F78" s="64">
        <v>48.21</v>
      </c>
      <c r="G78" s="64">
        <v>13.12</v>
      </c>
      <c r="H78" s="64">
        <v>6.34</v>
      </c>
      <c r="I78" s="64">
        <v>1.54</v>
      </c>
      <c r="J78" s="64">
        <v>1.18</v>
      </c>
      <c r="K78" s="64">
        <v>150.83000000000001</v>
      </c>
      <c r="L78" s="64">
        <v>30.36</v>
      </c>
      <c r="M78" s="64">
        <v>41.58</v>
      </c>
      <c r="N78" s="64">
        <v>65.5</v>
      </c>
      <c r="O78" s="64">
        <v>0</v>
      </c>
      <c r="P78" s="64">
        <v>0.26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6" t="s">
        <v>988</v>
      </c>
      <c r="B79" s="64">
        <v>0.1</v>
      </c>
      <c r="C79" s="64">
        <v>20.09</v>
      </c>
      <c r="D79" s="64">
        <v>10.5</v>
      </c>
      <c r="E79" s="64">
        <v>2.73</v>
      </c>
      <c r="F79" s="64">
        <v>44.89</v>
      </c>
      <c r="G79" s="64">
        <v>13.12</v>
      </c>
      <c r="H79" s="64">
        <v>6.34</v>
      </c>
      <c r="I79" s="64">
        <v>1.45</v>
      </c>
      <c r="J79" s="64">
        <v>0.78</v>
      </c>
      <c r="K79" s="64">
        <v>157.59</v>
      </c>
      <c r="L79" s="64">
        <v>30.33</v>
      </c>
      <c r="M79" s="64">
        <v>42.03</v>
      </c>
      <c r="N79" s="64">
        <v>54.1</v>
      </c>
      <c r="O79" s="64">
        <v>0</v>
      </c>
      <c r="P79" s="64">
        <v>0.26</v>
      </c>
      <c r="Q79" s="64">
        <v>9.15</v>
      </c>
      <c r="R79" s="198"/>
      <c r="S79" s="198"/>
      <c r="T79" s="198"/>
      <c r="U79" s="198"/>
    </row>
    <row r="80" spans="1:21" s="12" customFormat="1" x14ac:dyDescent="0.25">
      <c r="A80" s="216" t="s">
        <v>989</v>
      </c>
      <c r="B80" s="64">
        <v>0.1</v>
      </c>
      <c r="C80" s="64">
        <v>21.16</v>
      </c>
      <c r="D80" s="64">
        <v>11.06</v>
      </c>
      <c r="E80" s="64">
        <v>1.8</v>
      </c>
      <c r="F80" s="64">
        <v>20.149999999999999</v>
      </c>
      <c r="G80" s="64">
        <v>12.79</v>
      </c>
      <c r="H80" s="64">
        <v>6.65</v>
      </c>
      <c r="I80" s="64">
        <v>1.33</v>
      </c>
      <c r="J80" s="64">
        <v>0.66</v>
      </c>
      <c r="K80" s="64">
        <v>146.04</v>
      </c>
      <c r="L80" s="64">
        <v>30.05</v>
      </c>
      <c r="M80" s="64">
        <v>44.27</v>
      </c>
      <c r="N80" s="64">
        <v>41.9</v>
      </c>
      <c r="O80" s="64">
        <v>0</v>
      </c>
      <c r="P80" s="64">
        <v>0.26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6" t="s">
        <v>990</v>
      </c>
      <c r="B81" s="64">
        <v>0.14000000000000001</v>
      </c>
      <c r="C81" s="64">
        <v>21.65</v>
      </c>
      <c r="D81" s="64">
        <v>11.34</v>
      </c>
      <c r="E81" s="64">
        <v>1.52</v>
      </c>
      <c r="F81" s="64">
        <v>10.95</v>
      </c>
      <c r="G81" s="64">
        <v>12.56</v>
      </c>
      <c r="H81" s="64">
        <v>6.87</v>
      </c>
      <c r="I81" s="64">
        <v>1.47</v>
      </c>
      <c r="J81" s="64">
        <v>0.1</v>
      </c>
      <c r="K81" s="64">
        <v>119.89</v>
      </c>
      <c r="L81" s="64">
        <v>29.22</v>
      </c>
      <c r="M81" s="64">
        <v>48.57</v>
      </c>
      <c r="N81" s="64">
        <v>30.1</v>
      </c>
      <c r="O81" s="64">
        <v>0</v>
      </c>
      <c r="P81" s="64">
        <v>0.27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16" t="s">
        <v>991</v>
      </c>
      <c r="B82" s="64">
        <v>0.32</v>
      </c>
      <c r="C82" s="64">
        <v>21.63</v>
      </c>
      <c r="D82" s="64">
        <v>11.48</v>
      </c>
      <c r="E82" s="64">
        <v>1.02</v>
      </c>
      <c r="F82" s="64">
        <v>7.11</v>
      </c>
      <c r="G82" s="64">
        <v>12.56</v>
      </c>
      <c r="H82" s="64">
        <v>6.87</v>
      </c>
      <c r="I82" s="64">
        <v>1.92</v>
      </c>
      <c r="J82" s="64">
        <v>0.16</v>
      </c>
      <c r="K82" s="64">
        <v>154.09</v>
      </c>
      <c r="L82" s="64">
        <v>28.85</v>
      </c>
      <c r="M82" s="64">
        <v>48.35</v>
      </c>
      <c r="N82" s="64">
        <v>21.9</v>
      </c>
      <c r="O82" s="64">
        <v>0</v>
      </c>
      <c r="P82" s="64">
        <v>0.28000000000000003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16" t="s">
        <v>992</v>
      </c>
      <c r="B83" s="64">
        <v>0.7</v>
      </c>
      <c r="C83" s="64">
        <v>22.55</v>
      </c>
      <c r="D83" s="64">
        <v>12.26</v>
      </c>
      <c r="E83" s="64">
        <v>1.19</v>
      </c>
      <c r="F83" s="64">
        <v>5.6</v>
      </c>
      <c r="G83" s="64">
        <v>12.56</v>
      </c>
      <c r="H83" s="64">
        <v>6.87</v>
      </c>
      <c r="I83" s="64">
        <v>2.38</v>
      </c>
      <c r="J83" s="64">
        <v>0.24</v>
      </c>
      <c r="K83" s="64">
        <v>147.33000000000001</v>
      </c>
      <c r="L83" s="64">
        <v>28.7</v>
      </c>
      <c r="M83" s="64">
        <v>50.8</v>
      </c>
      <c r="N83" s="64">
        <v>19.5</v>
      </c>
      <c r="O83" s="64">
        <v>0</v>
      </c>
      <c r="P83" s="64">
        <v>0.28000000000000003</v>
      </c>
      <c r="Q83" s="64">
        <v>9.36</v>
      </c>
      <c r="R83" s="198"/>
      <c r="S83" s="198"/>
      <c r="T83" s="198"/>
      <c r="U83" s="198"/>
    </row>
    <row r="84" spans="1:26" s="12" customFormat="1" x14ac:dyDescent="0.25">
      <c r="A84" s="216" t="s">
        <v>993</v>
      </c>
      <c r="B84" s="64">
        <v>1.08</v>
      </c>
      <c r="C84" s="64">
        <v>23.43</v>
      </c>
      <c r="D84" s="64">
        <v>13.03</v>
      </c>
      <c r="E84" s="64">
        <v>1.68</v>
      </c>
      <c r="F84" s="64">
        <v>4.9400000000000004</v>
      </c>
      <c r="G84" s="64">
        <v>22.61</v>
      </c>
      <c r="H84" s="64">
        <v>7.09</v>
      </c>
      <c r="I84" s="64">
        <v>2.78</v>
      </c>
      <c r="J84" s="64">
        <v>0.1</v>
      </c>
      <c r="K84" s="64">
        <v>63.13</v>
      </c>
      <c r="L84" s="64">
        <v>28.41</v>
      </c>
      <c r="M84" s="64">
        <v>50.69</v>
      </c>
      <c r="N84" s="64">
        <v>19.8</v>
      </c>
      <c r="O84" s="64">
        <v>0</v>
      </c>
      <c r="P84" s="64">
        <v>0.3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16" t="s">
        <v>994</v>
      </c>
      <c r="B85" s="64">
        <v>1.45</v>
      </c>
      <c r="C85" s="64">
        <v>24.56</v>
      </c>
      <c r="D85" s="64">
        <v>13.91</v>
      </c>
      <c r="E85" s="64">
        <v>1.47</v>
      </c>
      <c r="F85" s="64">
        <v>4.25</v>
      </c>
      <c r="G85" s="64">
        <v>29.62</v>
      </c>
      <c r="H85" s="64">
        <v>7.24</v>
      </c>
      <c r="I85" s="64">
        <v>3.14</v>
      </c>
      <c r="J85" s="64">
        <v>0.2</v>
      </c>
      <c r="K85" s="64">
        <v>36.450000000000003</v>
      </c>
      <c r="L85" s="64">
        <v>28.19</v>
      </c>
      <c r="M85" s="64">
        <v>51.34</v>
      </c>
      <c r="N85" s="64">
        <v>19.5</v>
      </c>
      <c r="O85" s="64">
        <v>0</v>
      </c>
      <c r="P85" s="64">
        <v>0.32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6" t="s">
        <v>995</v>
      </c>
      <c r="B86" s="64">
        <v>2.59</v>
      </c>
      <c r="C86" s="64">
        <v>24.68</v>
      </c>
      <c r="D86" s="64">
        <v>14.89</v>
      </c>
      <c r="E86" s="64">
        <v>1.52</v>
      </c>
      <c r="F86" s="64">
        <v>3.79</v>
      </c>
      <c r="G86" s="64">
        <v>29.62</v>
      </c>
      <c r="H86" s="64">
        <v>7.24</v>
      </c>
      <c r="I86" s="64">
        <v>3.73</v>
      </c>
      <c r="J86" s="64">
        <v>0.09</v>
      </c>
      <c r="K86" s="64">
        <v>36.11</v>
      </c>
      <c r="L86" s="64">
        <v>28</v>
      </c>
      <c r="M86" s="64">
        <v>59.97</v>
      </c>
      <c r="N86" s="64">
        <v>19.7</v>
      </c>
      <c r="O86" s="64">
        <v>0</v>
      </c>
      <c r="P86" s="64">
        <v>0.46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6" t="s">
        <v>996</v>
      </c>
      <c r="B87" s="64">
        <v>4.1100000000000003</v>
      </c>
      <c r="C87" s="64">
        <v>24.85</v>
      </c>
      <c r="D87" s="64">
        <v>16.2</v>
      </c>
      <c r="E87" s="64">
        <v>1.28</v>
      </c>
      <c r="F87" s="64">
        <v>4.0199999999999996</v>
      </c>
      <c r="G87" s="64">
        <v>29.62</v>
      </c>
      <c r="H87" s="64">
        <v>7.24</v>
      </c>
      <c r="I87" s="64">
        <v>4.54</v>
      </c>
      <c r="J87" s="64">
        <v>0.11</v>
      </c>
      <c r="K87" s="64">
        <v>313.56</v>
      </c>
      <c r="L87" s="64">
        <v>27.6</v>
      </c>
      <c r="M87" s="64">
        <v>58.81</v>
      </c>
      <c r="N87" s="64">
        <v>19.7</v>
      </c>
      <c r="O87" s="64">
        <v>0</v>
      </c>
      <c r="P87" s="64">
        <v>0.53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16" t="s">
        <v>997</v>
      </c>
      <c r="B88" s="64">
        <v>6.24</v>
      </c>
      <c r="C88" s="64">
        <v>25.22</v>
      </c>
      <c r="D88" s="64">
        <v>18.100000000000001</v>
      </c>
      <c r="E88" s="64">
        <v>0.9</v>
      </c>
      <c r="F88" s="64">
        <v>3.6</v>
      </c>
      <c r="G88" s="64">
        <v>39.89</v>
      </c>
      <c r="H88" s="64">
        <v>9.02</v>
      </c>
      <c r="I88" s="64">
        <v>5.27</v>
      </c>
      <c r="J88" s="64">
        <v>0.36</v>
      </c>
      <c r="K88" s="64">
        <v>0.38</v>
      </c>
      <c r="L88" s="64">
        <v>27.31</v>
      </c>
      <c r="M88" s="64">
        <v>68.92</v>
      </c>
      <c r="N88" s="64">
        <v>19.600000000000001</v>
      </c>
      <c r="O88" s="64">
        <v>0</v>
      </c>
      <c r="P88" s="64">
        <v>0.64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6" t="s">
        <v>998</v>
      </c>
      <c r="B89" s="64">
        <v>9.58</v>
      </c>
      <c r="C89" s="64">
        <v>24.73</v>
      </c>
      <c r="D89" s="64">
        <v>20.52</v>
      </c>
      <c r="E89" s="64">
        <v>1.3</v>
      </c>
      <c r="F89" s="64">
        <v>3.3</v>
      </c>
      <c r="G89" s="64">
        <v>47.07</v>
      </c>
      <c r="H89" s="64">
        <v>10.26</v>
      </c>
      <c r="I89" s="64">
        <v>5.21</v>
      </c>
      <c r="J89" s="64">
        <v>0.25</v>
      </c>
      <c r="K89" s="64">
        <v>35.049999999999997</v>
      </c>
      <c r="L89" s="64">
        <v>27.16</v>
      </c>
      <c r="M89" s="64">
        <v>60.91</v>
      </c>
      <c r="N89" s="64">
        <v>19</v>
      </c>
      <c r="O89" s="64">
        <v>0</v>
      </c>
      <c r="P89" s="64">
        <v>0.78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6" t="s">
        <v>999</v>
      </c>
      <c r="B90" s="64">
        <v>11.27</v>
      </c>
      <c r="C90" s="64">
        <v>25.07</v>
      </c>
      <c r="D90" s="64">
        <v>22.06</v>
      </c>
      <c r="E90" s="64">
        <v>1.44</v>
      </c>
      <c r="F90" s="64">
        <v>3.63</v>
      </c>
      <c r="G90" s="64">
        <v>47.07</v>
      </c>
      <c r="H90" s="64">
        <v>10.26</v>
      </c>
      <c r="I90" s="64">
        <v>5.81</v>
      </c>
      <c r="J90" s="64">
        <v>0.2</v>
      </c>
      <c r="K90" s="64">
        <v>46.97</v>
      </c>
      <c r="L90" s="64">
        <v>27.43</v>
      </c>
      <c r="M90" s="64">
        <v>59.88</v>
      </c>
      <c r="N90" s="64">
        <v>19.399999999999999</v>
      </c>
      <c r="O90" s="64">
        <v>0</v>
      </c>
      <c r="P90" s="64">
        <v>0.85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6" t="s">
        <v>1000</v>
      </c>
      <c r="B91" s="64">
        <v>13.51</v>
      </c>
      <c r="C91" s="64">
        <v>25.89</v>
      </c>
      <c r="D91" s="64">
        <v>24.28</v>
      </c>
      <c r="E91" s="64">
        <v>1.69</v>
      </c>
      <c r="F91" s="64">
        <v>3.15</v>
      </c>
      <c r="G91" s="64">
        <v>47.07</v>
      </c>
      <c r="H91" s="64">
        <v>10.26</v>
      </c>
      <c r="I91" s="64">
        <v>6.43</v>
      </c>
      <c r="J91" s="64">
        <v>0.11</v>
      </c>
      <c r="K91" s="64">
        <v>22.74</v>
      </c>
      <c r="L91" s="64">
        <v>27.3</v>
      </c>
      <c r="M91" s="64">
        <v>59.22</v>
      </c>
      <c r="N91" s="64">
        <v>19.3</v>
      </c>
      <c r="O91" s="64">
        <v>0</v>
      </c>
      <c r="P91" s="64">
        <v>0.91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6" t="s">
        <v>1001</v>
      </c>
      <c r="B92" s="64">
        <v>16.07</v>
      </c>
      <c r="C92" s="64">
        <v>25.23</v>
      </c>
      <c r="D92" s="64">
        <v>25.98</v>
      </c>
      <c r="E92" s="64">
        <v>1.1599999999999999</v>
      </c>
      <c r="F92" s="64">
        <v>3.77</v>
      </c>
      <c r="G92" s="64">
        <v>50.46</v>
      </c>
      <c r="H92" s="64">
        <v>11.15</v>
      </c>
      <c r="I92" s="64">
        <v>6.27</v>
      </c>
      <c r="J92" s="64">
        <v>0.23</v>
      </c>
      <c r="K92" s="64">
        <v>13.46</v>
      </c>
      <c r="L92" s="64">
        <v>27.15</v>
      </c>
      <c r="M92" s="64">
        <v>62.32</v>
      </c>
      <c r="N92" s="64">
        <v>19.600000000000001</v>
      </c>
      <c r="O92" s="64">
        <v>0</v>
      </c>
      <c r="P92" s="64">
        <v>1.05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6" t="s">
        <v>1002</v>
      </c>
      <c r="B93" s="64">
        <v>18.559999999999999</v>
      </c>
      <c r="C93" s="64">
        <v>25.69</v>
      </c>
      <c r="D93" s="64">
        <v>28.23</v>
      </c>
      <c r="E93" s="64">
        <v>1.24</v>
      </c>
      <c r="F93" s="64">
        <v>2.87</v>
      </c>
      <c r="G93" s="64">
        <v>52.84</v>
      </c>
      <c r="H93" s="64">
        <v>11.77</v>
      </c>
      <c r="I93" s="64">
        <v>6.37</v>
      </c>
      <c r="J93" s="64">
        <v>0.39</v>
      </c>
      <c r="K93" s="64">
        <v>81.010000000000005</v>
      </c>
      <c r="L93" s="64">
        <v>27.39</v>
      </c>
      <c r="M93" s="64">
        <v>54.92</v>
      </c>
      <c r="N93" s="64">
        <v>18.7</v>
      </c>
      <c r="O93" s="64">
        <v>0</v>
      </c>
      <c r="P93" s="64">
        <v>1.1100000000000001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6" t="s">
        <v>1003</v>
      </c>
      <c r="B94" s="64">
        <v>20.71</v>
      </c>
      <c r="C94" s="64">
        <v>26.23</v>
      </c>
      <c r="D94" s="64">
        <v>30.23</v>
      </c>
      <c r="E94" s="64">
        <v>1.54</v>
      </c>
      <c r="F94" s="64">
        <v>3.49</v>
      </c>
      <c r="G94" s="64">
        <v>52.84</v>
      </c>
      <c r="H94" s="64">
        <v>11.77</v>
      </c>
      <c r="I94" s="64">
        <v>6.94</v>
      </c>
      <c r="J94" s="64">
        <v>0.32</v>
      </c>
      <c r="K94" s="64">
        <v>27.63</v>
      </c>
      <c r="L94" s="64">
        <v>27.58</v>
      </c>
      <c r="M94" s="64">
        <v>58.36</v>
      </c>
      <c r="N94" s="64">
        <v>19.600000000000001</v>
      </c>
      <c r="O94" s="64">
        <v>0</v>
      </c>
      <c r="P94" s="64">
        <v>1.1499999999999999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6" t="s">
        <v>1004</v>
      </c>
      <c r="B95" s="64">
        <v>24.12</v>
      </c>
      <c r="C95" s="64">
        <v>26.58</v>
      </c>
      <c r="D95" s="64">
        <v>33.15</v>
      </c>
      <c r="E95" s="64">
        <v>1.24</v>
      </c>
      <c r="F95" s="64">
        <v>3.49</v>
      </c>
      <c r="G95" s="64">
        <v>52.84</v>
      </c>
      <c r="H95" s="64">
        <v>11.77</v>
      </c>
      <c r="I95" s="64">
        <v>6.77</v>
      </c>
      <c r="J95" s="64">
        <v>0.25</v>
      </c>
      <c r="K95" s="64">
        <v>1.1499999999999999</v>
      </c>
      <c r="L95" s="64">
        <v>26.98</v>
      </c>
      <c r="M95" s="64">
        <v>65</v>
      </c>
      <c r="N95" s="64">
        <v>20.2</v>
      </c>
      <c r="O95" s="64">
        <v>0</v>
      </c>
      <c r="P95" s="64">
        <v>1.26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6" t="s">
        <v>1005</v>
      </c>
      <c r="B96" s="64">
        <v>28.14</v>
      </c>
      <c r="C96" s="64">
        <v>27.21</v>
      </c>
      <c r="D96" s="64">
        <v>36.700000000000003</v>
      </c>
      <c r="E96" s="64">
        <v>1.32</v>
      </c>
      <c r="F96" s="64">
        <v>3.3</v>
      </c>
      <c r="G96" s="64">
        <v>58.46</v>
      </c>
      <c r="H96" s="64">
        <v>14.24</v>
      </c>
      <c r="I96" s="64">
        <v>6.99</v>
      </c>
      <c r="J96" s="64">
        <v>0.28000000000000003</v>
      </c>
      <c r="K96" s="64">
        <v>6.23</v>
      </c>
      <c r="L96" s="64">
        <v>26.28</v>
      </c>
      <c r="M96" s="64">
        <v>67.88</v>
      </c>
      <c r="N96" s="64">
        <v>20.3</v>
      </c>
      <c r="O96" s="64">
        <v>0</v>
      </c>
      <c r="P96" s="64">
        <v>1.37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1006</v>
      </c>
      <c r="B97" s="64">
        <v>31.12</v>
      </c>
      <c r="C97" s="64">
        <v>30.46</v>
      </c>
      <c r="D97" s="64">
        <v>40.799999999999997</v>
      </c>
      <c r="E97" s="64">
        <v>1.38</v>
      </c>
      <c r="F97" s="64">
        <v>3.58</v>
      </c>
      <c r="G97" s="64">
        <v>62.38</v>
      </c>
      <c r="H97" s="64">
        <v>15.96</v>
      </c>
      <c r="I97" s="64">
        <v>7.59</v>
      </c>
      <c r="J97" s="64">
        <v>0.16</v>
      </c>
      <c r="K97" s="64">
        <v>8.1</v>
      </c>
      <c r="L97" s="64">
        <v>25.85</v>
      </c>
      <c r="M97" s="64">
        <v>69.06</v>
      </c>
      <c r="N97" s="64">
        <v>20.2</v>
      </c>
      <c r="O97" s="64">
        <v>0</v>
      </c>
      <c r="P97" s="64">
        <v>1.47</v>
      </c>
      <c r="Q97" s="64">
        <v>9.82</v>
      </c>
      <c r="R97" s="198"/>
      <c r="S97" s="198"/>
      <c r="T97" s="198"/>
      <c r="U97" s="198"/>
    </row>
    <row r="98" spans="1:33" s="12" customFormat="1" x14ac:dyDescent="0.25">
      <c r="A98" s="216" t="s">
        <v>1007</v>
      </c>
      <c r="B98" s="64">
        <v>33.56</v>
      </c>
      <c r="C98" s="64">
        <v>31.24</v>
      </c>
      <c r="D98" s="64">
        <v>43.16</v>
      </c>
      <c r="E98" s="64">
        <v>1.21</v>
      </c>
      <c r="F98" s="64">
        <v>3.58</v>
      </c>
      <c r="G98" s="64">
        <v>62.38</v>
      </c>
      <c r="H98" s="64">
        <v>15.96</v>
      </c>
      <c r="I98" s="64">
        <v>7.89</v>
      </c>
      <c r="J98" s="64">
        <v>0.27</v>
      </c>
      <c r="K98" s="64">
        <v>334.28</v>
      </c>
      <c r="L98" s="64">
        <v>25.83</v>
      </c>
      <c r="M98" s="64">
        <v>71.87</v>
      </c>
      <c r="N98" s="64">
        <v>19.899999999999999</v>
      </c>
      <c r="O98" s="64">
        <v>0</v>
      </c>
      <c r="P98" s="64">
        <v>1.5</v>
      </c>
      <c r="Q98" s="64">
        <v>9.9499999999999993</v>
      </c>
      <c r="R98" s="198"/>
      <c r="S98" s="198"/>
      <c r="T98" s="198"/>
      <c r="U98" s="198"/>
    </row>
    <row r="99" spans="1:33" s="12" customFormat="1" x14ac:dyDescent="0.25">
      <c r="A99" s="216" t="s">
        <v>1008</v>
      </c>
      <c r="B99" s="64">
        <v>37.17</v>
      </c>
      <c r="C99" s="64">
        <v>30.81</v>
      </c>
      <c r="D99" s="64">
        <v>45.82</v>
      </c>
      <c r="E99" s="64">
        <v>1.59</v>
      </c>
      <c r="F99" s="64">
        <v>3.51</v>
      </c>
      <c r="G99" s="64">
        <v>62.38</v>
      </c>
      <c r="H99" s="64">
        <v>15.96</v>
      </c>
      <c r="I99" s="64">
        <v>8.3699999999999992</v>
      </c>
      <c r="J99" s="64">
        <v>0.4</v>
      </c>
      <c r="K99" s="64">
        <v>355.91</v>
      </c>
      <c r="L99" s="64">
        <v>25.77</v>
      </c>
      <c r="M99" s="64">
        <v>78.16</v>
      </c>
      <c r="N99" s="64">
        <v>20.100000000000001</v>
      </c>
      <c r="O99" s="64">
        <v>0</v>
      </c>
      <c r="P99" s="64">
        <v>1.55</v>
      </c>
      <c r="Q99" s="64">
        <v>10.09</v>
      </c>
      <c r="R99" s="198"/>
      <c r="S99" s="198"/>
      <c r="T99" s="198"/>
      <c r="U99" s="198"/>
    </row>
    <row r="100" spans="1:33" s="12" customFormat="1" x14ac:dyDescent="0.25">
      <c r="A100" s="216" t="s">
        <v>1009</v>
      </c>
      <c r="B100" s="64">
        <v>39.31</v>
      </c>
      <c r="C100" s="64">
        <v>30.06</v>
      </c>
      <c r="D100" s="64">
        <v>47.15</v>
      </c>
      <c r="E100" s="64">
        <v>1.86</v>
      </c>
      <c r="F100" s="64">
        <v>3.44</v>
      </c>
      <c r="G100" s="64">
        <v>70.77</v>
      </c>
      <c r="H100" s="64">
        <v>18.190000000000001</v>
      </c>
      <c r="I100" s="64">
        <v>8.3800000000000008</v>
      </c>
      <c r="J100" s="64">
        <v>0.2</v>
      </c>
      <c r="K100" s="64">
        <v>89.19</v>
      </c>
      <c r="L100" s="64">
        <v>25.8</v>
      </c>
      <c r="M100" s="64">
        <v>69.2</v>
      </c>
      <c r="N100" s="64">
        <v>19.399999999999999</v>
      </c>
      <c r="O100" s="64">
        <v>0</v>
      </c>
      <c r="P100" s="64">
        <v>1.55</v>
      </c>
      <c r="Q100" s="64">
        <v>10.25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1010</v>
      </c>
      <c r="B101" s="64">
        <v>39</v>
      </c>
      <c r="C101" s="64">
        <v>29.89</v>
      </c>
      <c r="D101" s="64">
        <v>46.81</v>
      </c>
      <c r="E101" s="64">
        <v>1.2</v>
      </c>
      <c r="F101" s="64">
        <v>3.4</v>
      </c>
      <c r="G101" s="64">
        <v>76.63</v>
      </c>
      <c r="H101" s="64">
        <v>19.75</v>
      </c>
      <c r="I101" s="64">
        <v>8.61</v>
      </c>
      <c r="J101" s="64">
        <v>0.21</v>
      </c>
      <c r="K101" s="64">
        <v>16.809999999999999</v>
      </c>
      <c r="L101" s="64">
        <v>26.49</v>
      </c>
      <c r="M101" s="64">
        <v>65.62</v>
      </c>
      <c r="N101" s="64">
        <v>19.7</v>
      </c>
      <c r="O101" s="64">
        <v>0</v>
      </c>
      <c r="P101" s="64">
        <v>1.53</v>
      </c>
      <c r="Q101" s="64">
        <v>10.33</v>
      </c>
      <c r="R101" s="198"/>
      <c r="S101" s="198"/>
      <c r="T101" s="198"/>
      <c r="U101" s="198"/>
    </row>
    <row r="102" spans="1:33" s="12" customFormat="1" x14ac:dyDescent="0.25">
      <c r="A102" s="216" t="s">
        <v>1011</v>
      </c>
      <c r="B102" s="64">
        <v>38.86</v>
      </c>
      <c r="C102" s="64">
        <v>29.15</v>
      </c>
      <c r="D102" s="64">
        <v>46.31</v>
      </c>
      <c r="E102" s="64">
        <v>1.5</v>
      </c>
      <c r="F102" s="64">
        <v>3.2</v>
      </c>
      <c r="G102" s="64">
        <v>76.63</v>
      </c>
      <c r="H102" s="64">
        <v>19.75</v>
      </c>
      <c r="I102" s="64">
        <v>8.31</v>
      </c>
      <c r="J102" s="64">
        <v>1.03</v>
      </c>
      <c r="K102" s="64">
        <v>353.87</v>
      </c>
      <c r="L102" s="64">
        <v>25.9</v>
      </c>
      <c r="M102" s="64">
        <v>68.680000000000007</v>
      </c>
      <c r="N102" s="64">
        <v>19.100000000000001</v>
      </c>
      <c r="O102" s="64">
        <v>0</v>
      </c>
      <c r="P102" s="64">
        <v>1.56</v>
      </c>
      <c r="Q102" s="64">
        <v>10.38</v>
      </c>
      <c r="R102" s="198"/>
      <c r="S102" s="198"/>
      <c r="T102" s="198"/>
      <c r="U102" s="198"/>
    </row>
    <row r="103" spans="1:33" s="12" customFormat="1" x14ac:dyDescent="0.25">
      <c r="A103" s="216" t="s">
        <v>1012</v>
      </c>
      <c r="B103" s="64">
        <v>36.520000000000003</v>
      </c>
      <c r="C103" s="64">
        <v>30.21</v>
      </c>
      <c r="D103" s="64">
        <v>44.99</v>
      </c>
      <c r="E103" s="64">
        <v>1.63</v>
      </c>
      <c r="F103" s="64">
        <v>3.61</v>
      </c>
      <c r="G103" s="64">
        <v>76.63</v>
      </c>
      <c r="H103" s="64">
        <v>19.75</v>
      </c>
      <c r="I103" s="64">
        <v>8.1300000000000008</v>
      </c>
      <c r="J103" s="64">
        <v>1.66</v>
      </c>
      <c r="K103" s="64">
        <v>352.42</v>
      </c>
      <c r="L103" s="64">
        <v>26.21</v>
      </c>
      <c r="M103" s="64">
        <v>55.76</v>
      </c>
      <c r="N103" s="64">
        <v>19.600000000000001</v>
      </c>
      <c r="O103" s="64">
        <v>0</v>
      </c>
      <c r="P103" s="64">
        <v>1.51</v>
      </c>
      <c r="Q103" s="64">
        <v>10.41</v>
      </c>
      <c r="R103" s="198"/>
      <c r="S103" s="198"/>
      <c r="T103" s="198"/>
      <c r="U103" s="198"/>
    </row>
    <row r="104" spans="1:33" s="12" customFormat="1" x14ac:dyDescent="0.25">
      <c r="A104" s="216" t="s">
        <v>1013</v>
      </c>
      <c r="B104" s="64">
        <v>32.729999999999997</v>
      </c>
      <c r="C104" s="64">
        <v>30.31</v>
      </c>
      <c r="D104" s="64">
        <v>42</v>
      </c>
      <c r="E104" s="64">
        <v>1.3</v>
      </c>
      <c r="F104" s="64">
        <v>3.63</v>
      </c>
      <c r="G104" s="64">
        <v>74.38</v>
      </c>
      <c r="H104" s="64">
        <v>19.12</v>
      </c>
      <c r="I104" s="64">
        <v>9.31</v>
      </c>
      <c r="J104" s="64">
        <v>1.24</v>
      </c>
      <c r="K104" s="64">
        <v>351.18</v>
      </c>
      <c r="L104" s="64">
        <v>25.78</v>
      </c>
      <c r="M104" s="64">
        <v>55.39</v>
      </c>
      <c r="N104" s="64">
        <v>20.5</v>
      </c>
      <c r="O104" s="64">
        <v>0</v>
      </c>
      <c r="P104" s="64">
        <v>1.45</v>
      </c>
      <c r="Q104" s="64">
        <v>10.39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16.57</v>
      </c>
      <c r="D106" s="67">
        <f t="shared" ref="D106:Q106" si="0">MIN(D9:D104)</f>
        <v>8.7899999999999991</v>
      </c>
      <c r="E106" s="67">
        <f t="shared" si="0"/>
        <v>0.24</v>
      </c>
      <c r="F106" s="67">
        <f t="shared" si="0"/>
        <v>2.87</v>
      </c>
      <c r="G106" s="67">
        <f t="shared" si="0"/>
        <v>12.56</v>
      </c>
      <c r="H106" s="67">
        <f t="shared" si="0"/>
        <v>3.91</v>
      </c>
      <c r="I106" s="67">
        <f t="shared" si="0"/>
        <v>1.26</v>
      </c>
      <c r="J106" s="67">
        <f t="shared" si="0"/>
        <v>0.01</v>
      </c>
      <c r="K106" s="67">
        <f t="shared" si="0"/>
        <v>0.38</v>
      </c>
      <c r="L106" s="67">
        <f t="shared" si="0"/>
        <v>19.420000000000002</v>
      </c>
      <c r="M106" s="67">
        <f t="shared" si="0"/>
        <v>41.51</v>
      </c>
      <c r="N106" s="67">
        <f t="shared" si="0"/>
        <v>15.4</v>
      </c>
      <c r="O106" s="67">
        <f t="shared" si="0"/>
        <v>0</v>
      </c>
      <c r="P106" s="67">
        <f t="shared" si="0"/>
        <v>0.25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39.31</v>
      </c>
      <c r="C107" s="66">
        <f t="shared" ref="C107:Q107" si="1">MAX(C9:C104)</f>
        <v>31.24</v>
      </c>
      <c r="D107" s="66">
        <f t="shared" si="1"/>
        <v>47.15</v>
      </c>
      <c r="E107" s="66">
        <f t="shared" si="1"/>
        <v>3.81</v>
      </c>
      <c r="F107" s="66">
        <f t="shared" si="1"/>
        <v>63.89</v>
      </c>
      <c r="G107" s="66">
        <f t="shared" si="1"/>
        <v>76.63</v>
      </c>
      <c r="H107" s="66">
        <f t="shared" si="1"/>
        <v>19.75</v>
      </c>
      <c r="I107" s="66">
        <f t="shared" si="1"/>
        <v>9.31</v>
      </c>
      <c r="J107" s="66">
        <f t="shared" si="1"/>
        <v>1.66</v>
      </c>
      <c r="K107" s="66">
        <f t="shared" si="1"/>
        <v>356.53</v>
      </c>
      <c r="L107" s="66">
        <f t="shared" si="1"/>
        <v>31.72</v>
      </c>
      <c r="M107" s="66">
        <f t="shared" si="1"/>
        <v>96.77</v>
      </c>
      <c r="N107" s="66">
        <f t="shared" si="1"/>
        <v>961.7</v>
      </c>
      <c r="O107" s="66">
        <f t="shared" si="1"/>
        <v>0</v>
      </c>
      <c r="P107" s="66">
        <f t="shared" si="1"/>
        <v>1.56</v>
      </c>
      <c r="Q107" s="66">
        <f t="shared" si="1"/>
        <v>10.41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7.0417708333333318</v>
      </c>
      <c r="C108" s="67">
        <f t="shared" ref="C108:Q108" si="2">AVERAGE(C9:C104)</f>
        <v>23.414166666666663</v>
      </c>
      <c r="D108" s="67">
        <f t="shared" si="2"/>
        <v>17.799687500000005</v>
      </c>
      <c r="E108" s="67">
        <f t="shared" si="2"/>
        <v>1.3710416666666667</v>
      </c>
      <c r="F108" s="67">
        <f t="shared" si="2"/>
        <v>10.721250000000003</v>
      </c>
      <c r="G108" s="67">
        <f t="shared" si="2"/>
        <v>27.426562499999992</v>
      </c>
      <c r="H108" s="67">
        <f t="shared" si="2"/>
        <v>7.6473958333333343</v>
      </c>
      <c r="I108" s="67">
        <f t="shared" si="2"/>
        <v>3.526875</v>
      </c>
      <c r="J108" s="67">
        <f t="shared" si="2"/>
        <v>0.53500000000000014</v>
      </c>
      <c r="K108" s="67">
        <f t="shared" si="2"/>
        <v>158.27958333333336</v>
      </c>
      <c r="L108" s="67">
        <f t="shared" si="2"/>
        <v>25.638749999999998</v>
      </c>
      <c r="M108" s="67">
        <f t="shared" si="2"/>
        <v>67.673541666666679</v>
      </c>
      <c r="N108" s="67">
        <f t="shared" si="2"/>
        <v>266.11979166666657</v>
      </c>
      <c r="O108" s="67">
        <f t="shared" si="2"/>
        <v>0</v>
      </c>
      <c r="P108" s="67">
        <f t="shared" si="2"/>
        <v>0.4685416666666668</v>
      </c>
      <c r="Q108" s="67">
        <f t="shared" si="2"/>
        <v>9.6581250000000001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10.02181872293402</v>
      </c>
      <c r="C109" s="67">
        <f t="shared" ref="C109:Q109" si="3">STDEV(C9:C104)</f>
        <v>3.1127728936945327</v>
      </c>
      <c r="D109" s="67">
        <f t="shared" si="3"/>
        <v>9.3742359636034198</v>
      </c>
      <c r="E109" s="67">
        <f t="shared" si="3"/>
        <v>0.72236815102413943</v>
      </c>
      <c r="F109" s="67">
        <f t="shared" si="3"/>
        <v>15.215166066167416</v>
      </c>
      <c r="G109" s="67">
        <f t="shared" si="3"/>
        <v>16.341781957084592</v>
      </c>
      <c r="H109" s="67">
        <f t="shared" si="3"/>
        <v>3.6853463008862763</v>
      </c>
      <c r="I109" s="67">
        <f t="shared" si="3"/>
        <v>1.9343691001950669</v>
      </c>
      <c r="J109" s="67">
        <f t="shared" si="3"/>
        <v>0.3955675469632538</v>
      </c>
      <c r="K109" s="67">
        <f t="shared" si="3"/>
        <v>98.935993811168174</v>
      </c>
      <c r="L109" s="67">
        <f t="shared" si="3"/>
        <v>4.2579278998123273</v>
      </c>
      <c r="M109" s="67">
        <f t="shared" si="3"/>
        <v>19.574944456688922</v>
      </c>
      <c r="N109" s="67">
        <f t="shared" si="3"/>
        <v>345.81452394685181</v>
      </c>
      <c r="O109" s="67">
        <f t="shared" si="3"/>
        <v>0</v>
      </c>
      <c r="P109" s="67">
        <f t="shared" si="3"/>
        <v>0.38751836402439077</v>
      </c>
      <c r="Q109" s="67">
        <f t="shared" si="3"/>
        <v>0.27399313283749521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1014</v>
      </c>
      <c r="B9" s="64">
        <v>29.7</v>
      </c>
      <c r="C9" s="64">
        <v>28.17</v>
      </c>
      <c r="D9" s="64">
        <v>38.450000000000003</v>
      </c>
      <c r="E9" s="64">
        <v>1.93</v>
      </c>
      <c r="F9" s="64">
        <v>3.02</v>
      </c>
      <c r="G9" s="64">
        <v>72.89</v>
      </c>
      <c r="H9" s="64">
        <v>18.7</v>
      </c>
      <c r="I9" s="64">
        <v>10.08</v>
      </c>
      <c r="J9" s="64">
        <v>0.81</v>
      </c>
      <c r="K9" s="64">
        <v>350.96</v>
      </c>
      <c r="L9" s="64">
        <v>25.52</v>
      </c>
      <c r="M9" s="64">
        <v>55.17</v>
      </c>
      <c r="N9" s="64">
        <v>20.6</v>
      </c>
      <c r="O9" s="64">
        <v>0</v>
      </c>
      <c r="P9" s="64">
        <v>1.4</v>
      </c>
      <c r="Q9" s="64">
        <v>10.33</v>
      </c>
      <c r="R9" s="198"/>
      <c r="S9" s="198"/>
      <c r="T9" s="198"/>
      <c r="U9" s="198"/>
    </row>
    <row r="10" spans="1:21" s="12" customFormat="1" x14ac:dyDescent="0.25">
      <c r="A10" s="216" t="s">
        <v>1015</v>
      </c>
      <c r="B10" s="64">
        <v>26.97</v>
      </c>
      <c r="C10" s="64">
        <v>27.17</v>
      </c>
      <c r="D10" s="64">
        <v>35.75</v>
      </c>
      <c r="E10" s="64">
        <v>1.96</v>
      </c>
      <c r="F10" s="64">
        <v>4.38</v>
      </c>
      <c r="G10" s="64">
        <v>72.89</v>
      </c>
      <c r="H10" s="64">
        <v>18.7</v>
      </c>
      <c r="I10" s="64">
        <v>9.75</v>
      </c>
      <c r="J10" s="64">
        <v>0.35</v>
      </c>
      <c r="K10" s="64">
        <v>69.53</v>
      </c>
      <c r="L10" s="64">
        <v>24.95</v>
      </c>
      <c r="M10" s="64">
        <v>56.66</v>
      </c>
      <c r="N10" s="64">
        <v>20.399999999999999</v>
      </c>
      <c r="O10" s="64">
        <v>0</v>
      </c>
      <c r="P10" s="64">
        <v>1.35</v>
      </c>
      <c r="Q10" s="64">
        <v>10.26</v>
      </c>
      <c r="R10" s="198"/>
      <c r="S10" s="198"/>
      <c r="T10" s="198"/>
      <c r="U10" s="198"/>
    </row>
    <row r="11" spans="1:21" s="12" customFormat="1" x14ac:dyDescent="0.25">
      <c r="A11" s="216" t="s">
        <v>1016</v>
      </c>
      <c r="B11" s="64">
        <v>24.59</v>
      </c>
      <c r="C11" s="64">
        <v>27.72</v>
      </c>
      <c r="D11" s="64">
        <v>34.119999999999997</v>
      </c>
      <c r="E11" s="64">
        <v>2.06</v>
      </c>
      <c r="F11" s="64">
        <v>3.9</v>
      </c>
      <c r="G11" s="64">
        <v>72.89</v>
      </c>
      <c r="H11" s="64">
        <v>18.7</v>
      </c>
      <c r="I11" s="64">
        <v>9.44</v>
      </c>
      <c r="J11" s="64">
        <v>0.24</v>
      </c>
      <c r="K11" s="64">
        <v>13.88</v>
      </c>
      <c r="L11" s="64">
        <v>24.9</v>
      </c>
      <c r="M11" s="64">
        <v>57.29</v>
      </c>
      <c r="N11" s="64">
        <v>20</v>
      </c>
      <c r="O11" s="64">
        <v>0</v>
      </c>
      <c r="P11" s="64">
        <v>1.31</v>
      </c>
      <c r="Q11" s="64">
        <v>10.07</v>
      </c>
      <c r="R11" s="198"/>
      <c r="S11" s="198"/>
      <c r="T11" s="198"/>
      <c r="U11" s="198"/>
    </row>
    <row r="12" spans="1:21" s="12" customFormat="1" x14ac:dyDescent="0.25">
      <c r="A12" s="216" t="s">
        <v>1017</v>
      </c>
      <c r="B12" s="64">
        <v>22.63</v>
      </c>
      <c r="C12" s="64">
        <v>25.72</v>
      </c>
      <c r="D12" s="64">
        <v>31.5</v>
      </c>
      <c r="E12" s="64">
        <v>1.8</v>
      </c>
      <c r="F12" s="64">
        <v>3.36</v>
      </c>
      <c r="G12" s="64">
        <v>65.41</v>
      </c>
      <c r="H12" s="64">
        <v>18.170000000000002</v>
      </c>
      <c r="I12" s="64">
        <v>9.25</v>
      </c>
      <c r="J12" s="64">
        <v>0.47</v>
      </c>
      <c r="K12" s="64">
        <v>103.98</v>
      </c>
      <c r="L12" s="64">
        <v>25</v>
      </c>
      <c r="M12" s="64">
        <v>57.01</v>
      </c>
      <c r="N12" s="64">
        <v>19.899999999999999</v>
      </c>
      <c r="O12" s="64">
        <v>0</v>
      </c>
      <c r="P12" s="64">
        <v>1.25</v>
      </c>
      <c r="Q12" s="64">
        <v>9.89</v>
      </c>
      <c r="R12" s="198"/>
      <c r="S12" s="198"/>
      <c r="T12" s="198"/>
      <c r="U12" s="198"/>
    </row>
    <row r="13" spans="1:21" s="12" customFormat="1" x14ac:dyDescent="0.25">
      <c r="A13" s="216" t="s">
        <v>1018</v>
      </c>
      <c r="B13" s="64">
        <v>20.77</v>
      </c>
      <c r="C13" s="64">
        <v>23.72</v>
      </c>
      <c r="D13" s="64">
        <v>28.97</v>
      </c>
      <c r="E13" s="64">
        <v>1.81</v>
      </c>
      <c r="F13" s="64">
        <v>3.56</v>
      </c>
      <c r="G13" s="64">
        <v>60.19</v>
      </c>
      <c r="H13" s="64">
        <v>17.8</v>
      </c>
      <c r="I13" s="64">
        <v>9.1199999999999992</v>
      </c>
      <c r="J13" s="64">
        <v>0.4</v>
      </c>
      <c r="K13" s="64">
        <v>83.61</v>
      </c>
      <c r="L13" s="64">
        <v>24.99</v>
      </c>
      <c r="M13" s="64">
        <v>56.34</v>
      </c>
      <c r="N13" s="64">
        <v>20</v>
      </c>
      <c r="O13" s="64">
        <v>0</v>
      </c>
      <c r="P13" s="64">
        <v>1.03</v>
      </c>
      <c r="Q13" s="64">
        <v>9.85</v>
      </c>
      <c r="R13" s="198"/>
      <c r="S13" s="198"/>
      <c r="T13" s="198"/>
      <c r="U13" s="198"/>
    </row>
    <row r="14" spans="1:21" s="12" customFormat="1" x14ac:dyDescent="0.25">
      <c r="A14" s="216" t="s">
        <v>1019</v>
      </c>
      <c r="B14" s="64">
        <v>18.98</v>
      </c>
      <c r="C14" s="64">
        <v>23.11</v>
      </c>
      <c r="D14" s="64">
        <v>27.22</v>
      </c>
      <c r="E14" s="64">
        <v>1.41</v>
      </c>
      <c r="F14" s="64">
        <v>3.59</v>
      </c>
      <c r="G14" s="64">
        <v>60.19</v>
      </c>
      <c r="H14" s="64">
        <v>17.8</v>
      </c>
      <c r="I14" s="64">
        <v>8.9600000000000009</v>
      </c>
      <c r="J14" s="64">
        <v>1</v>
      </c>
      <c r="K14" s="64">
        <v>101.69</v>
      </c>
      <c r="L14" s="64">
        <v>25.21</v>
      </c>
      <c r="M14" s="64">
        <v>56.08</v>
      </c>
      <c r="N14" s="64">
        <v>19.600000000000001</v>
      </c>
      <c r="O14" s="64">
        <v>0</v>
      </c>
      <c r="P14" s="64">
        <v>1.05</v>
      </c>
      <c r="Q14" s="64">
        <v>9.83</v>
      </c>
      <c r="R14" s="198"/>
      <c r="S14" s="198"/>
      <c r="T14" s="198"/>
      <c r="U14" s="198"/>
    </row>
    <row r="15" spans="1:21" s="12" customFormat="1" x14ac:dyDescent="0.25">
      <c r="A15" s="216" t="s">
        <v>1020</v>
      </c>
      <c r="B15" s="64">
        <v>17.260000000000002</v>
      </c>
      <c r="C15" s="64">
        <v>22.76</v>
      </c>
      <c r="D15" s="64">
        <v>25.65</v>
      </c>
      <c r="E15" s="64">
        <v>1.93</v>
      </c>
      <c r="F15" s="64">
        <v>3.46</v>
      </c>
      <c r="G15" s="64">
        <v>60.19</v>
      </c>
      <c r="H15" s="64">
        <v>17.8</v>
      </c>
      <c r="I15" s="64">
        <v>8.82</v>
      </c>
      <c r="J15" s="64">
        <v>0.34</v>
      </c>
      <c r="K15" s="64">
        <v>150.47</v>
      </c>
      <c r="L15" s="64">
        <v>25.27</v>
      </c>
      <c r="M15" s="64">
        <v>57.27</v>
      </c>
      <c r="N15" s="64">
        <v>20.100000000000001</v>
      </c>
      <c r="O15" s="64">
        <v>0</v>
      </c>
      <c r="P15" s="64">
        <v>1</v>
      </c>
      <c r="Q15" s="64">
        <v>9.7899999999999991</v>
      </c>
      <c r="R15" s="198"/>
      <c r="S15" s="198"/>
      <c r="T15" s="198"/>
      <c r="U15" s="198"/>
    </row>
    <row r="16" spans="1:21" s="12" customFormat="1" x14ac:dyDescent="0.25">
      <c r="A16" s="216" t="s">
        <v>1021</v>
      </c>
      <c r="B16" s="64">
        <v>15.8</v>
      </c>
      <c r="C16" s="64">
        <v>22.51</v>
      </c>
      <c r="D16" s="64">
        <v>24.35</v>
      </c>
      <c r="E16" s="64">
        <v>1.75</v>
      </c>
      <c r="F16" s="64">
        <v>3.26</v>
      </c>
      <c r="G16" s="64">
        <v>52.17</v>
      </c>
      <c r="H16" s="64">
        <v>15.11</v>
      </c>
      <c r="I16" s="64">
        <v>8.73</v>
      </c>
      <c r="J16" s="64">
        <v>0.61</v>
      </c>
      <c r="K16" s="64">
        <v>168.42</v>
      </c>
      <c r="L16" s="64">
        <v>25.03</v>
      </c>
      <c r="M16" s="64">
        <v>59.49</v>
      </c>
      <c r="N16" s="64">
        <v>20.399999999999999</v>
      </c>
      <c r="O16" s="64">
        <v>0</v>
      </c>
      <c r="P16" s="64">
        <v>0.96</v>
      </c>
      <c r="Q16" s="64">
        <v>9.73</v>
      </c>
      <c r="R16" s="198"/>
      <c r="S16" s="198"/>
      <c r="T16" s="198"/>
      <c r="U16" s="198"/>
    </row>
    <row r="17" spans="1:21" s="12" customFormat="1" x14ac:dyDescent="0.25">
      <c r="A17" s="216" t="s">
        <v>1022</v>
      </c>
      <c r="B17" s="64">
        <v>14.61</v>
      </c>
      <c r="C17" s="64">
        <v>22.14</v>
      </c>
      <c r="D17" s="64">
        <v>23.2</v>
      </c>
      <c r="E17" s="64">
        <v>1.52</v>
      </c>
      <c r="F17" s="64">
        <v>3.67</v>
      </c>
      <c r="G17" s="64">
        <v>46.57</v>
      </c>
      <c r="H17" s="64">
        <v>13.24</v>
      </c>
      <c r="I17" s="64">
        <v>8.7100000000000009</v>
      </c>
      <c r="J17" s="64">
        <v>0.55000000000000004</v>
      </c>
      <c r="K17" s="64">
        <v>151.63</v>
      </c>
      <c r="L17" s="64">
        <v>24.8</v>
      </c>
      <c r="M17" s="64">
        <v>62.78</v>
      </c>
      <c r="N17" s="64">
        <v>20.3</v>
      </c>
      <c r="O17" s="64">
        <v>0</v>
      </c>
      <c r="P17" s="64">
        <v>0.93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6" t="s">
        <v>1023</v>
      </c>
      <c r="B18" s="64">
        <v>13.61</v>
      </c>
      <c r="C18" s="64">
        <v>21.95</v>
      </c>
      <c r="D18" s="64">
        <v>22.3</v>
      </c>
      <c r="E18" s="64">
        <v>1.38</v>
      </c>
      <c r="F18" s="64">
        <v>2.99</v>
      </c>
      <c r="G18" s="64">
        <v>46.57</v>
      </c>
      <c r="H18" s="64">
        <v>13.24</v>
      </c>
      <c r="I18" s="64">
        <v>8.5399999999999991</v>
      </c>
      <c r="J18" s="64">
        <v>0.97</v>
      </c>
      <c r="K18" s="64">
        <v>160.02000000000001</v>
      </c>
      <c r="L18" s="64">
        <v>24.55</v>
      </c>
      <c r="M18" s="64">
        <v>65.02</v>
      </c>
      <c r="N18" s="64">
        <v>20.3</v>
      </c>
      <c r="O18" s="64">
        <v>0</v>
      </c>
      <c r="P18" s="64">
        <v>0.89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6" t="s">
        <v>1024</v>
      </c>
      <c r="B19" s="64">
        <v>12.75</v>
      </c>
      <c r="C19" s="64">
        <v>22.73</v>
      </c>
      <c r="D19" s="64">
        <v>22.02</v>
      </c>
      <c r="E19" s="64">
        <v>1.2</v>
      </c>
      <c r="F19" s="64">
        <v>3.32</v>
      </c>
      <c r="G19" s="64">
        <v>46.57</v>
      </c>
      <c r="H19" s="64">
        <v>13.24</v>
      </c>
      <c r="I19" s="64">
        <v>8.39</v>
      </c>
      <c r="J19" s="64">
        <v>0.18</v>
      </c>
      <c r="K19" s="64">
        <v>180.36</v>
      </c>
      <c r="L19" s="64">
        <v>24.38</v>
      </c>
      <c r="M19" s="64">
        <v>67.03</v>
      </c>
      <c r="N19" s="64">
        <v>20.3</v>
      </c>
      <c r="O19" s="64">
        <v>0</v>
      </c>
      <c r="P19" s="64">
        <v>0.85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6" t="s">
        <v>1025</v>
      </c>
      <c r="B20" s="64">
        <v>12.09</v>
      </c>
      <c r="C20" s="64">
        <v>20.3</v>
      </c>
      <c r="D20" s="64">
        <v>20.23</v>
      </c>
      <c r="E20" s="64">
        <v>1.0900000000000001</v>
      </c>
      <c r="F20" s="64">
        <v>3.65</v>
      </c>
      <c r="G20" s="64">
        <v>50.01</v>
      </c>
      <c r="H20" s="64">
        <v>14.15</v>
      </c>
      <c r="I20" s="64">
        <v>8.1999999999999993</v>
      </c>
      <c r="J20" s="64">
        <v>0.13</v>
      </c>
      <c r="K20" s="64">
        <v>200.06</v>
      </c>
      <c r="L20" s="64">
        <v>24.42</v>
      </c>
      <c r="M20" s="64">
        <v>67.98</v>
      </c>
      <c r="N20" s="64">
        <v>20.100000000000001</v>
      </c>
      <c r="O20" s="64">
        <v>0</v>
      </c>
      <c r="P20" s="64">
        <v>0.82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6" t="s">
        <v>1026</v>
      </c>
      <c r="B21" s="64">
        <v>11.65</v>
      </c>
      <c r="C21" s="64">
        <v>20.3</v>
      </c>
      <c r="D21" s="64">
        <v>19.87</v>
      </c>
      <c r="E21" s="64">
        <v>1.04</v>
      </c>
      <c r="F21" s="64">
        <v>3.65</v>
      </c>
      <c r="G21" s="64">
        <v>52.41</v>
      </c>
      <c r="H21" s="64">
        <v>14.79</v>
      </c>
      <c r="I21" s="64">
        <v>8.01</v>
      </c>
      <c r="J21" s="64">
        <v>0.42</v>
      </c>
      <c r="K21" s="64">
        <v>171.14</v>
      </c>
      <c r="L21" s="64">
        <v>24.45</v>
      </c>
      <c r="M21" s="64">
        <v>68.25</v>
      </c>
      <c r="N21" s="64">
        <v>19.899999999999999</v>
      </c>
      <c r="O21" s="64">
        <v>0</v>
      </c>
      <c r="P21" s="64">
        <v>0.8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6" t="s">
        <v>1027</v>
      </c>
      <c r="B22" s="64">
        <v>11.19</v>
      </c>
      <c r="C22" s="64">
        <v>20.47</v>
      </c>
      <c r="D22" s="64">
        <v>19.59</v>
      </c>
      <c r="E22" s="64">
        <v>1.29</v>
      </c>
      <c r="F22" s="64">
        <v>3.66</v>
      </c>
      <c r="G22" s="64">
        <v>52.41</v>
      </c>
      <c r="H22" s="64">
        <v>14.79</v>
      </c>
      <c r="I22" s="64">
        <v>8.01</v>
      </c>
      <c r="J22" s="64">
        <v>0.66</v>
      </c>
      <c r="K22" s="64">
        <v>175.18</v>
      </c>
      <c r="L22" s="64">
        <v>24.46</v>
      </c>
      <c r="M22" s="64">
        <v>68.48</v>
      </c>
      <c r="N22" s="64">
        <v>19.8</v>
      </c>
      <c r="O22" s="64">
        <v>0</v>
      </c>
      <c r="P22" s="64">
        <v>0.77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6" t="s">
        <v>1028</v>
      </c>
      <c r="B23" s="64">
        <v>10.87</v>
      </c>
      <c r="C23" s="64">
        <v>20.309999999999999</v>
      </c>
      <c r="D23" s="64">
        <v>19.25</v>
      </c>
      <c r="E23" s="64">
        <v>1.1399999999999999</v>
      </c>
      <c r="F23" s="64">
        <v>3.47</v>
      </c>
      <c r="G23" s="64">
        <v>52.41</v>
      </c>
      <c r="H23" s="64">
        <v>14.79</v>
      </c>
      <c r="I23" s="64">
        <v>8.11</v>
      </c>
      <c r="J23" s="64">
        <v>0.06</v>
      </c>
      <c r="K23" s="64">
        <v>170.53</v>
      </c>
      <c r="L23" s="64">
        <v>24.32</v>
      </c>
      <c r="M23" s="64">
        <v>70.91</v>
      </c>
      <c r="N23" s="64">
        <v>20.2</v>
      </c>
      <c r="O23" s="64">
        <v>0</v>
      </c>
      <c r="P23" s="64">
        <v>0.74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6" t="s">
        <v>1029</v>
      </c>
      <c r="B24" s="64">
        <v>10.6</v>
      </c>
      <c r="C24" s="64">
        <v>20</v>
      </c>
      <c r="D24" s="64">
        <v>18.87</v>
      </c>
      <c r="E24" s="64">
        <v>1.55</v>
      </c>
      <c r="F24" s="64">
        <v>3.32</v>
      </c>
      <c r="G24" s="64">
        <v>48.93</v>
      </c>
      <c r="H24" s="64">
        <v>13.42</v>
      </c>
      <c r="I24" s="64">
        <v>7.99</v>
      </c>
      <c r="J24" s="64">
        <v>0.27</v>
      </c>
      <c r="K24" s="64">
        <v>223.72</v>
      </c>
      <c r="L24" s="64">
        <v>23.89</v>
      </c>
      <c r="M24" s="64">
        <v>74.62</v>
      </c>
      <c r="N24" s="64">
        <v>20.2</v>
      </c>
      <c r="O24" s="64">
        <v>0</v>
      </c>
      <c r="P24" s="64">
        <v>0.72</v>
      </c>
      <c r="Q24" s="64">
        <v>9.65</v>
      </c>
      <c r="R24" s="198"/>
      <c r="S24" s="198"/>
      <c r="T24" s="198"/>
      <c r="U24" s="198"/>
    </row>
    <row r="25" spans="1:21" s="12" customFormat="1" x14ac:dyDescent="0.25">
      <c r="A25" s="216" t="s">
        <v>1030</v>
      </c>
      <c r="B25" s="64">
        <v>10.47</v>
      </c>
      <c r="C25" s="64">
        <v>19.420000000000002</v>
      </c>
      <c r="D25" s="64">
        <v>18.46</v>
      </c>
      <c r="E25" s="64">
        <v>1.83</v>
      </c>
      <c r="F25" s="64">
        <v>3.52</v>
      </c>
      <c r="G25" s="64">
        <v>46.5</v>
      </c>
      <c r="H25" s="64">
        <v>12.47</v>
      </c>
      <c r="I25" s="64">
        <v>7.76</v>
      </c>
      <c r="J25" s="64">
        <v>0.22</v>
      </c>
      <c r="K25" s="64">
        <v>197.65</v>
      </c>
      <c r="L25" s="64">
        <v>23.95</v>
      </c>
      <c r="M25" s="64">
        <v>74.650000000000006</v>
      </c>
      <c r="N25" s="64">
        <v>19.899999999999999</v>
      </c>
      <c r="O25" s="64">
        <v>0</v>
      </c>
      <c r="P25" s="64">
        <v>0.7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6" t="s">
        <v>1031</v>
      </c>
      <c r="B26" s="64">
        <v>10.43</v>
      </c>
      <c r="C26" s="64">
        <v>19.43</v>
      </c>
      <c r="D26" s="64">
        <v>18.440000000000001</v>
      </c>
      <c r="E26" s="64">
        <v>1.92</v>
      </c>
      <c r="F26" s="64">
        <v>3.33</v>
      </c>
      <c r="G26" s="64">
        <v>46.5</v>
      </c>
      <c r="H26" s="64">
        <v>12.47</v>
      </c>
      <c r="I26" s="64">
        <v>7.74</v>
      </c>
      <c r="J26" s="64">
        <v>0.15</v>
      </c>
      <c r="K26" s="64">
        <v>271.83</v>
      </c>
      <c r="L26" s="64">
        <v>23.7</v>
      </c>
      <c r="M26" s="64">
        <v>76.3</v>
      </c>
      <c r="N26" s="64">
        <v>20.100000000000001</v>
      </c>
      <c r="O26" s="64">
        <v>0</v>
      </c>
      <c r="P26" s="64">
        <v>0.68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6" t="s">
        <v>1032</v>
      </c>
      <c r="B27" s="64">
        <v>10.79</v>
      </c>
      <c r="C27" s="64">
        <v>19.11</v>
      </c>
      <c r="D27" s="64">
        <v>18.559999999999999</v>
      </c>
      <c r="E27" s="64">
        <v>1.66</v>
      </c>
      <c r="F27" s="64">
        <v>3.44</v>
      </c>
      <c r="G27" s="64">
        <v>46.5</v>
      </c>
      <c r="H27" s="64">
        <v>12.47</v>
      </c>
      <c r="I27" s="64">
        <v>7.65</v>
      </c>
      <c r="J27" s="64">
        <v>0.27</v>
      </c>
      <c r="K27" s="64">
        <v>341.14</v>
      </c>
      <c r="L27" s="64">
        <v>23.48</v>
      </c>
      <c r="M27" s="64">
        <v>79.12</v>
      </c>
      <c r="N27" s="64">
        <v>20</v>
      </c>
      <c r="O27" s="64">
        <v>0</v>
      </c>
      <c r="P27" s="64">
        <v>0.67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6" t="s">
        <v>1033</v>
      </c>
      <c r="B28" s="64">
        <v>11.26</v>
      </c>
      <c r="C28" s="64">
        <v>18.14</v>
      </c>
      <c r="D28" s="64">
        <v>18.43</v>
      </c>
      <c r="E28" s="64">
        <v>2.02</v>
      </c>
      <c r="F28" s="64">
        <v>3.36</v>
      </c>
      <c r="G28" s="64">
        <v>46.28</v>
      </c>
      <c r="H28" s="64">
        <v>11.78</v>
      </c>
      <c r="I28" s="64">
        <v>7.82</v>
      </c>
      <c r="J28" s="64">
        <v>0.17</v>
      </c>
      <c r="K28" s="64">
        <v>289.79000000000002</v>
      </c>
      <c r="L28" s="64">
        <v>23.41</v>
      </c>
      <c r="M28" s="64">
        <v>80.7</v>
      </c>
      <c r="N28" s="64">
        <v>20</v>
      </c>
      <c r="O28" s="64">
        <v>0</v>
      </c>
      <c r="P28" s="64">
        <v>0.66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6" t="s">
        <v>1034</v>
      </c>
      <c r="B29" s="64">
        <v>11.48</v>
      </c>
      <c r="C29" s="64">
        <v>17.649999999999999</v>
      </c>
      <c r="D29" s="64">
        <v>18.350000000000001</v>
      </c>
      <c r="E29" s="64">
        <v>2.15</v>
      </c>
      <c r="F29" s="64">
        <v>3.31</v>
      </c>
      <c r="G29" s="64">
        <v>46.13</v>
      </c>
      <c r="H29" s="64">
        <v>11.3</v>
      </c>
      <c r="I29" s="64">
        <v>8</v>
      </c>
      <c r="J29" s="64">
        <v>0.38</v>
      </c>
      <c r="K29" s="64">
        <v>321.37</v>
      </c>
      <c r="L29" s="64">
        <v>23.39</v>
      </c>
      <c r="M29" s="64">
        <v>81.8</v>
      </c>
      <c r="N29" s="64">
        <v>20.3</v>
      </c>
      <c r="O29" s="64">
        <v>0</v>
      </c>
      <c r="P29" s="64">
        <v>0.64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6" t="s">
        <v>1035</v>
      </c>
      <c r="B30" s="64">
        <v>11.75</v>
      </c>
      <c r="C30" s="64">
        <v>17.2</v>
      </c>
      <c r="D30" s="64">
        <v>18.329999999999998</v>
      </c>
      <c r="E30" s="64">
        <v>1.65</v>
      </c>
      <c r="F30" s="64">
        <v>3.48</v>
      </c>
      <c r="G30" s="64">
        <v>46.13</v>
      </c>
      <c r="H30" s="64">
        <v>11.3</v>
      </c>
      <c r="I30" s="64">
        <v>7.75</v>
      </c>
      <c r="J30" s="64">
        <v>1.18</v>
      </c>
      <c r="K30" s="64">
        <v>340.98</v>
      </c>
      <c r="L30" s="64">
        <v>23.59</v>
      </c>
      <c r="M30" s="64">
        <v>79.819999999999993</v>
      </c>
      <c r="N30" s="64">
        <v>22.3</v>
      </c>
      <c r="O30" s="64">
        <v>0</v>
      </c>
      <c r="P30" s="64">
        <v>0.63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6" t="s">
        <v>1036</v>
      </c>
      <c r="B31" s="64">
        <v>11.67</v>
      </c>
      <c r="C31" s="64">
        <v>17.489999999999998</v>
      </c>
      <c r="D31" s="64">
        <v>18.420000000000002</v>
      </c>
      <c r="E31" s="64">
        <v>2.2999999999999998</v>
      </c>
      <c r="F31" s="64">
        <v>3.26</v>
      </c>
      <c r="G31" s="64">
        <v>46.13</v>
      </c>
      <c r="H31" s="64">
        <v>11.3</v>
      </c>
      <c r="I31" s="64">
        <v>7.63</v>
      </c>
      <c r="J31" s="64">
        <v>1.49</v>
      </c>
      <c r="K31" s="64">
        <v>341.45</v>
      </c>
      <c r="L31" s="64">
        <v>23.66</v>
      </c>
      <c r="M31" s="64">
        <v>76.41</v>
      </c>
      <c r="N31" s="64">
        <v>28.6</v>
      </c>
      <c r="O31" s="64">
        <v>0</v>
      </c>
      <c r="P31" s="64">
        <v>0.6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6" t="s">
        <v>1037</v>
      </c>
      <c r="B32" s="64">
        <v>11.32</v>
      </c>
      <c r="C32" s="64">
        <v>17.88</v>
      </c>
      <c r="D32" s="64">
        <v>18.34</v>
      </c>
      <c r="E32" s="64">
        <v>2.06</v>
      </c>
      <c r="F32" s="64">
        <v>3.66</v>
      </c>
      <c r="G32" s="64">
        <v>47.02</v>
      </c>
      <c r="H32" s="64">
        <v>12.01</v>
      </c>
      <c r="I32" s="64">
        <v>7.48</v>
      </c>
      <c r="J32" s="64">
        <v>0.99</v>
      </c>
      <c r="K32" s="64">
        <v>344.09</v>
      </c>
      <c r="L32" s="64">
        <v>23.42</v>
      </c>
      <c r="M32" s="64">
        <v>74.489999999999995</v>
      </c>
      <c r="N32" s="64">
        <v>38.299999999999997</v>
      </c>
      <c r="O32" s="64">
        <v>0</v>
      </c>
      <c r="P32" s="64">
        <v>0.59</v>
      </c>
      <c r="Q32" s="64">
        <v>9.58</v>
      </c>
      <c r="R32" s="198"/>
      <c r="S32" s="198"/>
      <c r="T32" s="198"/>
      <c r="U32" s="198"/>
    </row>
    <row r="33" spans="1:21" s="12" customFormat="1" x14ac:dyDescent="0.25">
      <c r="A33" s="216" t="s">
        <v>1038</v>
      </c>
      <c r="B33" s="64">
        <v>11.23</v>
      </c>
      <c r="C33" s="64">
        <v>18.190000000000001</v>
      </c>
      <c r="D33" s="64">
        <v>18.43</v>
      </c>
      <c r="E33" s="64">
        <v>1.84</v>
      </c>
      <c r="F33" s="64">
        <v>3.57</v>
      </c>
      <c r="G33" s="64">
        <v>47.64</v>
      </c>
      <c r="H33" s="64">
        <v>12.51</v>
      </c>
      <c r="I33" s="64">
        <v>7.25</v>
      </c>
      <c r="J33" s="64">
        <v>0.57999999999999996</v>
      </c>
      <c r="K33" s="64">
        <v>339.15</v>
      </c>
      <c r="L33" s="64">
        <v>23.5</v>
      </c>
      <c r="M33" s="64">
        <v>73.739999999999995</v>
      </c>
      <c r="N33" s="64">
        <v>53.3</v>
      </c>
      <c r="O33" s="64">
        <v>0</v>
      </c>
      <c r="P33" s="64">
        <v>0.57999999999999996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6" t="s">
        <v>1039</v>
      </c>
      <c r="B34" s="64">
        <v>11.24</v>
      </c>
      <c r="C34" s="64">
        <v>18.03</v>
      </c>
      <c r="D34" s="64">
        <v>18.350000000000001</v>
      </c>
      <c r="E34" s="64">
        <v>1.98</v>
      </c>
      <c r="F34" s="64">
        <v>3.43</v>
      </c>
      <c r="G34" s="64">
        <v>47.64</v>
      </c>
      <c r="H34" s="64">
        <v>12.51</v>
      </c>
      <c r="I34" s="64">
        <v>7</v>
      </c>
      <c r="J34" s="64">
        <v>0.44</v>
      </c>
      <c r="K34" s="64">
        <v>94.55</v>
      </c>
      <c r="L34" s="64">
        <v>23.59</v>
      </c>
      <c r="M34" s="64">
        <v>72.25</v>
      </c>
      <c r="N34" s="64">
        <v>54.6</v>
      </c>
      <c r="O34" s="64">
        <v>0</v>
      </c>
      <c r="P34" s="64">
        <v>0.56999999999999995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6" t="s">
        <v>1040</v>
      </c>
      <c r="B35" s="64">
        <v>11.09</v>
      </c>
      <c r="C35" s="64">
        <v>17.93</v>
      </c>
      <c r="D35" s="64">
        <v>18.18</v>
      </c>
      <c r="E35" s="64">
        <v>1.73</v>
      </c>
      <c r="F35" s="64">
        <v>3.75</v>
      </c>
      <c r="G35" s="64">
        <v>47.64</v>
      </c>
      <c r="H35" s="64">
        <v>12.51</v>
      </c>
      <c r="I35" s="64">
        <v>6.96</v>
      </c>
      <c r="J35" s="64">
        <v>0.36</v>
      </c>
      <c r="K35" s="64">
        <v>45.46</v>
      </c>
      <c r="L35" s="64">
        <v>23.81</v>
      </c>
      <c r="M35" s="64">
        <v>71.16</v>
      </c>
      <c r="N35" s="64">
        <v>45.7</v>
      </c>
      <c r="O35" s="64">
        <v>0</v>
      </c>
      <c r="P35" s="64">
        <v>0.56000000000000005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6" t="s">
        <v>1041</v>
      </c>
      <c r="B36" s="64">
        <v>11.64</v>
      </c>
      <c r="C36" s="64">
        <v>18.07</v>
      </c>
      <c r="D36" s="64">
        <v>18.7</v>
      </c>
      <c r="E36" s="64">
        <v>1.87</v>
      </c>
      <c r="F36" s="64">
        <v>3.78</v>
      </c>
      <c r="G36" s="64">
        <v>53.07</v>
      </c>
      <c r="H36" s="64">
        <v>14.41</v>
      </c>
      <c r="I36" s="64">
        <v>6.95</v>
      </c>
      <c r="J36" s="64">
        <v>0.93</v>
      </c>
      <c r="K36" s="64">
        <v>354.4</v>
      </c>
      <c r="L36" s="64">
        <v>24.08</v>
      </c>
      <c r="M36" s="64">
        <v>70.77</v>
      </c>
      <c r="N36" s="64">
        <v>39.799999999999997</v>
      </c>
      <c r="O36" s="64">
        <v>0</v>
      </c>
      <c r="P36" s="64">
        <v>0.56999999999999995</v>
      </c>
      <c r="Q36" s="64">
        <v>9.56</v>
      </c>
      <c r="R36" s="198"/>
      <c r="S36" s="198"/>
      <c r="T36" s="198"/>
      <c r="U36" s="198"/>
    </row>
    <row r="37" spans="1:21" s="12" customFormat="1" x14ac:dyDescent="0.25">
      <c r="A37" s="216" t="s">
        <v>1042</v>
      </c>
      <c r="B37" s="64">
        <v>12.65</v>
      </c>
      <c r="C37" s="64">
        <v>19.88</v>
      </c>
      <c r="D37" s="64">
        <v>20.45</v>
      </c>
      <c r="E37" s="64">
        <v>1.96</v>
      </c>
      <c r="F37" s="64">
        <v>3.27</v>
      </c>
      <c r="G37" s="64">
        <v>56.87</v>
      </c>
      <c r="H37" s="64">
        <v>15.74</v>
      </c>
      <c r="I37" s="64">
        <v>6.89</v>
      </c>
      <c r="J37" s="64">
        <v>1.0900000000000001</v>
      </c>
      <c r="K37" s="64">
        <v>352.48</v>
      </c>
      <c r="L37" s="64">
        <v>24.07</v>
      </c>
      <c r="M37" s="64">
        <v>69.67</v>
      </c>
      <c r="N37" s="64">
        <v>49.7</v>
      </c>
      <c r="O37" s="64">
        <v>0</v>
      </c>
      <c r="P37" s="64">
        <v>0.6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6" t="s">
        <v>1043</v>
      </c>
      <c r="B38" s="64">
        <v>13.44</v>
      </c>
      <c r="C38" s="64">
        <v>22.42</v>
      </c>
      <c r="D38" s="64">
        <v>22.41</v>
      </c>
      <c r="E38" s="64">
        <v>1.94</v>
      </c>
      <c r="F38" s="64">
        <v>3.34</v>
      </c>
      <c r="G38" s="64">
        <v>56.87</v>
      </c>
      <c r="H38" s="64">
        <v>15.74</v>
      </c>
      <c r="I38" s="64">
        <v>6.88</v>
      </c>
      <c r="J38" s="64">
        <v>0.55000000000000004</v>
      </c>
      <c r="K38" s="64">
        <v>354.81</v>
      </c>
      <c r="L38" s="64">
        <v>23.88</v>
      </c>
      <c r="M38" s="64">
        <v>71.47</v>
      </c>
      <c r="N38" s="64">
        <v>50.7</v>
      </c>
      <c r="O38" s="64">
        <v>0</v>
      </c>
      <c r="P38" s="64">
        <v>0.64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6" t="s">
        <v>1044</v>
      </c>
      <c r="B39" s="64">
        <v>14.71</v>
      </c>
      <c r="C39" s="64">
        <v>22.7</v>
      </c>
      <c r="D39" s="64">
        <v>23.58</v>
      </c>
      <c r="E39" s="64">
        <v>1.77</v>
      </c>
      <c r="F39" s="64">
        <v>3.53</v>
      </c>
      <c r="G39" s="64">
        <v>56.87</v>
      </c>
      <c r="H39" s="64">
        <v>15.74</v>
      </c>
      <c r="I39" s="64">
        <v>6.88</v>
      </c>
      <c r="J39" s="64">
        <v>0.65</v>
      </c>
      <c r="K39" s="64">
        <v>315.36</v>
      </c>
      <c r="L39" s="64">
        <v>23.95</v>
      </c>
      <c r="M39" s="64">
        <v>72.17</v>
      </c>
      <c r="N39" s="64">
        <v>46.2</v>
      </c>
      <c r="O39" s="64">
        <v>0</v>
      </c>
      <c r="P39" s="64">
        <v>0.67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16" t="s">
        <v>1045</v>
      </c>
      <c r="B40" s="64">
        <v>15.75</v>
      </c>
      <c r="C40" s="64">
        <v>22.67</v>
      </c>
      <c r="D40" s="64">
        <v>24.39</v>
      </c>
      <c r="E40" s="64">
        <v>1.17</v>
      </c>
      <c r="F40" s="64">
        <v>3.64</v>
      </c>
      <c r="G40" s="64">
        <v>73.900000000000006</v>
      </c>
      <c r="H40" s="64">
        <v>21.84</v>
      </c>
      <c r="I40" s="64">
        <v>7.04</v>
      </c>
      <c r="J40" s="64">
        <v>1.1299999999999999</v>
      </c>
      <c r="K40" s="64">
        <v>321.75</v>
      </c>
      <c r="L40" s="64">
        <v>23.81</v>
      </c>
      <c r="M40" s="64">
        <v>70.989999999999995</v>
      </c>
      <c r="N40" s="64">
        <v>44.3</v>
      </c>
      <c r="O40" s="64">
        <v>0</v>
      </c>
      <c r="P40" s="64">
        <v>0.68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6" t="s">
        <v>1046</v>
      </c>
      <c r="B41" s="64">
        <v>15.61</v>
      </c>
      <c r="C41" s="64">
        <v>22.44</v>
      </c>
      <c r="D41" s="64">
        <v>24.16</v>
      </c>
      <c r="E41" s="64">
        <v>1.57</v>
      </c>
      <c r="F41" s="64">
        <v>3.37</v>
      </c>
      <c r="G41" s="64">
        <v>85.79</v>
      </c>
      <c r="H41" s="64">
        <v>26.1</v>
      </c>
      <c r="I41" s="64">
        <v>7.25</v>
      </c>
      <c r="J41" s="64">
        <v>0.96</v>
      </c>
      <c r="K41" s="64">
        <v>311.97000000000003</v>
      </c>
      <c r="L41" s="64">
        <v>23.67</v>
      </c>
      <c r="M41" s="64">
        <v>71.959999999999994</v>
      </c>
      <c r="N41" s="64">
        <v>52.7</v>
      </c>
      <c r="O41" s="64">
        <v>0</v>
      </c>
      <c r="P41" s="64">
        <v>0.69</v>
      </c>
      <c r="Q41" s="64">
        <v>9.82</v>
      </c>
      <c r="R41" s="198"/>
      <c r="S41" s="198"/>
      <c r="T41" s="198"/>
      <c r="U41" s="198"/>
    </row>
    <row r="42" spans="1:21" s="12" customFormat="1" x14ac:dyDescent="0.25">
      <c r="A42" s="216" t="s">
        <v>1047</v>
      </c>
      <c r="B42" s="64">
        <v>14.92</v>
      </c>
      <c r="C42" s="64">
        <v>22.35</v>
      </c>
      <c r="D42" s="64">
        <v>23.56</v>
      </c>
      <c r="E42" s="64">
        <v>1.52</v>
      </c>
      <c r="F42" s="64">
        <v>3.51</v>
      </c>
      <c r="G42" s="64">
        <v>85.79</v>
      </c>
      <c r="H42" s="64">
        <v>26.1</v>
      </c>
      <c r="I42" s="64">
        <v>7.33</v>
      </c>
      <c r="J42" s="64">
        <v>0.71</v>
      </c>
      <c r="K42" s="64">
        <v>308.57</v>
      </c>
      <c r="L42" s="64">
        <v>23.84</v>
      </c>
      <c r="M42" s="64">
        <v>70.790000000000006</v>
      </c>
      <c r="N42" s="64">
        <v>128.30000000000001</v>
      </c>
      <c r="O42" s="64">
        <v>0</v>
      </c>
      <c r="P42" s="64">
        <v>0.68</v>
      </c>
      <c r="Q42" s="64">
        <v>9.82</v>
      </c>
      <c r="R42" s="198"/>
      <c r="S42" s="198"/>
      <c r="T42" s="198"/>
      <c r="U42" s="198"/>
    </row>
    <row r="43" spans="1:21" s="12" customFormat="1" x14ac:dyDescent="0.25">
      <c r="A43" s="216" t="s">
        <v>1048</v>
      </c>
      <c r="B43" s="64">
        <v>14.76</v>
      </c>
      <c r="C43" s="64">
        <v>23.63</v>
      </c>
      <c r="D43" s="64">
        <v>24.1</v>
      </c>
      <c r="E43" s="64">
        <v>1.1000000000000001</v>
      </c>
      <c r="F43" s="64">
        <v>3.57</v>
      </c>
      <c r="G43" s="64">
        <v>85.79</v>
      </c>
      <c r="H43" s="64">
        <v>26.1</v>
      </c>
      <c r="I43" s="64">
        <v>7.1</v>
      </c>
      <c r="J43" s="64">
        <v>1.23</v>
      </c>
      <c r="K43" s="64">
        <v>310.76</v>
      </c>
      <c r="L43" s="64">
        <v>24.41</v>
      </c>
      <c r="M43" s="64">
        <v>67.67</v>
      </c>
      <c r="N43" s="64">
        <v>168.9</v>
      </c>
      <c r="O43" s="64">
        <v>0</v>
      </c>
      <c r="P43" s="64">
        <v>0.66</v>
      </c>
      <c r="Q43" s="64">
        <v>9.84</v>
      </c>
      <c r="R43" s="198"/>
      <c r="S43" s="198"/>
      <c r="T43" s="198"/>
      <c r="U43" s="198"/>
    </row>
    <row r="44" spans="1:21" s="12" customFormat="1" x14ac:dyDescent="0.25">
      <c r="A44" s="216" t="s">
        <v>1049</v>
      </c>
      <c r="B44" s="64">
        <v>12.99</v>
      </c>
      <c r="C44" s="64">
        <v>25.28</v>
      </c>
      <c r="D44" s="64">
        <v>23.55</v>
      </c>
      <c r="E44" s="64">
        <v>1.35</v>
      </c>
      <c r="F44" s="64">
        <v>3.66</v>
      </c>
      <c r="G44" s="64">
        <v>76.13</v>
      </c>
      <c r="H44" s="64">
        <v>22.28</v>
      </c>
      <c r="I44" s="64">
        <v>6.87</v>
      </c>
      <c r="J44" s="64">
        <v>2.12</v>
      </c>
      <c r="K44" s="64">
        <v>316.37</v>
      </c>
      <c r="L44" s="64">
        <v>24.72</v>
      </c>
      <c r="M44" s="64">
        <v>62.59</v>
      </c>
      <c r="N44" s="64">
        <v>210.9</v>
      </c>
      <c r="O44" s="64">
        <v>0</v>
      </c>
      <c r="P44" s="64">
        <v>0.62</v>
      </c>
      <c r="Q44" s="64">
        <v>9.83</v>
      </c>
      <c r="R44" s="198"/>
      <c r="S44" s="198"/>
      <c r="T44" s="198"/>
      <c r="U44" s="198"/>
    </row>
    <row r="45" spans="1:21" s="12" customFormat="1" x14ac:dyDescent="0.25">
      <c r="A45" s="216" t="s">
        <v>1050</v>
      </c>
      <c r="B45" s="64">
        <v>9.32</v>
      </c>
      <c r="C45" s="64">
        <v>27.95</v>
      </c>
      <c r="D45" s="64">
        <v>22</v>
      </c>
      <c r="E45" s="64">
        <v>1.04</v>
      </c>
      <c r="F45" s="64">
        <v>4.8</v>
      </c>
      <c r="G45" s="64">
        <v>69.38</v>
      </c>
      <c r="H45" s="64">
        <v>19.62</v>
      </c>
      <c r="I45" s="64">
        <v>6.54</v>
      </c>
      <c r="J45" s="64">
        <v>1.73</v>
      </c>
      <c r="K45" s="64">
        <v>311.98</v>
      </c>
      <c r="L45" s="64">
        <v>24.5</v>
      </c>
      <c r="M45" s="64">
        <v>61.33</v>
      </c>
      <c r="N45" s="64">
        <v>225</v>
      </c>
      <c r="O45" s="64">
        <v>0</v>
      </c>
      <c r="P45" s="64">
        <v>0.56999999999999995</v>
      </c>
      <c r="Q45" s="64">
        <v>9.81</v>
      </c>
      <c r="R45" s="198"/>
      <c r="S45" s="198"/>
      <c r="T45" s="198"/>
      <c r="U45" s="198"/>
    </row>
    <row r="46" spans="1:21" s="12" customFormat="1" x14ac:dyDescent="0.25">
      <c r="A46" s="216" t="s">
        <v>1051</v>
      </c>
      <c r="B46" s="64">
        <v>5.55</v>
      </c>
      <c r="C46" s="64">
        <v>28.64</v>
      </c>
      <c r="D46" s="64">
        <v>19.34</v>
      </c>
      <c r="E46" s="64">
        <v>1.2</v>
      </c>
      <c r="F46" s="64">
        <v>5.14</v>
      </c>
      <c r="G46" s="64">
        <v>69.38</v>
      </c>
      <c r="H46" s="64">
        <v>19.62</v>
      </c>
      <c r="I46" s="64">
        <v>6.05</v>
      </c>
      <c r="J46" s="64">
        <v>1</v>
      </c>
      <c r="K46" s="64">
        <v>305.74</v>
      </c>
      <c r="L46" s="64">
        <v>24.53</v>
      </c>
      <c r="M46" s="64">
        <v>59.06</v>
      </c>
      <c r="N46" s="64">
        <v>200.6</v>
      </c>
      <c r="O46" s="64">
        <v>0</v>
      </c>
      <c r="P46" s="64">
        <v>0.54</v>
      </c>
      <c r="Q46" s="64">
        <v>9.6999999999999993</v>
      </c>
      <c r="R46" s="198"/>
      <c r="S46" s="198"/>
      <c r="T46" s="198"/>
      <c r="U46" s="198"/>
    </row>
    <row r="47" spans="1:21" s="12" customFormat="1" x14ac:dyDescent="0.25">
      <c r="A47" s="216" t="s">
        <v>1052</v>
      </c>
      <c r="B47" s="64">
        <v>3.43</v>
      </c>
      <c r="C47" s="64">
        <v>28.02</v>
      </c>
      <c r="D47" s="64">
        <v>17.309999999999999</v>
      </c>
      <c r="E47" s="64">
        <v>1.38</v>
      </c>
      <c r="F47" s="64">
        <v>5.73</v>
      </c>
      <c r="G47" s="64">
        <v>69.38</v>
      </c>
      <c r="H47" s="64">
        <v>19.62</v>
      </c>
      <c r="I47" s="64">
        <v>5.49</v>
      </c>
      <c r="J47" s="64">
        <v>1.19</v>
      </c>
      <c r="K47" s="64">
        <v>308.5</v>
      </c>
      <c r="L47" s="64">
        <v>24.62</v>
      </c>
      <c r="M47" s="64">
        <v>54.52</v>
      </c>
      <c r="N47" s="64">
        <v>221.7</v>
      </c>
      <c r="O47" s="64">
        <v>0</v>
      </c>
      <c r="P47" s="64">
        <v>0.51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6" t="s">
        <v>1053</v>
      </c>
      <c r="B48" s="64">
        <v>2.3199999999999998</v>
      </c>
      <c r="C48" s="64">
        <v>27.45</v>
      </c>
      <c r="D48" s="64">
        <v>16.12</v>
      </c>
      <c r="E48" s="64">
        <v>1.07</v>
      </c>
      <c r="F48" s="64">
        <v>6.52</v>
      </c>
      <c r="G48" s="64">
        <v>59.74</v>
      </c>
      <c r="H48" s="64">
        <v>17.84</v>
      </c>
      <c r="I48" s="64">
        <v>4.92</v>
      </c>
      <c r="J48" s="64">
        <v>1.3</v>
      </c>
      <c r="K48" s="64">
        <v>307.36</v>
      </c>
      <c r="L48" s="64">
        <v>25.28</v>
      </c>
      <c r="M48" s="64">
        <v>48.83</v>
      </c>
      <c r="N48" s="64">
        <v>246.6</v>
      </c>
      <c r="O48" s="64">
        <v>0</v>
      </c>
      <c r="P48" s="64">
        <v>0.49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16" t="s">
        <v>1054</v>
      </c>
      <c r="B49" s="64">
        <v>1.87</v>
      </c>
      <c r="C49" s="64">
        <v>26.55</v>
      </c>
      <c r="D49" s="64">
        <v>15.29</v>
      </c>
      <c r="E49" s="64">
        <v>1.0900000000000001</v>
      </c>
      <c r="F49" s="64">
        <v>7.1</v>
      </c>
      <c r="G49" s="64">
        <v>53.02</v>
      </c>
      <c r="H49" s="64">
        <v>16.600000000000001</v>
      </c>
      <c r="I49" s="64">
        <v>4.59</v>
      </c>
      <c r="J49" s="64">
        <v>1.39</v>
      </c>
      <c r="K49" s="64">
        <v>308.39999999999998</v>
      </c>
      <c r="L49" s="64">
        <v>25.56</v>
      </c>
      <c r="M49" s="64">
        <v>46.15</v>
      </c>
      <c r="N49" s="64">
        <v>246.3</v>
      </c>
      <c r="O49" s="64">
        <v>0</v>
      </c>
      <c r="P49" s="64">
        <v>0.46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16" t="s">
        <v>1055</v>
      </c>
      <c r="B50" s="64">
        <v>1.58</v>
      </c>
      <c r="C50" s="64">
        <v>25.69</v>
      </c>
      <c r="D50" s="64">
        <v>14.61</v>
      </c>
      <c r="E50" s="64">
        <v>0.9</v>
      </c>
      <c r="F50" s="64">
        <v>7.55</v>
      </c>
      <c r="G50" s="64">
        <v>53.02</v>
      </c>
      <c r="H50" s="64">
        <v>16.600000000000001</v>
      </c>
      <c r="I50" s="64">
        <v>4.1900000000000004</v>
      </c>
      <c r="J50" s="64">
        <v>0.98</v>
      </c>
      <c r="K50" s="64">
        <v>309.36</v>
      </c>
      <c r="L50" s="64">
        <v>25.84</v>
      </c>
      <c r="M50" s="64">
        <v>46.26</v>
      </c>
      <c r="N50" s="64">
        <v>268.10000000000002</v>
      </c>
      <c r="O50" s="64">
        <v>0</v>
      </c>
      <c r="P50" s="64">
        <v>0.44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16" t="s">
        <v>1056</v>
      </c>
      <c r="B51" s="64">
        <v>1.41</v>
      </c>
      <c r="C51" s="64">
        <v>24.75</v>
      </c>
      <c r="D51" s="64">
        <v>13.98</v>
      </c>
      <c r="E51" s="64">
        <v>1.05</v>
      </c>
      <c r="F51" s="64">
        <v>7.18</v>
      </c>
      <c r="G51" s="64">
        <v>53.02</v>
      </c>
      <c r="H51" s="64">
        <v>16.600000000000001</v>
      </c>
      <c r="I51" s="64">
        <v>3.89</v>
      </c>
      <c r="J51" s="64">
        <v>0.75</v>
      </c>
      <c r="K51" s="64">
        <v>308.35000000000002</v>
      </c>
      <c r="L51" s="64">
        <v>26.56</v>
      </c>
      <c r="M51" s="64">
        <v>44.9</v>
      </c>
      <c r="N51" s="64">
        <v>328.8</v>
      </c>
      <c r="O51" s="64">
        <v>0</v>
      </c>
      <c r="P51" s="64">
        <v>0.43</v>
      </c>
      <c r="Q51" s="64">
        <v>9.43</v>
      </c>
      <c r="R51" s="198"/>
      <c r="S51" s="198"/>
      <c r="T51" s="198"/>
      <c r="U51" s="198"/>
    </row>
    <row r="52" spans="1:21" s="12" customFormat="1" x14ac:dyDescent="0.25">
      <c r="A52" s="216" t="s">
        <v>1057</v>
      </c>
      <c r="B52" s="64">
        <v>1.45</v>
      </c>
      <c r="C52" s="64">
        <v>24</v>
      </c>
      <c r="D52" s="64">
        <v>13.62</v>
      </c>
      <c r="E52" s="64">
        <v>0.89</v>
      </c>
      <c r="F52" s="64">
        <v>6.29</v>
      </c>
      <c r="G52" s="64">
        <v>43.71</v>
      </c>
      <c r="H52" s="64">
        <v>14.41</v>
      </c>
      <c r="I52" s="64">
        <v>3.58</v>
      </c>
      <c r="J52" s="64">
        <v>0.36</v>
      </c>
      <c r="K52" s="64">
        <v>304.13</v>
      </c>
      <c r="L52" s="64">
        <v>27.31</v>
      </c>
      <c r="M52" s="64">
        <v>43</v>
      </c>
      <c r="N52" s="64">
        <v>364.3</v>
      </c>
      <c r="O52" s="64">
        <v>0</v>
      </c>
      <c r="P52" s="64">
        <v>0.42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6" t="s">
        <v>1058</v>
      </c>
      <c r="B53" s="64">
        <v>1.6</v>
      </c>
      <c r="C53" s="64">
        <v>23.66</v>
      </c>
      <c r="D53" s="64">
        <v>13.56</v>
      </c>
      <c r="E53" s="64">
        <v>0.85</v>
      </c>
      <c r="F53" s="64">
        <v>5.64</v>
      </c>
      <c r="G53" s="64">
        <v>37.22</v>
      </c>
      <c r="H53" s="64">
        <v>12.89</v>
      </c>
      <c r="I53" s="64">
        <v>3.41</v>
      </c>
      <c r="J53" s="64">
        <v>0.16</v>
      </c>
      <c r="K53" s="64">
        <v>235.98</v>
      </c>
      <c r="L53" s="64">
        <v>27.44</v>
      </c>
      <c r="M53" s="64">
        <v>41.48</v>
      </c>
      <c r="N53" s="64">
        <v>520.9</v>
      </c>
      <c r="O53" s="64">
        <v>0</v>
      </c>
      <c r="P53" s="64">
        <v>0.42</v>
      </c>
      <c r="Q53" s="64">
        <v>9.4700000000000006</v>
      </c>
      <c r="R53" s="198"/>
      <c r="S53" s="198"/>
      <c r="T53" s="198"/>
      <c r="U53" s="198"/>
    </row>
    <row r="54" spans="1:21" s="12" customFormat="1" x14ac:dyDescent="0.25">
      <c r="A54" s="216" t="s">
        <v>1059</v>
      </c>
      <c r="B54" s="64">
        <v>1.54</v>
      </c>
      <c r="C54" s="64">
        <v>22.73</v>
      </c>
      <c r="D54" s="64">
        <v>13.02</v>
      </c>
      <c r="E54" s="64">
        <v>1.0900000000000001</v>
      </c>
      <c r="F54" s="64">
        <v>6.09</v>
      </c>
      <c r="G54" s="64">
        <v>37.22</v>
      </c>
      <c r="H54" s="64">
        <v>12.89</v>
      </c>
      <c r="I54" s="64">
        <v>3.24</v>
      </c>
      <c r="J54" s="64">
        <v>0.62</v>
      </c>
      <c r="K54" s="64">
        <v>160.77000000000001</v>
      </c>
      <c r="L54" s="64">
        <v>27.56</v>
      </c>
      <c r="M54" s="64">
        <v>41.75</v>
      </c>
      <c r="N54" s="64">
        <v>594.5</v>
      </c>
      <c r="O54" s="64">
        <v>0</v>
      </c>
      <c r="P54" s="64">
        <v>0.41</v>
      </c>
      <c r="Q54" s="64">
        <v>9.4600000000000009</v>
      </c>
      <c r="R54" s="198"/>
      <c r="S54" s="198"/>
      <c r="T54" s="198"/>
      <c r="U54" s="198"/>
    </row>
    <row r="55" spans="1:21" s="12" customFormat="1" x14ac:dyDescent="0.25">
      <c r="A55" s="216" t="s">
        <v>1060</v>
      </c>
      <c r="B55" s="64">
        <v>1.48</v>
      </c>
      <c r="C55" s="64">
        <v>22.63</v>
      </c>
      <c r="D55" s="64">
        <v>12.93</v>
      </c>
      <c r="E55" s="64">
        <v>1.03</v>
      </c>
      <c r="F55" s="64">
        <v>6.32</v>
      </c>
      <c r="G55" s="64">
        <v>37.22</v>
      </c>
      <c r="H55" s="64">
        <v>12.89</v>
      </c>
      <c r="I55" s="64">
        <v>3.32</v>
      </c>
      <c r="J55" s="64">
        <v>0.27</v>
      </c>
      <c r="K55" s="64">
        <v>197.42</v>
      </c>
      <c r="L55" s="64">
        <v>28.4</v>
      </c>
      <c r="M55" s="64">
        <v>40.72</v>
      </c>
      <c r="N55" s="64">
        <v>499.9</v>
      </c>
      <c r="O55" s="64">
        <v>0</v>
      </c>
      <c r="P55" s="64">
        <v>0.4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6" t="s">
        <v>1061</v>
      </c>
      <c r="B56" s="64">
        <v>1.47</v>
      </c>
      <c r="C56" s="64">
        <v>24.12</v>
      </c>
      <c r="D56" s="64">
        <v>13.7</v>
      </c>
      <c r="E56" s="64">
        <v>2.85</v>
      </c>
      <c r="F56" s="64">
        <v>6.44</v>
      </c>
      <c r="G56" s="64">
        <v>32.729999999999997</v>
      </c>
      <c r="H56" s="64">
        <v>12.11</v>
      </c>
      <c r="I56" s="64">
        <v>3.2</v>
      </c>
      <c r="J56" s="64">
        <v>1</v>
      </c>
      <c r="K56" s="64">
        <v>173.83</v>
      </c>
      <c r="L56" s="64">
        <v>28.58</v>
      </c>
      <c r="M56" s="64">
        <v>41.97</v>
      </c>
      <c r="N56" s="64">
        <v>451.5</v>
      </c>
      <c r="O56" s="64">
        <v>0</v>
      </c>
      <c r="P56" s="64">
        <v>0.42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6" t="s">
        <v>1062</v>
      </c>
      <c r="B57" s="64">
        <v>1.4</v>
      </c>
      <c r="C57" s="64">
        <v>23.97</v>
      </c>
      <c r="D57" s="64">
        <v>13.57</v>
      </c>
      <c r="E57" s="64">
        <v>2.09</v>
      </c>
      <c r="F57" s="64">
        <v>6.69</v>
      </c>
      <c r="G57" s="64">
        <v>29.6</v>
      </c>
      <c r="H57" s="64">
        <v>11.56</v>
      </c>
      <c r="I57" s="64">
        <v>3.11</v>
      </c>
      <c r="J57" s="64">
        <v>0.61</v>
      </c>
      <c r="K57" s="64">
        <v>162.96</v>
      </c>
      <c r="L57" s="64">
        <v>28.91</v>
      </c>
      <c r="M57" s="64">
        <v>41.46</v>
      </c>
      <c r="N57" s="64">
        <v>523.1</v>
      </c>
      <c r="O57" s="64">
        <v>0</v>
      </c>
      <c r="P57" s="64">
        <v>0.44</v>
      </c>
      <c r="Q57" s="64">
        <v>9.4499999999999993</v>
      </c>
      <c r="R57" s="198"/>
      <c r="S57" s="198"/>
      <c r="T57" s="198"/>
      <c r="U57" s="198"/>
    </row>
    <row r="58" spans="1:21" s="12" customFormat="1" x14ac:dyDescent="0.25">
      <c r="A58" s="216" t="s">
        <v>1063</v>
      </c>
      <c r="B58" s="64">
        <v>1.41</v>
      </c>
      <c r="C58" s="64">
        <v>23.29</v>
      </c>
      <c r="D58" s="64">
        <v>13.22</v>
      </c>
      <c r="E58" s="64">
        <v>1.89</v>
      </c>
      <c r="F58" s="64">
        <v>6.14</v>
      </c>
      <c r="G58" s="64">
        <v>29.6</v>
      </c>
      <c r="H58" s="64">
        <v>11.56</v>
      </c>
      <c r="I58" s="64">
        <v>2.92</v>
      </c>
      <c r="J58" s="64">
        <v>0.93</v>
      </c>
      <c r="K58" s="64">
        <v>167.64</v>
      </c>
      <c r="L58" s="64">
        <v>28.93</v>
      </c>
      <c r="M58" s="64">
        <v>41.29</v>
      </c>
      <c r="N58" s="64">
        <v>622.20000000000005</v>
      </c>
      <c r="O58" s="64">
        <v>0</v>
      </c>
      <c r="P58" s="64">
        <v>0.41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16" t="s">
        <v>1064</v>
      </c>
      <c r="B59" s="64">
        <v>1.44</v>
      </c>
      <c r="C59" s="64">
        <v>22.33</v>
      </c>
      <c r="D59" s="64">
        <v>12.74</v>
      </c>
      <c r="E59" s="64">
        <v>2.17</v>
      </c>
      <c r="F59" s="64">
        <v>6.16</v>
      </c>
      <c r="G59" s="64">
        <v>29.6</v>
      </c>
      <c r="H59" s="64">
        <v>11.56</v>
      </c>
      <c r="I59" s="64">
        <v>3.13</v>
      </c>
      <c r="J59" s="64">
        <v>0.56999999999999995</v>
      </c>
      <c r="K59" s="64">
        <v>169.26</v>
      </c>
      <c r="L59" s="64">
        <v>29.33</v>
      </c>
      <c r="M59" s="64">
        <v>41.22</v>
      </c>
      <c r="N59" s="64">
        <v>510.6</v>
      </c>
      <c r="O59" s="64">
        <v>0</v>
      </c>
      <c r="P59" s="64">
        <v>0.4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6" t="s">
        <v>1065</v>
      </c>
      <c r="B60" s="64">
        <v>1.48</v>
      </c>
      <c r="C60" s="64">
        <v>21.77</v>
      </c>
      <c r="D60" s="64">
        <v>12.48</v>
      </c>
      <c r="E60" s="64">
        <v>1.8</v>
      </c>
      <c r="F60" s="64">
        <v>5.82</v>
      </c>
      <c r="G60" s="64">
        <v>28.2</v>
      </c>
      <c r="H60" s="64">
        <v>11.94</v>
      </c>
      <c r="I60" s="64">
        <v>3.43</v>
      </c>
      <c r="J60" s="64">
        <v>0.98</v>
      </c>
      <c r="K60" s="64">
        <v>157.69999999999999</v>
      </c>
      <c r="L60" s="64">
        <v>29.73</v>
      </c>
      <c r="M60" s="64">
        <v>41.4</v>
      </c>
      <c r="N60" s="64">
        <v>653.79999999999995</v>
      </c>
      <c r="O60" s="64">
        <v>0</v>
      </c>
      <c r="P60" s="64">
        <v>0.38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6" t="s">
        <v>1066</v>
      </c>
      <c r="B61" s="64">
        <v>1.45</v>
      </c>
      <c r="C61" s="64">
        <v>20.97</v>
      </c>
      <c r="D61" s="64">
        <v>12.04</v>
      </c>
      <c r="E61" s="64">
        <v>2.0699999999999998</v>
      </c>
      <c r="F61" s="64">
        <v>5.8</v>
      </c>
      <c r="G61" s="64">
        <v>27.22</v>
      </c>
      <c r="H61" s="64">
        <v>12.2</v>
      </c>
      <c r="I61" s="64">
        <v>3.48</v>
      </c>
      <c r="J61" s="64">
        <v>0.05</v>
      </c>
      <c r="K61" s="64">
        <v>116.23</v>
      </c>
      <c r="L61" s="64">
        <v>30.43</v>
      </c>
      <c r="M61" s="64">
        <v>41.57</v>
      </c>
      <c r="N61" s="64">
        <v>660.3</v>
      </c>
      <c r="O61" s="64">
        <v>0</v>
      </c>
      <c r="P61" s="64">
        <v>0.35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16" t="s">
        <v>1067</v>
      </c>
      <c r="B62" s="64">
        <v>1.42</v>
      </c>
      <c r="C62" s="64">
        <v>20.25</v>
      </c>
      <c r="D62" s="64">
        <v>11.64</v>
      </c>
      <c r="E62" s="64">
        <v>1.96</v>
      </c>
      <c r="F62" s="64">
        <v>6.28</v>
      </c>
      <c r="G62" s="64">
        <v>27.22</v>
      </c>
      <c r="H62" s="64">
        <v>12.2</v>
      </c>
      <c r="I62" s="64">
        <v>3.51</v>
      </c>
      <c r="J62" s="64">
        <v>0.26</v>
      </c>
      <c r="K62" s="64">
        <v>0.2</v>
      </c>
      <c r="L62" s="64">
        <v>31.78</v>
      </c>
      <c r="M62" s="64">
        <v>35.81</v>
      </c>
      <c r="N62" s="64">
        <v>784.6</v>
      </c>
      <c r="O62" s="64">
        <v>0</v>
      </c>
      <c r="P62" s="64">
        <v>0.36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6" t="s">
        <v>1068</v>
      </c>
      <c r="B63" s="64">
        <v>1.45</v>
      </c>
      <c r="C63" s="64">
        <v>21.88</v>
      </c>
      <c r="D63" s="64">
        <v>12.52</v>
      </c>
      <c r="E63" s="64">
        <v>2.13</v>
      </c>
      <c r="F63" s="64">
        <v>9.48</v>
      </c>
      <c r="G63" s="64">
        <v>27.22</v>
      </c>
      <c r="H63" s="64">
        <v>12.2</v>
      </c>
      <c r="I63" s="64">
        <v>3.46</v>
      </c>
      <c r="J63" s="64">
        <v>0.3</v>
      </c>
      <c r="K63" s="64">
        <v>20.14</v>
      </c>
      <c r="L63" s="64">
        <v>31.7</v>
      </c>
      <c r="M63" s="64">
        <v>33.31</v>
      </c>
      <c r="N63" s="64">
        <v>823.4</v>
      </c>
      <c r="O63" s="64">
        <v>0</v>
      </c>
      <c r="P63" s="64">
        <v>0.35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6" t="s">
        <v>1069</v>
      </c>
      <c r="B64" s="64">
        <v>1.36</v>
      </c>
      <c r="C64" s="64">
        <v>25.12</v>
      </c>
      <c r="D64" s="64">
        <v>14.13</v>
      </c>
      <c r="E64" s="64">
        <v>2.17</v>
      </c>
      <c r="F64" s="64">
        <v>8.7100000000000009</v>
      </c>
      <c r="G64" s="64">
        <v>25.35</v>
      </c>
      <c r="H64" s="64">
        <v>10.76</v>
      </c>
      <c r="I64" s="64">
        <v>3.53</v>
      </c>
      <c r="J64" s="64">
        <v>0.25</v>
      </c>
      <c r="K64" s="64">
        <v>32.07</v>
      </c>
      <c r="L64" s="64">
        <v>32.04</v>
      </c>
      <c r="M64" s="64">
        <v>33.57</v>
      </c>
      <c r="N64" s="64">
        <v>539.70000000000005</v>
      </c>
      <c r="O64" s="64">
        <v>0</v>
      </c>
      <c r="P64" s="64">
        <v>0.35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6" t="s">
        <v>1070</v>
      </c>
      <c r="B65" s="64">
        <v>1.41</v>
      </c>
      <c r="C65" s="64">
        <v>29.08</v>
      </c>
      <c r="D65" s="64">
        <v>16.25</v>
      </c>
      <c r="E65" s="64">
        <v>2.17</v>
      </c>
      <c r="F65" s="64">
        <v>7.39</v>
      </c>
      <c r="G65" s="64">
        <v>24.05</v>
      </c>
      <c r="H65" s="64">
        <v>9.76</v>
      </c>
      <c r="I65" s="64">
        <v>3.34</v>
      </c>
      <c r="J65" s="64">
        <v>0.17</v>
      </c>
      <c r="K65" s="64">
        <v>338.73</v>
      </c>
      <c r="L65" s="64">
        <v>31.68</v>
      </c>
      <c r="M65" s="64">
        <v>35.21</v>
      </c>
      <c r="N65" s="64">
        <v>475.6</v>
      </c>
      <c r="O65" s="64">
        <v>0</v>
      </c>
      <c r="P65" s="64">
        <v>0.35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6" t="s">
        <v>1071</v>
      </c>
      <c r="B66" s="64">
        <v>1.36</v>
      </c>
      <c r="C66" s="64">
        <v>27.55</v>
      </c>
      <c r="D66" s="64">
        <v>15.4</v>
      </c>
      <c r="E66" s="64">
        <v>1.98</v>
      </c>
      <c r="F66" s="64">
        <v>7.66</v>
      </c>
      <c r="G66" s="64">
        <v>24.05</v>
      </c>
      <c r="H66" s="64">
        <v>9.76</v>
      </c>
      <c r="I66" s="64">
        <v>3.13</v>
      </c>
      <c r="J66" s="64">
        <v>0.21</v>
      </c>
      <c r="K66" s="64">
        <v>4.03</v>
      </c>
      <c r="L66" s="64">
        <v>32.28</v>
      </c>
      <c r="M66" s="64">
        <v>33.83</v>
      </c>
      <c r="N66" s="64">
        <v>356</v>
      </c>
      <c r="O66" s="64">
        <v>0</v>
      </c>
      <c r="P66" s="64">
        <v>0.35</v>
      </c>
      <c r="Q66" s="64">
        <v>9.36</v>
      </c>
      <c r="R66" s="198"/>
      <c r="S66" s="198"/>
      <c r="T66" s="198"/>
      <c r="U66" s="198"/>
    </row>
    <row r="67" spans="1:21" s="12" customFormat="1" x14ac:dyDescent="0.25">
      <c r="A67" s="216" t="s">
        <v>1072</v>
      </c>
      <c r="B67" s="64">
        <v>1.19</v>
      </c>
      <c r="C67" s="64">
        <v>25.92</v>
      </c>
      <c r="D67" s="64">
        <v>14.42</v>
      </c>
      <c r="E67" s="64">
        <v>2.23</v>
      </c>
      <c r="F67" s="64">
        <v>7.98</v>
      </c>
      <c r="G67" s="64">
        <v>24.05</v>
      </c>
      <c r="H67" s="64">
        <v>9.76</v>
      </c>
      <c r="I67" s="64">
        <v>2.98</v>
      </c>
      <c r="J67" s="64">
        <v>0.25</v>
      </c>
      <c r="K67" s="64">
        <v>1.03</v>
      </c>
      <c r="L67" s="64">
        <v>32.44</v>
      </c>
      <c r="M67" s="64">
        <v>31.49</v>
      </c>
      <c r="N67" s="64">
        <v>378</v>
      </c>
      <c r="O67" s="64">
        <v>0</v>
      </c>
      <c r="P67" s="64">
        <v>0.35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6" t="s">
        <v>1073</v>
      </c>
      <c r="B68" s="64">
        <v>1.05</v>
      </c>
      <c r="C68" s="64">
        <v>26.02</v>
      </c>
      <c r="D68" s="64">
        <v>14.35</v>
      </c>
      <c r="E68" s="64">
        <v>2.09</v>
      </c>
      <c r="F68" s="64">
        <v>8.15</v>
      </c>
      <c r="G68" s="64">
        <v>23.48</v>
      </c>
      <c r="H68" s="64">
        <v>9.98</v>
      </c>
      <c r="I68" s="64">
        <v>2.83</v>
      </c>
      <c r="J68" s="64">
        <v>0.16</v>
      </c>
      <c r="K68" s="64">
        <v>340.64</v>
      </c>
      <c r="L68" s="64">
        <v>31.7</v>
      </c>
      <c r="M68" s="64">
        <v>31.88</v>
      </c>
      <c r="N68" s="64">
        <v>363.6</v>
      </c>
      <c r="O68" s="64">
        <v>0</v>
      </c>
      <c r="P68" s="64">
        <v>0.34</v>
      </c>
      <c r="Q68" s="64">
        <v>9.42</v>
      </c>
      <c r="R68" s="198"/>
      <c r="S68" s="198"/>
      <c r="T68" s="198"/>
      <c r="U68" s="198"/>
    </row>
    <row r="69" spans="1:21" s="12" customFormat="1" x14ac:dyDescent="0.25">
      <c r="A69" s="216" t="s">
        <v>1074</v>
      </c>
      <c r="B69" s="64">
        <v>0.96</v>
      </c>
      <c r="C69" s="64">
        <v>25.78</v>
      </c>
      <c r="D69" s="64">
        <v>14.16</v>
      </c>
      <c r="E69" s="64">
        <v>2.02</v>
      </c>
      <c r="F69" s="64">
        <v>9.32</v>
      </c>
      <c r="G69" s="64">
        <v>23.09</v>
      </c>
      <c r="H69" s="64">
        <v>10.14</v>
      </c>
      <c r="I69" s="64">
        <v>2.68</v>
      </c>
      <c r="J69" s="64">
        <v>0.3</v>
      </c>
      <c r="K69" s="64">
        <v>335.9</v>
      </c>
      <c r="L69" s="64">
        <v>31.86</v>
      </c>
      <c r="M69" s="64">
        <v>32.17</v>
      </c>
      <c r="N69" s="64">
        <v>291.60000000000002</v>
      </c>
      <c r="O69" s="64">
        <v>0</v>
      </c>
      <c r="P69" s="64">
        <v>0.33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16" t="s">
        <v>1075</v>
      </c>
      <c r="B70" s="64">
        <v>0.91</v>
      </c>
      <c r="C70" s="64">
        <v>25.94</v>
      </c>
      <c r="D70" s="64">
        <v>14.2</v>
      </c>
      <c r="E70" s="64">
        <v>2.17</v>
      </c>
      <c r="F70" s="64">
        <v>9.6</v>
      </c>
      <c r="G70" s="64">
        <v>23.09</v>
      </c>
      <c r="H70" s="64">
        <v>10.14</v>
      </c>
      <c r="I70" s="64">
        <v>2.5099999999999998</v>
      </c>
      <c r="J70" s="64">
        <v>0.4</v>
      </c>
      <c r="K70" s="64">
        <v>342.73</v>
      </c>
      <c r="L70" s="64">
        <v>31.85</v>
      </c>
      <c r="M70" s="64">
        <v>32.79</v>
      </c>
      <c r="N70" s="64">
        <v>305.39999999999998</v>
      </c>
      <c r="O70" s="64">
        <v>0</v>
      </c>
      <c r="P70" s="64">
        <v>0.33</v>
      </c>
      <c r="Q70" s="64">
        <v>9.4499999999999993</v>
      </c>
      <c r="R70" s="198"/>
      <c r="S70" s="198"/>
      <c r="T70" s="198"/>
      <c r="U70" s="198"/>
    </row>
    <row r="71" spans="1:21" s="12" customFormat="1" x14ac:dyDescent="0.25">
      <c r="A71" s="216" t="s">
        <v>1076</v>
      </c>
      <c r="B71" s="64">
        <v>0.96</v>
      </c>
      <c r="C71" s="64">
        <v>26.88</v>
      </c>
      <c r="D71" s="64">
        <v>14.74</v>
      </c>
      <c r="E71" s="64">
        <v>2.16</v>
      </c>
      <c r="F71" s="64">
        <v>8.93</v>
      </c>
      <c r="G71" s="64">
        <v>23.09</v>
      </c>
      <c r="H71" s="64">
        <v>10.14</v>
      </c>
      <c r="I71" s="64">
        <v>2.34</v>
      </c>
      <c r="J71" s="64">
        <v>0.57999999999999996</v>
      </c>
      <c r="K71" s="64">
        <v>334.74</v>
      </c>
      <c r="L71" s="64">
        <v>31.53</v>
      </c>
      <c r="M71" s="64">
        <v>33.9</v>
      </c>
      <c r="N71" s="64">
        <v>159.6</v>
      </c>
      <c r="O71" s="64">
        <v>0</v>
      </c>
      <c r="P71" s="64">
        <v>0.36</v>
      </c>
      <c r="Q71" s="64">
        <v>9.4600000000000009</v>
      </c>
      <c r="R71" s="198"/>
      <c r="S71" s="198"/>
      <c r="T71" s="198"/>
      <c r="U71" s="198"/>
    </row>
    <row r="72" spans="1:21" s="12" customFormat="1" x14ac:dyDescent="0.25">
      <c r="A72" s="216" t="s">
        <v>1077</v>
      </c>
      <c r="B72" s="64">
        <v>0.81</v>
      </c>
      <c r="C72" s="64">
        <v>27.56</v>
      </c>
      <c r="D72" s="64">
        <v>14.97</v>
      </c>
      <c r="E72" s="64">
        <v>2.37</v>
      </c>
      <c r="F72" s="64">
        <v>8.94</v>
      </c>
      <c r="G72" s="64">
        <v>26.24</v>
      </c>
      <c r="H72" s="64">
        <v>10.42</v>
      </c>
      <c r="I72" s="64">
        <v>2.11</v>
      </c>
      <c r="J72" s="64">
        <v>0.59</v>
      </c>
      <c r="K72" s="64">
        <v>322.48</v>
      </c>
      <c r="L72" s="64">
        <v>31.03</v>
      </c>
      <c r="M72" s="64">
        <v>32.619999999999997</v>
      </c>
      <c r="N72" s="64">
        <v>207.4</v>
      </c>
      <c r="O72" s="64">
        <v>0</v>
      </c>
      <c r="P72" s="64">
        <v>0.47</v>
      </c>
      <c r="Q72" s="64">
        <v>9.4499999999999993</v>
      </c>
      <c r="R72" s="198"/>
      <c r="S72" s="198"/>
      <c r="T72" s="198"/>
      <c r="U72" s="198"/>
    </row>
    <row r="73" spans="1:21" s="12" customFormat="1" x14ac:dyDescent="0.25">
      <c r="A73" s="216" t="s">
        <v>1078</v>
      </c>
      <c r="B73" s="64">
        <v>0.63</v>
      </c>
      <c r="C73" s="64">
        <v>26.21</v>
      </c>
      <c r="D73" s="64">
        <v>14.12</v>
      </c>
      <c r="E73" s="64">
        <v>2.14</v>
      </c>
      <c r="F73" s="64">
        <v>8.94</v>
      </c>
      <c r="G73" s="64">
        <v>28.44</v>
      </c>
      <c r="H73" s="64">
        <v>10.62</v>
      </c>
      <c r="I73" s="64">
        <v>2.38</v>
      </c>
      <c r="J73" s="64">
        <v>0.64</v>
      </c>
      <c r="K73" s="64">
        <v>319.54000000000002</v>
      </c>
      <c r="L73" s="64">
        <v>30.8</v>
      </c>
      <c r="M73" s="64">
        <v>31.94</v>
      </c>
      <c r="N73" s="64">
        <v>124.4</v>
      </c>
      <c r="O73" s="64">
        <v>0</v>
      </c>
      <c r="P73" s="64">
        <v>0.53</v>
      </c>
      <c r="Q73" s="64">
        <v>9.44</v>
      </c>
      <c r="R73" s="198"/>
      <c r="S73" s="198"/>
      <c r="T73" s="198"/>
      <c r="U73" s="198"/>
    </row>
    <row r="74" spans="1:21" s="12" customFormat="1" x14ac:dyDescent="0.25">
      <c r="A74" s="216" t="s">
        <v>1079</v>
      </c>
      <c r="B74" s="64">
        <v>0.71</v>
      </c>
      <c r="C74" s="64">
        <v>26.68</v>
      </c>
      <c r="D74" s="64">
        <v>14.43</v>
      </c>
      <c r="E74" s="64">
        <v>1.87</v>
      </c>
      <c r="F74" s="64">
        <v>10.08</v>
      </c>
      <c r="G74" s="64">
        <v>28.44</v>
      </c>
      <c r="H74" s="64">
        <v>10.62</v>
      </c>
      <c r="I74" s="64">
        <v>2.4</v>
      </c>
      <c r="J74" s="64">
        <v>0.79</v>
      </c>
      <c r="K74" s="64">
        <v>311.64999999999998</v>
      </c>
      <c r="L74" s="64">
        <v>30.54</v>
      </c>
      <c r="M74" s="64">
        <v>32.5</v>
      </c>
      <c r="N74" s="64">
        <v>103.7</v>
      </c>
      <c r="O74" s="64">
        <v>0</v>
      </c>
      <c r="P74" s="64">
        <v>0.5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6" t="s">
        <v>1080</v>
      </c>
      <c r="B75" s="64">
        <v>0.44</v>
      </c>
      <c r="C75" s="64">
        <v>25.11</v>
      </c>
      <c r="D75" s="64">
        <v>13.39</v>
      </c>
      <c r="E75" s="64">
        <v>2.21</v>
      </c>
      <c r="F75" s="64">
        <v>8.5500000000000007</v>
      </c>
      <c r="G75" s="64">
        <v>28.44</v>
      </c>
      <c r="H75" s="64">
        <v>10.62</v>
      </c>
      <c r="I75" s="64">
        <v>2.38</v>
      </c>
      <c r="J75" s="64">
        <v>0.44</v>
      </c>
      <c r="K75" s="64">
        <v>323.97000000000003</v>
      </c>
      <c r="L75" s="64">
        <v>30.52</v>
      </c>
      <c r="M75" s="64">
        <v>36.450000000000003</v>
      </c>
      <c r="N75" s="64">
        <v>93.6</v>
      </c>
      <c r="O75" s="64">
        <v>0</v>
      </c>
      <c r="P75" s="64">
        <v>0.51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6" t="s">
        <v>1081</v>
      </c>
      <c r="B76" s="64">
        <v>0.53</v>
      </c>
      <c r="C76" s="64">
        <v>25.6</v>
      </c>
      <c r="D76" s="64">
        <v>13.72</v>
      </c>
      <c r="E76" s="64">
        <v>2.57</v>
      </c>
      <c r="F76" s="64">
        <v>7.91</v>
      </c>
      <c r="G76" s="64">
        <v>30.52</v>
      </c>
      <c r="H76" s="64">
        <v>11.57</v>
      </c>
      <c r="I76" s="64">
        <v>2.27</v>
      </c>
      <c r="J76" s="64">
        <v>0.35</v>
      </c>
      <c r="K76" s="64">
        <v>3.65</v>
      </c>
      <c r="L76" s="64">
        <v>30.1</v>
      </c>
      <c r="M76" s="64">
        <v>41.54</v>
      </c>
      <c r="N76" s="64">
        <v>84.5</v>
      </c>
      <c r="O76" s="64">
        <v>0</v>
      </c>
      <c r="P76" s="64">
        <v>0.59</v>
      </c>
      <c r="Q76" s="64">
        <v>9.4</v>
      </c>
      <c r="R76" s="198"/>
      <c r="S76" s="198"/>
      <c r="T76" s="198"/>
      <c r="U76" s="198"/>
    </row>
    <row r="77" spans="1:21" s="12" customFormat="1" x14ac:dyDescent="0.25">
      <c r="A77" s="216" t="s">
        <v>1082</v>
      </c>
      <c r="B77" s="64">
        <v>0.62</v>
      </c>
      <c r="C77" s="64">
        <v>27.28</v>
      </c>
      <c r="D77" s="64">
        <v>14.67</v>
      </c>
      <c r="E77" s="64">
        <v>2.1800000000000002</v>
      </c>
      <c r="F77" s="64">
        <v>7.85</v>
      </c>
      <c r="G77" s="64">
        <v>31.98</v>
      </c>
      <c r="H77" s="64">
        <v>12.23</v>
      </c>
      <c r="I77" s="64">
        <v>2.29</v>
      </c>
      <c r="J77" s="64">
        <v>0.4</v>
      </c>
      <c r="K77" s="64">
        <v>3.17</v>
      </c>
      <c r="L77" s="64">
        <v>29.64</v>
      </c>
      <c r="M77" s="64">
        <v>44.91</v>
      </c>
      <c r="N77" s="64">
        <v>75.2</v>
      </c>
      <c r="O77" s="64">
        <v>0</v>
      </c>
      <c r="P77" s="64">
        <v>0.59</v>
      </c>
      <c r="Q77" s="64">
        <v>9.49</v>
      </c>
      <c r="R77" s="198"/>
      <c r="S77" s="198"/>
      <c r="T77" s="198"/>
      <c r="U77" s="198"/>
    </row>
    <row r="78" spans="1:21" s="12" customFormat="1" x14ac:dyDescent="0.25">
      <c r="A78" s="216" t="s">
        <v>1083</v>
      </c>
      <c r="B78" s="64">
        <v>0.59</v>
      </c>
      <c r="C78" s="64">
        <v>27.5</v>
      </c>
      <c r="D78" s="64">
        <v>14.76</v>
      </c>
      <c r="E78" s="64">
        <v>1.99</v>
      </c>
      <c r="F78" s="64">
        <v>8.2799999999999994</v>
      </c>
      <c r="G78" s="64">
        <v>31.98</v>
      </c>
      <c r="H78" s="64">
        <v>12.23</v>
      </c>
      <c r="I78" s="64">
        <v>2.42</v>
      </c>
      <c r="J78" s="64">
        <v>0.26</v>
      </c>
      <c r="K78" s="64">
        <v>24.47</v>
      </c>
      <c r="L78" s="64">
        <v>29.42</v>
      </c>
      <c r="M78" s="64">
        <v>46.21</v>
      </c>
      <c r="N78" s="64">
        <v>62</v>
      </c>
      <c r="O78" s="64">
        <v>0</v>
      </c>
      <c r="P78" s="64">
        <v>0.56000000000000005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6" t="s">
        <v>1084</v>
      </c>
      <c r="B79" s="64">
        <v>0.52</v>
      </c>
      <c r="C79" s="64">
        <v>26.23</v>
      </c>
      <c r="D79" s="64">
        <v>14.04</v>
      </c>
      <c r="E79" s="64">
        <v>2.3199999999999998</v>
      </c>
      <c r="F79" s="64">
        <v>8.5399999999999991</v>
      </c>
      <c r="G79" s="64">
        <v>31.98</v>
      </c>
      <c r="H79" s="64">
        <v>12.23</v>
      </c>
      <c r="I79" s="64">
        <v>2.5099999999999998</v>
      </c>
      <c r="J79" s="64">
        <v>7.0000000000000007E-2</v>
      </c>
      <c r="K79" s="64">
        <v>19.68</v>
      </c>
      <c r="L79" s="64">
        <v>29.06</v>
      </c>
      <c r="M79" s="64">
        <v>47.87</v>
      </c>
      <c r="N79" s="64">
        <v>51.1</v>
      </c>
      <c r="O79" s="64">
        <v>0</v>
      </c>
      <c r="P79" s="64">
        <v>0.53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6" t="s">
        <v>1085</v>
      </c>
      <c r="B80" s="64">
        <v>0.76</v>
      </c>
      <c r="C80" s="64">
        <v>26.53</v>
      </c>
      <c r="D80" s="64">
        <v>14.39</v>
      </c>
      <c r="E80" s="64">
        <v>2.2400000000000002</v>
      </c>
      <c r="F80" s="64">
        <v>8.07</v>
      </c>
      <c r="G80" s="64">
        <v>32.590000000000003</v>
      </c>
      <c r="H80" s="64">
        <v>11.7</v>
      </c>
      <c r="I80" s="64">
        <v>2.41</v>
      </c>
      <c r="J80" s="64">
        <v>0.13</v>
      </c>
      <c r="K80" s="64">
        <v>15.95</v>
      </c>
      <c r="L80" s="64">
        <v>28.72</v>
      </c>
      <c r="M80" s="64">
        <v>49.64</v>
      </c>
      <c r="N80" s="64">
        <v>36.700000000000003</v>
      </c>
      <c r="O80" s="64">
        <v>0</v>
      </c>
      <c r="P80" s="64">
        <v>0.51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6" t="s">
        <v>1086</v>
      </c>
      <c r="B81" s="64">
        <v>0.74</v>
      </c>
      <c r="C81" s="64">
        <v>24.27</v>
      </c>
      <c r="D81" s="64">
        <v>13.19</v>
      </c>
      <c r="E81" s="64">
        <v>2.06</v>
      </c>
      <c r="F81" s="64">
        <v>6.95</v>
      </c>
      <c r="G81" s="64">
        <v>33.020000000000003</v>
      </c>
      <c r="H81" s="64">
        <v>11.33</v>
      </c>
      <c r="I81" s="64">
        <v>2.3199999999999998</v>
      </c>
      <c r="J81" s="64">
        <v>0.14000000000000001</v>
      </c>
      <c r="K81" s="64">
        <v>36.89</v>
      </c>
      <c r="L81" s="64">
        <v>28.44</v>
      </c>
      <c r="M81" s="64">
        <v>51.19</v>
      </c>
      <c r="N81" s="64">
        <v>26.2</v>
      </c>
      <c r="O81" s="64">
        <v>0</v>
      </c>
      <c r="P81" s="64">
        <v>0.5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6" t="s">
        <v>1087</v>
      </c>
      <c r="B82" s="64">
        <v>1.08</v>
      </c>
      <c r="C82" s="64">
        <v>23.73</v>
      </c>
      <c r="D82" s="64">
        <v>13.19</v>
      </c>
      <c r="E82" s="64">
        <v>2.02</v>
      </c>
      <c r="F82" s="64">
        <v>5.93</v>
      </c>
      <c r="G82" s="64">
        <v>33.020000000000003</v>
      </c>
      <c r="H82" s="64">
        <v>11.33</v>
      </c>
      <c r="I82" s="64">
        <v>2.29</v>
      </c>
      <c r="J82" s="64">
        <v>0.17</v>
      </c>
      <c r="K82" s="64">
        <v>40.54</v>
      </c>
      <c r="L82" s="64">
        <v>28.38</v>
      </c>
      <c r="M82" s="64">
        <v>50.41</v>
      </c>
      <c r="N82" s="64">
        <v>19.399999999999999</v>
      </c>
      <c r="O82" s="64">
        <v>0</v>
      </c>
      <c r="P82" s="64">
        <v>0.5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6" t="s">
        <v>1088</v>
      </c>
      <c r="B83" s="64">
        <v>1.1299999999999999</v>
      </c>
      <c r="C83" s="64">
        <v>22.45</v>
      </c>
      <c r="D83" s="64">
        <v>12.56</v>
      </c>
      <c r="E83" s="64">
        <v>2.11</v>
      </c>
      <c r="F83" s="64">
        <v>5.91</v>
      </c>
      <c r="G83" s="64">
        <v>33.020000000000003</v>
      </c>
      <c r="H83" s="64">
        <v>11.33</v>
      </c>
      <c r="I83" s="64">
        <v>2.35</v>
      </c>
      <c r="J83" s="64">
        <v>0.08</v>
      </c>
      <c r="K83" s="64">
        <v>230.91</v>
      </c>
      <c r="L83" s="64">
        <v>28.14</v>
      </c>
      <c r="M83" s="64">
        <v>51.46</v>
      </c>
      <c r="N83" s="64">
        <v>17.2</v>
      </c>
      <c r="O83" s="64">
        <v>0</v>
      </c>
      <c r="P83" s="64">
        <v>0.51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16" t="s">
        <v>1089</v>
      </c>
      <c r="B84" s="64">
        <v>1.1000000000000001</v>
      </c>
      <c r="C84" s="64">
        <v>24.22</v>
      </c>
      <c r="D84" s="64">
        <v>13.45</v>
      </c>
      <c r="E84" s="64">
        <v>2.13</v>
      </c>
      <c r="F84" s="64">
        <v>6.17</v>
      </c>
      <c r="G84" s="64">
        <v>33.94</v>
      </c>
      <c r="H84" s="64">
        <v>11.18</v>
      </c>
      <c r="I84" s="64">
        <v>2.4</v>
      </c>
      <c r="J84" s="64">
        <v>0.14000000000000001</v>
      </c>
      <c r="K84" s="64">
        <v>27.9</v>
      </c>
      <c r="L84" s="64">
        <v>27.83</v>
      </c>
      <c r="M84" s="64">
        <v>52.02</v>
      </c>
      <c r="N84" s="64">
        <v>17.100000000000001</v>
      </c>
      <c r="O84" s="64">
        <v>0</v>
      </c>
      <c r="P84" s="64">
        <v>0.5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6" t="s">
        <v>1090</v>
      </c>
      <c r="B85" s="64">
        <v>1.24</v>
      </c>
      <c r="C85" s="64">
        <v>25.49</v>
      </c>
      <c r="D85" s="64">
        <v>14.23</v>
      </c>
      <c r="E85" s="64">
        <v>2.3199999999999998</v>
      </c>
      <c r="F85" s="64">
        <v>5.3</v>
      </c>
      <c r="G85" s="64">
        <v>34.590000000000003</v>
      </c>
      <c r="H85" s="64">
        <v>11.07</v>
      </c>
      <c r="I85" s="64">
        <v>2.44</v>
      </c>
      <c r="J85" s="64">
        <v>0.14000000000000001</v>
      </c>
      <c r="K85" s="64">
        <v>9.93</v>
      </c>
      <c r="L85" s="64">
        <v>27.59</v>
      </c>
      <c r="M85" s="64">
        <v>52.04</v>
      </c>
      <c r="N85" s="64">
        <v>17</v>
      </c>
      <c r="O85" s="64">
        <v>0</v>
      </c>
      <c r="P85" s="64">
        <v>0.49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6" t="s">
        <v>1091</v>
      </c>
      <c r="B86" s="64">
        <v>1.38</v>
      </c>
      <c r="C86" s="64">
        <v>25.02</v>
      </c>
      <c r="D86" s="64">
        <v>14.1</v>
      </c>
      <c r="E86" s="64">
        <v>2.2799999999999998</v>
      </c>
      <c r="F86" s="64">
        <v>5.47</v>
      </c>
      <c r="G86" s="64">
        <v>34.590000000000003</v>
      </c>
      <c r="H86" s="64">
        <v>11.07</v>
      </c>
      <c r="I86" s="64">
        <v>2.4300000000000002</v>
      </c>
      <c r="J86" s="64">
        <v>0.2</v>
      </c>
      <c r="K86" s="64">
        <v>14.41</v>
      </c>
      <c r="L86" s="64">
        <v>27.21</v>
      </c>
      <c r="M86" s="64">
        <v>55.05</v>
      </c>
      <c r="N86" s="64">
        <v>17.100000000000001</v>
      </c>
      <c r="O86" s="64">
        <v>0</v>
      </c>
      <c r="P86" s="64">
        <v>0.51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6" t="s">
        <v>1092</v>
      </c>
      <c r="B87" s="64">
        <v>1.79</v>
      </c>
      <c r="C87" s="64">
        <v>25.37</v>
      </c>
      <c r="D87" s="64">
        <v>14.61</v>
      </c>
      <c r="E87" s="64">
        <v>2.5099999999999998</v>
      </c>
      <c r="F87" s="64">
        <v>4.75</v>
      </c>
      <c r="G87" s="64">
        <v>34.590000000000003</v>
      </c>
      <c r="H87" s="64">
        <v>11.07</v>
      </c>
      <c r="I87" s="64">
        <v>2.5</v>
      </c>
      <c r="J87" s="64">
        <v>0.04</v>
      </c>
      <c r="K87" s="64">
        <v>266.72000000000003</v>
      </c>
      <c r="L87" s="64">
        <v>26.8</v>
      </c>
      <c r="M87" s="64">
        <v>57.97</v>
      </c>
      <c r="N87" s="64">
        <v>17.100000000000001</v>
      </c>
      <c r="O87" s="64">
        <v>0</v>
      </c>
      <c r="P87" s="64">
        <v>0.53</v>
      </c>
      <c r="Q87" s="64">
        <v>9.5</v>
      </c>
      <c r="R87" s="198"/>
      <c r="S87" s="198"/>
      <c r="T87" s="198"/>
      <c r="U87" s="198"/>
    </row>
    <row r="88" spans="1:26" s="12" customFormat="1" x14ac:dyDescent="0.25">
      <c r="A88" s="216" t="s">
        <v>1093</v>
      </c>
      <c r="B88" s="64">
        <v>1.63</v>
      </c>
      <c r="C88" s="64">
        <v>24.1</v>
      </c>
      <c r="D88" s="64">
        <v>13.81</v>
      </c>
      <c r="E88" s="64">
        <v>1.81</v>
      </c>
      <c r="F88" s="64">
        <v>4.1500000000000004</v>
      </c>
      <c r="G88" s="64">
        <v>31.6</v>
      </c>
      <c r="H88" s="64">
        <v>10.28</v>
      </c>
      <c r="I88" s="64">
        <v>2.59</v>
      </c>
      <c r="J88" s="64">
        <v>0.09</v>
      </c>
      <c r="K88" s="64">
        <v>340.33</v>
      </c>
      <c r="L88" s="64">
        <v>26.37</v>
      </c>
      <c r="M88" s="64">
        <v>60.19</v>
      </c>
      <c r="N88" s="64">
        <v>17</v>
      </c>
      <c r="O88" s="64">
        <v>0</v>
      </c>
      <c r="P88" s="64">
        <v>0.53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16" t="s">
        <v>1094</v>
      </c>
      <c r="B89" s="64">
        <v>1.9</v>
      </c>
      <c r="C89" s="64">
        <v>23.79</v>
      </c>
      <c r="D89" s="64">
        <v>13.87</v>
      </c>
      <c r="E89" s="64">
        <v>1.55</v>
      </c>
      <c r="F89" s="64">
        <v>3.54</v>
      </c>
      <c r="G89" s="64">
        <v>29.52</v>
      </c>
      <c r="H89" s="64">
        <v>9.7200000000000006</v>
      </c>
      <c r="I89" s="64">
        <v>2.67</v>
      </c>
      <c r="J89" s="64">
        <v>0.12</v>
      </c>
      <c r="K89" s="64">
        <v>175.55</v>
      </c>
      <c r="L89" s="64">
        <v>26.13</v>
      </c>
      <c r="M89" s="64">
        <v>60.9</v>
      </c>
      <c r="N89" s="64">
        <v>16.600000000000001</v>
      </c>
      <c r="O89" s="64">
        <v>0</v>
      </c>
      <c r="P89" s="64">
        <v>0.54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6" t="s">
        <v>1095</v>
      </c>
      <c r="B90" s="64">
        <v>2.13</v>
      </c>
      <c r="C90" s="64">
        <v>23.47</v>
      </c>
      <c r="D90" s="64">
        <v>13.89</v>
      </c>
      <c r="E90" s="64">
        <v>1.53</v>
      </c>
      <c r="F90" s="64">
        <v>3.6</v>
      </c>
      <c r="G90" s="64">
        <v>29.52</v>
      </c>
      <c r="H90" s="64">
        <v>9.7200000000000006</v>
      </c>
      <c r="I90" s="64">
        <v>2.74</v>
      </c>
      <c r="J90" s="64">
        <v>0.13</v>
      </c>
      <c r="K90" s="64">
        <v>234.28</v>
      </c>
      <c r="L90" s="64">
        <v>25.72</v>
      </c>
      <c r="M90" s="64">
        <v>63.51</v>
      </c>
      <c r="N90" s="64">
        <v>16.899999999999999</v>
      </c>
      <c r="O90" s="64">
        <v>0</v>
      </c>
      <c r="P90" s="64">
        <v>0.55000000000000004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6" t="s">
        <v>1096</v>
      </c>
      <c r="B91" s="64">
        <v>2.56</v>
      </c>
      <c r="C91" s="64">
        <v>24.05</v>
      </c>
      <c r="D91" s="64">
        <v>14.54</v>
      </c>
      <c r="E91" s="64">
        <v>1.66</v>
      </c>
      <c r="F91" s="64">
        <v>3.43</v>
      </c>
      <c r="G91" s="64">
        <v>29.52</v>
      </c>
      <c r="H91" s="64">
        <v>9.7200000000000006</v>
      </c>
      <c r="I91" s="64">
        <v>2.85</v>
      </c>
      <c r="J91" s="64">
        <v>0.14000000000000001</v>
      </c>
      <c r="K91" s="64">
        <v>205.38</v>
      </c>
      <c r="L91" s="64">
        <v>25.65</v>
      </c>
      <c r="M91" s="64">
        <v>62.42</v>
      </c>
      <c r="N91" s="64">
        <v>16.7</v>
      </c>
      <c r="O91" s="64">
        <v>0</v>
      </c>
      <c r="P91" s="64">
        <v>0.56000000000000005</v>
      </c>
      <c r="Q91" s="64">
        <v>9.5299999999999994</v>
      </c>
      <c r="R91" s="198"/>
      <c r="S91" s="198"/>
      <c r="T91" s="198"/>
      <c r="U91" s="198"/>
    </row>
    <row r="92" spans="1:26" s="12" customFormat="1" x14ac:dyDescent="0.25">
      <c r="A92" s="216" t="s">
        <v>1097</v>
      </c>
      <c r="B92" s="64">
        <v>2.61</v>
      </c>
      <c r="C92" s="64">
        <v>23.62</v>
      </c>
      <c r="D92" s="64">
        <v>14.35</v>
      </c>
      <c r="E92" s="64">
        <v>1.37</v>
      </c>
      <c r="F92" s="64">
        <v>3.52</v>
      </c>
      <c r="G92" s="64">
        <v>32.69</v>
      </c>
      <c r="H92" s="64">
        <v>10.38</v>
      </c>
      <c r="I92" s="64">
        <v>2.95</v>
      </c>
      <c r="J92" s="64">
        <v>0.04</v>
      </c>
      <c r="K92" s="64">
        <v>236.5</v>
      </c>
      <c r="L92" s="64">
        <v>25.32</v>
      </c>
      <c r="M92" s="64">
        <v>64.349999999999994</v>
      </c>
      <c r="N92" s="64">
        <v>16.7</v>
      </c>
      <c r="O92" s="64">
        <v>0</v>
      </c>
      <c r="P92" s="64">
        <v>0.56999999999999995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16" t="s">
        <v>1098</v>
      </c>
      <c r="B93" s="64">
        <v>2.48</v>
      </c>
      <c r="C93" s="64">
        <v>20.74</v>
      </c>
      <c r="D93" s="64">
        <v>12.75</v>
      </c>
      <c r="E93" s="64">
        <v>1.18</v>
      </c>
      <c r="F93" s="64">
        <v>3.93</v>
      </c>
      <c r="G93" s="64">
        <v>34.9</v>
      </c>
      <c r="H93" s="64">
        <v>10.83</v>
      </c>
      <c r="I93" s="64">
        <v>3.07</v>
      </c>
      <c r="J93" s="64">
        <v>0.03</v>
      </c>
      <c r="K93" s="64">
        <v>325.25</v>
      </c>
      <c r="L93" s="64">
        <v>25.39</v>
      </c>
      <c r="M93" s="64">
        <v>63.36</v>
      </c>
      <c r="N93" s="64">
        <v>16.600000000000001</v>
      </c>
      <c r="O93" s="64">
        <v>0</v>
      </c>
      <c r="P93" s="64">
        <v>0.56000000000000005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6" t="s">
        <v>1099</v>
      </c>
      <c r="B94" s="64">
        <v>2.85</v>
      </c>
      <c r="C94" s="64">
        <v>19.38</v>
      </c>
      <c r="D94" s="64">
        <v>12.33</v>
      </c>
      <c r="E94" s="64">
        <v>1.36</v>
      </c>
      <c r="F94" s="64">
        <v>3.85</v>
      </c>
      <c r="G94" s="64">
        <v>34.9</v>
      </c>
      <c r="H94" s="64">
        <v>10.83</v>
      </c>
      <c r="I94" s="64">
        <v>3.14</v>
      </c>
      <c r="J94" s="64">
        <v>0.1</v>
      </c>
      <c r="K94" s="64">
        <v>89.62</v>
      </c>
      <c r="L94" s="64">
        <v>25.15</v>
      </c>
      <c r="M94" s="64">
        <v>65.72</v>
      </c>
      <c r="N94" s="64">
        <v>16.899999999999999</v>
      </c>
      <c r="O94" s="64">
        <v>0</v>
      </c>
      <c r="P94" s="64">
        <v>0.59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16" t="s">
        <v>1100</v>
      </c>
      <c r="B95" s="64">
        <v>3.7</v>
      </c>
      <c r="C95" s="64">
        <v>19.72</v>
      </c>
      <c r="D95" s="64">
        <v>13.19</v>
      </c>
      <c r="E95" s="64">
        <v>1.2</v>
      </c>
      <c r="F95" s="64">
        <v>3.84</v>
      </c>
      <c r="G95" s="64">
        <v>34.9</v>
      </c>
      <c r="H95" s="64">
        <v>10.83</v>
      </c>
      <c r="I95" s="64">
        <v>3.37</v>
      </c>
      <c r="J95" s="64">
        <v>0.23</v>
      </c>
      <c r="K95" s="64">
        <v>173.32</v>
      </c>
      <c r="L95" s="64">
        <v>25.08</v>
      </c>
      <c r="M95" s="64">
        <v>64.069999999999993</v>
      </c>
      <c r="N95" s="64">
        <v>16.399999999999999</v>
      </c>
      <c r="O95" s="64">
        <v>0</v>
      </c>
      <c r="P95" s="64">
        <v>0.57999999999999996</v>
      </c>
      <c r="Q95" s="64">
        <v>9.5</v>
      </c>
      <c r="R95" s="198"/>
      <c r="S95" s="198"/>
      <c r="T95" s="198"/>
      <c r="U95" s="198"/>
    </row>
    <row r="96" spans="1:26" s="12" customFormat="1" x14ac:dyDescent="0.25">
      <c r="A96" s="216" t="s">
        <v>1101</v>
      </c>
      <c r="B96" s="64">
        <v>4.1900000000000004</v>
      </c>
      <c r="C96" s="64">
        <v>20.47</v>
      </c>
      <c r="D96" s="64">
        <v>13.97</v>
      </c>
      <c r="E96" s="64">
        <v>1.32</v>
      </c>
      <c r="F96" s="64">
        <v>3.66</v>
      </c>
      <c r="G96" s="64">
        <v>35.83</v>
      </c>
      <c r="H96" s="64">
        <v>10.15</v>
      </c>
      <c r="I96" s="64">
        <v>3.78</v>
      </c>
      <c r="J96" s="64">
        <v>0.68</v>
      </c>
      <c r="K96" s="64">
        <v>159.54</v>
      </c>
      <c r="L96" s="64">
        <v>25.35</v>
      </c>
      <c r="M96" s="64">
        <v>63.22</v>
      </c>
      <c r="N96" s="64">
        <v>16</v>
      </c>
      <c r="O96" s="64">
        <v>0</v>
      </c>
      <c r="P96" s="64">
        <v>0.56999999999999995</v>
      </c>
      <c r="Q96" s="64">
        <v>9.59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1102</v>
      </c>
      <c r="B97" s="64">
        <v>4.26</v>
      </c>
      <c r="C97" s="64">
        <v>20.43</v>
      </c>
      <c r="D97" s="64">
        <v>14.01</v>
      </c>
      <c r="E97" s="64">
        <v>1.46</v>
      </c>
      <c r="F97" s="64">
        <v>3.82</v>
      </c>
      <c r="G97" s="64">
        <v>36.47</v>
      </c>
      <c r="H97" s="64">
        <v>9.67</v>
      </c>
      <c r="I97" s="64">
        <v>4.0599999999999996</v>
      </c>
      <c r="J97" s="64">
        <v>0.44</v>
      </c>
      <c r="K97" s="64">
        <v>157.56</v>
      </c>
      <c r="L97" s="64">
        <v>25.35</v>
      </c>
      <c r="M97" s="64">
        <v>62.94</v>
      </c>
      <c r="N97" s="64">
        <v>16.600000000000001</v>
      </c>
      <c r="O97" s="64">
        <v>0</v>
      </c>
      <c r="P97" s="64">
        <v>0.56000000000000005</v>
      </c>
      <c r="Q97" s="64">
        <v>9.66</v>
      </c>
      <c r="R97" s="198"/>
      <c r="S97" s="198"/>
      <c r="T97" s="198"/>
      <c r="U97" s="198"/>
    </row>
    <row r="98" spans="1:33" s="12" customFormat="1" x14ac:dyDescent="0.25">
      <c r="A98" s="216" t="s">
        <v>1103</v>
      </c>
      <c r="B98" s="64">
        <v>4.51</v>
      </c>
      <c r="C98" s="64">
        <v>20.78</v>
      </c>
      <c r="D98" s="64">
        <v>14.39</v>
      </c>
      <c r="E98" s="64">
        <v>1.54</v>
      </c>
      <c r="F98" s="64">
        <v>3.89</v>
      </c>
      <c r="G98" s="64">
        <v>36.47</v>
      </c>
      <c r="H98" s="64">
        <v>9.67</v>
      </c>
      <c r="I98" s="64">
        <v>4.32</v>
      </c>
      <c r="J98" s="64">
        <v>0.5</v>
      </c>
      <c r="K98" s="64">
        <v>145.63999999999999</v>
      </c>
      <c r="L98" s="64">
        <v>25.06</v>
      </c>
      <c r="M98" s="64">
        <v>64.5</v>
      </c>
      <c r="N98" s="64">
        <v>16.899999999999999</v>
      </c>
      <c r="O98" s="64">
        <v>0</v>
      </c>
      <c r="P98" s="64">
        <v>0.56000000000000005</v>
      </c>
      <c r="Q98" s="64">
        <v>9.67</v>
      </c>
      <c r="R98" s="198"/>
      <c r="S98" s="198"/>
      <c r="T98" s="198"/>
      <c r="U98" s="198"/>
    </row>
    <row r="99" spans="1:33" s="12" customFormat="1" x14ac:dyDescent="0.25">
      <c r="A99" s="216" t="s">
        <v>1104</v>
      </c>
      <c r="B99" s="64">
        <v>4.4400000000000004</v>
      </c>
      <c r="C99" s="64">
        <v>20.45</v>
      </c>
      <c r="D99" s="64">
        <v>14.17</v>
      </c>
      <c r="E99" s="64">
        <v>1.35</v>
      </c>
      <c r="F99" s="64">
        <v>3.7</v>
      </c>
      <c r="G99" s="64">
        <v>36.47</v>
      </c>
      <c r="H99" s="64">
        <v>9.67</v>
      </c>
      <c r="I99" s="64">
        <v>4.6100000000000003</v>
      </c>
      <c r="J99" s="64">
        <v>0.12</v>
      </c>
      <c r="K99" s="64">
        <v>169.58</v>
      </c>
      <c r="L99" s="64">
        <v>24.81</v>
      </c>
      <c r="M99" s="64">
        <v>65.66</v>
      </c>
      <c r="N99" s="64">
        <v>16.899999999999999</v>
      </c>
      <c r="O99" s="64">
        <v>0</v>
      </c>
      <c r="P99" s="64">
        <v>0.54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6" t="s">
        <v>1105</v>
      </c>
      <c r="B100" s="64">
        <v>4.8</v>
      </c>
      <c r="C100" s="64">
        <v>20.21</v>
      </c>
      <c r="D100" s="64">
        <v>14.32</v>
      </c>
      <c r="E100" s="64">
        <v>1.4</v>
      </c>
      <c r="F100" s="64">
        <v>3.34</v>
      </c>
      <c r="G100" s="64">
        <v>34.72</v>
      </c>
      <c r="H100" s="64">
        <v>10.16</v>
      </c>
      <c r="I100" s="64">
        <v>4.5999999999999996</v>
      </c>
      <c r="J100" s="64">
        <v>0.24</v>
      </c>
      <c r="K100" s="64">
        <v>112.06</v>
      </c>
      <c r="L100" s="64">
        <v>24.69</v>
      </c>
      <c r="M100" s="64">
        <v>65.849999999999994</v>
      </c>
      <c r="N100" s="64">
        <v>16.5</v>
      </c>
      <c r="O100" s="64">
        <v>0</v>
      </c>
      <c r="P100" s="64">
        <v>0.56000000000000005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1106</v>
      </c>
      <c r="B101" s="64">
        <v>5.19</v>
      </c>
      <c r="C101" s="64">
        <v>20</v>
      </c>
      <c r="D101" s="64">
        <v>14.53</v>
      </c>
      <c r="E101" s="64">
        <v>1.27</v>
      </c>
      <c r="F101" s="64">
        <v>3.22</v>
      </c>
      <c r="G101" s="64">
        <v>33.49</v>
      </c>
      <c r="H101" s="64">
        <v>10.5</v>
      </c>
      <c r="I101" s="64">
        <v>4.57</v>
      </c>
      <c r="J101" s="64">
        <v>0.31</v>
      </c>
      <c r="K101" s="64">
        <v>153.30000000000001</v>
      </c>
      <c r="L101" s="64">
        <v>24.68</v>
      </c>
      <c r="M101" s="64">
        <v>65.27</v>
      </c>
      <c r="N101" s="64">
        <v>16.3</v>
      </c>
      <c r="O101" s="64">
        <v>0</v>
      </c>
      <c r="P101" s="64">
        <v>0.55000000000000004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6" t="s">
        <v>1107</v>
      </c>
      <c r="B102" s="64">
        <v>5.58</v>
      </c>
      <c r="C102" s="64">
        <v>20.71</v>
      </c>
      <c r="D102" s="64">
        <v>15.22</v>
      </c>
      <c r="E102" s="64">
        <v>1.68</v>
      </c>
      <c r="F102" s="64">
        <v>3.69</v>
      </c>
      <c r="G102" s="64">
        <v>33.49</v>
      </c>
      <c r="H102" s="64">
        <v>10.5</v>
      </c>
      <c r="I102" s="64">
        <v>5.25</v>
      </c>
      <c r="J102" s="64">
        <v>0.3</v>
      </c>
      <c r="K102" s="64">
        <v>164.76</v>
      </c>
      <c r="L102" s="64">
        <v>24.48</v>
      </c>
      <c r="M102" s="64">
        <v>65.89</v>
      </c>
      <c r="N102" s="64">
        <v>16.5</v>
      </c>
      <c r="O102" s="64">
        <v>0</v>
      </c>
      <c r="P102" s="64">
        <v>0.54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6" t="s">
        <v>1108</v>
      </c>
      <c r="B103" s="64">
        <v>5.53</v>
      </c>
      <c r="C103" s="64">
        <v>21.22</v>
      </c>
      <c r="D103" s="64">
        <v>15.44</v>
      </c>
      <c r="E103" s="64">
        <v>1.37</v>
      </c>
      <c r="F103" s="64">
        <v>3.59</v>
      </c>
      <c r="G103" s="64">
        <v>33.49</v>
      </c>
      <c r="H103" s="64">
        <v>10.5</v>
      </c>
      <c r="I103" s="64">
        <v>5.44</v>
      </c>
      <c r="J103" s="64">
        <v>0.65</v>
      </c>
      <c r="K103" s="64">
        <v>163.9</v>
      </c>
      <c r="L103" s="64">
        <v>24.43</v>
      </c>
      <c r="M103" s="64">
        <v>66.62</v>
      </c>
      <c r="N103" s="64">
        <v>16.100000000000001</v>
      </c>
      <c r="O103" s="64">
        <v>0</v>
      </c>
      <c r="P103" s="64">
        <v>0.53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6" t="s">
        <v>1109</v>
      </c>
      <c r="B104" s="64">
        <v>4.87</v>
      </c>
      <c r="C104" s="64">
        <v>19.79</v>
      </c>
      <c r="D104" s="64">
        <v>14.16</v>
      </c>
      <c r="E104" s="64">
        <v>1.01</v>
      </c>
      <c r="F104" s="64">
        <v>3.78</v>
      </c>
      <c r="G104" s="64">
        <v>33.74</v>
      </c>
      <c r="H104" s="64">
        <v>9.7899999999999991</v>
      </c>
      <c r="I104" s="64">
        <v>5.36</v>
      </c>
      <c r="J104" s="64">
        <v>0.56999999999999995</v>
      </c>
      <c r="K104" s="64">
        <v>162.04</v>
      </c>
      <c r="L104" s="64">
        <v>24.28</v>
      </c>
      <c r="M104" s="64">
        <v>66.61</v>
      </c>
      <c r="N104" s="64">
        <v>16.5</v>
      </c>
      <c r="O104" s="64">
        <v>0</v>
      </c>
      <c r="P104" s="64">
        <v>0.52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0.44</v>
      </c>
      <c r="C106" s="67">
        <f>MIN(C9:C104)</f>
        <v>17.2</v>
      </c>
      <c r="D106" s="67">
        <f t="shared" ref="D106:Q106" si="0">MIN(D9:D104)</f>
        <v>11.64</v>
      </c>
      <c r="E106" s="67">
        <f t="shared" si="0"/>
        <v>0.85</v>
      </c>
      <c r="F106" s="67">
        <f t="shared" si="0"/>
        <v>2.99</v>
      </c>
      <c r="G106" s="67">
        <f t="shared" si="0"/>
        <v>23.09</v>
      </c>
      <c r="H106" s="67">
        <f t="shared" si="0"/>
        <v>9.67</v>
      </c>
      <c r="I106" s="67">
        <f t="shared" si="0"/>
        <v>2.11</v>
      </c>
      <c r="J106" s="67">
        <f t="shared" si="0"/>
        <v>0.03</v>
      </c>
      <c r="K106" s="67">
        <f t="shared" si="0"/>
        <v>0.2</v>
      </c>
      <c r="L106" s="67">
        <f t="shared" si="0"/>
        <v>23.39</v>
      </c>
      <c r="M106" s="67">
        <f t="shared" si="0"/>
        <v>31.49</v>
      </c>
      <c r="N106" s="67">
        <f t="shared" si="0"/>
        <v>16</v>
      </c>
      <c r="O106" s="67">
        <f t="shared" si="0"/>
        <v>0</v>
      </c>
      <c r="P106" s="67">
        <f t="shared" si="0"/>
        <v>0.33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29.7</v>
      </c>
      <c r="C107" s="66">
        <f t="shared" ref="C107:Q107" si="1">MAX(C9:C104)</f>
        <v>29.08</v>
      </c>
      <c r="D107" s="66">
        <f t="shared" si="1"/>
        <v>38.450000000000003</v>
      </c>
      <c r="E107" s="66">
        <f t="shared" si="1"/>
        <v>2.85</v>
      </c>
      <c r="F107" s="66">
        <f t="shared" si="1"/>
        <v>10.08</v>
      </c>
      <c r="G107" s="66">
        <f t="shared" si="1"/>
        <v>85.79</v>
      </c>
      <c r="H107" s="66">
        <f t="shared" si="1"/>
        <v>26.1</v>
      </c>
      <c r="I107" s="66">
        <f t="shared" si="1"/>
        <v>10.08</v>
      </c>
      <c r="J107" s="66">
        <f t="shared" si="1"/>
        <v>2.12</v>
      </c>
      <c r="K107" s="66">
        <f t="shared" si="1"/>
        <v>354.81</v>
      </c>
      <c r="L107" s="66">
        <f t="shared" si="1"/>
        <v>32.44</v>
      </c>
      <c r="M107" s="66">
        <f t="shared" si="1"/>
        <v>81.8</v>
      </c>
      <c r="N107" s="66">
        <f t="shared" si="1"/>
        <v>823.4</v>
      </c>
      <c r="O107" s="66">
        <f t="shared" si="1"/>
        <v>0</v>
      </c>
      <c r="P107" s="66">
        <f t="shared" si="1"/>
        <v>1.4</v>
      </c>
      <c r="Q107" s="66">
        <f t="shared" si="1"/>
        <v>10.33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6.8004166666666714</v>
      </c>
      <c r="C108" s="67">
        <f t="shared" ref="C108:Q108" si="2">AVERAGE(C9:C104)</f>
        <v>23.063645833333325</v>
      </c>
      <c r="D108" s="67">
        <f t="shared" si="2"/>
        <v>17.423229166666669</v>
      </c>
      <c r="E108" s="67">
        <f t="shared" si="2"/>
        <v>1.7205208333333335</v>
      </c>
      <c r="F108" s="67">
        <f t="shared" si="2"/>
        <v>5.1577083333333338</v>
      </c>
      <c r="G108" s="67">
        <f t="shared" si="2"/>
        <v>43.134791666666651</v>
      </c>
      <c r="H108" s="67">
        <f t="shared" si="2"/>
        <v>13.3334375</v>
      </c>
      <c r="I108" s="67">
        <f t="shared" si="2"/>
        <v>5.087604166666666</v>
      </c>
      <c r="J108" s="67">
        <f t="shared" si="2"/>
        <v>0.51145833333333324</v>
      </c>
      <c r="K108" s="67">
        <f t="shared" si="2"/>
        <v>200.47291666666663</v>
      </c>
      <c r="L108" s="67">
        <f t="shared" si="2"/>
        <v>26.527083333333334</v>
      </c>
      <c r="M108" s="67">
        <f t="shared" si="2"/>
        <v>56.298645833333332</v>
      </c>
      <c r="N108" s="67">
        <f t="shared" si="2"/>
        <v>149.21041666666676</v>
      </c>
      <c r="O108" s="67">
        <f t="shared" si="2"/>
        <v>0</v>
      </c>
      <c r="P108" s="67">
        <f t="shared" si="2"/>
        <v>0.59645833333333365</v>
      </c>
      <c r="Q108" s="67">
        <f t="shared" si="2"/>
        <v>9.5983333333333345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6.8415762906183266</v>
      </c>
      <c r="C109" s="67">
        <f t="shared" ref="C109:Q109" si="3">STDEV(C9:C104)</f>
        <v>3.0690972853479299</v>
      </c>
      <c r="D109" s="67">
        <f t="shared" si="3"/>
        <v>5.3897539236458698</v>
      </c>
      <c r="E109" s="67">
        <f t="shared" si="3"/>
        <v>0.448410924773403</v>
      </c>
      <c r="F109" s="67">
        <f t="shared" si="3"/>
        <v>2.0311803564309283</v>
      </c>
      <c r="G109" s="67">
        <f t="shared" si="3"/>
        <v>15.888340973918913</v>
      </c>
      <c r="H109" s="67">
        <f t="shared" si="3"/>
        <v>3.8139742576684825</v>
      </c>
      <c r="I109" s="67">
        <f t="shared" si="3"/>
        <v>2.4424313791111256</v>
      </c>
      <c r="J109" s="67">
        <f t="shared" si="3"/>
        <v>0.41559590486475073</v>
      </c>
      <c r="K109" s="67">
        <f t="shared" si="3"/>
        <v>115.85365233700915</v>
      </c>
      <c r="L109" s="67">
        <f t="shared" si="3"/>
        <v>2.7607645457722607</v>
      </c>
      <c r="M109" s="67">
        <f t="shared" si="3"/>
        <v>14.245670412983408</v>
      </c>
      <c r="N109" s="67">
        <f t="shared" si="3"/>
        <v>203.77852295241186</v>
      </c>
      <c r="O109" s="67">
        <f t="shared" si="3"/>
        <v>0</v>
      </c>
      <c r="P109" s="67">
        <f t="shared" si="3"/>
        <v>0.21909853186789349</v>
      </c>
      <c r="Q109" s="67">
        <f t="shared" si="3"/>
        <v>0.16938070894114096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1110</v>
      </c>
      <c r="B9" s="64">
        <v>4.32</v>
      </c>
      <c r="C9" s="64">
        <v>18.579999999999998</v>
      </c>
      <c r="D9" s="64">
        <v>13.09</v>
      </c>
      <c r="E9" s="64">
        <v>1.54</v>
      </c>
      <c r="F9" s="64">
        <v>3.84</v>
      </c>
      <c r="G9" s="64">
        <v>33.909999999999997</v>
      </c>
      <c r="H9" s="64">
        <v>9.3000000000000007</v>
      </c>
      <c r="I9" s="64">
        <v>5.33</v>
      </c>
      <c r="J9" s="64">
        <v>0.48</v>
      </c>
      <c r="K9" s="64">
        <v>182.49</v>
      </c>
      <c r="L9" s="64">
        <v>24.18</v>
      </c>
      <c r="M9" s="64">
        <v>67.09</v>
      </c>
      <c r="N9" s="64">
        <v>16.2</v>
      </c>
      <c r="O9" s="64">
        <v>0</v>
      </c>
      <c r="P9" s="64">
        <v>0.5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6" t="s">
        <v>1111</v>
      </c>
      <c r="B10" s="64">
        <v>4.1100000000000003</v>
      </c>
      <c r="C10" s="64">
        <v>18.809999999999999</v>
      </c>
      <c r="D10" s="64">
        <v>13.04</v>
      </c>
      <c r="E10" s="64">
        <v>1.24</v>
      </c>
      <c r="F10" s="64">
        <v>4.04</v>
      </c>
      <c r="G10" s="64">
        <v>33.909999999999997</v>
      </c>
      <c r="H10" s="64">
        <v>9.3000000000000007</v>
      </c>
      <c r="I10" s="64">
        <v>5.28</v>
      </c>
      <c r="J10" s="64">
        <v>0.04</v>
      </c>
      <c r="K10" s="64">
        <v>275.02</v>
      </c>
      <c r="L10" s="64">
        <v>23.85</v>
      </c>
      <c r="M10" s="64">
        <v>68.900000000000006</v>
      </c>
      <c r="N10" s="64">
        <v>17</v>
      </c>
      <c r="O10" s="64">
        <v>0</v>
      </c>
      <c r="P10" s="64">
        <v>0.49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6" t="s">
        <v>1112</v>
      </c>
      <c r="B11" s="64">
        <v>3.88</v>
      </c>
      <c r="C11" s="64">
        <v>18.46</v>
      </c>
      <c r="D11" s="64">
        <v>12.67</v>
      </c>
      <c r="E11" s="64">
        <v>1.51</v>
      </c>
      <c r="F11" s="64">
        <v>3.75</v>
      </c>
      <c r="G11" s="64">
        <v>33.909999999999997</v>
      </c>
      <c r="H11" s="64">
        <v>9.3000000000000007</v>
      </c>
      <c r="I11" s="64">
        <v>5.19</v>
      </c>
      <c r="J11" s="64">
        <v>0.26</v>
      </c>
      <c r="K11" s="64">
        <v>358.29</v>
      </c>
      <c r="L11" s="64">
        <v>23.41</v>
      </c>
      <c r="M11" s="64">
        <v>71.3</v>
      </c>
      <c r="N11" s="64">
        <v>16.8</v>
      </c>
      <c r="O11" s="64">
        <v>0</v>
      </c>
      <c r="P11" s="64">
        <v>0.48</v>
      </c>
      <c r="Q11" s="64">
        <v>9.52</v>
      </c>
      <c r="R11" s="198"/>
      <c r="S11" s="198"/>
      <c r="T11" s="198"/>
      <c r="U11" s="198"/>
    </row>
    <row r="12" spans="1:21" s="12" customFormat="1" x14ac:dyDescent="0.25">
      <c r="A12" s="216" t="s">
        <v>1113</v>
      </c>
      <c r="B12" s="64">
        <v>3.8</v>
      </c>
      <c r="C12" s="64">
        <v>18.04</v>
      </c>
      <c r="D12" s="64">
        <v>12.4</v>
      </c>
      <c r="E12" s="64">
        <v>1.32</v>
      </c>
      <c r="F12" s="64">
        <v>3.54</v>
      </c>
      <c r="G12" s="64">
        <v>34.200000000000003</v>
      </c>
      <c r="H12" s="64">
        <v>8.5299999999999994</v>
      </c>
      <c r="I12" s="64">
        <v>5.03</v>
      </c>
      <c r="J12" s="64">
        <v>0.19</v>
      </c>
      <c r="K12" s="64">
        <v>290.63</v>
      </c>
      <c r="L12" s="64">
        <v>22.96</v>
      </c>
      <c r="M12" s="64">
        <v>74.569999999999993</v>
      </c>
      <c r="N12" s="64">
        <v>17</v>
      </c>
      <c r="O12" s="64">
        <v>0</v>
      </c>
      <c r="P12" s="64">
        <v>0.48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16" t="s">
        <v>1114</v>
      </c>
      <c r="B13" s="64">
        <v>4.0199999999999996</v>
      </c>
      <c r="C13" s="64">
        <v>18.170000000000002</v>
      </c>
      <c r="D13" s="64">
        <v>12.64</v>
      </c>
      <c r="E13" s="64">
        <v>1.33</v>
      </c>
      <c r="F13" s="64">
        <v>3.64</v>
      </c>
      <c r="G13" s="64">
        <v>34.4</v>
      </c>
      <c r="H13" s="64">
        <v>8</v>
      </c>
      <c r="I13" s="64">
        <v>5.01</v>
      </c>
      <c r="J13" s="64">
        <v>0.1</v>
      </c>
      <c r="K13" s="64">
        <v>333.87</v>
      </c>
      <c r="L13" s="64">
        <v>22.62</v>
      </c>
      <c r="M13" s="64">
        <v>76.23</v>
      </c>
      <c r="N13" s="64">
        <v>16.600000000000001</v>
      </c>
      <c r="O13" s="64">
        <v>0</v>
      </c>
      <c r="P13" s="64">
        <v>0.46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6" t="s">
        <v>1115</v>
      </c>
      <c r="B14" s="64">
        <v>3.59</v>
      </c>
      <c r="C14" s="64">
        <v>17.13</v>
      </c>
      <c r="D14" s="64">
        <v>11.75</v>
      </c>
      <c r="E14" s="64">
        <v>1.27</v>
      </c>
      <c r="F14" s="64">
        <v>3.93</v>
      </c>
      <c r="G14" s="64">
        <v>34.4</v>
      </c>
      <c r="H14" s="64">
        <v>8</v>
      </c>
      <c r="I14" s="64">
        <v>4.9800000000000004</v>
      </c>
      <c r="J14" s="64">
        <v>0.38</v>
      </c>
      <c r="K14" s="64">
        <v>196.67</v>
      </c>
      <c r="L14" s="64">
        <v>23.08</v>
      </c>
      <c r="M14" s="64">
        <v>70.150000000000006</v>
      </c>
      <c r="N14" s="64">
        <v>15.7</v>
      </c>
      <c r="O14" s="64">
        <v>0</v>
      </c>
      <c r="P14" s="64">
        <v>0.47</v>
      </c>
      <c r="Q14" s="64">
        <v>9.52</v>
      </c>
      <c r="R14" s="198"/>
      <c r="S14" s="198"/>
      <c r="T14" s="198"/>
      <c r="U14" s="198"/>
    </row>
    <row r="15" spans="1:21" s="12" customFormat="1" x14ac:dyDescent="0.25">
      <c r="A15" s="216" t="s">
        <v>1116</v>
      </c>
      <c r="B15" s="64">
        <v>3.38</v>
      </c>
      <c r="C15" s="64">
        <v>17.55</v>
      </c>
      <c r="D15" s="64">
        <v>11.8</v>
      </c>
      <c r="E15" s="64">
        <v>1.3</v>
      </c>
      <c r="F15" s="64">
        <v>3.34</v>
      </c>
      <c r="G15" s="64">
        <v>34.4</v>
      </c>
      <c r="H15" s="64">
        <v>8</v>
      </c>
      <c r="I15" s="64">
        <v>4.9800000000000004</v>
      </c>
      <c r="J15" s="64">
        <v>0.43</v>
      </c>
      <c r="K15" s="64">
        <v>161.22999999999999</v>
      </c>
      <c r="L15" s="64">
        <v>23.45</v>
      </c>
      <c r="M15" s="64">
        <v>68.55</v>
      </c>
      <c r="N15" s="64">
        <v>15.7</v>
      </c>
      <c r="O15" s="64">
        <v>0</v>
      </c>
      <c r="P15" s="64">
        <v>0.45</v>
      </c>
      <c r="Q15" s="64">
        <v>9.51</v>
      </c>
      <c r="R15" s="198"/>
      <c r="S15" s="198"/>
      <c r="T15" s="198"/>
      <c r="U15" s="198"/>
    </row>
    <row r="16" spans="1:21" s="12" customFormat="1" x14ac:dyDescent="0.25">
      <c r="A16" s="216" t="s">
        <v>1117</v>
      </c>
      <c r="B16" s="64">
        <v>3.4</v>
      </c>
      <c r="C16" s="64">
        <v>17.13</v>
      </c>
      <c r="D16" s="64">
        <v>11.6</v>
      </c>
      <c r="E16" s="64">
        <v>1.1399999999999999</v>
      </c>
      <c r="F16" s="64">
        <v>3.6</v>
      </c>
      <c r="G16" s="64">
        <v>31.99</v>
      </c>
      <c r="H16" s="64">
        <v>8.36</v>
      </c>
      <c r="I16" s="64">
        <v>4.8</v>
      </c>
      <c r="J16" s="64">
        <v>0.26</v>
      </c>
      <c r="K16" s="64">
        <v>314.83</v>
      </c>
      <c r="L16" s="64">
        <v>23.42</v>
      </c>
      <c r="M16" s="64">
        <v>70.11</v>
      </c>
      <c r="N16" s="64">
        <v>17</v>
      </c>
      <c r="O16" s="64">
        <v>0</v>
      </c>
      <c r="P16" s="64">
        <v>0.44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6" t="s">
        <v>1118</v>
      </c>
      <c r="B17" s="64">
        <v>3.56</v>
      </c>
      <c r="C17" s="64">
        <v>16.829999999999998</v>
      </c>
      <c r="D17" s="64">
        <v>11.57</v>
      </c>
      <c r="E17" s="64">
        <v>1.34</v>
      </c>
      <c r="F17" s="64">
        <v>3.74</v>
      </c>
      <c r="G17" s="64">
        <v>30.3</v>
      </c>
      <c r="H17" s="64">
        <v>8.6199999999999992</v>
      </c>
      <c r="I17" s="64">
        <v>4.63</v>
      </c>
      <c r="J17" s="64">
        <v>0.26</v>
      </c>
      <c r="K17" s="64">
        <v>234.64</v>
      </c>
      <c r="L17" s="64">
        <v>23.18</v>
      </c>
      <c r="M17" s="64">
        <v>69.44</v>
      </c>
      <c r="N17" s="64">
        <v>16.3</v>
      </c>
      <c r="O17" s="64">
        <v>0</v>
      </c>
      <c r="P17" s="64">
        <v>0.44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6" t="s">
        <v>1119</v>
      </c>
      <c r="B18" s="64">
        <v>4.17</v>
      </c>
      <c r="C18" s="64">
        <v>17.61</v>
      </c>
      <c r="D18" s="64">
        <v>12.46</v>
      </c>
      <c r="E18" s="64">
        <v>1.1299999999999999</v>
      </c>
      <c r="F18" s="64">
        <v>3.56</v>
      </c>
      <c r="G18" s="64">
        <v>30.3</v>
      </c>
      <c r="H18" s="64">
        <v>8.6199999999999992</v>
      </c>
      <c r="I18" s="64">
        <v>4.68</v>
      </c>
      <c r="J18" s="64">
        <v>0.13</v>
      </c>
      <c r="K18" s="64">
        <v>295.3</v>
      </c>
      <c r="L18" s="64">
        <v>23.22</v>
      </c>
      <c r="M18" s="64">
        <v>70.489999999999995</v>
      </c>
      <c r="N18" s="64">
        <v>16.8</v>
      </c>
      <c r="O18" s="64">
        <v>0</v>
      </c>
      <c r="P18" s="64">
        <v>0.43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6" t="s">
        <v>1120</v>
      </c>
      <c r="B19" s="64">
        <v>3.82</v>
      </c>
      <c r="C19" s="64">
        <v>16.600000000000001</v>
      </c>
      <c r="D19" s="64">
        <v>11.65</v>
      </c>
      <c r="E19" s="64">
        <v>1.1000000000000001</v>
      </c>
      <c r="F19" s="64">
        <v>3.64</v>
      </c>
      <c r="G19" s="64">
        <v>30.3</v>
      </c>
      <c r="H19" s="64">
        <v>8.6199999999999992</v>
      </c>
      <c r="I19" s="64">
        <v>4.97</v>
      </c>
      <c r="J19" s="64">
        <v>0.14000000000000001</v>
      </c>
      <c r="K19" s="64">
        <v>154.97</v>
      </c>
      <c r="L19" s="64">
        <v>22.99</v>
      </c>
      <c r="M19" s="64">
        <v>69.36</v>
      </c>
      <c r="N19" s="64">
        <v>16.5</v>
      </c>
      <c r="O19" s="64">
        <v>0</v>
      </c>
      <c r="P19" s="64">
        <v>0.42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6" t="s">
        <v>1121</v>
      </c>
      <c r="B20" s="64">
        <v>3.92</v>
      </c>
      <c r="C20" s="64">
        <v>16.43</v>
      </c>
      <c r="D20" s="64">
        <v>11.65</v>
      </c>
      <c r="E20" s="64">
        <v>1.32</v>
      </c>
      <c r="F20" s="64">
        <v>3.69</v>
      </c>
      <c r="G20" s="64">
        <v>28.39</v>
      </c>
      <c r="H20" s="64">
        <v>9.14</v>
      </c>
      <c r="I20" s="64">
        <v>4.88</v>
      </c>
      <c r="J20" s="64">
        <v>0.26</v>
      </c>
      <c r="K20" s="64">
        <v>294.39999999999998</v>
      </c>
      <c r="L20" s="64">
        <v>22.56</v>
      </c>
      <c r="M20" s="64">
        <v>77.36</v>
      </c>
      <c r="N20" s="64">
        <v>17.100000000000001</v>
      </c>
      <c r="O20" s="64">
        <v>0</v>
      </c>
      <c r="P20" s="64">
        <v>0.42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6" t="s">
        <v>1122</v>
      </c>
      <c r="B21" s="64">
        <v>4.28</v>
      </c>
      <c r="C21" s="64">
        <v>16.579999999999998</v>
      </c>
      <c r="D21" s="64">
        <v>12.02</v>
      </c>
      <c r="E21" s="64">
        <v>1.27</v>
      </c>
      <c r="F21" s="64">
        <v>2.88</v>
      </c>
      <c r="G21" s="64">
        <v>27.05</v>
      </c>
      <c r="H21" s="64">
        <v>9.51</v>
      </c>
      <c r="I21" s="64">
        <v>5</v>
      </c>
      <c r="J21" s="64">
        <v>0.11</v>
      </c>
      <c r="K21" s="64">
        <v>248.12</v>
      </c>
      <c r="L21" s="64">
        <v>22.58</v>
      </c>
      <c r="M21" s="64">
        <v>73.84</v>
      </c>
      <c r="N21" s="64">
        <v>16.399999999999999</v>
      </c>
      <c r="O21" s="64">
        <v>0</v>
      </c>
      <c r="P21" s="64">
        <v>0.42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6" t="s">
        <v>1123</v>
      </c>
      <c r="B22" s="64">
        <v>4.49</v>
      </c>
      <c r="C22" s="64">
        <v>16.75</v>
      </c>
      <c r="D22" s="64">
        <v>12.27</v>
      </c>
      <c r="E22" s="64">
        <v>1.48</v>
      </c>
      <c r="F22" s="64">
        <v>3.37</v>
      </c>
      <c r="G22" s="64">
        <v>27.05</v>
      </c>
      <c r="H22" s="64">
        <v>9.51</v>
      </c>
      <c r="I22" s="64">
        <v>5.22</v>
      </c>
      <c r="J22" s="64">
        <v>0.16</v>
      </c>
      <c r="K22" s="64">
        <v>227.04</v>
      </c>
      <c r="L22" s="64">
        <v>22.91</v>
      </c>
      <c r="M22" s="64">
        <v>72.22</v>
      </c>
      <c r="N22" s="64">
        <v>16.2</v>
      </c>
      <c r="O22" s="64">
        <v>0</v>
      </c>
      <c r="P22" s="64">
        <v>0.42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6" t="s">
        <v>1124</v>
      </c>
      <c r="B23" s="64">
        <v>4.3099999999999996</v>
      </c>
      <c r="C23" s="64">
        <v>15.37</v>
      </c>
      <c r="D23" s="64">
        <v>11.41</v>
      </c>
      <c r="E23" s="64">
        <v>1.1399999999999999</v>
      </c>
      <c r="F23" s="64">
        <v>3.55</v>
      </c>
      <c r="G23" s="64">
        <v>27.05</v>
      </c>
      <c r="H23" s="64">
        <v>9.51</v>
      </c>
      <c r="I23" s="64">
        <v>5.55</v>
      </c>
      <c r="J23" s="64">
        <v>0.04</v>
      </c>
      <c r="K23" s="64">
        <v>309.94</v>
      </c>
      <c r="L23" s="64">
        <v>23.01</v>
      </c>
      <c r="M23" s="64">
        <v>71.180000000000007</v>
      </c>
      <c r="N23" s="64">
        <v>16.399999999999999</v>
      </c>
      <c r="O23" s="64">
        <v>0</v>
      </c>
      <c r="P23" s="64">
        <v>0.41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16" t="s">
        <v>1125</v>
      </c>
      <c r="B24" s="64">
        <v>4.17</v>
      </c>
      <c r="C24" s="64">
        <v>15.23</v>
      </c>
      <c r="D24" s="64">
        <v>11.22</v>
      </c>
      <c r="E24" s="64">
        <v>1.27</v>
      </c>
      <c r="F24" s="64">
        <v>3.52</v>
      </c>
      <c r="G24" s="64">
        <v>26.11</v>
      </c>
      <c r="H24" s="64">
        <v>8.15</v>
      </c>
      <c r="I24" s="64">
        <v>5.93</v>
      </c>
      <c r="J24" s="64">
        <v>0.09</v>
      </c>
      <c r="K24" s="64">
        <v>109.33</v>
      </c>
      <c r="L24" s="64">
        <v>22.79</v>
      </c>
      <c r="M24" s="64">
        <v>72.45</v>
      </c>
      <c r="N24" s="64">
        <v>16.399999999999999</v>
      </c>
      <c r="O24" s="64">
        <v>0</v>
      </c>
      <c r="P24" s="64">
        <v>0.4</v>
      </c>
      <c r="Q24" s="64">
        <v>9.51</v>
      </c>
      <c r="R24" s="198"/>
      <c r="S24" s="198"/>
      <c r="T24" s="198"/>
      <c r="U24" s="198"/>
    </row>
    <row r="25" spans="1:21" s="12" customFormat="1" x14ac:dyDescent="0.25">
      <c r="A25" s="216" t="s">
        <v>1126</v>
      </c>
      <c r="B25" s="64">
        <v>4.04</v>
      </c>
      <c r="C25" s="64">
        <v>15.6</v>
      </c>
      <c r="D25" s="64">
        <v>11.31</v>
      </c>
      <c r="E25" s="64">
        <v>1.52</v>
      </c>
      <c r="F25" s="64">
        <v>3.73</v>
      </c>
      <c r="G25" s="64">
        <v>25.45</v>
      </c>
      <c r="H25" s="64">
        <v>7.21</v>
      </c>
      <c r="I25" s="64">
        <v>6.02</v>
      </c>
      <c r="J25" s="64">
        <v>0.14000000000000001</v>
      </c>
      <c r="K25" s="64">
        <v>169.56</v>
      </c>
      <c r="L25" s="64">
        <v>22.57</v>
      </c>
      <c r="M25" s="64">
        <v>73.23</v>
      </c>
      <c r="N25" s="64">
        <v>16.5</v>
      </c>
      <c r="O25" s="64">
        <v>0</v>
      </c>
      <c r="P25" s="64">
        <v>0.4</v>
      </c>
      <c r="Q25" s="64">
        <v>9.52</v>
      </c>
      <c r="R25" s="198"/>
      <c r="S25" s="198"/>
      <c r="T25" s="198"/>
      <c r="U25" s="198"/>
    </row>
    <row r="26" spans="1:21" s="12" customFormat="1" x14ac:dyDescent="0.25">
      <c r="A26" s="216" t="s">
        <v>1127</v>
      </c>
      <c r="B26" s="64">
        <v>3.96</v>
      </c>
      <c r="C26" s="64">
        <v>16.09</v>
      </c>
      <c r="D26" s="64">
        <v>11.5</v>
      </c>
      <c r="E26" s="64">
        <v>1.36</v>
      </c>
      <c r="F26" s="64">
        <v>3.14</v>
      </c>
      <c r="G26" s="64">
        <v>25.45</v>
      </c>
      <c r="H26" s="64">
        <v>7.21</v>
      </c>
      <c r="I26" s="64">
        <v>5.91</v>
      </c>
      <c r="J26" s="64">
        <v>0.17</v>
      </c>
      <c r="K26" s="64">
        <v>17.510000000000002</v>
      </c>
      <c r="L26" s="64">
        <v>22.57</v>
      </c>
      <c r="M26" s="64">
        <v>74.3</v>
      </c>
      <c r="N26" s="64">
        <v>16.8</v>
      </c>
      <c r="O26" s="64">
        <v>0</v>
      </c>
      <c r="P26" s="64">
        <v>0.39</v>
      </c>
      <c r="Q26" s="64">
        <v>9.5299999999999994</v>
      </c>
      <c r="R26" s="198"/>
      <c r="S26" s="198"/>
      <c r="T26" s="198"/>
      <c r="U26" s="198"/>
    </row>
    <row r="27" spans="1:21" s="12" customFormat="1" x14ac:dyDescent="0.25">
      <c r="A27" s="216" t="s">
        <v>1128</v>
      </c>
      <c r="B27" s="64">
        <v>4.05</v>
      </c>
      <c r="C27" s="64">
        <v>15.41</v>
      </c>
      <c r="D27" s="64">
        <v>11.22</v>
      </c>
      <c r="E27" s="64">
        <v>1.4</v>
      </c>
      <c r="F27" s="64">
        <v>3.73</v>
      </c>
      <c r="G27" s="64">
        <v>25.45</v>
      </c>
      <c r="H27" s="64">
        <v>7.21</v>
      </c>
      <c r="I27" s="64">
        <v>5.8</v>
      </c>
      <c r="J27" s="64">
        <v>0.25</v>
      </c>
      <c r="K27" s="64">
        <v>299.83</v>
      </c>
      <c r="L27" s="64">
        <v>22.21</v>
      </c>
      <c r="M27" s="64">
        <v>77.08</v>
      </c>
      <c r="N27" s="64">
        <v>16.8</v>
      </c>
      <c r="O27" s="64">
        <v>0</v>
      </c>
      <c r="P27" s="64">
        <v>0.39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6" t="s">
        <v>1129</v>
      </c>
      <c r="B28" s="64">
        <v>4.42</v>
      </c>
      <c r="C28" s="64">
        <v>15.84</v>
      </c>
      <c r="D28" s="64">
        <v>11.74</v>
      </c>
      <c r="E28" s="64">
        <v>1.44</v>
      </c>
      <c r="F28" s="64">
        <v>3.92</v>
      </c>
      <c r="G28" s="64">
        <v>24.89</v>
      </c>
      <c r="H28" s="64">
        <v>6.81</v>
      </c>
      <c r="I28" s="64">
        <v>5.71</v>
      </c>
      <c r="J28" s="64">
        <v>0.21</v>
      </c>
      <c r="K28" s="64">
        <v>39.42</v>
      </c>
      <c r="L28" s="64">
        <v>22.08</v>
      </c>
      <c r="M28" s="64">
        <v>78.010000000000005</v>
      </c>
      <c r="N28" s="64">
        <v>16.8</v>
      </c>
      <c r="O28" s="64">
        <v>0</v>
      </c>
      <c r="P28" s="64">
        <v>0.39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16" t="s">
        <v>1130</v>
      </c>
      <c r="B29" s="64">
        <v>4.54</v>
      </c>
      <c r="C29" s="64">
        <v>15.22</v>
      </c>
      <c r="D29" s="64">
        <v>11.52</v>
      </c>
      <c r="E29" s="64">
        <v>1.52</v>
      </c>
      <c r="F29" s="64">
        <v>3.56</v>
      </c>
      <c r="G29" s="64">
        <v>24.5</v>
      </c>
      <c r="H29" s="64">
        <v>6.53</v>
      </c>
      <c r="I29" s="64">
        <v>5.57</v>
      </c>
      <c r="J29" s="64">
        <v>0.06</v>
      </c>
      <c r="K29" s="64">
        <v>236.97</v>
      </c>
      <c r="L29" s="64">
        <v>22.16</v>
      </c>
      <c r="M29" s="64">
        <v>76.81</v>
      </c>
      <c r="N29" s="64">
        <v>17.399999999999999</v>
      </c>
      <c r="O29" s="64">
        <v>0</v>
      </c>
      <c r="P29" s="64">
        <v>0.39</v>
      </c>
      <c r="Q29" s="64">
        <v>9.51</v>
      </c>
      <c r="R29" s="198"/>
      <c r="S29" s="198"/>
      <c r="T29" s="198"/>
      <c r="U29" s="198"/>
    </row>
    <row r="30" spans="1:21" s="12" customFormat="1" x14ac:dyDescent="0.25">
      <c r="A30" s="216" t="s">
        <v>1131</v>
      </c>
      <c r="B30" s="64">
        <v>4.97</v>
      </c>
      <c r="C30" s="64">
        <v>15.48</v>
      </c>
      <c r="D30" s="64">
        <v>11.99</v>
      </c>
      <c r="E30" s="64">
        <v>1.19</v>
      </c>
      <c r="F30" s="64">
        <v>3.47</v>
      </c>
      <c r="G30" s="64">
        <v>24.5</v>
      </c>
      <c r="H30" s="64">
        <v>6.53</v>
      </c>
      <c r="I30" s="64">
        <v>5.46</v>
      </c>
      <c r="J30" s="64">
        <v>0.22</v>
      </c>
      <c r="K30" s="64">
        <v>277.44</v>
      </c>
      <c r="L30" s="64">
        <v>21.99</v>
      </c>
      <c r="M30" s="64">
        <v>77.31</v>
      </c>
      <c r="N30" s="64">
        <v>22.8</v>
      </c>
      <c r="O30" s="64">
        <v>0</v>
      </c>
      <c r="P30" s="64">
        <v>0.38</v>
      </c>
      <c r="Q30" s="64">
        <v>9.49</v>
      </c>
      <c r="R30" s="198"/>
      <c r="S30" s="198"/>
      <c r="T30" s="198"/>
      <c r="U30" s="198"/>
    </row>
    <row r="31" spans="1:21" s="12" customFormat="1" x14ac:dyDescent="0.25">
      <c r="A31" s="216" t="s">
        <v>1132</v>
      </c>
      <c r="B31" s="64">
        <v>5.23</v>
      </c>
      <c r="C31" s="64">
        <v>15.95</v>
      </c>
      <c r="D31" s="64">
        <v>12.44</v>
      </c>
      <c r="E31" s="64">
        <v>1.2</v>
      </c>
      <c r="F31" s="64">
        <v>3.71</v>
      </c>
      <c r="G31" s="64">
        <v>24.5</v>
      </c>
      <c r="H31" s="64">
        <v>6.53</v>
      </c>
      <c r="I31" s="64">
        <v>5.49</v>
      </c>
      <c r="J31" s="64">
        <v>0.02</v>
      </c>
      <c r="K31" s="64">
        <v>316.29000000000002</v>
      </c>
      <c r="L31" s="64">
        <v>22.36</v>
      </c>
      <c r="M31" s="64">
        <v>73.89</v>
      </c>
      <c r="N31" s="64">
        <v>35.799999999999997</v>
      </c>
      <c r="O31" s="64">
        <v>0</v>
      </c>
      <c r="P31" s="64">
        <v>0.39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6" t="s">
        <v>1133</v>
      </c>
      <c r="B32" s="64">
        <v>5.38</v>
      </c>
      <c r="C32" s="64">
        <v>16.100000000000001</v>
      </c>
      <c r="D32" s="64">
        <v>12.64</v>
      </c>
      <c r="E32" s="64">
        <v>1.2</v>
      </c>
      <c r="F32" s="64">
        <v>3.5</v>
      </c>
      <c r="G32" s="64">
        <v>26.32</v>
      </c>
      <c r="H32" s="64">
        <v>7.96</v>
      </c>
      <c r="I32" s="64">
        <v>5.44</v>
      </c>
      <c r="J32" s="64">
        <v>0.13</v>
      </c>
      <c r="K32" s="64">
        <v>298.61</v>
      </c>
      <c r="L32" s="64">
        <v>22.91</v>
      </c>
      <c r="M32" s="64">
        <v>74.34</v>
      </c>
      <c r="N32" s="64">
        <v>60</v>
      </c>
      <c r="O32" s="64">
        <v>0</v>
      </c>
      <c r="P32" s="64">
        <v>0.39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6" t="s">
        <v>1134</v>
      </c>
      <c r="B33" s="64">
        <v>5.65</v>
      </c>
      <c r="C33" s="64">
        <v>16.809999999999999</v>
      </c>
      <c r="D33" s="64">
        <v>13.24</v>
      </c>
      <c r="E33" s="64">
        <v>1.41</v>
      </c>
      <c r="F33" s="64">
        <v>3.48</v>
      </c>
      <c r="G33" s="64">
        <v>27.59</v>
      </c>
      <c r="H33" s="64">
        <v>8.9600000000000009</v>
      </c>
      <c r="I33" s="64">
        <v>5.36</v>
      </c>
      <c r="J33" s="64">
        <v>0.25</v>
      </c>
      <c r="K33" s="64">
        <v>331.77</v>
      </c>
      <c r="L33" s="64">
        <v>23.75</v>
      </c>
      <c r="M33" s="64">
        <v>70.569999999999993</v>
      </c>
      <c r="N33" s="64">
        <v>94.5</v>
      </c>
      <c r="O33" s="64">
        <v>0</v>
      </c>
      <c r="P33" s="64">
        <v>0.4</v>
      </c>
      <c r="Q33" s="64">
        <v>9.52</v>
      </c>
      <c r="R33" s="198"/>
      <c r="S33" s="198"/>
      <c r="T33" s="198"/>
      <c r="U33" s="198"/>
    </row>
    <row r="34" spans="1:21" s="12" customFormat="1" x14ac:dyDescent="0.25">
      <c r="A34" s="216" t="s">
        <v>1135</v>
      </c>
      <c r="B34" s="64">
        <v>5.86</v>
      </c>
      <c r="C34" s="64">
        <v>16.3</v>
      </c>
      <c r="D34" s="64">
        <v>13.14</v>
      </c>
      <c r="E34" s="64">
        <v>1.6</v>
      </c>
      <c r="F34" s="64">
        <v>3.35</v>
      </c>
      <c r="G34" s="64">
        <v>27.59</v>
      </c>
      <c r="H34" s="64">
        <v>8.9600000000000009</v>
      </c>
      <c r="I34" s="64">
        <v>5.36</v>
      </c>
      <c r="J34" s="64">
        <v>0.28999999999999998</v>
      </c>
      <c r="K34" s="64">
        <v>306.82</v>
      </c>
      <c r="L34" s="64">
        <v>25.22</v>
      </c>
      <c r="M34" s="64">
        <v>66.67</v>
      </c>
      <c r="N34" s="64">
        <v>140.80000000000001</v>
      </c>
      <c r="O34" s="64">
        <v>0</v>
      </c>
      <c r="P34" s="64">
        <v>0.4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6" t="s">
        <v>1136</v>
      </c>
      <c r="B35" s="64">
        <v>6.3</v>
      </c>
      <c r="C35" s="64">
        <v>16.260000000000002</v>
      </c>
      <c r="D35" s="64">
        <v>13.46</v>
      </c>
      <c r="E35" s="64">
        <v>1.2</v>
      </c>
      <c r="F35" s="64">
        <v>3.43</v>
      </c>
      <c r="G35" s="64">
        <v>27.59</v>
      </c>
      <c r="H35" s="64">
        <v>8.9600000000000009</v>
      </c>
      <c r="I35" s="64">
        <v>5.45</v>
      </c>
      <c r="J35" s="64">
        <v>0.32</v>
      </c>
      <c r="K35" s="64">
        <v>312.93</v>
      </c>
      <c r="L35" s="64">
        <v>26.68</v>
      </c>
      <c r="M35" s="64">
        <v>60.55</v>
      </c>
      <c r="N35" s="64">
        <v>183.2</v>
      </c>
      <c r="O35" s="64">
        <v>0</v>
      </c>
      <c r="P35" s="64">
        <v>0.41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6" t="s">
        <v>1137</v>
      </c>
      <c r="B36" s="64">
        <v>6.57</v>
      </c>
      <c r="C36" s="64">
        <v>16.059999999999999</v>
      </c>
      <c r="D36" s="64">
        <v>13.58</v>
      </c>
      <c r="E36" s="64">
        <v>1.44</v>
      </c>
      <c r="F36" s="64">
        <v>3.12</v>
      </c>
      <c r="G36" s="64">
        <v>35.840000000000003</v>
      </c>
      <c r="H36" s="64">
        <v>9.5299999999999994</v>
      </c>
      <c r="I36" s="64">
        <v>5.68</v>
      </c>
      <c r="J36" s="64">
        <v>0.11</v>
      </c>
      <c r="K36" s="64">
        <v>339.96</v>
      </c>
      <c r="L36" s="64">
        <v>27.14</v>
      </c>
      <c r="M36" s="64">
        <v>57.94</v>
      </c>
      <c r="N36" s="64">
        <v>228.6</v>
      </c>
      <c r="O36" s="64">
        <v>0</v>
      </c>
      <c r="P36" s="64">
        <v>0.42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6" t="s">
        <v>1138</v>
      </c>
      <c r="B37" s="64">
        <v>7.33</v>
      </c>
      <c r="C37" s="64">
        <v>16.600000000000001</v>
      </c>
      <c r="D37" s="64">
        <v>14.47</v>
      </c>
      <c r="E37" s="64">
        <v>1.68</v>
      </c>
      <c r="F37" s="64">
        <v>3.32</v>
      </c>
      <c r="G37" s="64">
        <v>41.61</v>
      </c>
      <c r="H37" s="64">
        <v>9.93</v>
      </c>
      <c r="I37" s="64">
        <v>5.84</v>
      </c>
      <c r="J37" s="64">
        <v>0.15</v>
      </c>
      <c r="K37" s="64">
        <v>283.11</v>
      </c>
      <c r="L37" s="64">
        <v>27.35</v>
      </c>
      <c r="M37" s="64">
        <v>56.11</v>
      </c>
      <c r="N37" s="64">
        <v>303.89999999999998</v>
      </c>
      <c r="O37" s="64">
        <v>0</v>
      </c>
      <c r="P37" s="64">
        <v>0.41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6" t="s">
        <v>1139</v>
      </c>
      <c r="B38" s="64">
        <v>7.7</v>
      </c>
      <c r="C38" s="64">
        <v>16.84</v>
      </c>
      <c r="D38" s="64">
        <v>14.89</v>
      </c>
      <c r="E38" s="64">
        <v>1.86</v>
      </c>
      <c r="F38" s="64">
        <v>3.61</v>
      </c>
      <c r="G38" s="64">
        <v>41.61</v>
      </c>
      <c r="H38" s="64">
        <v>9.93</v>
      </c>
      <c r="I38" s="64">
        <v>6.07</v>
      </c>
      <c r="J38" s="64">
        <v>0.21</v>
      </c>
      <c r="K38" s="64">
        <v>329.61</v>
      </c>
      <c r="L38" s="64">
        <v>27.96</v>
      </c>
      <c r="M38" s="64">
        <v>54.55</v>
      </c>
      <c r="N38" s="64">
        <v>376.7</v>
      </c>
      <c r="O38" s="64">
        <v>0</v>
      </c>
      <c r="P38" s="64">
        <v>0.43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16" t="s">
        <v>1140</v>
      </c>
      <c r="B39" s="64">
        <v>7.4</v>
      </c>
      <c r="C39" s="64">
        <v>17.29</v>
      </c>
      <c r="D39" s="64">
        <v>14.88</v>
      </c>
      <c r="E39" s="64">
        <v>1.57</v>
      </c>
      <c r="F39" s="64">
        <v>3.92</v>
      </c>
      <c r="G39" s="64">
        <v>41.61</v>
      </c>
      <c r="H39" s="64">
        <v>9.93</v>
      </c>
      <c r="I39" s="64">
        <v>6.42</v>
      </c>
      <c r="J39" s="64">
        <v>0.2</v>
      </c>
      <c r="K39" s="64">
        <v>328.26</v>
      </c>
      <c r="L39" s="64">
        <v>28.55</v>
      </c>
      <c r="M39" s="64">
        <v>52.16</v>
      </c>
      <c r="N39" s="64">
        <v>475.5</v>
      </c>
      <c r="O39" s="64">
        <v>0</v>
      </c>
      <c r="P39" s="64">
        <v>0.43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6" t="s">
        <v>1141</v>
      </c>
      <c r="B40" s="64">
        <v>6.12</v>
      </c>
      <c r="C40" s="64">
        <v>16.68</v>
      </c>
      <c r="D40" s="64">
        <v>13.55</v>
      </c>
      <c r="E40" s="64">
        <v>1.74</v>
      </c>
      <c r="F40" s="64">
        <v>3.53</v>
      </c>
      <c r="G40" s="64">
        <v>40.69</v>
      </c>
      <c r="H40" s="64">
        <v>10.78</v>
      </c>
      <c r="I40" s="64">
        <v>6.64</v>
      </c>
      <c r="J40" s="64">
        <v>0.23</v>
      </c>
      <c r="K40" s="64">
        <v>350.44</v>
      </c>
      <c r="L40" s="64">
        <v>30.11</v>
      </c>
      <c r="M40" s="64">
        <v>47.57</v>
      </c>
      <c r="N40" s="64">
        <v>537.70000000000005</v>
      </c>
      <c r="O40" s="64">
        <v>0</v>
      </c>
      <c r="P40" s="64">
        <v>0.43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6" t="s">
        <v>1142</v>
      </c>
      <c r="B41" s="64">
        <v>6.1</v>
      </c>
      <c r="C41" s="64">
        <v>18.57</v>
      </c>
      <c r="D41" s="64">
        <v>14.51</v>
      </c>
      <c r="E41" s="64">
        <v>2.11</v>
      </c>
      <c r="F41" s="64">
        <v>3.88</v>
      </c>
      <c r="G41" s="64">
        <v>40.049999999999997</v>
      </c>
      <c r="H41" s="64">
        <v>11.38</v>
      </c>
      <c r="I41" s="64">
        <v>6.6</v>
      </c>
      <c r="J41" s="64">
        <v>0.23</v>
      </c>
      <c r="K41" s="64">
        <v>176.26</v>
      </c>
      <c r="L41" s="64">
        <v>29.38</v>
      </c>
      <c r="M41" s="64">
        <v>50.66</v>
      </c>
      <c r="N41" s="64">
        <v>553.5</v>
      </c>
      <c r="O41" s="64">
        <v>0</v>
      </c>
      <c r="P41" s="64">
        <v>0.44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6" t="s">
        <v>1143</v>
      </c>
      <c r="B42" s="64">
        <v>4.92</v>
      </c>
      <c r="C42" s="64">
        <v>17.920000000000002</v>
      </c>
      <c r="D42" s="64">
        <v>13.23</v>
      </c>
      <c r="E42" s="64">
        <v>2.2400000000000002</v>
      </c>
      <c r="F42" s="64">
        <v>4.09</v>
      </c>
      <c r="G42" s="64">
        <v>40.049999999999997</v>
      </c>
      <c r="H42" s="64">
        <v>11.38</v>
      </c>
      <c r="I42" s="64">
        <v>6.51</v>
      </c>
      <c r="J42" s="64">
        <v>0.55000000000000004</v>
      </c>
      <c r="K42" s="64">
        <v>157.33000000000001</v>
      </c>
      <c r="L42" s="64">
        <v>28.01</v>
      </c>
      <c r="M42" s="64">
        <v>55.17</v>
      </c>
      <c r="N42" s="64">
        <v>573.29999999999995</v>
      </c>
      <c r="O42" s="64">
        <v>0</v>
      </c>
      <c r="P42" s="64">
        <v>0.44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6" t="s">
        <v>1144</v>
      </c>
      <c r="B43" s="64">
        <v>3.94</v>
      </c>
      <c r="C43" s="64">
        <v>18.079999999999998</v>
      </c>
      <c r="D43" s="64">
        <v>12.52</v>
      </c>
      <c r="E43" s="64">
        <v>2.4700000000000002</v>
      </c>
      <c r="F43" s="64">
        <v>3.96</v>
      </c>
      <c r="G43" s="64">
        <v>40.049999999999997</v>
      </c>
      <c r="H43" s="64">
        <v>11.38</v>
      </c>
      <c r="I43" s="64">
        <v>6.47</v>
      </c>
      <c r="J43" s="64">
        <v>0.2</v>
      </c>
      <c r="K43" s="64">
        <v>179.61</v>
      </c>
      <c r="L43" s="64">
        <v>28.32</v>
      </c>
      <c r="M43" s="64">
        <v>53.64</v>
      </c>
      <c r="N43" s="64">
        <v>632.4</v>
      </c>
      <c r="O43" s="64">
        <v>0</v>
      </c>
      <c r="P43" s="64">
        <v>0.44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6" t="s">
        <v>1145</v>
      </c>
      <c r="B44" s="64">
        <v>2.84</v>
      </c>
      <c r="C44" s="64">
        <v>18.809999999999999</v>
      </c>
      <c r="D44" s="64">
        <v>12.03</v>
      </c>
      <c r="E44" s="64">
        <v>2.3199999999999998</v>
      </c>
      <c r="F44" s="64">
        <v>3.95</v>
      </c>
      <c r="G44" s="64">
        <v>41.97</v>
      </c>
      <c r="H44" s="64">
        <v>12.1</v>
      </c>
      <c r="I44" s="64">
        <v>6.41</v>
      </c>
      <c r="J44" s="64">
        <v>0.02</v>
      </c>
      <c r="K44" s="64">
        <v>332.81</v>
      </c>
      <c r="L44" s="64">
        <v>29.85</v>
      </c>
      <c r="M44" s="64">
        <v>49.64</v>
      </c>
      <c r="N44" s="64">
        <v>688.6</v>
      </c>
      <c r="O44" s="64">
        <v>0</v>
      </c>
      <c r="P44" s="64">
        <v>0.44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6" t="s">
        <v>1146</v>
      </c>
      <c r="B45" s="64">
        <v>1.83</v>
      </c>
      <c r="C45" s="64">
        <v>18.309999999999999</v>
      </c>
      <c r="D45" s="64">
        <v>10.96</v>
      </c>
      <c r="E45" s="64">
        <v>2.25</v>
      </c>
      <c r="F45" s="64">
        <v>4.78</v>
      </c>
      <c r="G45" s="64">
        <v>43.31</v>
      </c>
      <c r="H45" s="64">
        <v>12.6</v>
      </c>
      <c r="I45" s="64">
        <v>6.36</v>
      </c>
      <c r="J45" s="64">
        <v>0.21</v>
      </c>
      <c r="K45" s="64">
        <v>319.13</v>
      </c>
      <c r="L45" s="64">
        <v>29.78</v>
      </c>
      <c r="M45" s="64">
        <v>50.05</v>
      </c>
      <c r="N45" s="64">
        <v>733.7</v>
      </c>
      <c r="O45" s="64">
        <v>0</v>
      </c>
      <c r="P45" s="64">
        <v>0.43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6" t="s">
        <v>1147</v>
      </c>
      <c r="B46" s="64">
        <v>1.1000000000000001</v>
      </c>
      <c r="C46" s="64">
        <v>19.100000000000001</v>
      </c>
      <c r="D46" s="64">
        <v>10.78</v>
      </c>
      <c r="E46" s="64">
        <v>2.42</v>
      </c>
      <c r="F46" s="64">
        <v>5.41</v>
      </c>
      <c r="G46" s="64">
        <v>43.31</v>
      </c>
      <c r="H46" s="64">
        <v>12.6</v>
      </c>
      <c r="I46" s="64">
        <v>6.28</v>
      </c>
      <c r="J46" s="64">
        <v>0.12</v>
      </c>
      <c r="K46" s="64">
        <v>332.29</v>
      </c>
      <c r="L46" s="64">
        <v>30.3</v>
      </c>
      <c r="M46" s="64">
        <v>48.36</v>
      </c>
      <c r="N46" s="64">
        <v>760</v>
      </c>
      <c r="O46" s="64">
        <v>0</v>
      </c>
      <c r="P46" s="64">
        <v>0.42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6" t="s">
        <v>1148</v>
      </c>
      <c r="B47" s="64">
        <v>0.34</v>
      </c>
      <c r="C47" s="64">
        <v>18.86</v>
      </c>
      <c r="D47" s="64">
        <v>10.050000000000001</v>
      </c>
      <c r="E47" s="64">
        <v>2.44</v>
      </c>
      <c r="F47" s="64">
        <v>5.94</v>
      </c>
      <c r="G47" s="64">
        <v>43.31</v>
      </c>
      <c r="H47" s="64">
        <v>12.6</v>
      </c>
      <c r="I47" s="64">
        <v>6</v>
      </c>
      <c r="J47" s="64">
        <v>0.36</v>
      </c>
      <c r="K47" s="64">
        <v>359.04</v>
      </c>
      <c r="L47" s="64">
        <v>30.43</v>
      </c>
      <c r="M47" s="64">
        <v>48.84</v>
      </c>
      <c r="N47" s="64">
        <v>792</v>
      </c>
      <c r="O47" s="64">
        <v>0</v>
      </c>
      <c r="P47" s="64">
        <v>0.4</v>
      </c>
      <c r="Q47" s="64">
        <v>9.51</v>
      </c>
      <c r="R47" s="198"/>
      <c r="S47" s="198"/>
      <c r="T47" s="198"/>
      <c r="U47" s="198"/>
    </row>
    <row r="48" spans="1:21" s="12" customFormat="1" x14ac:dyDescent="0.25">
      <c r="A48" s="216" t="s">
        <v>1149</v>
      </c>
      <c r="B48" s="64">
        <v>0.16</v>
      </c>
      <c r="C48" s="64">
        <v>18</v>
      </c>
      <c r="D48" s="64">
        <v>9.4499999999999993</v>
      </c>
      <c r="E48" s="64">
        <v>2.52</v>
      </c>
      <c r="F48" s="64">
        <v>7.21</v>
      </c>
      <c r="G48" s="64">
        <v>39.93</v>
      </c>
      <c r="H48" s="64">
        <v>11.95</v>
      </c>
      <c r="I48" s="64">
        <v>5.49</v>
      </c>
      <c r="J48" s="64">
        <v>0.23</v>
      </c>
      <c r="K48" s="64">
        <v>19.579999999999998</v>
      </c>
      <c r="L48" s="64">
        <v>31.27</v>
      </c>
      <c r="M48" s="64">
        <v>46.87</v>
      </c>
      <c r="N48" s="64">
        <v>817.1</v>
      </c>
      <c r="O48" s="64">
        <v>0</v>
      </c>
      <c r="P48" s="64">
        <v>0.39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6" t="s">
        <v>1150</v>
      </c>
      <c r="B49" s="64">
        <v>0.1</v>
      </c>
      <c r="C49" s="64">
        <v>16.36</v>
      </c>
      <c r="D49" s="64">
        <v>8.5500000000000007</v>
      </c>
      <c r="E49" s="64">
        <v>2.25</v>
      </c>
      <c r="F49" s="64">
        <v>6.05</v>
      </c>
      <c r="G49" s="64">
        <v>37.56</v>
      </c>
      <c r="H49" s="64">
        <v>11.5</v>
      </c>
      <c r="I49" s="64">
        <v>4.96</v>
      </c>
      <c r="J49" s="64">
        <v>0.24</v>
      </c>
      <c r="K49" s="64">
        <v>4.22</v>
      </c>
      <c r="L49" s="64">
        <v>31.3</v>
      </c>
      <c r="M49" s="64">
        <v>47.14</v>
      </c>
      <c r="N49" s="64">
        <v>854.3</v>
      </c>
      <c r="O49" s="64">
        <v>0</v>
      </c>
      <c r="P49" s="64">
        <v>0.38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16" t="s">
        <v>1151</v>
      </c>
      <c r="B50" s="64">
        <v>0.1</v>
      </c>
      <c r="C50" s="64">
        <v>15.01</v>
      </c>
      <c r="D50" s="64">
        <v>7.84</v>
      </c>
      <c r="E50" s="64">
        <v>2.52</v>
      </c>
      <c r="F50" s="64">
        <v>11.66</v>
      </c>
      <c r="G50" s="64">
        <v>37.56</v>
      </c>
      <c r="H50" s="64">
        <v>11.5</v>
      </c>
      <c r="I50" s="64">
        <v>4.42</v>
      </c>
      <c r="J50" s="64">
        <v>0.24</v>
      </c>
      <c r="K50" s="64">
        <v>220.46</v>
      </c>
      <c r="L50" s="64">
        <v>30.75</v>
      </c>
      <c r="M50" s="64">
        <v>48.35</v>
      </c>
      <c r="N50" s="64">
        <v>891.2</v>
      </c>
      <c r="O50" s="64">
        <v>0</v>
      </c>
      <c r="P50" s="64">
        <v>0.35</v>
      </c>
      <c r="Q50" s="64">
        <v>9.41</v>
      </c>
      <c r="R50" s="198"/>
      <c r="S50" s="198"/>
      <c r="T50" s="198"/>
      <c r="U50" s="198"/>
    </row>
    <row r="51" spans="1:21" s="12" customFormat="1" x14ac:dyDescent="0.25">
      <c r="A51" s="216" t="s">
        <v>1152</v>
      </c>
      <c r="B51" s="64">
        <v>0.1</v>
      </c>
      <c r="C51" s="64">
        <v>10.34</v>
      </c>
      <c r="D51" s="64">
        <v>5.4</v>
      </c>
      <c r="E51" s="64">
        <v>3.03</v>
      </c>
      <c r="F51" s="64">
        <v>26.72</v>
      </c>
      <c r="G51" s="64">
        <v>37.56</v>
      </c>
      <c r="H51" s="64">
        <v>11.5</v>
      </c>
      <c r="I51" s="64">
        <v>4.03</v>
      </c>
      <c r="J51" s="64">
        <v>0.15</v>
      </c>
      <c r="K51" s="64">
        <v>210.37</v>
      </c>
      <c r="L51" s="64">
        <v>31.36</v>
      </c>
      <c r="M51" s="64">
        <v>47.37</v>
      </c>
      <c r="N51" s="64">
        <v>916.4</v>
      </c>
      <c r="O51" s="64">
        <v>0</v>
      </c>
      <c r="P51" s="64">
        <v>0.28000000000000003</v>
      </c>
      <c r="Q51" s="64">
        <v>9.35</v>
      </c>
      <c r="R51" s="198"/>
      <c r="S51" s="198"/>
      <c r="T51" s="198"/>
      <c r="U51" s="198"/>
    </row>
    <row r="52" spans="1:21" s="12" customFormat="1" x14ac:dyDescent="0.25">
      <c r="A52" s="216" t="s">
        <v>1153</v>
      </c>
      <c r="B52" s="64">
        <v>0.1</v>
      </c>
      <c r="C52" s="64">
        <v>6.41</v>
      </c>
      <c r="D52" s="64">
        <v>3.35</v>
      </c>
      <c r="E52" s="64">
        <v>2.77</v>
      </c>
      <c r="F52" s="64">
        <v>19.91</v>
      </c>
      <c r="G52" s="64">
        <v>30.01</v>
      </c>
      <c r="H52" s="64">
        <v>10.77</v>
      </c>
      <c r="I52" s="64">
        <v>3.34</v>
      </c>
      <c r="J52" s="64">
        <v>0.39</v>
      </c>
      <c r="K52" s="64">
        <v>329.89</v>
      </c>
      <c r="L52" s="64">
        <v>32.869999999999997</v>
      </c>
      <c r="M52" s="64">
        <v>44.36</v>
      </c>
      <c r="N52" s="64">
        <v>934.3</v>
      </c>
      <c r="O52" s="64">
        <v>0</v>
      </c>
      <c r="P52" s="64">
        <v>0.25</v>
      </c>
      <c r="Q52" s="64">
        <v>9.32</v>
      </c>
      <c r="R52" s="198"/>
      <c r="S52" s="198"/>
      <c r="T52" s="198"/>
      <c r="U52" s="198"/>
    </row>
    <row r="53" spans="1:21" s="12" customFormat="1" x14ac:dyDescent="0.25">
      <c r="A53" s="216" t="s">
        <v>1154</v>
      </c>
      <c r="B53" s="64">
        <v>0.1</v>
      </c>
      <c r="C53" s="64">
        <v>5.7</v>
      </c>
      <c r="D53" s="64">
        <v>2.98</v>
      </c>
      <c r="E53" s="64">
        <v>2.33</v>
      </c>
      <c r="F53" s="64">
        <v>10.32</v>
      </c>
      <c r="G53" s="64">
        <v>24.74</v>
      </c>
      <c r="H53" s="64">
        <v>10.25</v>
      </c>
      <c r="I53" s="64">
        <v>1.86</v>
      </c>
      <c r="J53" s="64">
        <v>0.4</v>
      </c>
      <c r="K53" s="64">
        <v>337.9</v>
      </c>
      <c r="L53" s="64">
        <v>32.83</v>
      </c>
      <c r="M53" s="64">
        <v>44.12</v>
      </c>
      <c r="N53" s="64">
        <v>954.7</v>
      </c>
      <c r="O53" s="64">
        <v>0</v>
      </c>
      <c r="P53" s="64">
        <v>0.25</v>
      </c>
      <c r="Q53" s="64">
        <v>9.35</v>
      </c>
      <c r="R53" s="198"/>
      <c r="S53" s="198"/>
      <c r="T53" s="198"/>
      <c r="U53" s="198"/>
    </row>
    <row r="54" spans="1:21" s="12" customFormat="1" x14ac:dyDescent="0.25">
      <c r="A54" s="216" t="s">
        <v>1155</v>
      </c>
      <c r="B54" s="64">
        <v>0.1</v>
      </c>
      <c r="C54" s="64">
        <v>5.75</v>
      </c>
      <c r="D54" s="64">
        <v>3</v>
      </c>
      <c r="E54" s="64">
        <v>2.2999999999999998</v>
      </c>
      <c r="F54" s="64">
        <v>8.34</v>
      </c>
      <c r="G54" s="64">
        <v>24.74</v>
      </c>
      <c r="H54" s="64">
        <v>10.25</v>
      </c>
      <c r="I54" s="64">
        <v>1.39</v>
      </c>
      <c r="J54" s="64">
        <v>0.33</v>
      </c>
      <c r="K54" s="64">
        <v>328.65</v>
      </c>
      <c r="L54" s="64">
        <v>33.229999999999997</v>
      </c>
      <c r="M54" s="64">
        <v>43.84</v>
      </c>
      <c r="N54" s="64">
        <v>959.8</v>
      </c>
      <c r="O54" s="64">
        <v>0</v>
      </c>
      <c r="P54" s="64">
        <v>0.26</v>
      </c>
      <c r="Q54" s="64">
        <v>9.35</v>
      </c>
      <c r="R54" s="198"/>
      <c r="S54" s="198"/>
      <c r="T54" s="198"/>
      <c r="U54" s="198"/>
    </row>
    <row r="55" spans="1:21" s="12" customFormat="1" x14ac:dyDescent="0.25">
      <c r="A55" s="216" t="s">
        <v>1156</v>
      </c>
      <c r="B55" s="64">
        <v>0.1</v>
      </c>
      <c r="C55" s="64">
        <v>6.43</v>
      </c>
      <c r="D55" s="64">
        <v>3.36</v>
      </c>
      <c r="E55" s="64">
        <v>2.5499999999999998</v>
      </c>
      <c r="F55" s="64">
        <v>13.86</v>
      </c>
      <c r="G55" s="64">
        <v>24.74</v>
      </c>
      <c r="H55" s="64">
        <v>10.25</v>
      </c>
      <c r="I55" s="64">
        <v>1.43</v>
      </c>
      <c r="J55" s="64">
        <v>0.56000000000000005</v>
      </c>
      <c r="K55" s="64">
        <v>321.54000000000002</v>
      </c>
      <c r="L55" s="64">
        <v>33.92</v>
      </c>
      <c r="M55" s="64">
        <v>42.12</v>
      </c>
      <c r="N55" s="64">
        <v>953.2</v>
      </c>
      <c r="O55" s="64">
        <v>0</v>
      </c>
      <c r="P55" s="64">
        <v>0.27</v>
      </c>
      <c r="Q55" s="64">
        <v>9.35</v>
      </c>
      <c r="R55" s="198"/>
      <c r="S55" s="198"/>
      <c r="T55" s="198"/>
      <c r="U55" s="198"/>
    </row>
    <row r="56" spans="1:21" s="12" customFormat="1" x14ac:dyDescent="0.25">
      <c r="A56" s="216" t="s">
        <v>1157</v>
      </c>
      <c r="B56" s="64">
        <v>0.1</v>
      </c>
      <c r="C56" s="64">
        <v>5.08</v>
      </c>
      <c r="D56" s="64">
        <v>2.65</v>
      </c>
      <c r="E56" s="64">
        <v>1.92</v>
      </c>
      <c r="F56" s="64">
        <v>11.01</v>
      </c>
      <c r="G56" s="64">
        <v>23.36</v>
      </c>
      <c r="H56" s="64">
        <v>9.1</v>
      </c>
      <c r="I56" s="64">
        <v>1.43</v>
      </c>
      <c r="J56" s="64">
        <v>0.43</v>
      </c>
      <c r="K56" s="64">
        <v>330.63</v>
      </c>
      <c r="L56" s="64">
        <v>34</v>
      </c>
      <c r="M56" s="64">
        <v>41.27</v>
      </c>
      <c r="N56" s="64">
        <v>942</v>
      </c>
      <c r="O56" s="64">
        <v>0</v>
      </c>
      <c r="P56" s="64">
        <v>0.28999999999999998</v>
      </c>
      <c r="Q56" s="64">
        <v>9.36</v>
      </c>
      <c r="R56" s="198"/>
      <c r="S56" s="198"/>
      <c r="T56" s="198"/>
      <c r="U56" s="198"/>
    </row>
    <row r="57" spans="1:21" s="12" customFormat="1" x14ac:dyDescent="0.25">
      <c r="A57" s="216" t="s">
        <v>1158</v>
      </c>
      <c r="B57" s="64">
        <v>0.1</v>
      </c>
      <c r="C57" s="64">
        <v>5.31</v>
      </c>
      <c r="D57" s="64">
        <v>2.77</v>
      </c>
      <c r="E57" s="64">
        <v>1.76</v>
      </c>
      <c r="F57" s="64">
        <v>9.91</v>
      </c>
      <c r="G57" s="64">
        <v>22.39</v>
      </c>
      <c r="H57" s="64">
        <v>8.3000000000000007</v>
      </c>
      <c r="I57" s="64">
        <v>1.42</v>
      </c>
      <c r="J57" s="64">
        <v>0.33</v>
      </c>
      <c r="K57" s="64">
        <v>344.91</v>
      </c>
      <c r="L57" s="64">
        <v>33.979999999999997</v>
      </c>
      <c r="M57" s="64">
        <v>38.950000000000003</v>
      </c>
      <c r="N57" s="64">
        <v>949</v>
      </c>
      <c r="O57" s="64">
        <v>0</v>
      </c>
      <c r="P57" s="64">
        <v>0.31</v>
      </c>
      <c r="Q57" s="64">
        <v>9.32</v>
      </c>
      <c r="R57" s="198"/>
      <c r="S57" s="198"/>
      <c r="T57" s="198"/>
      <c r="U57" s="198"/>
    </row>
    <row r="58" spans="1:21" s="12" customFormat="1" x14ac:dyDescent="0.25">
      <c r="A58" s="216" t="s">
        <v>1159</v>
      </c>
      <c r="B58" s="64">
        <v>0.1</v>
      </c>
      <c r="C58" s="64">
        <v>5.47</v>
      </c>
      <c r="D58" s="64">
        <v>2.86</v>
      </c>
      <c r="E58" s="64">
        <v>2.19</v>
      </c>
      <c r="F58" s="64">
        <v>17.87</v>
      </c>
      <c r="G58" s="64">
        <v>22.39</v>
      </c>
      <c r="H58" s="64">
        <v>8.3000000000000007</v>
      </c>
      <c r="I58" s="64">
        <v>1.48</v>
      </c>
      <c r="J58" s="64">
        <v>0.57999999999999996</v>
      </c>
      <c r="K58" s="64">
        <v>317.35000000000002</v>
      </c>
      <c r="L58" s="64">
        <v>35.020000000000003</v>
      </c>
      <c r="M58" s="64">
        <v>35.630000000000003</v>
      </c>
      <c r="N58" s="64">
        <v>949.5</v>
      </c>
      <c r="O58" s="64">
        <v>0</v>
      </c>
      <c r="P58" s="64">
        <v>0.32</v>
      </c>
      <c r="Q58" s="64">
        <v>9.31</v>
      </c>
      <c r="R58" s="198"/>
      <c r="S58" s="198"/>
      <c r="T58" s="198"/>
      <c r="U58" s="198"/>
    </row>
    <row r="59" spans="1:21" s="12" customFormat="1" x14ac:dyDescent="0.25">
      <c r="A59" s="216" t="s">
        <v>1160</v>
      </c>
      <c r="B59" s="64">
        <v>0.1</v>
      </c>
      <c r="C59" s="64">
        <v>6.06</v>
      </c>
      <c r="D59" s="64">
        <v>3.16</v>
      </c>
      <c r="E59" s="64">
        <v>5.2</v>
      </c>
      <c r="F59" s="64">
        <v>41.78</v>
      </c>
      <c r="G59" s="64">
        <v>22.39</v>
      </c>
      <c r="H59" s="64">
        <v>8.3000000000000007</v>
      </c>
      <c r="I59" s="64">
        <v>1.72</v>
      </c>
      <c r="J59" s="64">
        <v>0.2</v>
      </c>
      <c r="K59" s="64">
        <v>285.31</v>
      </c>
      <c r="L59" s="64">
        <v>34.79</v>
      </c>
      <c r="M59" s="64">
        <v>35.01</v>
      </c>
      <c r="N59" s="64">
        <v>909.1</v>
      </c>
      <c r="O59" s="64">
        <v>0</v>
      </c>
      <c r="P59" s="64">
        <v>0.54</v>
      </c>
      <c r="Q59" s="64">
        <v>9.33</v>
      </c>
      <c r="R59" s="198"/>
      <c r="S59" s="198"/>
      <c r="T59" s="198"/>
      <c r="U59" s="198"/>
    </row>
    <row r="60" spans="1:21" s="12" customFormat="1" x14ac:dyDescent="0.25">
      <c r="A60" s="216" t="s">
        <v>1161</v>
      </c>
      <c r="B60" s="64">
        <v>0.1</v>
      </c>
      <c r="C60" s="64">
        <v>8.8699999999999992</v>
      </c>
      <c r="D60" s="64">
        <v>4.6399999999999997</v>
      </c>
      <c r="E60" s="64">
        <v>2.92</v>
      </c>
      <c r="F60" s="64">
        <v>22.16</v>
      </c>
      <c r="G60" s="64">
        <v>22.47</v>
      </c>
      <c r="H60" s="64">
        <v>10.1</v>
      </c>
      <c r="I60" s="64">
        <v>2.2799999999999998</v>
      </c>
      <c r="J60" s="64">
        <v>0.35</v>
      </c>
      <c r="K60" s="64">
        <v>310.72000000000003</v>
      </c>
      <c r="L60" s="64">
        <v>33.65</v>
      </c>
      <c r="M60" s="64">
        <v>37.39</v>
      </c>
      <c r="N60" s="64">
        <v>883.5</v>
      </c>
      <c r="O60" s="64">
        <v>0</v>
      </c>
      <c r="P60" s="64">
        <v>0.57999999999999996</v>
      </c>
      <c r="Q60" s="64">
        <v>9.3699999999999992</v>
      </c>
      <c r="R60" s="198"/>
      <c r="S60" s="198"/>
      <c r="T60" s="198"/>
      <c r="U60" s="198"/>
    </row>
    <row r="61" spans="1:21" s="12" customFormat="1" x14ac:dyDescent="0.25">
      <c r="A61" s="216" t="s">
        <v>1162</v>
      </c>
      <c r="B61" s="64">
        <v>0.1</v>
      </c>
      <c r="C61" s="64">
        <v>9.85</v>
      </c>
      <c r="D61" s="64">
        <v>5.15</v>
      </c>
      <c r="E61" s="64">
        <v>3.02</v>
      </c>
      <c r="F61" s="64">
        <v>17.59</v>
      </c>
      <c r="G61" s="64">
        <v>22.53</v>
      </c>
      <c r="H61" s="64">
        <v>11.35</v>
      </c>
      <c r="I61" s="64">
        <v>3.76</v>
      </c>
      <c r="J61" s="64">
        <v>0.16</v>
      </c>
      <c r="K61" s="64">
        <v>338.41</v>
      </c>
      <c r="L61" s="64">
        <v>34.14</v>
      </c>
      <c r="M61" s="64">
        <v>35.82</v>
      </c>
      <c r="N61" s="64">
        <v>861.3</v>
      </c>
      <c r="O61" s="64">
        <v>0</v>
      </c>
      <c r="P61" s="64">
        <v>0.53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6" t="s">
        <v>1163</v>
      </c>
      <c r="B62" s="64">
        <v>0.1</v>
      </c>
      <c r="C62" s="64">
        <v>7.02</v>
      </c>
      <c r="D62" s="64">
        <v>3.67</v>
      </c>
      <c r="E62" s="64">
        <v>2.65</v>
      </c>
      <c r="F62" s="64">
        <v>17.12</v>
      </c>
      <c r="G62" s="64">
        <v>22.53</v>
      </c>
      <c r="H62" s="64">
        <v>11.35</v>
      </c>
      <c r="I62" s="64">
        <v>4.12</v>
      </c>
      <c r="J62" s="64">
        <v>0.3</v>
      </c>
      <c r="K62" s="64">
        <v>338.05</v>
      </c>
      <c r="L62" s="64">
        <v>34.159999999999997</v>
      </c>
      <c r="M62" s="64">
        <v>36.64</v>
      </c>
      <c r="N62" s="64">
        <v>837.4</v>
      </c>
      <c r="O62" s="64">
        <v>0</v>
      </c>
      <c r="P62" s="64">
        <v>0.54</v>
      </c>
      <c r="Q62" s="64">
        <v>9.1999999999999993</v>
      </c>
      <c r="R62" s="198"/>
      <c r="S62" s="198"/>
      <c r="T62" s="198"/>
      <c r="U62" s="198"/>
    </row>
    <row r="63" spans="1:21" s="12" customFormat="1" x14ac:dyDescent="0.25">
      <c r="A63" s="216" t="s">
        <v>1164</v>
      </c>
      <c r="B63" s="64">
        <v>0.1</v>
      </c>
      <c r="C63" s="64">
        <v>4.93</v>
      </c>
      <c r="D63" s="64">
        <v>2.57</v>
      </c>
      <c r="E63" s="64">
        <v>3.01</v>
      </c>
      <c r="F63" s="64">
        <v>11.67</v>
      </c>
      <c r="G63" s="64">
        <v>22.53</v>
      </c>
      <c r="H63" s="64">
        <v>11.35</v>
      </c>
      <c r="I63" s="64">
        <v>4.0999999999999996</v>
      </c>
      <c r="J63" s="64">
        <v>0.19</v>
      </c>
      <c r="K63" s="64">
        <v>4.43</v>
      </c>
      <c r="L63" s="64">
        <v>34.82</v>
      </c>
      <c r="M63" s="64">
        <v>34.43</v>
      </c>
      <c r="N63" s="64">
        <v>813.9</v>
      </c>
      <c r="O63" s="64">
        <v>0</v>
      </c>
      <c r="P63" s="64">
        <v>0.53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6" t="s">
        <v>1165</v>
      </c>
      <c r="B64" s="64">
        <v>0.1</v>
      </c>
      <c r="C64" s="64">
        <v>4.99</v>
      </c>
      <c r="D64" s="64">
        <v>2.6</v>
      </c>
      <c r="E64" s="64">
        <v>2.12</v>
      </c>
      <c r="F64" s="64">
        <v>7.49</v>
      </c>
      <c r="G64" s="64">
        <v>27.97</v>
      </c>
      <c r="H64" s="64">
        <v>11.32</v>
      </c>
      <c r="I64" s="64">
        <v>4.07</v>
      </c>
      <c r="J64" s="64">
        <v>0.46</v>
      </c>
      <c r="K64" s="64">
        <v>323.5</v>
      </c>
      <c r="L64" s="64">
        <v>35.24</v>
      </c>
      <c r="M64" s="64">
        <v>34.76</v>
      </c>
      <c r="N64" s="64">
        <v>764</v>
      </c>
      <c r="O64" s="64">
        <v>0</v>
      </c>
      <c r="P64" s="64">
        <v>0.53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6" t="s">
        <v>1166</v>
      </c>
      <c r="B65" s="64">
        <v>0.1</v>
      </c>
      <c r="C65" s="64">
        <v>5.34</v>
      </c>
      <c r="D65" s="64">
        <v>2.79</v>
      </c>
      <c r="E65" s="64">
        <v>2.0099999999999998</v>
      </c>
      <c r="F65" s="64">
        <v>10.06</v>
      </c>
      <c r="G65" s="64">
        <v>31.77</v>
      </c>
      <c r="H65" s="64">
        <v>11.3</v>
      </c>
      <c r="I65" s="64">
        <v>3.91</v>
      </c>
      <c r="J65" s="64">
        <v>0.24</v>
      </c>
      <c r="K65" s="64">
        <v>334.89</v>
      </c>
      <c r="L65" s="64">
        <v>35.090000000000003</v>
      </c>
      <c r="M65" s="64">
        <v>34.53</v>
      </c>
      <c r="N65" s="64">
        <v>440.1</v>
      </c>
      <c r="O65" s="64">
        <v>0</v>
      </c>
      <c r="P65" s="64">
        <v>0.52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6" t="s">
        <v>1167</v>
      </c>
      <c r="B66" s="64">
        <v>0.1</v>
      </c>
      <c r="C66" s="64">
        <v>6.55</v>
      </c>
      <c r="D66" s="64">
        <v>3.42</v>
      </c>
      <c r="E66" s="64">
        <v>2.02</v>
      </c>
      <c r="F66" s="64">
        <v>10.68</v>
      </c>
      <c r="G66" s="64">
        <v>31.77</v>
      </c>
      <c r="H66" s="64">
        <v>11.3</v>
      </c>
      <c r="I66" s="64">
        <v>4.03</v>
      </c>
      <c r="J66" s="64">
        <v>0.33</v>
      </c>
      <c r="K66" s="64">
        <v>351.43</v>
      </c>
      <c r="L66" s="64">
        <v>34.82</v>
      </c>
      <c r="M66" s="64">
        <v>33.799999999999997</v>
      </c>
      <c r="N66" s="64">
        <v>370</v>
      </c>
      <c r="O66" s="64">
        <v>0</v>
      </c>
      <c r="P66" s="64">
        <v>0.51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16" t="s">
        <v>1168</v>
      </c>
      <c r="B67" s="64">
        <v>0.1</v>
      </c>
      <c r="C67" s="64">
        <v>5.52</v>
      </c>
      <c r="D67" s="64">
        <v>2.88</v>
      </c>
      <c r="E67" s="64">
        <v>1.81</v>
      </c>
      <c r="F67" s="64">
        <v>9.15</v>
      </c>
      <c r="G67" s="64">
        <v>31.77</v>
      </c>
      <c r="H67" s="64">
        <v>11.3</v>
      </c>
      <c r="I67" s="64">
        <v>3.85</v>
      </c>
      <c r="J67" s="64">
        <v>0.56000000000000005</v>
      </c>
      <c r="K67" s="64">
        <v>313.22000000000003</v>
      </c>
      <c r="L67" s="64">
        <v>34.92</v>
      </c>
      <c r="M67" s="64">
        <v>33.97</v>
      </c>
      <c r="N67" s="64">
        <v>402.5</v>
      </c>
      <c r="O67" s="64">
        <v>0</v>
      </c>
      <c r="P67" s="64">
        <v>0.51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6" t="s">
        <v>1169</v>
      </c>
      <c r="B68" s="64">
        <v>0.1</v>
      </c>
      <c r="C68" s="64">
        <v>4.47</v>
      </c>
      <c r="D68" s="64">
        <v>2.34</v>
      </c>
      <c r="E68" s="64">
        <v>1.89</v>
      </c>
      <c r="F68" s="64">
        <v>8.48</v>
      </c>
      <c r="G68" s="64">
        <v>24.21</v>
      </c>
      <c r="H68" s="64">
        <v>11</v>
      </c>
      <c r="I68" s="64">
        <v>3.95</v>
      </c>
      <c r="J68" s="64">
        <v>0.42</v>
      </c>
      <c r="K68" s="64">
        <v>323.83</v>
      </c>
      <c r="L68" s="64">
        <v>34.700000000000003</v>
      </c>
      <c r="M68" s="64">
        <v>35.03</v>
      </c>
      <c r="N68" s="64">
        <v>404.4</v>
      </c>
      <c r="O68" s="64">
        <v>0</v>
      </c>
      <c r="P68" s="64">
        <v>0.49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6" t="s">
        <v>1170</v>
      </c>
      <c r="B69" s="64">
        <v>0.1</v>
      </c>
      <c r="C69" s="64">
        <v>5.05</v>
      </c>
      <c r="D69" s="64">
        <v>2.64</v>
      </c>
      <c r="E69" s="64">
        <v>1.85</v>
      </c>
      <c r="F69" s="64">
        <v>9.7200000000000006</v>
      </c>
      <c r="G69" s="64">
        <v>18.940000000000001</v>
      </c>
      <c r="H69" s="64">
        <v>10.79</v>
      </c>
      <c r="I69" s="64">
        <v>4.05</v>
      </c>
      <c r="J69" s="64">
        <v>0.11</v>
      </c>
      <c r="K69" s="64">
        <v>342.95</v>
      </c>
      <c r="L69" s="64">
        <v>34.57</v>
      </c>
      <c r="M69" s="64">
        <v>35.35</v>
      </c>
      <c r="N69" s="64">
        <v>267.2</v>
      </c>
      <c r="O69" s="64">
        <v>0</v>
      </c>
      <c r="P69" s="64">
        <v>0.48</v>
      </c>
      <c r="Q69" s="64">
        <v>9.24</v>
      </c>
      <c r="R69" s="198"/>
      <c r="S69" s="198"/>
      <c r="T69" s="198"/>
      <c r="U69" s="198"/>
    </row>
    <row r="70" spans="1:21" s="12" customFormat="1" x14ac:dyDescent="0.25">
      <c r="A70" s="216" t="s">
        <v>1171</v>
      </c>
      <c r="B70" s="64">
        <v>0.1</v>
      </c>
      <c r="C70" s="64">
        <v>7.17</v>
      </c>
      <c r="D70" s="64">
        <v>3.75</v>
      </c>
      <c r="E70" s="64">
        <v>1.89</v>
      </c>
      <c r="F70" s="64">
        <v>10.25</v>
      </c>
      <c r="G70" s="64">
        <v>18.940000000000001</v>
      </c>
      <c r="H70" s="64">
        <v>10.79</v>
      </c>
      <c r="I70" s="64">
        <v>3.77</v>
      </c>
      <c r="J70" s="64">
        <v>0.04</v>
      </c>
      <c r="K70" s="64">
        <v>357.61</v>
      </c>
      <c r="L70" s="64">
        <v>33.659999999999997</v>
      </c>
      <c r="M70" s="64">
        <v>37.020000000000003</v>
      </c>
      <c r="N70" s="64">
        <v>319.39999999999998</v>
      </c>
      <c r="O70" s="64">
        <v>0</v>
      </c>
      <c r="P70" s="64">
        <v>0.49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16" t="s">
        <v>1172</v>
      </c>
      <c r="B71" s="64">
        <v>0.1</v>
      </c>
      <c r="C71" s="64">
        <v>5.01</v>
      </c>
      <c r="D71" s="64">
        <v>2.62</v>
      </c>
      <c r="E71" s="64">
        <v>1.63</v>
      </c>
      <c r="F71" s="64">
        <v>9.66</v>
      </c>
      <c r="G71" s="64">
        <v>18.940000000000001</v>
      </c>
      <c r="H71" s="64">
        <v>10.79</v>
      </c>
      <c r="I71" s="64">
        <v>3.73</v>
      </c>
      <c r="J71" s="64">
        <v>0.2</v>
      </c>
      <c r="K71" s="64">
        <v>349.84</v>
      </c>
      <c r="L71" s="64">
        <v>33.74</v>
      </c>
      <c r="M71" s="64">
        <v>36.71</v>
      </c>
      <c r="N71" s="64">
        <v>166.7</v>
      </c>
      <c r="O71" s="64">
        <v>0</v>
      </c>
      <c r="P71" s="64">
        <v>0.47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6" t="s">
        <v>1173</v>
      </c>
      <c r="B72" s="64">
        <v>0.1</v>
      </c>
      <c r="C72" s="64">
        <v>5</v>
      </c>
      <c r="D72" s="64">
        <v>2.61</v>
      </c>
      <c r="E72" s="64">
        <v>1.79</v>
      </c>
      <c r="F72" s="64">
        <v>8.67</v>
      </c>
      <c r="G72" s="64">
        <v>30.09</v>
      </c>
      <c r="H72" s="64">
        <v>10.77</v>
      </c>
      <c r="I72" s="64">
        <v>3.66</v>
      </c>
      <c r="J72" s="64">
        <v>0.18</v>
      </c>
      <c r="K72" s="64">
        <v>348.43</v>
      </c>
      <c r="L72" s="64">
        <v>33.93</v>
      </c>
      <c r="M72" s="64">
        <v>37.64</v>
      </c>
      <c r="N72" s="64">
        <v>194.5</v>
      </c>
      <c r="O72" s="64">
        <v>0</v>
      </c>
      <c r="P72" s="64">
        <v>0.46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6" t="s">
        <v>1174</v>
      </c>
      <c r="B73" s="64">
        <v>0.1</v>
      </c>
      <c r="C73" s="64">
        <v>3.7</v>
      </c>
      <c r="D73" s="64">
        <v>1.94</v>
      </c>
      <c r="E73" s="64">
        <v>1.55</v>
      </c>
      <c r="F73" s="64">
        <v>14.89</v>
      </c>
      <c r="G73" s="64">
        <v>37.880000000000003</v>
      </c>
      <c r="H73" s="64">
        <v>10.76</v>
      </c>
      <c r="I73" s="64">
        <v>3.51</v>
      </c>
      <c r="J73" s="64">
        <v>0.14000000000000001</v>
      </c>
      <c r="K73" s="64">
        <v>3.32</v>
      </c>
      <c r="L73" s="64">
        <v>33.53</v>
      </c>
      <c r="M73" s="64">
        <v>37.549999999999997</v>
      </c>
      <c r="N73" s="64">
        <v>135.1</v>
      </c>
      <c r="O73" s="64">
        <v>0</v>
      </c>
      <c r="P73" s="64">
        <v>0.44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6" t="s">
        <v>1175</v>
      </c>
      <c r="B74" s="64">
        <v>0.1</v>
      </c>
      <c r="C74" s="64">
        <v>4.53</v>
      </c>
      <c r="D74" s="64">
        <v>2.36</v>
      </c>
      <c r="E74" s="64">
        <v>1.36</v>
      </c>
      <c r="F74" s="64">
        <v>14.11</v>
      </c>
      <c r="G74" s="64">
        <v>37.880000000000003</v>
      </c>
      <c r="H74" s="64">
        <v>10.76</v>
      </c>
      <c r="I74" s="64">
        <v>3.4</v>
      </c>
      <c r="J74" s="64">
        <v>0.2</v>
      </c>
      <c r="K74" s="64">
        <v>13.18</v>
      </c>
      <c r="L74" s="64">
        <v>33.64</v>
      </c>
      <c r="M74" s="64">
        <v>38.119999999999997</v>
      </c>
      <c r="N74" s="64">
        <v>111</v>
      </c>
      <c r="O74" s="64">
        <v>0</v>
      </c>
      <c r="P74" s="64">
        <v>0.43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16" t="s">
        <v>1176</v>
      </c>
      <c r="B75" s="64">
        <v>0.1</v>
      </c>
      <c r="C75" s="64">
        <v>3.63</v>
      </c>
      <c r="D75" s="64">
        <v>1.89</v>
      </c>
      <c r="E75" s="64">
        <v>1.1599999999999999</v>
      </c>
      <c r="F75" s="64">
        <v>9.8000000000000007</v>
      </c>
      <c r="G75" s="64">
        <v>37.880000000000003</v>
      </c>
      <c r="H75" s="64">
        <v>10.76</v>
      </c>
      <c r="I75" s="64">
        <v>3.18</v>
      </c>
      <c r="J75" s="64">
        <v>0.2</v>
      </c>
      <c r="K75" s="64">
        <v>13.07</v>
      </c>
      <c r="L75" s="64">
        <v>33.57</v>
      </c>
      <c r="M75" s="64">
        <v>38</v>
      </c>
      <c r="N75" s="64">
        <v>99.6</v>
      </c>
      <c r="O75" s="64">
        <v>0</v>
      </c>
      <c r="P75" s="64">
        <v>0.44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6" t="s">
        <v>1177</v>
      </c>
      <c r="B76" s="64">
        <v>0.1</v>
      </c>
      <c r="C76" s="64">
        <v>4</v>
      </c>
      <c r="D76" s="64">
        <v>2.09</v>
      </c>
      <c r="E76" s="64">
        <v>1.03</v>
      </c>
      <c r="F76" s="64">
        <v>8.1</v>
      </c>
      <c r="G76" s="64">
        <v>37.43</v>
      </c>
      <c r="H76" s="64">
        <v>11</v>
      </c>
      <c r="I76" s="64">
        <v>3.06</v>
      </c>
      <c r="J76" s="64">
        <v>0.16</v>
      </c>
      <c r="K76" s="64">
        <v>16.43</v>
      </c>
      <c r="L76" s="64">
        <v>33.42</v>
      </c>
      <c r="M76" s="64">
        <v>38.29</v>
      </c>
      <c r="N76" s="64">
        <v>90.1</v>
      </c>
      <c r="O76" s="64">
        <v>0</v>
      </c>
      <c r="P76" s="64">
        <v>0.43</v>
      </c>
      <c r="Q76" s="64">
        <v>9.32</v>
      </c>
      <c r="R76" s="198"/>
      <c r="S76" s="198"/>
      <c r="T76" s="198"/>
      <c r="U76" s="198"/>
    </row>
    <row r="77" spans="1:21" s="12" customFormat="1" x14ac:dyDescent="0.25">
      <c r="A77" s="216" t="s">
        <v>1178</v>
      </c>
      <c r="B77" s="64">
        <v>0.1</v>
      </c>
      <c r="C77" s="64">
        <v>5.16</v>
      </c>
      <c r="D77" s="64">
        <v>2.7</v>
      </c>
      <c r="E77" s="64">
        <v>1.1599999999999999</v>
      </c>
      <c r="F77" s="64">
        <v>8.4499999999999993</v>
      </c>
      <c r="G77" s="64">
        <v>37.11</v>
      </c>
      <c r="H77" s="64">
        <v>11.17</v>
      </c>
      <c r="I77" s="64">
        <v>3.09</v>
      </c>
      <c r="J77" s="64">
        <v>0.34</v>
      </c>
      <c r="K77" s="64">
        <v>19.07</v>
      </c>
      <c r="L77" s="64">
        <v>33.11</v>
      </c>
      <c r="M77" s="64">
        <v>40.82</v>
      </c>
      <c r="N77" s="64">
        <v>80.099999999999994</v>
      </c>
      <c r="O77" s="64">
        <v>0</v>
      </c>
      <c r="P77" s="64">
        <v>0.42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6" t="s">
        <v>1179</v>
      </c>
      <c r="B78" s="64">
        <v>0.1</v>
      </c>
      <c r="C78" s="64">
        <v>4.6500000000000004</v>
      </c>
      <c r="D78" s="64">
        <v>2.4300000000000002</v>
      </c>
      <c r="E78" s="64">
        <v>1.1399999999999999</v>
      </c>
      <c r="F78" s="64">
        <v>7.26</v>
      </c>
      <c r="G78" s="64">
        <v>37.11</v>
      </c>
      <c r="H78" s="64">
        <v>11.17</v>
      </c>
      <c r="I78" s="64">
        <v>3.05</v>
      </c>
      <c r="J78" s="64">
        <v>0.3</v>
      </c>
      <c r="K78" s="64">
        <v>8.3699999999999992</v>
      </c>
      <c r="L78" s="64">
        <v>32.78</v>
      </c>
      <c r="M78" s="64">
        <v>40.29</v>
      </c>
      <c r="N78" s="64">
        <v>68.900000000000006</v>
      </c>
      <c r="O78" s="64">
        <v>0</v>
      </c>
      <c r="P78" s="64">
        <v>0.42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6" t="s">
        <v>1180</v>
      </c>
      <c r="B79" s="64">
        <v>0.1</v>
      </c>
      <c r="C79" s="64">
        <v>5.92</v>
      </c>
      <c r="D79" s="64">
        <v>3.09</v>
      </c>
      <c r="E79" s="64">
        <v>1.1000000000000001</v>
      </c>
      <c r="F79" s="64">
        <v>7.55</v>
      </c>
      <c r="G79" s="64">
        <v>37.11</v>
      </c>
      <c r="H79" s="64">
        <v>11.17</v>
      </c>
      <c r="I79" s="64">
        <v>2.91</v>
      </c>
      <c r="J79" s="64">
        <v>0.34</v>
      </c>
      <c r="K79" s="64">
        <v>18.54</v>
      </c>
      <c r="L79" s="64">
        <v>32.630000000000003</v>
      </c>
      <c r="M79" s="64">
        <v>41.11</v>
      </c>
      <c r="N79" s="64">
        <v>56</v>
      </c>
      <c r="O79" s="64">
        <v>0</v>
      </c>
      <c r="P79" s="64">
        <v>0.41</v>
      </c>
      <c r="Q79" s="64">
        <v>9.24</v>
      </c>
      <c r="R79" s="198"/>
      <c r="S79" s="198"/>
      <c r="T79" s="198"/>
      <c r="U79" s="198"/>
    </row>
    <row r="80" spans="1:21" s="12" customFormat="1" x14ac:dyDescent="0.25">
      <c r="A80" s="216" t="s">
        <v>1181</v>
      </c>
      <c r="B80" s="64">
        <v>0.1</v>
      </c>
      <c r="C80" s="64">
        <v>5.81</v>
      </c>
      <c r="D80" s="64">
        <v>3.03</v>
      </c>
      <c r="E80" s="64">
        <v>1.28</v>
      </c>
      <c r="F80" s="64">
        <v>6.96</v>
      </c>
      <c r="G80" s="64">
        <v>28.03</v>
      </c>
      <c r="H80" s="64">
        <v>9.4700000000000006</v>
      </c>
      <c r="I80" s="64">
        <v>2.84</v>
      </c>
      <c r="J80" s="64">
        <v>0.11</v>
      </c>
      <c r="K80" s="64">
        <v>349.9</v>
      </c>
      <c r="L80" s="64">
        <v>32.229999999999997</v>
      </c>
      <c r="M80" s="64">
        <v>42.43</v>
      </c>
      <c r="N80" s="64">
        <v>43.7</v>
      </c>
      <c r="O80" s="64">
        <v>0</v>
      </c>
      <c r="P80" s="64">
        <v>0.41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6" t="s">
        <v>1182</v>
      </c>
      <c r="B81" s="64">
        <v>0.1</v>
      </c>
      <c r="C81" s="64">
        <v>4.9400000000000004</v>
      </c>
      <c r="D81" s="64">
        <v>2.58</v>
      </c>
      <c r="E81" s="64">
        <v>1.1599999999999999</v>
      </c>
      <c r="F81" s="64">
        <v>6.06</v>
      </c>
      <c r="G81" s="64">
        <v>21.69</v>
      </c>
      <c r="H81" s="64">
        <v>8.2799999999999994</v>
      </c>
      <c r="I81" s="64">
        <v>2.76</v>
      </c>
      <c r="J81" s="64">
        <v>0.2</v>
      </c>
      <c r="K81" s="64">
        <v>12.79</v>
      </c>
      <c r="L81" s="64">
        <v>31.91</v>
      </c>
      <c r="M81" s="64">
        <v>43.69</v>
      </c>
      <c r="N81" s="64">
        <v>32.1</v>
      </c>
      <c r="O81" s="64">
        <v>0</v>
      </c>
      <c r="P81" s="64">
        <v>0.41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16" t="s">
        <v>1183</v>
      </c>
      <c r="B82" s="64">
        <v>0.1</v>
      </c>
      <c r="C82" s="64">
        <v>4.78</v>
      </c>
      <c r="D82" s="64">
        <v>2.5</v>
      </c>
      <c r="E82" s="64">
        <v>0.96</v>
      </c>
      <c r="F82" s="64">
        <v>5.13</v>
      </c>
      <c r="G82" s="64">
        <v>21.69</v>
      </c>
      <c r="H82" s="64">
        <v>8.2799999999999994</v>
      </c>
      <c r="I82" s="64">
        <v>2.79</v>
      </c>
      <c r="J82" s="64">
        <v>0.23</v>
      </c>
      <c r="K82" s="64">
        <v>7.39</v>
      </c>
      <c r="L82" s="64">
        <v>30.98</v>
      </c>
      <c r="M82" s="64">
        <v>48.33</v>
      </c>
      <c r="N82" s="64">
        <v>24.1</v>
      </c>
      <c r="O82" s="64">
        <v>0</v>
      </c>
      <c r="P82" s="64">
        <v>0.42</v>
      </c>
      <c r="Q82" s="64">
        <v>9.23</v>
      </c>
      <c r="R82" s="198"/>
      <c r="S82" s="198"/>
      <c r="T82" s="198"/>
      <c r="U82" s="198"/>
    </row>
    <row r="83" spans="1:26" s="12" customFormat="1" x14ac:dyDescent="0.25">
      <c r="A83" s="216" t="s">
        <v>1184</v>
      </c>
      <c r="B83" s="64">
        <v>0.1</v>
      </c>
      <c r="C83" s="64">
        <v>4.5</v>
      </c>
      <c r="D83" s="64">
        <v>2.35</v>
      </c>
      <c r="E83" s="64">
        <v>0.91</v>
      </c>
      <c r="F83" s="64">
        <v>4.84</v>
      </c>
      <c r="G83" s="64">
        <v>21.69</v>
      </c>
      <c r="H83" s="64">
        <v>8.2799999999999994</v>
      </c>
      <c r="I83" s="64">
        <v>2.87</v>
      </c>
      <c r="J83" s="64">
        <v>0.26</v>
      </c>
      <c r="K83" s="64">
        <v>0.15</v>
      </c>
      <c r="L83" s="64">
        <v>30.15</v>
      </c>
      <c r="M83" s="64">
        <v>52.34</v>
      </c>
      <c r="N83" s="64">
        <v>22.1</v>
      </c>
      <c r="O83" s="64">
        <v>0</v>
      </c>
      <c r="P83" s="64">
        <v>0.43</v>
      </c>
      <c r="Q83" s="64">
        <v>9.2200000000000006</v>
      </c>
      <c r="R83" s="198"/>
      <c r="S83" s="198"/>
      <c r="T83" s="198"/>
      <c r="U83" s="198"/>
    </row>
    <row r="84" spans="1:26" s="12" customFormat="1" x14ac:dyDescent="0.25">
      <c r="A84" s="216" t="s">
        <v>1185</v>
      </c>
      <c r="B84" s="64">
        <v>0.1</v>
      </c>
      <c r="C84" s="64">
        <v>5.56</v>
      </c>
      <c r="D84" s="64">
        <v>2.91</v>
      </c>
      <c r="E84" s="64">
        <v>0.96</v>
      </c>
      <c r="F84" s="64">
        <v>4.32</v>
      </c>
      <c r="G84" s="64">
        <v>31.92</v>
      </c>
      <c r="H84" s="64">
        <v>10.64</v>
      </c>
      <c r="I84" s="64">
        <v>3.01</v>
      </c>
      <c r="J84" s="64">
        <v>0.08</v>
      </c>
      <c r="K84" s="64">
        <v>265.18</v>
      </c>
      <c r="L84" s="64">
        <v>30.02</v>
      </c>
      <c r="M84" s="64">
        <v>50</v>
      </c>
      <c r="N84" s="64">
        <v>21.7</v>
      </c>
      <c r="O84" s="64">
        <v>0</v>
      </c>
      <c r="P84" s="64">
        <v>0.46</v>
      </c>
      <c r="Q84" s="64">
        <v>9.2200000000000006</v>
      </c>
      <c r="R84" s="198"/>
      <c r="S84" s="198"/>
      <c r="T84" s="198"/>
      <c r="U84" s="198"/>
    </row>
    <row r="85" spans="1:26" s="12" customFormat="1" x14ac:dyDescent="0.25">
      <c r="A85" s="216" t="s">
        <v>1186</v>
      </c>
      <c r="B85" s="64">
        <v>0.1</v>
      </c>
      <c r="C85" s="64">
        <v>6.12</v>
      </c>
      <c r="D85" s="64">
        <v>3.2</v>
      </c>
      <c r="E85" s="64">
        <v>1.2</v>
      </c>
      <c r="F85" s="64">
        <v>4.1399999999999997</v>
      </c>
      <c r="G85" s="64">
        <v>39.06</v>
      </c>
      <c r="H85" s="64">
        <v>12.29</v>
      </c>
      <c r="I85" s="64">
        <v>3.12</v>
      </c>
      <c r="J85" s="64">
        <v>0.09</v>
      </c>
      <c r="K85" s="64">
        <v>206.47</v>
      </c>
      <c r="L85" s="64">
        <v>30.28</v>
      </c>
      <c r="M85" s="64">
        <v>47.38</v>
      </c>
      <c r="N85" s="64">
        <v>21.7</v>
      </c>
      <c r="O85" s="64">
        <v>0</v>
      </c>
      <c r="P85" s="64">
        <v>0.49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16" t="s">
        <v>1187</v>
      </c>
      <c r="B86" s="64">
        <v>0.1</v>
      </c>
      <c r="C86" s="64">
        <v>7.26</v>
      </c>
      <c r="D86" s="64">
        <v>3.8</v>
      </c>
      <c r="E86" s="64">
        <v>0.97</v>
      </c>
      <c r="F86" s="64">
        <v>4.01</v>
      </c>
      <c r="G86" s="64">
        <v>39.06</v>
      </c>
      <c r="H86" s="64">
        <v>12.29</v>
      </c>
      <c r="I86" s="64">
        <v>3.3</v>
      </c>
      <c r="J86" s="64">
        <v>0.22</v>
      </c>
      <c r="K86" s="64">
        <v>139.15</v>
      </c>
      <c r="L86" s="64">
        <v>30.49</v>
      </c>
      <c r="M86" s="64">
        <v>48.38</v>
      </c>
      <c r="N86" s="64">
        <v>21.4</v>
      </c>
      <c r="O86" s="64">
        <v>0</v>
      </c>
      <c r="P86" s="64">
        <v>0.54</v>
      </c>
      <c r="Q86" s="64">
        <v>9.26</v>
      </c>
      <c r="R86" s="198"/>
      <c r="S86" s="198"/>
      <c r="T86" s="198"/>
      <c r="U86" s="198"/>
    </row>
    <row r="87" spans="1:26" s="12" customFormat="1" x14ac:dyDescent="0.25">
      <c r="A87" s="216" t="s">
        <v>1188</v>
      </c>
      <c r="B87" s="64">
        <v>0.35</v>
      </c>
      <c r="C87" s="64">
        <v>10.5</v>
      </c>
      <c r="D87" s="64">
        <v>5.69</v>
      </c>
      <c r="E87" s="64">
        <v>0.67</v>
      </c>
      <c r="F87" s="64">
        <v>3.85</v>
      </c>
      <c r="G87" s="64">
        <v>39.06</v>
      </c>
      <c r="H87" s="64">
        <v>12.29</v>
      </c>
      <c r="I87" s="64">
        <v>3.76</v>
      </c>
      <c r="J87" s="64">
        <v>0.25</v>
      </c>
      <c r="K87" s="64">
        <v>354.19</v>
      </c>
      <c r="L87" s="64">
        <v>30.02</v>
      </c>
      <c r="M87" s="64">
        <v>54.76</v>
      </c>
      <c r="N87" s="64">
        <v>22.2</v>
      </c>
      <c r="O87" s="64">
        <v>0</v>
      </c>
      <c r="P87" s="64">
        <v>0.66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6" t="s">
        <v>1189</v>
      </c>
      <c r="B88" s="64">
        <v>1.35</v>
      </c>
      <c r="C88" s="64">
        <v>10.49</v>
      </c>
      <c r="D88" s="64">
        <v>6.49</v>
      </c>
      <c r="E88" s="64">
        <v>2.48</v>
      </c>
      <c r="F88" s="64">
        <v>2.81</v>
      </c>
      <c r="G88" s="64">
        <v>52.95</v>
      </c>
      <c r="H88" s="64">
        <v>12.43</v>
      </c>
      <c r="I88" s="64">
        <v>4.17</v>
      </c>
      <c r="J88" s="64">
        <v>0.3</v>
      </c>
      <c r="K88" s="64">
        <v>18.11</v>
      </c>
      <c r="L88" s="64">
        <v>29.84</v>
      </c>
      <c r="M88" s="64">
        <v>54.8</v>
      </c>
      <c r="N88" s="64">
        <v>21.3</v>
      </c>
      <c r="O88" s="64">
        <v>0</v>
      </c>
      <c r="P88" s="64">
        <v>0.82</v>
      </c>
      <c r="Q88" s="64">
        <v>9.3800000000000008</v>
      </c>
      <c r="R88" s="198"/>
      <c r="S88" s="198"/>
      <c r="T88" s="198"/>
      <c r="U88" s="198"/>
    </row>
    <row r="89" spans="1:26" s="12" customFormat="1" x14ac:dyDescent="0.25">
      <c r="A89" s="216" t="s">
        <v>1190</v>
      </c>
      <c r="B89" s="64">
        <v>2.11</v>
      </c>
      <c r="C89" s="64">
        <v>10.3</v>
      </c>
      <c r="D89" s="64">
        <v>6.99</v>
      </c>
      <c r="E89" s="64">
        <v>2.3199999999999998</v>
      </c>
      <c r="F89" s="64">
        <v>3.46</v>
      </c>
      <c r="G89" s="64">
        <v>62.64</v>
      </c>
      <c r="H89" s="64">
        <v>12.53</v>
      </c>
      <c r="I89" s="64">
        <v>5.24</v>
      </c>
      <c r="J89" s="64">
        <v>0.51</v>
      </c>
      <c r="K89" s="64">
        <v>83.6</v>
      </c>
      <c r="L89" s="64">
        <v>29.74</v>
      </c>
      <c r="M89" s="64">
        <v>48.95</v>
      </c>
      <c r="N89" s="64">
        <v>22.3</v>
      </c>
      <c r="O89" s="64">
        <v>0</v>
      </c>
      <c r="P89" s="64">
        <v>0.77</v>
      </c>
      <c r="Q89" s="64">
        <v>9.35</v>
      </c>
      <c r="R89" s="198"/>
      <c r="S89" s="198"/>
      <c r="T89" s="198"/>
      <c r="U89" s="198"/>
    </row>
    <row r="90" spans="1:26" s="12" customFormat="1" x14ac:dyDescent="0.25">
      <c r="A90" s="216" t="s">
        <v>1191</v>
      </c>
      <c r="B90" s="64">
        <v>2.17</v>
      </c>
      <c r="C90" s="64">
        <v>10.87</v>
      </c>
      <c r="D90" s="64">
        <v>7.34</v>
      </c>
      <c r="E90" s="64">
        <v>2.11</v>
      </c>
      <c r="F90" s="64">
        <v>3.52</v>
      </c>
      <c r="G90" s="64">
        <v>62.64</v>
      </c>
      <c r="H90" s="64">
        <v>12.53</v>
      </c>
      <c r="I90" s="64">
        <v>6.05</v>
      </c>
      <c r="J90" s="64">
        <v>1.03</v>
      </c>
      <c r="K90" s="64">
        <v>358.58</v>
      </c>
      <c r="L90" s="64">
        <v>29.17</v>
      </c>
      <c r="M90" s="64">
        <v>50.73</v>
      </c>
      <c r="N90" s="64">
        <v>22.4</v>
      </c>
      <c r="O90" s="64">
        <v>0</v>
      </c>
      <c r="P90" s="64">
        <v>0.78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6" t="s">
        <v>1192</v>
      </c>
      <c r="B91" s="64">
        <v>3.18</v>
      </c>
      <c r="C91" s="64">
        <v>12.5</v>
      </c>
      <c r="D91" s="64">
        <v>9</v>
      </c>
      <c r="E91" s="64">
        <v>1.84</v>
      </c>
      <c r="F91" s="64">
        <v>3.65</v>
      </c>
      <c r="G91" s="64">
        <v>62.64</v>
      </c>
      <c r="H91" s="64">
        <v>12.53</v>
      </c>
      <c r="I91" s="64">
        <v>6.01</v>
      </c>
      <c r="J91" s="64">
        <v>0.53</v>
      </c>
      <c r="K91" s="64">
        <v>80.2</v>
      </c>
      <c r="L91" s="64">
        <v>28.58</v>
      </c>
      <c r="M91" s="64">
        <v>51.02</v>
      </c>
      <c r="N91" s="64">
        <v>22.7</v>
      </c>
      <c r="O91" s="64">
        <v>0</v>
      </c>
      <c r="P91" s="64">
        <v>0.8</v>
      </c>
      <c r="Q91" s="64">
        <v>9.4499999999999993</v>
      </c>
      <c r="R91" s="198"/>
      <c r="S91" s="198"/>
      <c r="T91" s="198"/>
      <c r="U91" s="198"/>
    </row>
    <row r="92" spans="1:26" s="12" customFormat="1" x14ac:dyDescent="0.25">
      <c r="A92" s="216" t="s">
        <v>1193</v>
      </c>
      <c r="B92" s="64">
        <v>3.34</v>
      </c>
      <c r="C92" s="64">
        <v>12.83</v>
      </c>
      <c r="D92" s="64">
        <v>9.3000000000000007</v>
      </c>
      <c r="E92" s="64">
        <v>1.88</v>
      </c>
      <c r="F92" s="64">
        <v>3.64</v>
      </c>
      <c r="G92" s="64">
        <v>67.989999999999995</v>
      </c>
      <c r="H92" s="64">
        <v>14.03</v>
      </c>
      <c r="I92" s="64">
        <v>6.1</v>
      </c>
      <c r="J92" s="64">
        <v>0.56999999999999995</v>
      </c>
      <c r="K92" s="64">
        <v>97.67</v>
      </c>
      <c r="L92" s="64">
        <v>28.05</v>
      </c>
      <c r="M92" s="64">
        <v>51.8</v>
      </c>
      <c r="N92" s="64">
        <v>22.2</v>
      </c>
      <c r="O92" s="64">
        <v>0</v>
      </c>
      <c r="P92" s="64">
        <v>0.81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16" t="s">
        <v>1194</v>
      </c>
      <c r="B93" s="64">
        <v>2.94</v>
      </c>
      <c r="C93" s="64">
        <v>12.45</v>
      </c>
      <c r="D93" s="64">
        <v>8.7799999999999994</v>
      </c>
      <c r="E93" s="64">
        <v>1.79</v>
      </c>
      <c r="F93" s="64">
        <v>3.75</v>
      </c>
      <c r="G93" s="64">
        <v>71.72</v>
      </c>
      <c r="H93" s="64">
        <v>15.07</v>
      </c>
      <c r="I93" s="64">
        <v>6.44</v>
      </c>
      <c r="J93" s="64">
        <v>1.04</v>
      </c>
      <c r="K93" s="64">
        <v>105.66</v>
      </c>
      <c r="L93" s="64">
        <v>28.08</v>
      </c>
      <c r="M93" s="64">
        <v>50.74</v>
      </c>
      <c r="N93" s="64">
        <v>21.6</v>
      </c>
      <c r="O93" s="64">
        <v>0</v>
      </c>
      <c r="P93" s="64">
        <v>0.8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6" t="s">
        <v>1195</v>
      </c>
      <c r="B94" s="64">
        <v>3.2</v>
      </c>
      <c r="C94" s="64">
        <v>13.73</v>
      </c>
      <c r="D94" s="64">
        <v>9.66</v>
      </c>
      <c r="E94" s="64">
        <v>1.79</v>
      </c>
      <c r="F94" s="64">
        <v>3.52</v>
      </c>
      <c r="G94" s="64">
        <v>71.72</v>
      </c>
      <c r="H94" s="64">
        <v>15.07</v>
      </c>
      <c r="I94" s="64">
        <v>6.63</v>
      </c>
      <c r="J94" s="64">
        <v>0.66</v>
      </c>
      <c r="K94" s="64">
        <v>102.83</v>
      </c>
      <c r="L94" s="64">
        <v>28.06</v>
      </c>
      <c r="M94" s="64">
        <v>50.76</v>
      </c>
      <c r="N94" s="64">
        <v>22.1</v>
      </c>
      <c r="O94" s="64">
        <v>0</v>
      </c>
      <c r="P94" s="64">
        <v>0.78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6" t="s">
        <v>1196</v>
      </c>
      <c r="B95" s="64">
        <v>3.06</v>
      </c>
      <c r="C95" s="64">
        <v>13.87</v>
      </c>
      <c r="D95" s="64">
        <v>9.6199999999999992</v>
      </c>
      <c r="E95" s="64">
        <v>2.09</v>
      </c>
      <c r="F95" s="64">
        <v>3.59</v>
      </c>
      <c r="G95" s="64">
        <v>71.72</v>
      </c>
      <c r="H95" s="64">
        <v>15.07</v>
      </c>
      <c r="I95" s="64">
        <v>6.91</v>
      </c>
      <c r="J95" s="64">
        <v>1.17</v>
      </c>
      <c r="K95" s="64">
        <v>102.47</v>
      </c>
      <c r="L95" s="64">
        <v>28.18</v>
      </c>
      <c r="M95" s="64">
        <v>49.58</v>
      </c>
      <c r="N95" s="64">
        <v>21.6</v>
      </c>
      <c r="O95" s="64">
        <v>0</v>
      </c>
      <c r="P95" s="64">
        <v>0.77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6" t="s">
        <v>1197</v>
      </c>
      <c r="B96" s="64">
        <v>2.31</v>
      </c>
      <c r="C96" s="64">
        <v>13.42</v>
      </c>
      <c r="D96" s="64">
        <v>8.7799999999999994</v>
      </c>
      <c r="E96" s="64">
        <v>2.12</v>
      </c>
      <c r="F96" s="64">
        <v>3.82</v>
      </c>
      <c r="G96" s="64">
        <v>64.84</v>
      </c>
      <c r="H96" s="64">
        <v>15.09</v>
      </c>
      <c r="I96" s="64">
        <v>6.74</v>
      </c>
      <c r="J96" s="64">
        <v>1.1000000000000001</v>
      </c>
      <c r="K96" s="64">
        <v>93.42</v>
      </c>
      <c r="L96" s="64">
        <v>28.2</v>
      </c>
      <c r="M96" s="64">
        <v>49.02</v>
      </c>
      <c r="N96" s="64">
        <v>22.6</v>
      </c>
      <c r="O96" s="64">
        <v>0</v>
      </c>
      <c r="P96" s="64">
        <v>0.75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1198</v>
      </c>
      <c r="B97" s="64">
        <v>1.95</v>
      </c>
      <c r="C97" s="64">
        <v>13.31</v>
      </c>
      <c r="D97" s="64">
        <v>8.44</v>
      </c>
      <c r="E97" s="64">
        <v>1.95</v>
      </c>
      <c r="F97" s="64">
        <v>4</v>
      </c>
      <c r="G97" s="64">
        <v>60.03</v>
      </c>
      <c r="H97" s="64">
        <v>15.1</v>
      </c>
      <c r="I97" s="64">
        <v>7.44</v>
      </c>
      <c r="J97" s="64">
        <v>1.04</v>
      </c>
      <c r="K97" s="64">
        <v>104.71</v>
      </c>
      <c r="L97" s="64">
        <v>27.91</v>
      </c>
      <c r="M97" s="64">
        <v>49.83</v>
      </c>
      <c r="N97" s="64">
        <v>23.2</v>
      </c>
      <c r="O97" s="64">
        <v>0</v>
      </c>
      <c r="P97" s="64">
        <v>0.75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6" t="s">
        <v>1199</v>
      </c>
      <c r="B98" s="64">
        <v>1.66</v>
      </c>
      <c r="C98" s="64">
        <v>14.63</v>
      </c>
      <c r="D98" s="64">
        <v>8.9</v>
      </c>
      <c r="E98" s="64">
        <v>1.98</v>
      </c>
      <c r="F98" s="64">
        <v>4.08</v>
      </c>
      <c r="G98" s="64">
        <v>60.03</v>
      </c>
      <c r="H98" s="64">
        <v>15.1</v>
      </c>
      <c r="I98" s="64">
        <v>7.63</v>
      </c>
      <c r="J98" s="64">
        <v>0.39</v>
      </c>
      <c r="K98" s="64">
        <v>118.13</v>
      </c>
      <c r="L98" s="64">
        <v>27.74</v>
      </c>
      <c r="M98" s="64">
        <v>50.66</v>
      </c>
      <c r="N98" s="64">
        <v>22.8</v>
      </c>
      <c r="O98" s="64">
        <v>0</v>
      </c>
      <c r="P98" s="64">
        <v>0.72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6" t="s">
        <v>1200</v>
      </c>
      <c r="B99" s="64">
        <v>1.28</v>
      </c>
      <c r="C99" s="64">
        <v>13.74</v>
      </c>
      <c r="D99" s="64">
        <v>8.1300000000000008</v>
      </c>
      <c r="E99" s="64">
        <v>2.0099999999999998</v>
      </c>
      <c r="F99" s="64">
        <v>4.24</v>
      </c>
      <c r="G99" s="64">
        <v>60.03</v>
      </c>
      <c r="H99" s="64">
        <v>15.1</v>
      </c>
      <c r="I99" s="64">
        <v>7.58</v>
      </c>
      <c r="J99" s="64">
        <v>0.38</v>
      </c>
      <c r="K99" s="64">
        <v>139.22</v>
      </c>
      <c r="L99" s="64">
        <v>27.65</v>
      </c>
      <c r="M99" s="64">
        <v>51.35</v>
      </c>
      <c r="N99" s="64">
        <v>22.5</v>
      </c>
      <c r="O99" s="64">
        <v>0</v>
      </c>
      <c r="P99" s="64">
        <v>0.7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6" t="s">
        <v>1201</v>
      </c>
      <c r="B100" s="64">
        <v>1.65</v>
      </c>
      <c r="C100" s="64">
        <v>15.52</v>
      </c>
      <c r="D100" s="64">
        <v>9.35</v>
      </c>
      <c r="E100" s="64">
        <v>1.78</v>
      </c>
      <c r="F100" s="64">
        <v>4.9400000000000004</v>
      </c>
      <c r="G100" s="64">
        <v>58.91</v>
      </c>
      <c r="H100" s="64">
        <v>14.66</v>
      </c>
      <c r="I100" s="64">
        <v>7.33</v>
      </c>
      <c r="J100" s="64">
        <v>0.57999999999999996</v>
      </c>
      <c r="K100" s="64">
        <v>336.49</v>
      </c>
      <c r="L100" s="64">
        <v>27.42</v>
      </c>
      <c r="M100" s="64">
        <v>55.25</v>
      </c>
      <c r="N100" s="64">
        <v>22.8</v>
      </c>
      <c r="O100" s="64">
        <v>0</v>
      </c>
      <c r="P100" s="64">
        <v>0.68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1202</v>
      </c>
      <c r="B101" s="64">
        <v>1.38</v>
      </c>
      <c r="C101" s="64">
        <v>13.92</v>
      </c>
      <c r="D101" s="64">
        <v>8.3000000000000007</v>
      </c>
      <c r="E101" s="64">
        <v>2.09</v>
      </c>
      <c r="F101" s="64">
        <v>4.05</v>
      </c>
      <c r="G101" s="64">
        <v>58.13</v>
      </c>
      <c r="H101" s="64">
        <v>14.36</v>
      </c>
      <c r="I101" s="64">
        <v>7.07</v>
      </c>
      <c r="J101" s="64">
        <v>0.11</v>
      </c>
      <c r="K101" s="64">
        <v>343.3</v>
      </c>
      <c r="L101" s="64">
        <v>27.03</v>
      </c>
      <c r="M101" s="64">
        <v>56.26</v>
      </c>
      <c r="N101" s="64">
        <v>22.7</v>
      </c>
      <c r="O101" s="64">
        <v>0</v>
      </c>
      <c r="P101" s="64">
        <v>0.68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6" t="s">
        <v>1203</v>
      </c>
      <c r="B102" s="64">
        <v>1.55</v>
      </c>
      <c r="C102" s="64">
        <v>13.19</v>
      </c>
      <c r="D102" s="64">
        <v>8.0500000000000007</v>
      </c>
      <c r="E102" s="64">
        <v>2.14</v>
      </c>
      <c r="F102" s="64">
        <v>4.16</v>
      </c>
      <c r="G102" s="64">
        <v>58.13</v>
      </c>
      <c r="H102" s="64">
        <v>14.36</v>
      </c>
      <c r="I102" s="64">
        <v>6.82</v>
      </c>
      <c r="J102" s="64">
        <v>0.14000000000000001</v>
      </c>
      <c r="K102" s="64">
        <v>240.89</v>
      </c>
      <c r="L102" s="64">
        <v>26.83</v>
      </c>
      <c r="M102" s="64">
        <v>57.96</v>
      </c>
      <c r="N102" s="64">
        <v>22.7</v>
      </c>
      <c r="O102" s="64">
        <v>0</v>
      </c>
      <c r="P102" s="64">
        <v>0.69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6" t="s">
        <v>1204</v>
      </c>
      <c r="B103" s="64">
        <v>1.86</v>
      </c>
      <c r="C103" s="64">
        <v>13.88</v>
      </c>
      <c r="D103" s="64">
        <v>8.66</v>
      </c>
      <c r="E103" s="64">
        <v>2.0099999999999998</v>
      </c>
      <c r="F103" s="64">
        <v>4.9800000000000004</v>
      </c>
      <c r="G103" s="64">
        <v>58.13</v>
      </c>
      <c r="H103" s="64">
        <v>14.36</v>
      </c>
      <c r="I103" s="64">
        <v>6.76</v>
      </c>
      <c r="J103" s="64">
        <v>0.1</v>
      </c>
      <c r="K103" s="64">
        <v>23.48</v>
      </c>
      <c r="L103" s="64">
        <v>27.1</v>
      </c>
      <c r="M103" s="64">
        <v>55.4</v>
      </c>
      <c r="N103" s="64">
        <v>22.5</v>
      </c>
      <c r="O103" s="64">
        <v>0</v>
      </c>
      <c r="P103" s="64">
        <v>0.68</v>
      </c>
      <c r="Q103" s="64">
        <v>9.3800000000000008</v>
      </c>
      <c r="R103" s="198"/>
      <c r="S103" s="198"/>
      <c r="T103" s="198"/>
      <c r="U103" s="198"/>
    </row>
    <row r="104" spans="1:33" s="12" customFormat="1" x14ac:dyDescent="0.25">
      <c r="A104" s="216" t="s">
        <v>1205</v>
      </c>
      <c r="B104" s="64">
        <v>1.94</v>
      </c>
      <c r="C104" s="64">
        <v>13.16</v>
      </c>
      <c r="D104" s="64">
        <v>8.35</v>
      </c>
      <c r="E104" s="64">
        <v>1.63</v>
      </c>
      <c r="F104" s="64">
        <v>2.88</v>
      </c>
      <c r="G104" s="64">
        <v>58.29</v>
      </c>
      <c r="H104" s="64">
        <v>14.88</v>
      </c>
      <c r="I104" s="64">
        <v>6.75</v>
      </c>
      <c r="J104" s="64">
        <v>0.17</v>
      </c>
      <c r="K104" s="64">
        <v>338.56</v>
      </c>
      <c r="L104" s="64">
        <v>26.99</v>
      </c>
      <c r="M104" s="64">
        <v>56.33</v>
      </c>
      <c r="N104" s="64">
        <v>22.9</v>
      </c>
      <c r="O104" s="64">
        <v>0</v>
      </c>
      <c r="P104" s="64">
        <v>0.67</v>
      </c>
      <c r="Q104" s="64">
        <v>9.31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3.63</v>
      </c>
      <c r="D106" s="67">
        <f t="shared" ref="D106:Q106" si="0">MIN(D9:D104)</f>
        <v>1.89</v>
      </c>
      <c r="E106" s="67">
        <f t="shared" si="0"/>
        <v>0.67</v>
      </c>
      <c r="F106" s="67">
        <f t="shared" si="0"/>
        <v>2.81</v>
      </c>
      <c r="G106" s="67">
        <f t="shared" si="0"/>
        <v>18.940000000000001</v>
      </c>
      <c r="H106" s="67">
        <f t="shared" si="0"/>
        <v>6.53</v>
      </c>
      <c r="I106" s="67">
        <f t="shared" si="0"/>
        <v>1.39</v>
      </c>
      <c r="J106" s="67">
        <f t="shared" si="0"/>
        <v>0.02</v>
      </c>
      <c r="K106" s="67">
        <f t="shared" si="0"/>
        <v>0.15</v>
      </c>
      <c r="L106" s="67">
        <f t="shared" si="0"/>
        <v>21.99</v>
      </c>
      <c r="M106" s="67">
        <f t="shared" si="0"/>
        <v>33.799999999999997</v>
      </c>
      <c r="N106" s="67">
        <f t="shared" si="0"/>
        <v>15.7</v>
      </c>
      <c r="O106" s="67">
        <f t="shared" si="0"/>
        <v>0</v>
      </c>
      <c r="P106" s="67">
        <f t="shared" si="0"/>
        <v>0.25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7.7</v>
      </c>
      <c r="C107" s="66">
        <f t="shared" ref="C107:Q107" si="1">MAX(C9:C104)</f>
        <v>19.100000000000001</v>
      </c>
      <c r="D107" s="66">
        <f t="shared" si="1"/>
        <v>14.89</v>
      </c>
      <c r="E107" s="66">
        <f t="shared" si="1"/>
        <v>5.2</v>
      </c>
      <c r="F107" s="66">
        <f t="shared" si="1"/>
        <v>41.78</v>
      </c>
      <c r="G107" s="66">
        <f t="shared" si="1"/>
        <v>71.72</v>
      </c>
      <c r="H107" s="66">
        <f t="shared" si="1"/>
        <v>15.1</v>
      </c>
      <c r="I107" s="66">
        <f t="shared" si="1"/>
        <v>7.63</v>
      </c>
      <c r="J107" s="66">
        <f t="shared" si="1"/>
        <v>1.17</v>
      </c>
      <c r="K107" s="66">
        <f t="shared" si="1"/>
        <v>359.04</v>
      </c>
      <c r="L107" s="66">
        <f t="shared" si="1"/>
        <v>35.24</v>
      </c>
      <c r="M107" s="66">
        <f t="shared" si="1"/>
        <v>78.010000000000005</v>
      </c>
      <c r="N107" s="66">
        <f t="shared" si="1"/>
        <v>959.8</v>
      </c>
      <c r="O107" s="66">
        <f t="shared" si="1"/>
        <v>0</v>
      </c>
      <c r="P107" s="66">
        <f t="shared" si="1"/>
        <v>0.82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2.2401041666666646</v>
      </c>
      <c r="C108" s="67">
        <f t="shared" ref="C108:Q108" si="2">AVERAGE(C9:C104)</f>
        <v>12.000104166666668</v>
      </c>
      <c r="D108" s="67">
        <f t="shared" si="2"/>
        <v>7.985833333333332</v>
      </c>
      <c r="E108" s="67">
        <f t="shared" si="2"/>
        <v>1.7796874999999994</v>
      </c>
      <c r="F108" s="67">
        <f t="shared" si="2"/>
        <v>6.8547916666666682</v>
      </c>
      <c r="G108" s="67">
        <f t="shared" si="2"/>
        <v>36.582083333333337</v>
      </c>
      <c r="H108" s="67">
        <f t="shared" si="2"/>
        <v>10.664999999999997</v>
      </c>
      <c r="I108" s="67">
        <f t="shared" si="2"/>
        <v>4.78</v>
      </c>
      <c r="J108" s="67">
        <f t="shared" si="2"/>
        <v>0.29729166666666668</v>
      </c>
      <c r="K108" s="67">
        <f t="shared" si="2"/>
        <v>221.71260416666669</v>
      </c>
      <c r="L108" s="67">
        <f t="shared" si="2"/>
        <v>28.853958333333324</v>
      </c>
      <c r="M108" s="67">
        <f t="shared" si="2"/>
        <v>53.132708333333341</v>
      </c>
      <c r="N108" s="67">
        <f t="shared" si="2"/>
        <v>276.32916666666665</v>
      </c>
      <c r="O108" s="67">
        <f t="shared" si="2"/>
        <v>0</v>
      </c>
      <c r="P108" s="67">
        <f t="shared" si="2"/>
        <v>0.48520833333333346</v>
      </c>
      <c r="Q108" s="67">
        <f t="shared" si="2"/>
        <v>9.430312500000003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2.2294830624782058</v>
      </c>
      <c r="C109" s="67">
        <f t="shared" ref="C109:Q109" si="3">STDEV(C9:C104)</f>
        <v>5.2653635841454989</v>
      </c>
      <c r="D109" s="67">
        <f t="shared" si="3"/>
        <v>4.2829720784242102</v>
      </c>
      <c r="E109" s="67">
        <f t="shared" si="3"/>
        <v>0.64647457413265885</v>
      </c>
      <c r="F109" s="67">
        <f t="shared" si="3"/>
        <v>5.8765311965060407</v>
      </c>
      <c r="G109" s="67">
        <f t="shared" si="3"/>
        <v>13.814987888191499</v>
      </c>
      <c r="H109" s="67">
        <f t="shared" si="3"/>
        <v>2.2674650812607644</v>
      </c>
      <c r="I109" s="67">
        <f t="shared" si="3"/>
        <v>1.5937833175052023</v>
      </c>
      <c r="J109" s="67">
        <f t="shared" si="3"/>
        <v>0.23333048243872404</v>
      </c>
      <c r="K109" s="67">
        <f t="shared" si="3"/>
        <v>125.28832569838575</v>
      </c>
      <c r="L109" s="67">
        <f t="shared" si="3"/>
        <v>4.2903084122158912</v>
      </c>
      <c r="M109" s="67">
        <f t="shared" si="3"/>
        <v>13.589688387982093</v>
      </c>
      <c r="N109" s="67">
        <f t="shared" si="3"/>
        <v>346.42776992026762</v>
      </c>
      <c r="O109" s="67">
        <f t="shared" si="3"/>
        <v>0</v>
      </c>
      <c r="P109" s="67">
        <f t="shared" si="3"/>
        <v>0.13929128258261025</v>
      </c>
      <c r="Q109" s="67">
        <f t="shared" si="3"/>
        <v>0.14071586245824746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1206</v>
      </c>
      <c r="B9" s="64">
        <v>1.84</v>
      </c>
      <c r="C9" s="64">
        <v>10.8</v>
      </c>
      <c r="D9" s="64">
        <v>7.04</v>
      </c>
      <c r="E9" s="64">
        <v>1.21</v>
      </c>
      <c r="F9" s="64">
        <v>3.32</v>
      </c>
      <c r="G9" s="64">
        <v>58.41</v>
      </c>
      <c r="H9" s="64">
        <v>15.24</v>
      </c>
      <c r="I9" s="64">
        <v>6.77</v>
      </c>
      <c r="J9" s="64">
        <v>0.14000000000000001</v>
      </c>
      <c r="K9" s="64">
        <v>262.01</v>
      </c>
      <c r="L9" s="64">
        <v>26.67</v>
      </c>
      <c r="M9" s="64">
        <v>57.17</v>
      </c>
      <c r="N9" s="64">
        <v>22.9</v>
      </c>
      <c r="O9" s="64">
        <v>0</v>
      </c>
      <c r="P9" s="64">
        <v>0.66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16" t="s">
        <v>1207</v>
      </c>
      <c r="B10" s="64">
        <v>1.98</v>
      </c>
      <c r="C10" s="64">
        <v>10.8</v>
      </c>
      <c r="D10" s="64">
        <v>7.15</v>
      </c>
      <c r="E10" s="64">
        <v>1.63</v>
      </c>
      <c r="F10" s="64">
        <v>3.35</v>
      </c>
      <c r="G10" s="64">
        <v>58.41</v>
      </c>
      <c r="H10" s="64">
        <v>15.24</v>
      </c>
      <c r="I10" s="64">
        <v>6.55</v>
      </c>
      <c r="J10" s="64">
        <v>0.14000000000000001</v>
      </c>
      <c r="K10" s="64">
        <v>321.74</v>
      </c>
      <c r="L10" s="64">
        <v>26.32</v>
      </c>
      <c r="M10" s="64">
        <v>61.73</v>
      </c>
      <c r="N10" s="64">
        <v>23.1</v>
      </c>
      <c r="O10" s="64">
        <v>0</v>
      </c>
      <c r="P10" s="64">
        <v>0.65</v>
      </c>
      <c r="Q10" s="64">
        <v>9.44</v>
      </c>
      <c r="R10" s="198"/>
      <c r="S10" s="198"/>
      <c r="T10" s="198"/>
      <c r="U10" s="198"/>
    </row>
    <row r="11" spans="1:21" s="12" customFormat="1" x14ac:dyDescent="0.25">
      <c r="A11" s="216" t="s">
        <v>1208</v>
      </c>
      <c r="B11" s="64">
        <v>2.1800000000000002</v>
      </c>
      <c r="C11" s="64">
        <v>9.57</v>
      </c>
      <c r="D11" s="64">
        <v>6.67</v>
      </c>
      <c r="E11" s="64">
        <v>1.25</v>
      </c>
      <c r="F11" s="64">
        <v>3.5</v>
      </c>
      <c r="G11" s="64">
        <v>58.41</v>
      </c>
      <c r="H11" s="64">
        <v>15.24</v>
      </c>
      <c r="I11" s="64">
        <v>6.42</v>
      </c>
      <c r="J11" s="64">
        <v>0.13</v>
      </c>
      <c r="K11" s="64">
        <v>146.41</v>
      </c>
      <c r="L11" s="64">
        <v>26.06</v>
      </c>
      <c r="M11" s="64">
        <v>60.84</v>
      </c>
      <c r="N11" s="64">
        <v>22.7</v>
      </c>
      <c r="O11" s="64">
        <v>0</v>
      </c>
      <c r="P11" s="64">
        <v>0.64</v>
      </c>
      <c r="Q11" s="64">
        <v>9.3699999999999992</v>
      </c>
      <c r="R11" s="198"/>
      <c r="S11" s="198"/>
      <c r="T11" s="198"/>
      <c r="U11" s="198"/>
    </row>
    <row r="12" spans="1:21" s="12" customFormat="1" x14ac:dyDescent="0.25">
      <c r="A12" s="216" t="s">
        <v>1209</v>
      </c>
      <c r="B12" s="64">
        <v>2.46</v>
      </c>
      <c r="C12" s="64">
        <v>8.74</v>
      </c>
      <c r="D12" s="64">
        <v>6.46</v>
      </c>
      <c r="E12" s="64">
        <v>1.26</v>
      </c>
      <c r="F12" s="64">
        <v>3.66</v>
      </c>
      <c r="G12" s="64">
        <v>62.01</v>
      </c>
      <c r="H12" s="64">
        <v>16.100000000000001</v>
      </c>
      <c r="I12" s="64">
        <v>5.92</v>
      </c>
      <c r="J12" s="64">
        <v>0.17</v>
      </c>
      <c r="K12" s="64">
        <v>304.99</v>
      </c>
      <c r="L12" s="64">
        <v>25.93</v>
      </c>
      <c r="M12" s="64">
        <v>64.58</v>
      </c>
      <c r="N12" s="64">
        <v>22.9</v>
      </c>
      <c r="O12" s="64">
        <v>0</v>
      </c>
      <c r="P12" s="64">
        <v>0.64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16" t="s">
        <v>1210</v>
      </c>
      <c r="B13" s="64">
        <v>3.35</v>
      </c>
      <c r="C13" s="64">
        <v>9.19</v>
      </c>
      <c r="D13" s="64">
        <v>7.41</v>
      </c>
      <c r="E13" s="64">
        <v>1.18</v>
      </c>
      <c r="F13" s="64">
        <v>3.64</v>
      </c>
      <c r="G13" s="64">
        <v>64.53</v>
      </c>
      <c r="H13" s="64">
        <v>16.7</v>
      </c>
      <c r="I13" s="64">
        <v>5.62</v>
      </c>
      <c r="J13" s="64">
        <v>0.18</v>
      </c>
      <c r="K13" s="64">
        <v>345.19</v>
      </c>
      <c r="L13" s="64">
        <v>25.61</v>
      </c>
      <c r="M13" s="64">
        <v>67.64</v>
      </c>
      <c r="N13" s="64">
        <v>23</v>
      </c>
      <c r="O13" s="64">
        <v>0</v>
      </c>
      <c r="P13" s="64">
        <v>0.56999999999999995</v>
      </c>
      <c r="Q13" s="64">
        <v>9.4600000000000009</v>
      </c>
      <c r="R13" s="198"/>
      <c r="S13" s="198"/>
      <c r="T13" s="198"/>
      <c r="U13" s="198"/>
    </row>
    <row r="14" spans="1:21" s="12" customFormat="1" x14ac:dyDescent="0.25">
      <c r="A14" s="216" t="s">
        <v>1211</v>
      </c>
      <c r="B14" s="64">
        <v>4.01</v>
      </c>
      <c r="C14" s="64">
        <v>9.11</v>
      </c>
      <c r="D14" s="64">
        <v>7.9</v>
      </c>
      <c r="E14" s="64">
        <v>1.06</v>
      </c>
      <c r="F14" s="64">
        <v>3.64</v>
      </c>
      <c r="G14" s="64">
        <v>64.53</v>
      </c>
      <c r="H14" s="64">
        <v>16.7</v>
      </c>
      <c r="I14" s="64">
        <v>5.79</v>
      </c>
      <c r="J14" s="64">
        <v>0.02</v>
      </c>
      <c r="K14" s="64">
        <v>231.22</v>
      </c>
      <c r="L14" s="64">
        <v>25.75</v>
      </c>
      <c r="M14" s="64">
        <v>64.31</v>
      </c>
      <c r="N14" s="64">
        <v>22.6</v>
      </c>
      <c r="O14" s="64">
        <v>0</v>
      </c>
      <c r="P14" s="64">
        <v>0.6</v>
      </c>
      <c r="Q14" s="64">
        <v>9.51</v>
      </c>
      <c r="R14" s="198"/>
      <c r="S14" s="198"/>
      <c r="T14" s="198"/>
      <c r="U14" s="198"/>
    </row>
    <row r="15" spans="1:21" s="12" customFormat="1" x14ac:dyDescent="0.25">
      <c r="A15" s="216" t="s">
        <v>1212</v>
      </c>
      <c r="B15" s="64">
        <v>4.3</v>
      </c>
      <c r="C15" s="64">
        <v>9.89</v>
      </c>
      <c r="D15" s="64">
        <v>8.5399999999999991</v>
      </c>
      <c r="E15" s="64">
        <v>1.08</v>
      </c>
      <c r="F15" s="64">
        <v>3.88</v>
      </c>
      <c r="G15" s="64">
        <v>64.53</v>
      </c>
      <c r="H15" s="64">
        <v>16.7</v>
      </c>
      <c r="I15" s="64">
        <v>6.21</v>
      </c>
      <c r="J15" s="64">
        <v>0.05</v>
      </c>
      <c r="K15" s="64">
        <v>7.31</v>
      </c>
      <c r="L15" s="64">
        <v>25.86</v>
      </c>
      <c r="M15" s="64">
        <v>65.069999999999993</v>
      </c>
      <c r="N15" s="64">
        <v>22.7</v>
      </c>
      <c r="O15" s="64">
        <v>0</v>
      </c>
      <c r="P15" s="64">
        <v>0.6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16" t="s">
        <v>1213</v>
      </c>
      <c r="B16" s="64">
        <v>4.49</v>
      </c>
      <c r="C16" s="64">
        <v>10.14</v>
      </c>
      <c r="D16" s="64">
        <v>8.82</v>
      </c>
      <c r="E16" s="64">
        <v>0.85</v>
      </c>
      <c r="F16" s="64">
        <v>3.66</v>
      </c>
      <c r="G16" s="64">
        <v>66.8</v>
      </c>
      <c r="H16" s="64">
        <v>17.64</v>
      </c>
      <c r="I16" s="64">
        <v>5.73</v>
      </c>
      <c r="J16" s="64">
        <v>0.17</v>
      </c>
      <c r="K16" s="64">
        <v>325.01</v>
      </c>
      <c r="L16" s="64">
        <v>25.75</v>
      </c>
      <c r="M16" s="64">
        <v>68.989999999999995</v>
      </c>
      <c r="N16" s="64">
        <v>22.8</v>
      </c>
      <c r="O16" s="64">
        <v>0</v>
      </c>
      <c r="P16" s="64">
        <v>0.56999999999999995</v>
      </c>
      <c r="Q16" s="64">
        <v>9.57</v>
      </c>
      <c r="R16" s="198"/>
      <c r="S16" s="198"/>
      <c r="T16" s="198"/>
      <c r="U16" s="198"/>
    </row>
    <row r="17" spans="1:21" s="12" customFormat="1" x14ac:dyDescent="0.25">
      <c r="A17" s="216" t="s">
        <v>1214</v>
      </c>
      <c r="B17" s="64">
        <v>4.79</v>
      </c>
      <c r="C17" s="64">
        <v>10.49</v>
      </c>
      <c r="D17" s="64">
        <v>9.24</v>
      </c>
      <c r="E17" s="64">
        <v>1.33</v>
      </c>
      <c r="F17" s="64">
        <v>3.56</v>
      </c>
      <c r="G17" s="64">
        <v>68.38</v>
      </c>
      <c r="H17" s="64">
        <v>18.309999999999999</v>
      </c>
      <c r="I17" s="64">
        <v>5.59</v>
      </c>
      <c r="J17" s="64">
        <v>0.1</v>
      </c>
      <c r="K17" s="64">
        <v>338.65</v>
      </c>
      <c r="L17" s="64">
        <v>25.72</v>
      </c>
      <c r="M17" s="64">
        <v>69.239999999999995</v>
      </c>
      <c r="N17" s="64">
        <v>22.7</v>
      </c>
      <c r="O17" s="64">
        <v>0</v>
      </c>
      <c r="P17" s="64">
        <v>0.56999999999999995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6" t="s">
        <v>1215</v>
      </c>
      <c r="B18" s="64">
        <v>5.1100000000000003</v>
      </c>
      <c r="C18" s="64">
        <v>11.95</v>
      </c>
      <c r="D18" s="64">
        <v>10.26</v>
      </c>
      <c r="E18" s="64">
        <v>1.28</v>
      </c>
      <c r="F18" s="64">
        <v>3.68</v>
      </c>
      <c r="G18" s="64">
        <v>68.38</v>
      </c>
      <c r="H18" s="64">
        <v>18.309999999999999</v>
      </c>
      <c r="I18" s="64">
        <v>5.67</v>
      </c>
      <c r="J18" s="64">
        <v>0.3</v>
      </c>
      <c r="K18" s="64">
        <v>338.68</v>
      </c>
      <c r="L18" s="64">
        <v>25.82</v>
      </c>
      <c r="M18" s="64">
        <v>68.459999999999994</v>
      </c>
      <c r="N18" s="64">
        <v>22.8</v>
      </c>
      <c r="O18" s="64">
        <v>0</v>
      </c>
      <c r="P18" s="64">
        <v>0.56000000000000005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16" t="s">
        <v>1216</v>
      </c>
      <c r="B19" s="64">
        <v>4.67</v>
      </c>
      <c r="C19" s="64">
        <v>12.81</v>
      </c>
      <c r="D19" s="64">
        <v>10.36</v>
      </c>
      <c r="E19" s="64">
        <v>1.51</v>
      </c>
      <c r="F19" s="64">
        <v>3.53</v>
      </c>
      <c r="G19" s="64">
        <v>68.38</v>
      </c>
      <c r="H19" s="64">
        <v>18.309999999999999</v>
      </c>
      <c r="I19" s="64">
        <v>6.11</v>
      </c>
      <c r="J19" s="64">
        <v>0.7</v>
      </c>
      <c r="K19" s="64">
        <v>351.6</v>
      </c>
      <c r="L19" s="64">
        <v>25.74</v>
      </c>
      <c r="M19" s="64">
        <v>68.63</v>
      </c>
      <c r="N19" s="64">
        <v>22.7</v>
      </c>
      <c r="O19" s="64">
        <v>0</v>
      </c>
      <c r="P19" s="64">
        <v>0.56000000000000005</v>
      </c>
      <c r="Q19" s="64">
        <v>9.59</v>
      </c>
      <c r="R19" s="198"/>
      <c r="S19" s="198"/>
      <c r="T19" s="198"/>
      <c r="U19" s="198"/>
    </row>
    <row r="20" spans="1:21" s="12" customFormat="1" x14ac:dyDescent="0.25">
      <c r="A20" s="216" t="s">
        <v>1217</v>
      </c>
      <c r="B20" s="64">
        <v>4.93</v>
      </c>
      <c r="C20" s="64">
        <v>13.03</v>
      </c>
      <c r="D20" s="64">
        <v>10.68</v>
      </c>
      <c r="E20" s="64">
        <v>1.38</v>
      </c>
      <c r="F20" s="64">
        <v>3.01</v>
      </c>
      <c r="G20" s="64">
        <v>69.180000000000007</v>
      </c>
      <c r="H20" s="64">
        <v>19.28</v>
      </c>
      <c r="I20" s="64">
        <v>6.74</v>
      </c>
      <c r="J20" s="64">
        <v>0.7</v>
      </c>
      <c r="K20" s="64">
        <v>350.93</v>
      </c>
      <c r="L20" s="64">
        <v>25.53</v>
      </c>
      <c r="M20" s="64">
        <v>67.5</v>
      </c>
      <c r="N20" s="64">
        <v>23.1</v>
      </c>
      <c r="O20" s="64">
        <v>0</v>
      </c>
      <c r="P20" s="64">
        <v>0.56000000000000005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6" t="s">
        <v>1218</v>
      </c>
      <c r="B21" s="64">
        <v>5.29</v>
      </c>
      <c r="C21" s="64">
        <v>11.63</v>
      </c>
      <c r="D21" s="64">
        <v>10.24</v>
      </c>
      <c r="E21" s="64">
        <v>1.5</v>
      </c>
      <c r="F21" s="64">
        <v>3.41</v>
      </c>
      <c r="G21" s="64">
        <v>69.739999999999995</v>
      </c>
      <c r="H21" s="64">
        <v>19.97</v>
      </c>
      <c r="I21" s="64">
        <v>6.97</v>
      </c>
      <c r="J21" s="64">
        <v>0.41</v>
      </c>
      <c r="K21" s="64">
        <v>354.07</v>
      </c>
      <c r="L21" s="64">
        <v>25.22</v>
      </c>
      <c r="M21" s="64">
        <v>68.62</v>
      </c>
      <c r="N21" s="64">
        <v>23.3</v>
      </c>
      <c r="O21" s="64">
        <v>0</v>
      </c>
      <c r="P21" s="64">
        <v>0.56999999999999995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6" t="s">
        <v>1219</v>
      </c>
      <c r="B22" s="64">
        <v>6.04</v>
      </c>
      <c r="C22" s="64">
        <v>11.33</v>
      </c>
      <c r="D22" s="64">
        <v>10.68</v>
      </c>
      <c r="E22" s="64">
        <v>1.41</v>
      </c>
      <c r="F22" s="64">
        <v>3.7</v>
      </c>
      <c r="G22" s="64">
        <v>69.739999999999995</v>
      </c>
      <c r="H22" s="64">
        <v>19.97</v>
      </c>
      <c r="I22" s="64">
        <v>7.19</v>
      </c>
      <c r="J22" s="64">
        <v>0.38</v>
      </c>
      <c r="K22" s="64">
        <v>16.89</v>
      </c>
      <c r="L22" s="64">
        <v>24.93</v>
      </c>
      <c r="M22" s="64">
        <v>68.28</v>
      </c>
      <c r="N22" s="64">
        <v>23.1</v>
      </c>
      <c r="O22" s="64">
        <v>0</v>
      </c>
      <c r="P22" s="64">
        <v>0.59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16" t="s">
        <v>1220</v>
      </c>
      <c r="B23" s="64">
        <v>6.34</v>
      </c>
      <c r="C23" s="64">
        <v>11.79</v>
      </c>
      <c r="D23" s="64">
        <v>11.16</v>
      </c>
      <c r="E23" s="64">
        <v>1.21</v>
      </c>
      <c r="F23" s="64">
        <v>3.74</v>
      </c>
      <c r="G23" s="64">
        <v>69.739999999999995</v>
      </c>
      <c r="H23" s="64">
        <v>19.97</v>
      </c>
      <c r="I23" s="64">
        <v>7.14</v>
      </c>
      <c r="J23" s="64">
        <v>0.31</v>
      </c>
      <c r="K23" s="64">
        <v>357.48</v>
      </c>
      <c r="L23" s="64">
        <v>24.88</v>
      </c>
      <c r="M23" s="64">
        <v>67.959999999999994</v>
      </c>
      <c r="N23" s="64">
        <v>23.3</v>
      </c>
      <c r="O23" s="64">
        <v>0</v>
      </c>
      <c r="P23" s="64">
        <v>0.57999999999999996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16" t="s">
        <v>1221</v>
      </c>
      <c r="B24" s="64">
        <v>6.59</v>
      </c>
      <c r="C24" s="64">
        <v>12.11</v>
      </c>
      <c r="D24" s="64">
        <v>11.53</v>
      </c>
      <c r="E24" s="64">
        <v>1.1100000000000001</v>
      </c>
      <c r="F24" s="64">
        <v>3.53</v>
      </c>
      <c r="G24" s="64">
        <v>81.3</v>
      </c>
      <c r="H24" s="64">
        <v>22.32</v>
      </c>
      <c r="I24" s="64">
        <v>7.15</v>
      </c>
      <c r="J24" s="64">
        <v>0.28000000000000003</v>
      </c>
      <c r="K24" s="64">
        <v>354.38</v>
      </c>
      <c r="L24" s="64">
        <v>24.54</v>
      </c>
      <c r="M24" s="64">
        <v>70.89</v>
      </c>
      <c r="N24" s="64">
        <v>23.3</v>
      </c>
      <c r="O24" s="64">
        <v>0</v>
      </c>
      <c r="P24" s="64">
        <v>0.57999999999999996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16" t="s">
        <v>1222</v>
      </c>
      <c r="B25" s="64">
        <v>7.28</v>
      </c>
      <c r="C25" s="64">
        <v>12.27</v>
      </c>
      <c r="D25" s="64">
        <v>12.17</v>
      </c>
      <c r="E25" s="64">
        <v>2.59</v>
      </c>
      <c r="F25" s="64">
        <v>3.35</v>
      </c>
      <c r="G25" s="64">
        <v>89.37</v>
      </c>
      <c r="H25" s="64">
        <v>23.96</v>
      </c>
      <c r="I25" s="64">
        <v>7.13</v>
      </c>
      <c r="J25" s="64">
        <v>0.18</v>
      </c>
      <c r="K25" s="64">
        <v>332.4</v>
      </c>
      <c r="L25" s="64">
        <v>24.27</v>
      </c>
      <c r="M25" s="64">
        <v>73.400000000000006</v>
      </c>
      <c r="N25" s="64">
        <v>23.5</v>
      </c>
      <c r="O25" s="64">
        <v>0</v>
      </c>
      <c r="P25" s="64">
        <v>0.59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16" t="s">
        <v>1223</v>
      </c>
      <c r="B26" s="64">
        <v>8.92</v>
      </c>
      <c r="C26" s="64">
        <v>12.29</v>
      </c>
      <c r="D26" s="64">
        <v>13.49</v>
      </c>
      <c r="E26" s="64">
        <v>2.4700000000000002</v>
      </c>
      <c r="F26" s="64">
        <v>3.54</v>
      </c>
      <c r="G26" s="64">
        <v>89.37</v>
      </c>
      <c r="H26" s="64">
        <v>23.96</v>
      </c>
      <c r="I26" s="64">
        <v>7.03</v>
      </c>
      <c r="J26" s="64">
        <v>0.12</v>
      </c>
      <c r="K26" s="64">
        <v>211.33</v>
      </c>
      <c r="L26" s="64">
        <v>24.23</v>
      </c>
      <c r="M26" s="64">
        <v>72.83</v>
      </c>
      <c r="N26" s="64">
        <v>23.2</v>
      </c>
      <c r="O26" s="64">
        <v>0</v>
      </c>
      <c r="P26" s="64">
        <v>0.6</v>
      </c>
      <c r="Q26" s="64">
        <v>9.56</v>
      </c>
      <c r="R26" s="198"/>
      <c r="S26" s="198"/>
      <c r="T26" s="198"/>
      <c r="U26" s="198"/>
    </row>
    <row r="27" spans="1:21" s="12" customFormat="1" x14ac:dyDescent="0.25">
      <c r="A27" s="216" t="s">
        <v>1224</v>
      </c>
      <c r="B27" s="64">
        <v>10.29</v>
      </c>
      <c r="C27" s="64">
        <v>12.43</v>
      </c>
      <c r="D27" s="64">
        <v>14.67</v>
      </c>
      <c r="E27" s="64">
        <v>2.64</v>
      </c>
      <c r="F27" s="64">
        <v>3.56</v>
      </c>
      <c r="G27" s="64">
        <v>89.37</v>
      </c>
      <c r="H27" s="64">
        <v>23.96</v>
      </c>
      <c r="I27" s="64">
        <v>6.96</v>
      </c>
      <c r="J27" s="64">
        <v>0.17</v>
      </c>
      <c r="K27" s="64">
        <v>347.87</v>
      </c>
      <c r="L27" s="64">
        <v>24.19</v>
      </c>
      <c r="M27" s="64">
        <v>74.19</v>
      </c>
      <c r="N27" s="64">
        <v>23.7</v>
      </c>
      <c r="O27" s="64">
        <v>0</v>
      </c>
      <c r="P27" s="64">
        <v>0.61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6" t="s">
        <v>1225</v>
      </c>
      <c r="B28" s="64">
        <v>11.83</v>
      </c>
      <c r="C28" s="64">
        <v>12.62</v>
      </c>
      <c r="D28" s="64">
        <v>16</v>
      </c>
      <c r="E28" s="64">
        <v>2.76</v>
      </c>
      <c r="F28" s="64">
        <v>3.45</v>
      </c>
      <c r="G28" s="64">
        <v>102.97</v>
      </c>
      <c r="H28" s="64">
        <v>31.17</v>
      </c>
      <c r="I28" s="64">
        <v>6.98</v>
      </c>
      <c r="J28" s="64">
        <v>0.19</v>
      </c>
      <c r="K28" s="64">
        <v>329.48</v>
      </c>
      <c r="L28" s="64">
        <v>24.01</v>
      </c>
      <c r="M28" s="64">
        <v>77.81</v>
      </c>
      <c r="N28" s="64">
        <v>23.7</v>
      </c>
      <c r="O28" s="64">
        <v>0</v>
      </c>
      <c r="P28" s="64">
        <v>0.63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6" t="s">
        <v>1226</v>
      </c>
      <c r="B29" s="64">
        <v>13.53</v>
      </c>
      <c r="C29" s="64">
        <v>12.57</v>
      </c>
      <c r="D29" s="64">
        <v>17.34</v>
      </c>
      <c r="E29" s="64">
        <v>2.41</v>
      </c>
      <c r="F29" s="64">
        <v>2.96</v>
      </c>
      <c r="G29" s="64">
        <v>112.46</v>
      </c>
      <c r="H29" s="64">
        <v>36.200000000000003</v>
      </c>
      <c r="I29" s="64">
        <v>6.87</v>
      </c>
      <c r="J29" s="64">
        <v>0.09</v>
      </c>
      <c r="K29" s="64">
        <v>112.01</v>
      </c>
      <c r="L29" s="64">
        <v>23.95</v>
      </c>
      <c r="M29" s="64">
        <v>75.16</v>
      </c>
      <c r="N29" s="64">
        <v>24.5</v>
      </c>
      <c r="O29" s="64">
        <v>0</v>
      </c>
      <c r="P29" s="64">
        <v>0.64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6" t="s">
        <v>1227</v>
      </c>
      <c r="B30" s="64">
        <v>14.92</v>
      </c>
      <c r="C30" s="64">
        <v>11.7</v>
      </c>
      <c r="D30" s="64">
        <v>18</v>
      </c>
      <c r="E30" s="64">
        <v>2.56</v>
      </c>
      <c r="F30" s="64">
        <v>3.46</v>
      </c>
      <c r="G30" s="64">
        <v>112.46</v>
      </c>
      <c r="H30" s="64">
        <v>36.200000000000003</v>
      </c>
      <c r="I30" s="64">
        <v>6.77</v>
      </c>
      <c r="J30" s="64">
        <v>7.0000000000000007E-2</v>
      </c>
      <c r="K30" s="64">
        <v>297.91000000000003</v>
      </c>
      <c r="L30" s="64">
        <v>24.13</v>
      </c>
      <c r="M30" s="64">
        <v>73.349999999999994</v>
      </c>
      <c r="N30" s="64">
        <v>29.4</v>
      </c>
      <c r="O30" s="64">
        <v>0</v>
      </c>
      <c r="P30" s="64">
        <v>0.65</v>
      </c>
      <c r="Q30" s="64">
        <v>9.75</v>
      </c>
      <c r="R30" s="198"/>
      <c r="S30" s="198"/>
      <c r="T30" s="198"/>
      <c r="U30" s="198"/>
    </row>
    <row r="31" spans="1:21" s="12" customFormat="1" x14ac:dyDescent="0.25">
      <c r="A31" s="216" t="s">
        <v>1228</v>
      </c>
      <c r="B31" s="64">
        <v>16.440000000000001</v>
      </c>
      <c r="C31" s="64">
        <v>11.42</v>
      </c>
      <c r="D31" s="64">
        <v>19.059999999999999</v>
      </c>
      <c r="E31" s="64">
        <v>2.46</v>
      </c>
      <c r="F31" s="64">
        <v>3.3</v>
      </c>
      <c r="G31" s="64">
        <v>112.46</v>
      </c>
      <c r="H31" s="64">
        <v>36.200000000000003</v>
      </c>
      <c r="I31" s="64">
        <v>6.51</v>
      </c>
      <c r="J31" s="64">
        <v>0.28999999999999998</v>
      </c>
      <c r="K31" s="64">
        <v>130.72999999999999</v>
      </c>
      <c r="L31" s="64">
        <v>24.46</v>
      </c>
      <c r="M31" s="64">
        <v>72.61</v>
      </c>
      <c r="N31" s="64">
        <v>40.6</v>
      </c>
      <c r="O31" s="64">
        <v>0</v>
      </c>
      <c r="P31" s="64">
        <v>0.65</v>
      </c>
      <c r="Q31" s="64">
        <v>9.83</v>
      </c>
      <c r="R31" s="198"/>
      <c r="S31" s="198"/>
      <c r="T31" s="198"/>
      <c r="U31" s="198"/>
    </row>
    <row r="32" spans="1:21" s="12" customFormat="1" x14ac:dyDescent="0.25">
      <c r="A32" s="216" t="s">
        <v>1229</v>
      </c>
      <c r="B32" s="64">
        <v>18.34</v>
      </c>
      <c r="C32" s="64">
        <v>10.78</v>
      </c>
      <c r="D32" s="64">
        <v>20.25</v>
      </c>
      <c r="E32" s="64">
        <v>2.64</v>
      </c>
      <c r="F32" s="64">
        <v>3.61</v>
      </c>
      <c r="G32" s="64">
        <v>123.22</v>
      </c>
      <c r="H32" s="64">
        <v>39.32</v>
      </c>
      <c r="I32" s="64">
        <v>6.64</v>
      </c>
      <c r="J32" s="64">
        <v>0.21</v>
      </c>
      <c r="K32" s="64">
        <v>332.6</v>
      </c>
      <c r="L32" s="64">
        <v>24.88</v>
      </c>
      <c r="M32" s="64">
        <v>75.69</v>
      </c>
      <c r="N32" s="64">
        <v>67.7</v>
      </c>
      <c r="O32" s="64">
        <v>0</v>
      </c>
      <c r="P32" s="64">
        <v>0.66</v>
      </c>
      <c r="Q32" s="64">
        <v>9.85</v>
      </c>
      <c r="R32" s="198"/>
      <c r="S32" s="198"/>
      <c r="T32" s="198"/>
      <c r="U32" s="198"/>
    </row>
    <row r="33" spans="1:21" s="12" customFormat="1" x14ac:dyDescent="0.25">
      <c r="A33" s="216" t="s">
        <v>1230</v>
      </c>
      <c r="B33" s="64">
        <v>19.989999999999998</v>
      </c>
      <c r="C33" s="64">
        <v>10.45</v>
      </c>
      <c r="D33" s="64">
        <v>21.41</v>
      </c>
      <c r="E33" s="64">
        <v>2.5</v>
      </c>
      <c r="F33" s="64">
        <v>3.49</v>
      </c>
      <c r="G33" s="64">
        <v>130.74</v>
      </c>
      <c r="H33" s="64">
        <v>41.49</v>
      </c>
      <c r="I33" s="64">
        <v>6.97</v>
      </c>
      <c r="J33" s="64">
        <v>0.15</v>
      </c>
      <c r="K33" s="64">
        <v>307.36</v>
      </c>
      <c r="L33" s="64">
        <v>25.54</v>
      </c>
      <c r="M33" s="64">
        <v>71.94</v>
      </c>
      <c r="N33" s="64">
        <v>124.1</v>
      </c>
      <c r="O33" s="64">
        <v>0</v>
      </c>
      <c r="P33" s="64">
        <v>0.67</v>
      </c>
      <c r="Q33" s="64">
        <v>9.84</v>
      </c>
      <c r="R33" s="198"/>
      <c r="S33" s="198"/>
      <c r="T33" s="198"/>
      <c r="U33" s="198"/>
    </row>
    <row r="34" spans="1:21" s="12" customFormat="1" x14ac:dyDescent="0.25">
      <c r="A34" s="216" t="s">
        <v>1231</v>
      </c>
      <c r="B34" s="64">
        <v>20.86</v>
      </c>
      <c r="C34" s="64">
        <v>11.44</v>
      </c>
      <c r="D34" s="64">
        <v>22.63</v>
      </c>
      <c r="E34" s="64">
        <v>2.54</v>
      </c>
      <c r="F34" s="64">
        <v>3.46</v>
      </c>
      <c r="G34" s="64">
        <v>130.74</v>
      </c>
      <c r="H34" s="64">
        <v>41.49</v>
      </c>
      <c r="I34" s="64">
        <v>7.15</v>
      </c>
      <c r="J34" s="64">
        <v>0.13</v>
      </c>
      <c r="K34" s="64">
        <v>358.69</v>
      </c>
      <c r="L34" s="64">
        <v>26.53</v>
      </c>
      <c r="M34" s="64">
        <v>63.2</v>
      </c>
      <c r="N34" s="64">
        <v>148.30000000000001</v>
      </c>
      <c r="O34" s="64">
        <v>0</v>
      </c>
      <c r="P34" s="64">
        <v>0.67</v>
      </c>
      <c r="Q34" s="64">
        <v>9.8800000000000008</v>
      </c>
      <c r="R34" s="198"/>
      <c r="S34" s="198"/>
      <c r="T34" s="198"/>
      <c r="U34" s="198"/>
    </row>
    <row r="35" spans="1:21" s="12" customFormat="1" x14ac:dyDescent="0.25">
      <c r="A35" s="216" t="s">
        <v>1232</v>
      </c>
      <c r="B35" s="64">
        <v>17.84</v>
      </c>
      <c r="C35" s="64">
        <v>14.67</v>
      </c>
      <c r="D35" s="64">
        <v>21.89</v>
      </c>
      <c r="E35" s="64">
        <v>2.56</v>
      </c>
      <c r="F35" s="64">
        <v>3.55</v>
      </c>
      <c r="G35" s="64">
        <v>130.74</v>
      </c>
      <c r="H35" s="64">
        <v>41.49</v>
      </c>
      <c r="I35" s="64">
        <v>7.77</v>
      </c>
      <c r="J35" s="64">
        <v>0.1</v>
      </c>
      <c r="K35" s="64">
        <v>7.79</v>
      </c>
      <c r="L35" s="64">
        <v>27.03</v>
      </c>
      <c r="M35" s="64">
        <v>61.81</v>
      </c>
      <c r="N35" s="64">
        <v>200.3</v>
      </c>
      <c r="O35" s="64">
        <v>0</v>
      </c>
      <c r="P35" s="64">
        <v>0.66</v>
      </c>
      <c r="Q35" s="64">
        <v>9.94</v>
      </c>
      <c r="R35" s="198"/>
      <c r="S35" s="198"/>
      <c r="T35" s="198"/>
      <c r="U35" s="198"/>
    </row>
    <row r="36" spans="1:21" s="12" customFormat="1" x14ac:dyDescent="0.25">
      <c r="A36" s="216" t="s">
        <v>1233</v>
      </c>
      <c r="B36" s="64">
        <v>15.24</v>
      </c>
      <c r="C36" s="64">
        <v>16.57</v>
      </c>
      <c r="D36" s="64">
        <v>20.79</v>
      </c>
      <c r="E36" s="64">
        <v>2.58</v>
      </c>
      <c r="F36" s="64">
        <v>3.41</v>
      </c>
      <c r="G36" s="64">
        <v>122.87</v>
      </c>
      <c r="H36" s="64">
        <v>40.01</v>
      </c>
      <c r="I36" s="64">
        <v>8.06</v>
      </c>
      <c r="J36" s="64">
        <v>0.04</v>
      </c>
      <c r="K36" s="64">
        <v>354.49</v>
      </c>
      <c r="L36" s="64">
        <v>26.97</v>
      </c>
      <c r="M36" s="64">
        <v>63.22</v>
      </c>
      <c r="N36" s="64">
        <v>206.7</v>
      </c>
      <c r="O36" s="64">
        <v>0</v>
      </c>
      <c r="P36" s="64">
        <v>0.64</v>
      </c>
      <c r="Q36" s="64">
        <v>9.92</v>
      </c>
      <c r="R36" s="198"/>
      <c r="S36" s="198"/>
      <c r="T36" s="198"/>
      <c r="U36" s="198"/>
    </row>
    <row r="37" spans="1:21" s="12" customFormat="1" x14ac:dyDescent="0.25">
      <c r="A37" s="216" t="s">
        <v>1234</v>
      </c>
      <c r="B37" s="64">
        <v>12.72</v>
      </c>
      <c r="C37" s="64">
        <v>17.59</v>
      </c>
      <c r="D37" s="64">
        <v>19.309999999999999</v>
      </c>
      <c r="E37" s="64">
        <v>2.5</v>
      </c>
      <c r="F37" s="64">
        <v>3.7</v>
      </c>
      <c r="G37" s="64">
        <v>117.38</v>
      </c>
      <c r="H37" s="64">
        <v>38.979999999999997</v>
      </c>
      <c r="I37" s="64">
        <v>7.95</v>
      </c>
      <c r="J37" s="64">
        <v>0.06</v>
      </c>
      <c r="K37" s="64">
        <v>263.66000000000003</v>
      </c>
      <c r="L37" s="64">
        <v>27.16</v>
      </c>
      <c r="M37" s="64">
        <v>64.23</v>
      </c>
      <c r="N37" s="64">
        <v>271.3</v>
      </c>
      <c r="O37" s="64">
        <v>0</v>
      </c>
      <c r="P37" s="64">
        <v>0.6</v>
      </c>
      <c r="Q37" s="64">
        <v>9.91</v>
      </c>
      <c r="R37" s="198"/>
      <c r="S37" s="198"/>
      <c r="T37" s="198"/>
      <c r="U37" s="198"/>
    </row>
    <row r="38" spans="1:21" s="12" customFormat="1" x14ac:dyDescent="0.25">
      <c r="A38" s="216" t="s">
        <v>1235</v>
      </c>
      <c r="B38" s="64">
        <v>11.13</v>
      </c>
      <c r="C38" s="64">
        <v>17.66</v>
      </c>
      <c r="D38" s="64">
        <v>18.07</v>
      </c>
      <c r="E38" s="64">
        <v>2.38</v>
      </c>
      <c r="F38" s="64">
        <v>3.77</v>
      </c>
      <c r="G38" s="64">
        <v>117.38</v>
      </c>
      <c r="H38" s="64">
        <v>38.979999999999997</v>
      </c>
      <c r="I38" s="64">
        <v>7.67</v>
      </c>
      <c r="J38" s="64">
        <v>0.08</v>
      </c>
      <c r="K38" s="64">
        <v>23.53</v>
      </c>
      <c r="L38" s="64">
        <v>28.19</v>
      </c>
      <c r="M38" s="64">
        <v>62.13</v>
      </c>
      <c r="N38" s="64">
        <v>316.2</v>
      </c>
      <c r="O38" s="64">
        <v>0</v>
      </c>
      <c r="P38" s="64">
        <v>0.62</v>
      </c>
      <c r="Q38" s="64">
        <v>9.84</v>
      </c>
      <c r="R38" s="198"/>
      <c r="S38" s="198"/>
      <c r="T38" s="198"/>
      <c r="U38" s="198"/>
    </row>
    <row r="39" spans="1:21" s="12" customFormat="1" x14ac:dyDescent="0.25">
      <c r="A39" s="216" t="s">
        <v>1236</v>
      </c>
      <c r="B39" s="64">
        <v>10.19</v>
      </c>
      <c r="C39" s="64">
        <v>19.53</v>
      </c>
      <c r="D39" s="64">
        <v>18.3</v>
      </c>
      <c r="E39" s="64">
        <v>2.56</v>
      </c>
      <c r="F39" s="64">
        <v>4.2699999999999996</v>
      </c>
      <c r="G39" s="64">
        <v>117.38</v>
      </c>
      <c r="H39" s="64">
        <v>38.979999999999997</v>
      </c>
      <c r="I39" s="64">
        <v>7.28</v>
      </c>
      <c r="J39" s="64">
        <v>0.14000000000000001</v>
      </c>
      <c r="K39" s="64">
        <v>213.11</v>
      </c>
      <c r="L39" s="64">
        <v>28.56</v>
      </c>
      <c r="M39" s="64">
        <v>61.49</v>
      </c>
      <c r="N39" s="64">
        <v>378.3</v>
      </c>
      <c r="O39" s="64">
        <v>0</v>
      </c>
      <c r="P39" s="64">
        <v>0.61</v>
      </c>
      <c r="Q39" s="64">
        <v>9.77</v>
      </c>
      <c r="R39" s="198"/>
      <c r="S39" s="198"/>
      <c r="T39" s="198"/>
      <c r="U39" s="198"/>
    </row>
    <row r="40" spans="1:21" s="12" customFormat="1" x14ac:dyDescent="0.25">
      <c r="A40" s="216" t="s">
        <v>1237</v>
      </c>
      <c r="B40" s="64">
        <v>8.81</v>
      </c>
      <c r="C40" s="64">
        <v>20.43</v>
      </c>
      <c r="D40" s="64">
        <v>17.66</v>
      </c>
      <c r="E40" s="64">
        <v>1.4</v>
      </c>
      <c r="F40" s="64">
        <v>4.8499999999999996</v>
      </c>
      <c r="G40" s="64">
        <v>93.83</v>
      </c>
      <c r="H40" s="64">
        <v>33.6</v>
      </c>
      <c r="I40" s="64">
        <v>6.95</v>
      </c>
      <c r="J40" s="64">
        <v>0.03</v>
      </c>
      <c r="K40" s="64">
        <v>235.61</v>
      </c>
      <c r="L40" s="64">
        <v>29.07</v>
      </c>
      <c r="M40" s="64">
        <v>58.96</v>
      </c>
      <c r="N40" s="64">
        <v>441.4</v>
      </c>
      <c r="O40" s="64">
        <v>0</v>
      </c>
      <c r="P40" s="64">
        <v>0.59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6" t="s">
        <v>1238</v>
      </c>
      <c r="B41" s="64">
        <v>6.22</v>
      </c>
      <c r="C41" s="64">
        <v>19.57</v>
      </c>
      <c r="D41" s="64">
        <v>15.13</v>
      </c>
      <c r="E41" s="64">
        <v>1.61</v>
      </c>
      <c r="F41" s="64">
        <v>3.92</v>
      </c>
      <c r="G41" s="64">
        <v>77.39</v>
      </c>
      <c r="H41" s="64">
        <v>29.86</v>
      </c>
      <c r="I41" s="64">
        <v>6.69</v>
      </c>
      <c r="J41" s="64">
        <v>0.05</v>
      </c>
      <c r="K41" s="64">
        <v>320.97000000000003</v>
      </c>
      <c r="L41" s="64">
        <v>29.44</v>
      </c>
      <c r="M41" s="64">
        <v>56.78</v>
      </c>
      <c r="N41" s="64">
        <v>498.8</v>
      </c>
      <c r="O41" s="64">
        <v>0</v>
      </c>
      <c r="P41" s="64">
        <v>0.54</v>
      </c>
      <c r="Q41" s="64">
        <v>9.51</v>
      </c>
      <c r="R41" s="198"/>
      <c r="S41" s="198"/>
      <c r="T41" s="198"/>
      <c r="U41" s="198"/>
    </row>
    <row r="42" spans="1:21" s="12" customFormat="1" x14ac:dyDescent="0.25">
      <c r="A42" s="216" t="s">
        <v>1239</v>
      </c>
      <c r="B42" s="64">
        <v>3.63</v>
      </c>
      <c r="C42" s="64">
        <v>18.850000000000001</v>
      </c>
      <c r="D42" s="64">
        <v>12.68</v>
      </c>
      <c r="E42" s="64">
        <v>1.59</v>
      </c>
      <c r="F42" s="64">
        <v>4.3</v>
      </c>
      <c r="G42" s="64">
        <v>77.39</v>
      </c>
      <c r="H42" s="64">
        <v>29.86</v>
      </c>
      <c r="I42" s="64">
        <v>6.35</v>
      </c>
      <c r="J42" s="64">
        <v>0.09</v>
      </c>
      <c r="K42" s="64">
        <v>16.579999999999998</v>
      </c>
      <c r="L42" s="64">
        <v>29.88</v>
      </c>
      <c r="M42" s="64">
        <v>55.42</v>
      </c>
      <c r="N42" s="64">
        <v>568.70000000000005</v>
      </c>
      <c r="O42" s="64">
        <v>0</v>
      </c>
      <c r="P42" s="64">
        <v>0.51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6" t="s">
        <v>1240</v>
      </c>
      <c r="B43" s="64">
        <v>1.79</v>
      </c>
      <c r="C43" s="64">
        <v>18.28</v>
      </c>
      <c r="D43" s="64">
        <v>10.91</v>
      </c>
      <c r="E43" s="64">
        <v>1.62</v>
      </c>
      <c r="F43" s="64">
        <v>4.43</v>
      </c>
      <c r="G43" s="64">
        <v>77.39</v>
      </c>
      <c r="H43" s="64">
        <v>29.86</v>
      </c>
      <c r="I43" s="64">
        <v>5.83</v>
      </c>
      <c r="J43" s="64">
        <v>0.28999999999999998</v>
      </c>
      <c r="K43" s="64">
        <v>11.18</v>
      </c>
      <c r="L43" s="64">
        <v>30.59</v>
      </c>
      <c r="M43" s="64">
        <v>53.9</v>
      </c>
      <c r="N43" s="64">
        <v>612.79999999999995</v>
      </c>
      <c r="O43" s="64">
        <v>0</v>
      </c>
      <c r="P43" s="64">
        <v>0.47</v>
      </c>
      <c r="Q43" s="64">
        <v>9.41</v>
      </c>
      <c r="R43" s="198"/>
      <c r="S43" s="198"/>
      <c r="T43" s="198"/>
      <c r="U43" s="198"/>
    </row>
    <row r="44" spans="1:21" s="12" customFormat="1" x14ac:dyDescent="0.25">
      <c r="A44" s="216" t="s">
        <v>1241</v>
      </c>
      <c r="B44" s="64">
        <v>0.59</v>
      </c>
      <c r="C44" s="64">
        <v>17.420000000000002</v>
      </c>
      <c r="D44" s="64">
        <v>9.49</v>
      </c>
      <c r="E44" s="64">
        <v>1.67</v>
      </c>
      <c r="F44" s="64">
        <v>5.56</v>
      </c>
      <c r="G44" s="64">
        <v>58.83</v>
      </c>
      <c r="H44" s="64">
        <v>24.66</v>
      </c>
      <c r="I44" s="64">
        <v>5.34</v>
      </c>
      <c r="J44" s="64">
        <v>0.25</v>
      </c>
      <c r="K44" s="64">
        <v>7.6</v>
      </c>
      <c r="L44" s="64">
        <v>30.67</v>
      </c>
      <c r="M44" s="64">
        <v>52.13</v>
      </c>
      <c r="N44" s="64">
        <v>668.7</v>
      </c>
      <c r="O44" s="64">
        <v>0</v>
      </c>
      <c r="P44" s="64">
        <v>0.44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6" t="s">
        <v>1242</v>
      </c>
      <c r="B45" s="64">
        <v>0.1</v>
      </c>
      <c r="C45" s="64">
        <v>15.77</v>
      </c>
      <c r="D45" s="64">
        <v>8.24</v>
      </c>
      <c r="E45" s="64">
        <v>1.57</v>
      </c>
      <c r="F45" s="64">
        <v>7.15</v>
      </c>
      <c r="G45" s="64">
        <v>45.87</v>
      </c>
      <c r="H45" s="64">
        <v>21.04</v>
      </c>
      <c r="I45" s="64">
        <v>4.9000000000000004</v>
      </c>
      <c r="J45" s="64">
        <v>0.13</v>
      </c>
      <c r="K45" s="64">
        <v>329.38</v>
      </c>
      <c r="L45" s="64">
        <v>30.91</v>
      </c>
      <c r="M45" s="64">
        <v>50.74</v>
      </c>
      <c r="N45" s="64">
        <v>712.4</v>
      </c>
      <c r="O45" s="64">
        <v>0</v>
      </c>
      <c r="P45" s="64">
        <v>0.41</v>
      </c>
      <c r="Q45" s="64">
        <v>9.33</v>
      </c>
      <c r="R45" s="198"/>
      <c r="S45" s="198"/>
      <c r="T45" s="198"/>
      <c r="U45" s="198"/>
    </row>
    <row r="46" spans="1:21" s="12" customFormat="1" x14ac:dyDescent="0.25">
      <c r="A46" s="216" t="s">
        <v>1243</v>
      </c>
      <c r="B46" s="64">
        <v>0.1</v>
      </c>
      <c r="C46" s="64">
        <v>13.18</v>
      </c>
      <c r="D46" s="64">
        <v>6.89</v>
      </c>
      <c r="E46" s="64">
        <v>1.85</v>
      </c>
      <c r="F46" s="64">
        <v>6.7</v>
      </c>
      <c r="G46" s="64">
        <v>45.87</v>
      </c>
      <c r="H46" s="64">
        <v>21.04</v>
      </c>
      <c r="I46" s="64">
        <v>4.4400000000000004</v>
      </c>
      <c r="J46" s="64">
        <v>0.22</v>
      </c>
      <c r="K46" s="64">
        <v>351.71</v>
      </c>
      <c r="L46" s="64">
        <v>31.26</v>
      </c>
      <c r="M46" s="64">
        <v>49.8</v>
      </c>
      <c r="N46" s="64">
        <v>754</v>
      </c>
      <c r="O46" s="64">
        <v>0</v>
      </c>
      <c r="P46" s="64">
        <v>0.39</v>
      </c>
      <c r="Q46" s="64">
        <v>9.31</v>
      </c>
      <c r="R46" s="198"/>
      <c r="S46" s="198"/>
      <c r="T46" s="198"/>
      <c r="U46" s="198"/>
    </row>
    <row r="47" spans="1:21" s="12" customFormat="1" x14ac:dyDescent="0.25">
      <c r="A47" s="216" t="s">
        <v>1244</v>
      </c>
      <c r="B47" s="64">
        <v>0.1</v>
      </c>
      <c r="C47" s="64">
        <v>12.39</v>
      </c>
      <c r="D47" s="64">
        <v>6.47</v>
      </c>
      <c r="E47" s="64">
        <v>1.67</v>
      </c>
      <c r="F47" s="64">
        <v>6.41</v>
      </c>
      <c r="G47" s="64">
        <v>45.87</v>
      </c>
      <c r="H47" s="64">
        <v>21.04</v>
      </c>
      <c r="I47" s="64">
        <v>3.98</v>
      </c>
      <c r="J47" s="64">
        <v>0.26</v>
      </c>
      <c r="K47" s="64">
        <v>0.11</v>
      </c>
      <c r="L47" s="64">
        <v>32.25</v>
      </c>
      <c r="M47" s="64">
        <v>46.81</v>
      </c>
      <c r="N47" s="64">
        <v>794.1</v>
      </c>
      <c r="O47" s="64">
        <v>0</v>
      </c>
      <c r="P47" s="64">
        <v>0.37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6" t="s">
        <v>1245</v>
      </c>
      <c r="B48" s="64">
        <v>0.1</v>
      </c>
      <c r="C48" s="64">
        <v>9.3800000000000008</v>
      </c>
      <c r="D48" s="64">
        <v>4.9000000000000004</v>
      </c>
      <c r="E48" s="64">
        <v>1.86</v>
      </c>
      <c r="F48" s="64">
        <v>8.9600000000000009</v>
      </c>
      <c r="G48" s="64">
        <v>40.22</v>
      </c>
      <c r="H48" s="64">
        <v>17.79</v>
      </c>
      <c r="I48" s="64">
        <v>3.57</v>
      </c>
      <c r="J48" s="64">
        <v>0.28999999999999998</v>
      </c>
      <c r="K48" s="64">
        <v>11.46</v>
      </c>
      <c r="L48" s="64">
        <v>32.130000000000003</v>
      </c>
      <c r="M48" s="64">
        <v>46.08</v>
      </c>
      <c r="N48" s="64">
        <v>824.9</v>
      </c>
      <c r="O48" s="64">
        <v>0</v>
      </c>
      <c r="P48" s="64">
        <v>0.35</v>
      </c>
      <c r="Q48" s="64">
        <v>9.27</v>
      </c>
      <c r="R48" s="198"/>
      <c r="S48" s="198"/>
      <c r="T48" s="198"/>
      <c r="U48" s="198"/>
    </row>
    <row r="49" spans="1:21" s="12" customFormat="1" x14ac:dyDescent="0.25">
      <c r="A49" s="216" t="s">
        <v>1246</v>
      </c>
      <c r="B49" s="64">
        <v>0.1</v>
      </c>
      <c r="C49" s="64">
        <v>7.23</v>
      </c>
      <c r="D49" s="64">
        <v>3.78</v>
      </c>
      <c r="E49" s="64">
        <v>1.6</v>
      </c>
      <c r="F49" s="64">
        <v>10.78</v>
      </c>
      <c r="G49" s="64">
        <v>36.28</v>
      </c>
      <c r="H49" s="64">
        <v>15.52</v>
      </c>
      <c r="I49" s="64">
        <v>3.21</v>
      </c>
      <c r="J49" s="64">
        <v>0.13</v>
      </c>
      <c r="K49" s="64">
        <v>354.74</v>
      </c>
      <c r="L49" s="64">
        <v>32.26</v>
      </c>
      <c r="M49" s="64">
        <v>45.61</v>
      </c>
      <c r="N49" s="64">
        <v>845.8</v>
      </c>
      <c r="O49" s="64">
        <v>0</v>
      </c>
      <c r="P49" s="64">
        <v>0.33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16" t="s">
        <v>1247</v>
      </c>
      <c r="B50" s="64">
        <v>0.1</v>
      </c>
      <c r="C50" s="64">
        <v>5.9</v>
      </c>
      <c r="D50" s="64">
        <v>3.08</v>
      </c>
      <c r="E50" s="64">
        <v>2.09</v>
      </c>
      <c r="F50" s="64">
        <v>17.97</v>
      </c>
      <c r="G50" s="64">
        <v>36.28</v>
      </c>
      <c r="H50" s="64">
        <v>15.52</v>
      </c>
      <c r="I50" s="64">
        <v>2.84</v>
      </c>
      <c r="J50" s="64">
        <v>0.12</v>
      </c>
      <c r="K50" s="64">
        <v>251.4</v>
      </c>
      <c r="L50" s="64">
        <v>32.58</v>
      </c>
      <c r="M50" s="64">
        <v>44.02</v>
      </c>
      <c r="N50" s="64">
        <v>884.8</v>
      </c>
      <c r="O50" s="64">
        <v>0</v>
      </c>
      <c r="P50" s="64">
        <v>0.28999999999999998</v>
      </c>
      <c r="Q50" s="64">
        <v>9.23</v>
      </c>
      <c r="R50" s="198"/>
      <c r="S50" s="198"/>
      <c r="T50" s="198"/>
      <c r="U50" s="198"/>
    </row>
    <row r="51" spans="1:21" s="12" customFormat="1" x14ac:dyDescent="0.25">
      <c r="A51" s="216" t="s">
        <v>1248</v>
      </c>
      <c r="B51" s="64">
        <v>0.1</v>
      </c>
      <c r="C51" s="64">
        <v>6.62</v>
      </c>
      <c r="D51" s="64">
        <v>3.46</v>
      </c>
      <c r="E51" s="64">
        <v>2.13</v>
      </c>
      <c r="F51" s="64">
        <v>14.39</v>
      </c>
      <c r="G51" s="64">
        <v>36.28</v>
      </c>
      <c r="H51" s="64">
        <v>15.52</v>
      </c>
      <c r="I51" s="64">
        <v>2.35</v>
      </c>
      <c r="J51" s="64">
        <v>0.37</v>
      </c>
      <c r="K51" s="64">
        <v>348.98</v>
      </c>
      <c r="L51" s="64">
        <v>34.11</v>
      </c>
      <c r="M51" s="64">
        <v>40.24</v>
      </c>
      <c r="N51" s="64">
        <v>901.6</v>
      </c>
      <c r="O51" s="64">
        <v>0</v>
      </c>
      <c r="P51" s="64">
        <v>0.28000000000000003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16" t="s">
        <v>1249</v>
      </c>
      <c r="B52" s="64">
        <v>0.1</v>
      </c>
      <c r="C52" s="64">
        <v>8.01</v>
      </c>
      <c r="D52" s="64">
        <v>4.18</v>
      </c>
      <c r="E52" s="64">
        <v>2.37</v>
      </c>
      <c r="F52" s="64">
        <v>13.67</v>
      </c>
      <c r="G52" s="64">
        <v>27.74</v>
      </c>
      <c r="H52" s="64">
        <v>16.260000000000002</v>
      </c>
      <c r="I52" s="64">
        <v>2.0499999999999998</v>
      </c>
      <c r="J52" s="64">
        <v>0.26</v>
      </c>
      <c r="K52" s="64">
        <v>308.13</v>
      </c>
      <c r="L52" s="64">
        <v>34.08</v>
      </c>
      <c r="M52" s="64">
        <v>40.51</v>
      </c>
      <c r="N52" s="64">
        <v>913.2</v>
      </c>
      <c r="O52" s="64">
        <v>0</v>
      </c>
      <c r="P52" s="64">
        <v>0.28999999999999998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6" t="s">
        <v>1250</v>
      </c>
      <c r="B53" s="64">
        <v>0.1</v>
      </c>
      <c r="C53" s="64">
        <v>7.95</v>
      </c>
      <c r="D53" s="64">
        <v>4.16</v>
      </c>
      <c r="E53" s="64">
        <v>2.1</v>
      </c>
      <c r="F53" s="64">
        <v>14.08</v>
      </c>
      <c r="G53" s="64">
        <v>21.78</v>
      </c>
      <c r="H53" s="64">
        <v>16.77</v>
      </c>
      <c r="I53" s="64">
        <v>1.78</v>
      </c>
      <c r="J53" s="64">
        <v>0.33</v>
      </c>
      <c r="K53" s="64">
        <v>353.86</v>
      </c>
      <c r="L53" s="64">
        <v>34.53</v>
      </c>
      <c r="M53" s="64">
        <v>38.9</v>
      </c>
      <c r="N53" s="64">
        <v>925.2</v>
      </c>
      <c r="O53" s="64">
        <v>0</v>
      </c>
      <c r="P53" s="64">
        <v>0.3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6" t="s">
        <v>1251</v>
      </c>
      <c r="B54" s="64">
        <v>0.1</v>
      </c>
      <c r="C54" s="64">
        <v>8.3699999999999992</v>
      </c>
      <c r="D54" s="64">
        <v>4.38</v>
      </c>
      <c r="E54" s="64">
        <v>1.91</v>
      </c>
      <c r="F54" s="64">
        <v>10.98</v>
      </c>
      <c r="G54" s="64">
        <v>21.78</v>
      </c>
      <c r="H54" s="64">
        <v>16.77</v>
      </c>
      <c r="I54" s="64">
        <v>1.65</v>
      </c>
      <c r="J54" s="64">
        <v>0.41</v>
      </c>
      <c r="K54" s="64">
        <v>336.63</v>
      </c>
      <c r="L54" s="64">
        <v>35.119999999999997</v>
      </c>
      <c r="M54" s="64">
        <v>38.42</v>
      </c>
      <c r="N54" s="64">
        <v>933.1</v>
      </c>
      <c r="O54" s="64">
        <v>0</v>
      </c>
      <c r="P54" s="64">
        <v>0.3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16" t="s">
        <v>1252</v>
      </c>
      <c r="B55" s="64">
        <v>0.1</v>
      </c>
      <c r="C55" s="64">
        <v>9.91</v>
      </c>
      <c r="D55" s="64">
        <v>5.18</v>
      </c>
      <c r="E55" s="64">
        <v>2.08</v>
      </c>
      <c r="F55" s="64">
        <v>11.15</v>
      </c>
      <c r="G55" s="64">
        <v>21.78</v>
      </c>
      <c r="H55" s="64">
        <v>16.77</v>
      </c>
      <c r="I55" s="64">
        <v>1.59</v>
      </c>
      <c r="J55" s="64">
        <v>0.27</v>
      </c>
      <c r="K55" s="64">
        <v>345.82</v>
      </c>
      <c r="L55" s="64">
        <v>35.72</v>
      </c>
      <c r="M55" s="64">
        <v>36.979999999999997</v>
      </c>
      <c r="N55" s="64">
        <v>937.7</v>
      </c>
      <c r="O55" s="64">
        <v>0</v>
      </c>
      <c r="P55" s="64">
        <v>0.3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6" t="s">
        <v>1253</v>
      </c>
      <c r="B56" s="64">
        <v>0.1</v>
      </c>
      <c r="C56" s="64">
        <v>9.25</v>
      </c>
      <c r="D56" s="64">
        <v>4.83</v>
      </c>
      <c r="E56" s="64">
        <v>2.3199999999999998</v>
      </c>
      <c r="F56" s="64">
        <v>15.63</v>
      </c>
      <c r="G56" s="64">
        <v>23.01</v>
      </c>
      <c r="H56" s="64">
        <v>15.49</v>
      </c>
      <c r="I56" s="64">
        <v>1.62</v>
      </c>
      <c r="J56" s="64">
        <v>0.26</v>
      </c>
      <c r="K56" s="64">
        <v>344.88</v>
      </c>
      <c r="L56" s="64">
        <v>35.39</v>
      </c>
      <c r="M56" s="64">
        <v>36.89</v>
      </c>
      <c r="N56" s="64">
        <v>918.5</v>
      </c>
      <c r="O56" s="64">
        <v>0</v>
      </c>
      <c r="P56" s="64">
        <v>0.32</v>
      </c>
      <c r="Q56" s="64">
        <v>9.24</v>
      </c>
      <c r="R56" s="198"/>
      <c r="S56" s="198"/>
      <c r="T56" s="198"/>
      <c r="U56" s="198"/>
    </row>
    <row r="57" spans="1:21" s="12" customFormat="1" x14ac:dyDescent="0.25">
      <c r="A57" s="216" t="s">
        <v>1254</v>
      </c>
      <c r="B57" s="64">
        <v>0.1</v>
      </c>
      <c r="C57" s="64">
        <v>10.02</v>
      </c>
      <c r="D57" s="64">
        <v>5.24</v>
      </c>
      <c r="E57" s="64">
        <v>2.08</v>
      </c>
      <c r="F57" s="64">
        <v>10.87</v>
      </c>
      <c r="G57" s="64">
        <v>23.87</v>
      </c>
      <c r="H57" s="64">
        <v>14.59</v>
      </c>
      <c r="I57" s="64">
        <v>1.73</v>
      </c>
      <c r="J57" s="64">
        <v>0.41</v>
      </c>
      <c r="K57" s="64">
        <v>335.68</v>
      </c>
      <c r="L57" s="64">
        <v>35.9</v>
      </c>
      <c r="M57" s="64">
        <v>34.909999999999997</v>
      </c>
      <c r="N57" s="64">
        <v>929.7</v>
      </c>
      <c r="O57" s="64">
        <v>0</v>
      </c>
      <c r="P57" s="64">
        <v>0.34</v>
      </c>
      <c r="Q57" s="64">
        <v>9.2899999999999991</v>
      </c>
      <c r="R57" s="198"/>
      <c r="S57" s="198"/>
      <c r="T57" s="198"/>
      <c r="U57" s="198"/>
    </row>
    <row r="58" spans="1:21" s="12" customFormat="1" x14ac:dyDescent="0.25">
      <c r="A58" s="216" t="s">
        <v>1255</v>
      </c>
      <c r="B58" s="64">
        <v>0.1</v>
      </c>
      <c r="C58" s="64">
        <v>9.1999999999999993</v>
      </c>
      <c r="D58" s="64">
        <v>4.8099999999999996</v>
      </c>
      <c r="E58" s="64">
        <v>2.37</v>
      </c>
      <c r="F58" s="64">
        <v>9.4</v>
      </c>
      <c r="G58" s="64">
        <v>23.87</v>
      </c>
      <c r="H58" s="64">
        <v>14.59</v>
      </c>
      <c r="I58" s="64">
        <v>1.77</v>
      </c>
      <c r="J58" s="64">
        <v>0.35</v>
      </c>
      <c r="K58" s="64">
        <v>12.59</v>
      </c>
      <c r="L58" s="64">
        <v>35.89</v>
      </c>
      <c r="M58" s="64">
        <v>34.53</v>
      </c>
      <c r="N58" s="64">
        <v>909.2</v>
      </c>
      <c r="O58" s="64">
        <v>0</v>
      </c>
      <c r="P58" s="64">
        <v>0.35</v>
      </c>
      <c r="Q58" s="64">
        <v>9.24</v>
      </c>
      <c r="R58" s="198"/>
      <c r="S58" s="198"/>
      <c r="T58" s="198"/>
      <c r="U58" s="198"/>
    </row>
    <row r="59" spans="1:21" s="12" customFormat="1" x14ac:dyDescent="0.25">
      <c r="A59" s="216" t="s">
        <v>1256</v>
      </c>
      <c r="B59" s="64">
        <v>0.1</v>
      </c>
      <c r="C59" s="64">
        <v>8.75</v>
      </c>
      <c r="D59" s="64">
        <v>4.57</v>
      </c>
      <c r="E59" s="64">
        <v>2.4500000000000002</v>
      </c>
      <c r="F59" s="64">
        <v>13.01</v>
      </c>
      <c r="G59" s="64">
        <v>23.87</v>
      </c>
      <c r="H59" s="64">
        <v>14.59</v>
      </c>
      <c r="I59" s="64">
        <v>1.94</v>
      </c>
      <c r="J59" s="64">
        <v>0.26</v>
      </c>
      <c r="K59" s="64">
        <v>342.2</v>
      </c>
      <c r="L59" s="64">
        <v>35.520000000000003</v>
      </c>
      <c r="M59" s="64">
        <v>35.18</v>
      </c>
      <c r="N59" s="64">
        <v>896.7</v>
      </c>
      <c r="O59" s="64">
        <v>0</v>
      </c>
      <c r="P59" s="64">
        <v>0.41</v>
      </c>
      <c r="Q59" s="64">
        <v>9.1999999999999993</v>
      </c>
      <c r="R59" s="198"/>
      <c r="S59" s="198"/>
      <c r="T59" s="198"/>
      <c r="U59" s="198"/>
    </row>
    <row r="60" spans="1:21" s="12" customFormat="1" x14ac:dyDescent="0.25">
      <c r="A60" s="216" t="s">
        <v>1257</v>
      </c>
      <c r="B60" s="64">
        <v>0.1</v>
      </c>
      <c r="C60" s="64">
        <v>8.6300000000000008</v>
      </c>
      <c r="D60" s="64">
        <v>4.51</v>
      </c>
      <c r="E60" s="64">
        <v>2.6</v>
      </c>
      <c r="F60" s="64">
        <v>15.57</v>
      </c>
      <c r="G60" s="64">
        <v>27.02</v>
      </c>
      <c r="H60" s="64">
        <v>14.74</v>
      </c>
      <c r="I60" s="64">
        <v>2.0699999999999998</v>
      </c>
      <c r="J60" s="64">
        <v>0.81</v>
      </c>
      <c r="K60" s="64">
        <v>313.23</v>
      </c>
      <c r="L60" s="64">
        <v>36.6</v>
      </c>
      <c r="M60" s="64">
        <v>33.97</v>
      </c>
      <c r="N60" s="64">
        <v>880</v>
      </c>
      <c r="O60" s="64">
        <v>0</v>
      </c>
      <c r="P60" s="64">
        <v>0.43</v>
      </c>
      <c r="Q60" s="64">
        <v>9.19</v>
      </c>
      <c r="R60" s="198"/>
      <c r="S60" s="198"/>
      <c r="T60" s="198"/>
      <c r="U60" s="198"/>
    </row>
    <row r="61" spans="1:21" s="12" customFormat="1" x14ac:dyDescent="0.25">
      <c r="A61" s="216" t="s">
        <v>1258</v>
      </c>
      <c r="B61" s="64">
        <v>0.1</v>
      </c>
      <c r="C61" s="64">
        <v>8.61</v>
      </c>
      <c r="D61" s="64">
        <v>4.5</v>
      </c>
      <c r="E61" s="64">
        <v>2.78</v>
      </c>
      <c r="F61" s="64">
        <v>15.3</v>
      </c>
      <c r="G61" s="64">
        <v>29.21</v>
      </c>
      <c r="H61" s="64">
        <v>14.85</v>
      </c>
      <c r="I61" s="64">
        <v>2.4300000000000002</v>
      </c>
      <c r="J61" s="64">
        <v>0.2</v>
      </c>
      <c r="K61" s="64">
        <v>317.70999999999998</v>
      </c>
      <c r="L61" s="64">
        <v>36.9</v>
      </c>
      <c r="M61" s="64">
        <v>32.17</v>
      </c>
      <c r="N61" s="64">
        <v>850</v>
      </c>
      <c r="O61" s="64">
        <v>0</v>
      </c>
      <c r="P61" s="64">
        <v>0.42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6" t="s">
        <v>1259</v>
      </c>
      <c r="B62" s="64">
        <v>0.1</v>
      </c>
      <c r="C62" s="64">
        <v>7.69</v>
      </c>
      <c r="D62" s="64">
        <v>4.0199999999999996</v>
      </c>
      <c r="E62" s="64">
        <v>2.57</v>
      </c>
      <c r="F62" s="64">
        <v>12.94</v>
      </c>
      <c r="G62" s="64">
        <v>29.21</v>
      </c>
      <c r="H62" s="64">
        <v>14.85</v>
      </c>
      <c r="I62" s="64">
        <v>2.52</v>
      </c>
      <c r="J62" s="64">
        <v>0.19</v>
      </c>
      <c r="K62" s="64">
        <v>351.29</v>
      </c>
      <c r="L62" s="64">
        <v>35.880000000000003</v>
      </c>
      <c r="M62" s="64">
        <v>33.11</v>
      </c>
      <c r="N62" s="64">
        <v>826.5</v>
      </c>
      <c r="O62" s="64">
        <v>0</v>
      </c>
      <c r="P62" s="64">
        <v>0.42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6" t="s">
        <v>1260</v>
      </c>
      <c r="B63" s="64">
        <v>0.1</v>
      </c>
      <c r="C63" s="64">
        <v>6.89</v>
      </c>
      <c r="D63" s="64">
        <v>3.6</v>
      </c>
      <c r="E63" s="64">
        <v>2.99</v>
      </c>
      <c r="F63" s="64">
        <v>13.37</v>
      </c>
      <c r="G63" s="64">
        <v>29.21</v>
      </c>
      <c r="H63" s="64">
        <v>14.85</v>
      </c>
      <c r="I63" s="64">
        <v>2.4300000000000002</v>
      </c>
      <c r="J63" s="64">
        <v>0.2</v>
      </c>
      <c r="K63" s="64">
        <v>293.63</v>
      </c>
      <c r="L63" s="64">
        <v>35.78</v>
      </c>
      <c r="M63" s="64">
        <v>33.32</v>
      </c>
      <c r="N63" s="64">
        <v>793.4</v>
      </c>
      <c r="O63" s="64">
        <v>0</v>
      </c>
      <c r="P63" s="64">
        <v>0.42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6" t="s">
        <v>1261</v>
      </c>
      <c r="B64" s="64">
        <v>0.1</v>
      </c>
      <c r="C64" s="64">
        <v>6.54</v>
      </c>
      <c r="D64" s="64">
        <v>3.42</v>
      </c>
      <c r="E64" s="64">
        <v>2.23</v>
      </c>
      <c r="F64" s="64">
        <v>11.47</v>
      </c>
      <c r="G64" s="64">
        <v>33.159999999999997</v>
      </c>
      <c r="H64" s="64">
        <v>14.65</v>
      </c>
      <c r="I64" s="64">
        <v>2.41</v>
      </c>
      <c r="J64" s="64">
        <v>0.52</v>
      </c>
      <c r="K64" s="64">
        <v>309.54000000000002</v>
      </c>
      <c r="L64" s="64">
        <v>36.75</v>
      </c>
      <c r="M64" s="64">
        <v>31.92</v>
      </c>
      <c r="N64" s="64">
        <v>743.2</v>
      </c>
      <c r="O64" s="64">
        <v>0</v>
      </c>
      <c r="P64" s="64">
        <v>0.41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16" t="s">
        <v>1262</v>
      </c>
      <c r="B65" s="64">
        <v>0.1</v>
      </c>
      <c r="C65" s="64">
        <v>7.03</v>
      </c>
      <c r="D65" s="64">
        <v>3.67</v>
      </c>
      <c r="E65" s="64">
        <v>2.0099999999999998</v>
      </c>
      <c r="F65" s="64">
        <v>9.33</v>
      </c>
      <c r="G65" s="64">
        <v>35.909999999999997</v>
      </c>
      <c r="H65" s="64">
        <v>14.52</v>
      </c>
      <c r="I65" s="64">
        <v>2.4500000000000002</v>
      </c>
      <c r="J65" s="64">
        <v>0.24</v>
      </c>
      <c r="K65" s="64">
        <v>325.33</v>
      </c>
      <c r="L65" s="64">
        <v>36.47</v>
      </c>
      <c r="M65" s="64">
        <v>30.72</v>
      </c>
      <c r="N65" s="64">
        <v>436.6</v>
      </c>
      <c r="O65" s="64">
        <v>0</v>
      </c>
      <c r="P65" s="64">
        <v>0.41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16" t="s">
        <v>1263</v>
      </c>
      <c r="B66" s="64">
        <v>0.1</v>
      </c>
      <c r="C66" s="64">
        <v>6.86</v>
      </c>
      <c r="D66" s="64">
        <v>3.59</v>
      </c>
      <c r="E66" s="64">
        <v>2.0299999999999998</v>
      </c>
      <c r="F66" s="64">
        <v>8.56</v>
      </c>
      <c r="G66" s="64">
        <v>35.909999999999997</v>
      </c>
      <c r="H66" s="64">
        <v>14.52</v>
      </c>
      <c r="I66" s="64">
        <v>2.4300000000000002</v>
      </c>
      <c r="J66" s="64">
        <v>0.45</v>
      </c>
      <c r="K66" s="64">
        <v>319.86</v>
      </c>
      <c r="L66" s="64">
        <v>37.049999999999997</v>
      </c>
      <c r="M66" s="64">
        <v>29.81</v>
      </c>
      <c r="N66" s="64">
        <v>333.8</v>
      </c>
      <c r="O66" s="64">
        <v>0</v>
      </c>
      <c r="P66" s="64">
        <v>0.4</v>
      </c>
      <c r="Q66" s="64">
        <v>9.1999999999999993</v>
      </c>
      <c r="R66" s="198"/>
      <c r="S66" s="198"/>
      <c r="T66" s="198"/>
      <c r="U66" s="198"/>
    </row>
    <row r="67" spans="1:21" s="12" customFormat="1" x14ac:dyDescent="0.25">
      <c r="A67" s="216" t="s">
        <v>1264</v>
      </c>
      <c r="B67" s="64">
        <v>0.1</v>
      </c>
      <c r="C67" s="64">
        <v>6.64</v>
      </c>
      <c r="D67" s="64">
        <v>3.47</v>
      </c>
      <c r="E67" s="64">
        <v>2.04</v>
      </c>
      <c r="F67" s="64">
        <v>7.55</v>
      </c>
      <c r="G67" s="64">
        <v>35.909999999999997</v>
      </c>
      <c r="H67" s="64">
        <v>14.52</v>
      </c>
      <c r="I67" s="64">
        <v>2.42</v>
      </c>
      <c r="J67" s="64">
        <v>0.66</v>
      </c>
      <c r="K67" s="64">
        <v>314.8</v>
      </c>
      <c r="L67" s="64">
        <v>37.42</v>
      </c>
      <c r="M67" s="64">
        <v>29.28</v>
      </c>
      <c r="N67" s="64">
        <v>406.1</v>
      </c>
      <c r="O67" s="64">
        <v>0</v>
      </c>
      <c r="P67" s="64">
        <v>0.39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16" t="s">
        <v>1265</v>
      </c>
      <c r="B68" s="64">
        <v>0.1</v>
      </c>
      <c r="C68" s="64">
        <v>6.61</v>
      </c>
      <c r="D68" s="64">
        <v>3.46</v>
      </c>
      <c r="E68" s="64">
        <v>2.2799999999999998</v>
      </c>
      <c r="F68" s="64">
        <v>6.95</v>
      </c>
      <c r="G68" s="64">
        <v>33.18</v>
      </c>
      <c r="H68" s="64">
        <v>15.71</v>
      </c>
      <c r="I68" s="64">
        <v>2.4</v>
      </c>
      <c r="J68" s="64">
        <v>0.35</v>
      </c>
      <c r="K68" s="64">
        <v>318.14999999999998</v>
      </c>
      <c r="L68" s="64">
        <v>36.85</v>
      </c>
      <c r="M68" s="64">
        <v>29.65</v>
      </c>
      <c r="N68" s="64">
        <v>352.3</v>
      </c>
      <c r="O68" s="64">
        <v>0</v>
      </c>
      <c r="P68" s="64">
        <v>0.38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6" t="s">
        <v>1266</v>
      </c>
      <c r="B69" s="64">
        <v>0.1</v>
      </c>
      <c r="C69" s="64">
        <v>6.76</v>
      </c>
      <c r="D69" s="64">
        <v>3.53</v>
      </c>
      <c r="E69" s="64">
        <v>1.95</v>
      </c>
      <c r="F69" s="64">
        <v>6.86</v>
      </c>
      <c r="G69" s="64">
        <v>31.28</v>
      </c>
      <c r="H69" s="64">
        <v>16.55</v>
      </c>
      <c r="I69" s="64">
        <v>2.4300000000000002</v>
      </c>
      <c r="J69" s="64">
        <v>0.42</v>
      </c>
      <c r="K69" s="64">
        <v>324.23</v>
      </c>
      <c r="L69" s="64">
        <v>36.82</v>
      </c>
      <c r="M69" s="64">
        <v>28.78</v>
      </c>
      <c r="N69" s="64">
        <v>243.2</v>
      </c>
      <c r="O69" s="64">
        <v>0</v>
      </c>
      <c r="P69" s="64">
        <v>0.38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16" t="s">
        <v>1267</v>
      </c>
      <c r="B70" s="64">
        <v>0.1</v>
      </c>
      <c r="C70" s="64">
        <v>7.14</v>
      </c>
      <c r="D70" s="64">
        <v>3.73</v>
      </c>
      <c r="E70" s="64">
        <v>2.5</v>
      </c>
      <c r="F70" s="64">
        <v>10.02</v>
      </c>
      <c r="G70" s="64">
        <v>31.28</v>
      </c>
      <c r="H70" s="64">
        <v>16.55</v>
      </c>
      <c r="I70" s="64">
        <v>2.5299999999999998</v>
      </c>
      <c r="J70" s="64">
        <v>0.34</v>
      </c>
      <c r="K70" s="64">
        <v>320.52</v>
      </c>
      <c r="L70" s="64">
        <v>36.5</v>
      </c>
      <c r="M70" s="64">
        <v>28.68</v>
      </c>
      <c r="N70" s="64">
        <v>300.60000000000002</v>
      </c>
      <c r="O70" s="64">
        <v>0</v>
      </c>
      <c r="P70" s="64">
        <v>0.37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6" t="s">
        <v>1268</v>
      </c>
      <c r="B71" s="64">
        <v>0.1</v>
      </c>
      <c r="C71" s="64">
        <v>7.31</v>
      </c>
      <c r="D71" s="64">
        <v>3.82</v>
      </c>
      <c r="E71" s="64">
        <v>2.5499999999999998</v>
      </c>
      <c r="F71" s="64">
        <v>11.03</v>
      </c>
      <c r="G71" s="64">
        <v>31.28</v>
      </c>
      <c r="H71" s="64">
        <v>16.55</v>
      </c>
      <c r="I71" s="64">
        <v>2.58</v>
      </c>
      <c r="J71" s="64">
        <v>0.6</v>
      </c>
      <c r="K71" s="64">
        <v>330.72</v>
      </c>
      <c r="L71" s="64">
        <v>36.11</v>
      </c>
      <c r="M71" s="64">
        <v>29.2</v>
      </c>
      <c r="N71" s="64">
        <v>164.1</v>
      </c>
      <c r="O71" s="64">
        <v>0</v>
      </c>
      <c r="P71" s="64">
        <v>0.37</v>
      </c>
      <c r="Q71" s="64">
        <v>9.31</v>
      </c>
      <c r="R71" s="198"/>
      <c r="S71" s="198"/>
      <c r="T71" s="198"/>
      <c r="U71" s="198"/>
    </row>
    <row r="72" spans="1:21" s="12" customFormat="1" x14ac:dyDescent="0.25">
      <c r="A72" s="216" t="s">
        <v>1269</v>
      </c>
      <c r="B72" s="64">
        <v>0.1</v>
      </c>
      <c r="C72" s="64">
        <v>7.99</v>
      </c>
      <c r="D72" s="64">
        <v>4.17</v>
      </c>
      <c r="E72" s="64">
        <v>1.68</v>
      </c>
      <c r="F72" s="64">
        <v>8.61</v>
      </c>
      <c r="G72" s="64">
        <v>29.36</v>
      </c>
      <c r="H72" s="64">
        <v>14.23</v>
      </c>
      <c r="I72" s="64">
        <v>2.52</v>
      </c>
      <c r="J72" s="64">
        <v>0.33</v>
      </c>
      <c r="K72" s="64">
        <v>334.78</v>
      </c>
      <c r="L72" s="64">
        <v>35.659999999999997</v>
      </c>
      <c r="M72" s="64">
        <v>29.7</v>
      </c>
      <c r="N72" s="64">
        <v>165.4</v>
      </c>
      <c r="O72" s="64">
        <v>0</v>
      </c>
      <c r="P72" s="64">
        <v>0.37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6" t="s">
        <v>1270</v>
      </c>
      <c r="B73" s="64">
        <v>0.1</v>
      </c>
      <c r="C73" s="64">
        <v>7.97</v>
      </c>
      <c r="D73" s="64">
        <v>4.16</v>
      </c>
      <c r="E73" s="64">
        <v>1.18</v>
      </c>
      <c r="F73" s="64">
        <v>9.08</v>
      </c>
      <c r="G73" s="64">
        <v>28.02</v>
      </c>
      <c r="H73" s="64">
        <v>12.61</v>
      </c>
      <c r="I73" s="64">
        <v>2.4500000000000002</v>
      </c>
      <c r="J73" s="64">
        <v>0.28000000000000003</v>
      </c>
      <c r="K73" s="64">
        <v>340.93</v>
      </c>
      <c r="L73" s="64">
        <v>35.549999999999997</v>
      </c>
      <c r="M73" s="64">
        <v>29.77</v>
      </c>
      <c r="N73" s="64">
        <v>127.6</v>
      </c>
      <c r="O73" s="64">
        <v>0</v>
      </c>
      <c r="P73" s="64">
        <v>0.36</v>
      </c>
      <c r="Q73" s="64">
        <v>9.27</v>
      </c>
      <c r="R73" s="198"/>
      <c r="S73" s="198"/>
      <c r="T73" s="198"/>
      <c r="U73" s="198"/>
    </row>
    <row r="74" spans="1:21" s="12" customFormat="1" x14ac:dyDescent="0.25">
      <c r="A74" s="216" t="s">
        <v>1271</v>
      </c>
      <c r="B74" s="64">
        <v>0.1</v>
      </c>
      <c r="C74" s="64">
        <v>8.6999999999999993</v>
      </c>
      <c r="D74" s="64">
        <v>4.54</v>
      </c>
      <c r="E74" s="64">
        <v>1.17</v>
      </c>
      <c r="F74" s="64">
        <v>8.11</v>
      </c>
      <c r="G74" s="64">
        <v>28.02</v>
      </c>
      <c r="H74" s="64">
        <v>12.61</v>
      </c>
      <c r="I74" s="64">
        <v>2.41</v>
      </c>
      <c r="J74" s="64">
        <v>0.14000000000000001</v>
      </c>
      <c r="K74" s="64">
        <v>351.21</v>
      </c>
      <c r="L74" s="64">
        <v>35.53</v>
      </c>
      <c r="M74" s="64">
        <v>29.27</v>
      </c>
      <c r="N74" s="64">
        <v>111</v>
      </c>
      <c r="O74" s="64">
        <v>0</v>
      </c>
      <c r="P74" s="64">
        <v>0.36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6" t="s">
        <v>1272</v>
      </c>
      <c r="B75" s="64">
        <v>0.1</v>
      </c>
      <c r="C75" s="64">
        <v>8.57</v>
      </c>
      <c r="D75" s="64">
        <v>4.4800000000000004</v>
      </c>
      <c r="E75" s="64">
        <v>1.1499999999999999</v>
      </c>
      <c r="F75" s="64">
        <v>7.73</v>
      </c>
      <c r="G75" s="64">
        <v>28.02</v>
      </c>
      <c r="H75" s="64">
        <v>12.61</v>
      </c>
      <c r="I75" s="64">
        <v>2.41</v>
      </c>
      <c r="J75" s="64">
        <v>0.55000000000000004</v>
      </c>
      <c r="K75" s="64">
        <v>310.35000000000002</v>
      </c>
      <c r="L75" s="64">
        <v>35.51</v>
      </c>
      <c r="M75" s="64">
        <v>27.93</v>
      </c>
      <c r="N75" s="64">
        <v>99</v>
      </c>
      <c r="O75" s="64">
        <v>0</v>
      </c>
      <c r="P75" s="64">
        <v>0.36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16" t="s">
        <v>1273</v>
      </c>
      <c r="B76" s="64">
        <v>0.1</v>
      </c>
      <c r="C76" s="64">
        <v>7.75</v>
      </c>
      <c r="D76" s="64">
        <v>4.05</v>
      </c>
      <c r="E76" s="64">
        <v>0.99</v>
      </c>
      <c r="F76" s="64">
        <v>8.31</v>
      </c>
      <c r="G76" s="64">
        <v>30.8</v>
      </c>
      <c r="H76" s="64">
        <v>13.34</v>
      </c>
      <c r="I76" s="64">
        <v>2.39</v>
      </c>
      <c r="J76" s="64">
        <v>0.91</v>
      </c>
      <c r="K76" s="64">
        <v>313.51</v>
      </c>
      <c r="L76" s="64">
        <v>35.35</v>
      </c>
      <c r="M76" s="64">
        <v>27.17</v>
      </c>
      <c r="N76" s="64">
        <v>88.9</v>
      </c>
      <c r="O76" s="64">
        <v>0</v>
      </c>
      <c r="P76" s="64">
        <v>0.36</v>
      </c>
      <c r="Q76" s="64">
        <v>9.2100000000000009</v>
      </c>
      <c r="R76" s="198"/>
      <c r="S76" s="198"/>
      <c r="T76" s="198"/>
      <c r="U76" s="198"/>
    </row>
    <row r="77" spans="1:21" s="12" customFormat="1" x14ac:dyDescent="0.25">
      <c r="A77" s="216" t="s">
        <v>1274</v>
      </c>
      <c r="B77" s="64">
        <v>0.1</v>
      </c>
      <c r="C77" s="64">
        <v>7.2</v>
      </c>
      <c r="D77" s="64">
        <v>3.76</v>
      </c>
      <c r="E77" s="64">
        <v>0.71</v>
      </c>
      <c r="F77" s="64">
        <v>7.73</v>
      </c>
      <c r="G77" s="64">
        <v>32.74</v>
      </c>
      <c r="H77" s="64">
        <v>13.84</v>
      </c>
      <c r="I77" s="64">
        <v>2.34</v>
      </c>
      <c r="J77" s="64">
        <v>0.52</v>
      </c>
      <c r="K77" s="64">
        <v>323.02</v>
      </c>
      <c r="L77" s="64">
        <v>35.090000000000003</v>
      </c>
      <c r="M77" s="64">
        <v>26.88</v>
      </c>
      <c r="N77" s="64">
        <v>76.8</v>
      </c>
      <c r="O77" s="64">
        <v>0</v>
      </c>
      <c r="P77" s="64">
        <v>0.36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6" t="s">
        <v>1275</v>
      </c>
      <c r="B78" s="64">
        <v>0.1</v>
      </c>
      <c r="C78" s="64">
        <v>7.21</v>
      </c>
      <c r="D78" s="64">
        <v>3.77</v>
      </c>
      <c r="E78" s="64">
        <v>0.84</v>
      </c>
      <c r="F78" s="64">
        <v>8.3699999999999992</v>
      </c>
      <c r="G78" s="64">
        <v>32.74</v>
      </c>
      <c r="H78" s="64">
        <v>13.84</v>
      </c>
      <c r="I78" s="64">
        <v>2.2400000000000002</v>
      </c>
      <c r="J78" s="64">
        <v>0.48</v>
      </c>
      <c r="K78" s="64">
        <v>327.58</v>
      </c>
      <c r="L78" s="64">
        <v>34.96</v>
      </c>
      <c r="M78" s="64">
        <v>26.92</v>
      </c>
      <c r="N78" s="64">
        <v>64.099999999999994</v>
      </c>
      <c r="O78" s="64">
        <v>0</v>
      </c>
      <c r="P78" s="64">
        <v>0.36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6" t="s">
        <v>1276</v>
      </c>
      <c r="B79" s="64">
        <v>0.1</v>
      </c>
      <c r="C79" s="64">
        <v>7.27</v>
      </c>
      <c r="D79" s="64">
        <v>3.8</v>
      </c>
      <c r="E79" s="64">
        <v>1.29</v>
      </c>
      <c r="F79" s="64">
        <v>9.23</v>
      </c>
      <c r="G79" s="64">
        <v>32.74</v>
      </c>
      <c r="H79" s="64">
        <v>13.84</v>
      </c>
      <c r="I79" s="64">
        <v>2.1800000000000002</v>
      </c>
      <c r="J79" s="64">
        <v>0.98</v>
      </c>
      <c r="K79" s="64">
        <v>313.85000000000002</v>
      </c>
      <c r="L79" s="64">
        <v>34.46</v>
      </c>
      <c r="M79" s="64">
        <v>27.96</v>
      </c>
      <c r="N79" s="64">
        <v>51.7</v>
      </c>
      <c r="O79" s="64">
        <v>0</v>
      </c>
      <c r="P79" s="64">
        <v>0.37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16" t="s">
        <v>1277</v>
      </c>
      <c r="B80" s="64">
        <v>0.1</v>
      </c>
      <c r="C80" s="64">
        <v>7.64</v>
      </c>
      <c r="D80" s="64">
        <v>3.99</v>
      </c>
      <c r="E80" s="64">
        <v>1.1100000000000001</v>
      </c>
      <c r="F80" s="64">
        <v>8.9700000000000006</v>
      </c>
      <c r="G80" s="64">
        <v>32.68</v>
      </c>
      <c r="H80" s="64">
        <v>13.19</v>
      </c>
      <c r="I80" s="64">
        <v>2.19</v>
      </c>
      <c r="J80" s="64">
        <v>1.81</v>
      </c>
      <c r="K80" s="64">
        <v>336.67</v>
      </c>
      <c r="L80" s="64">
        <v>33.520000000000003</v>
      </c>
      <c r="M80" s="64">
        <v>31.64</v>
      </c>
      <c r="N80" s="64">
        <v>40.5</v>
      </c>
      <c r="O80" s="64">
        <v>0</v>
      </c>
      <c r="P80" s="64">
        <v>0.38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6" t="s">
        <v>1278</v>
      </c>
      <c r="B81" s="64">
        <v>0.1</v>
      </c>
      <c r="C81" s="64">
        <v>7.84</v>
      </c>
      <c r="D81" s="64">
        <v>4.0999999999999996</v>
      </c>
      <c r="E81" s="64">
        <v>0.85</v>
      </c>
      <c r="F81" s="64">
        <v>6.45</v>
      </c>
      <c r="G81" s="64">
        <v>32.630000000000003</v>
      </c>
      <c r="H81" s="64">
        <v>12.74</v>
      </c>
      <c r="I81" s="64">
        <v>2.23</v>
      </c>
      <c r="J81" s="64">
        <v>0.94</v>
      </c>
      <c r="K81" s="64">
        <v>342.85</v>
      </c>
      <c r="L81" s="64">
        <v>32.409999999999997</v>
      </c>
      <c r="M81" s="64">
        <v>35.07</v>
      </c>
      <c r="N81" s="64">
        <v>28.5</v>
      </c>
      <c r="O81" s="64">
        <v>0</v>
      </c>
      <c r="P81" s="64">
        <v>0.41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16" t="s">
        <v>1279</v>
      </c>
      <c r="B82" s="64">
        <v>0.1</v>
      </c>
      <c r="C82" s="64">
        <v>9.15</v>
      </c>
      <c r="D82" s="64">
        <v>4.78</v>
      </c>
      <c r="E82" s="64">
        <v>0.97</v>
      </c>
      <c r="F82" s="64">
        <v>5.19</v>
      </c>
      <c r="G82" s="64">
        <v>32.630000000000003</v>
      </c>
      <c r="H82" s="64">
        <v>12.74</v>
      </c>
      <c r="I82" s="64">
        <v>2.2799999999999998</v>
      </c>
      <c r="J82" s="64">
        <v>0.66</v>
      </c>
      <c r="K82" s="64">
        <v>337.42</v>
      </c>
      <c r="L82" s="64">
        <v>31.68</v>
      </c>
      <c r="M82" s="64">
        <v>36.840000000000003</v>
      </c>
      <c r="N82" s="64">
        <v>20.8</v>
      </c>
      <c r="O82" s="64">
        <v>0</v>
      </c>
      <c r="P82" s="64">
        <v>0.46</v>
      </c>
      <c r="Q82" s="64">
        <v>9.2200000000000006</v>
      </c>
      <c r="R82" s="198"/>
      <c r="S82" s="198"/>
      <c r="T82" s="198"/>
      <c r="U82" s="198"/>
    </row>
    <row r="83" spans="1:26" s="12" customFormat="1" x14ac:dyDescent="0.25">
      <c r="A83" s="216" t="s">
        <v>1280</v>
      </c>
      <c r="B83" s="64">
        <v>0.1</v>
      </c>
      <c r="C83" s="64">
        <v>10.29</v>
      </c>
      <c r="D83" s="64">
        <v>5.37</v>
      </c>
      <c r="E83" s="64">
        <v>0.48</v>
      </c>
      <c r="F83" s="64">
        <v>4.68</v>
      </c>
      <c r="G83" s="64">
        <v>32.630000000000003</v>
      </c>
      <c r="H83" s="64">
        <v>12.74</v>
      </c>
      <c r="I83" s="64">
        <v>2.52</v>
      </c>
      <c r="J83" s="64">
        <v>0.88</v>
      </c>
      <c r="K83" s="64">
        <v>347.29</v>
      </c>
      <c r="L83" s="64">
        <v>30.89</v>
      </c>
      <c r="M83" s="64">
        <v>39.14</v>
      </c>
      <c r="N83" s="64">
        <v>18.100000000000001</v>
      </c>
      <c r="O83" s="64">
        <v>0</v>
      </c>
      <c r="P83" s="64">
        <v>0.5</v>
      </c>
      <c r="Q83" s="64">
        <v>9.2899999999999991</v>
      </c>
      <c r="R83" s="198"/>
      <c r="S83" s="198"/>
      <c r="T83" s="198"/>
      <c r="U83" s="198"/>
    </row>
    <row r="84" spans="1:26" s="12" customFormat="1" x14ac:dyDescent="0.25">
      <c r="A84" s="216" t="s">
        <v>1281</v>
      </c>
      <c r="B84" s="64">
        <v>0.1</v>
      </c>
      <c r="C84" s="64">
        <v>10.050000000000001</v>
      </c>
      <c r="D84" s="64">
        <v>5.25</v>
      </c>
      <c r="E84" s="64">
        <v>1.03</v>
      </c>
      <c r="F84" s="64">
        <v>3.33</v>
      </c>
      <c r="G84" s="64">
        <v>51.7</v>
      </c>
      <c r="H84" s="64">
        <v>15.32</v>
      </c>
      <c r="I84" s="64">
        <v>2.86</v>
      </c>
      <c r="J84" s="64">
        <v>0.99</v>
      </c>
      <c r="K84" s="64">
        <v>353.49</v>
      </c>
      <c r="L84" s="64">
        <v>30.76</v>
      </c>
      <c r="M84" s="64">
        <v>40.51</v>
      </c>
      <c r="N84" s="64">
        <v>17.5</v>
      </c>
      <c r="O84" s="64">
        <v>0</v>
      </c>
      <c r="P84" s="64">
        <v>0.56000000000000005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16" t="s">
        <v>1282</v>
      </c>
      <c r="B85" s="64">
        <v>0.1</v>
      </c>
      <c r="C85" s="64">
        <v>9.77</v>
      </c>
      <c r="D85" s="64">
        <v>5.1100000000000003</v>
      </c>
      <c r="E85" s="64">
        <v>1</v>
      </c>
      <c r="F85" s="64">
        <v>4.1500000000000004</v>
      </c>
      <c r="G85" s="64">
        <v>65.02</v>
      </c>
      <c r="H85" s="64">
        <v>17.13</v>
      </c>
      <c r="I85" s="64">
        <v>3.27</v>
      </c>
      <c r="J85" s="64">
        <v>3.1</v>
      </c>
      <c r="K85" s="64">
        <v>354.67</v>
      </c>
      <c r="L85" s="64">
        <v>30.67</v>
      </c>
      <c r="M85" s="64">
        <v>37.450000000000003</v>
      </c>
      <c r="N85" s="64">
        <v>18.899999999999999</v>
      </c>
      <c r="O85" s="64">
        <v>0</v>
      </c>
      <c r="P85" s="64">
        <v>0.57999999999999996</v>
      </c>
      <c r="Q85" s="64">
        <v>9.2799999999999994</v>
      </c>
      <c r="R85" s="198"/>
      <c r="S85" s="198"/>
      <c r="T85" s="198"/>
      <c r="U85" s="198"/>
    </row>
    <row r="86" spans="1:26" s="12" customFormat="1" x14ac:dyDescent="0.25">
      <c r="A86" s="216" t="s">
        <v>1283</v>
      </c>
      <c r="B86" s="64">
        <v>0.1</v>
      </c>
      <c r="C86" s="64">
        <v>9.9</v>
      </c>
      <c r="D86" s="64">
        <v>5.17</v>
      </c>
      <c r="E86" s="64">
        <v>0.78</v>
      </c>
      <c r="F86" s="64">
        <v>5.03</v>
      </c>
      <c r="G86" s="64">
        <v>65.02</v>
      </c>
      <c r="H86" s="64">
        <v>17.13</v>
      </c>
      <c r="I86" s="64">
        <v>3.87</v>
      </c>
      <c r="J86" s="64">
        <v>1.24</v>
      </c>
      <c r="K86" s="64">
        <v>350.22</v>
      </c>
      <c r="L86" s="64">
        <v>29.01</v>
      </c>
      <c r="M86" s="64">
        <v>42.9</v>
      </c>
      <c r="N86" s="64">
        <v>20.2</v>
      </c>
      <c r="O86" s="64">
        <v>0</v>
      </c>
      <c r="P86" s="64">
        <v>0.6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6" t="s">
        <v>1284</v>
      </c>
      <c r="B87" s="64">
        <v>0.1</v>
      </c>
      <c r="C87" s="64">
        <v>9.26</v>
      </c>
      <c r="D87" s="64">
        <v>4.84</v>
      </c>
      <c r="E87" s="64">
        <v>1.2</v>
      </c>
      <c r="F87" s="64">
        <v>4.63</v>
      </c>
      <c r="G87" s="64">
        <v>65.02</v>
      </c>
      <c r="H87" s="64">
        <v>17.13</v>
      </c>
      <c r="I87" s="64">
        <v>4.54</v>
      </c>
      <c r="J87" s="64">
        <v>0.42</v>
      </c>
      <c r="K87" s="64">
        <v>357.58</v>
      </c>
      <c r="L87" s="64">
        <v>28.11</v>
      </c>
      <c r="M87" s="64">
        <v>45.15</v>
      </c>
      <c r="N87" s="64">
        <v>18.3</v>
      </c>
      <c r="O87" s="64">
        <v>0</v>
      </c>
      <c r="P87" s="64">
        <v>0.6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6" t="s">
        <v>1285</v>
      </c>
      <c r="B88" s="64">
        <v>0.1</v>
      </c>
      <c r="C88" s="64">
        <v>8.5500000000000007</v>
      </c>
      <c r="D88" s="64">
        <v>4.47</v>
      </c>
      <c r="E88" s="64">
        <v>1.6</v>
      </c>
      <c r="F88" s="64">
        <v>4.42</v>
      </c>
      <c r="G88" s="64">
        <v>80.94</v>
      </c>
      <c r="H88" s="64">
        <v>18.82</v>
      </c>
      <c r="I88" s="64">
        <v>4.68</v>
      </c>
      <c r="J88" s="64">
        <v>0.32</v>
      </c>
      <c r="K88" s="64">
        <v>64.489999999999995</v>
      </c>
      <c r="L88" s="64">
        <v>28.11</v>
      </c>
      <c r="M88" s="64">
        <v>44.33</v>
      </c>
      <c r="N88" s="64">
        <v>17.399999999999999</v>
      </c>
      <c r="O88" s="64">
        <v>0</v>
      </c>
      <c r="P88" s="64">
        <v>0.61</v>
      </c>
      <c r="Q88" s="64">
        <v>9.3800000000000008</v>
      </c>
      <c r="R88" s="198"/>
      <c r="S88" s="198"/>
      <c r="T88" s="198"/>
      <c r="U88" s="198"/>
    </row>
    <row r="89" spans="1:26" s="12" customFormat="1" x14ac:dyDescent="0.25">
      <c r="A89" s="216" t="s">
        <v>1286</v>
      </c>
      <c r="B89" s="64">
        <v>0.1</v>
      </c>
      <c r="C89" s="64">
        <v>8.19</v>
      </c>
      <c r="D89" s="64">
        <v>4.28</v>
      </c>
      <c r="E89" s="64">
        <v>2.0699999999999998</v>
      </c>
      <c r="F89" s="64">
        <v>4.1100000000000003</v>
      </c>
      <c r="G89" s="64">
        <v>92.05</v>
      </c>
      <c r="H89" s="64">
        <v>20</v>
      </c>
      <c r="I89" s="64">
        <v>4.8499999999999996</v>
      </c>
      <c r="J89" s="64">
        <v>0.22</v>
      </c>
      <c r="K89" s="64">
        <v>16.97</v>
      </c>
      <c r="L89" s="64">
        <v>28.27</v>
      </c>
      <c r="M89" s="64">
        <v>43.5</v>
      </c>
      <c r="N89" s="64">
        <v>17.5</v>
      </c>
      <c r="O89" s="64">
        <v>0</v>
      </c>
      <c r="P89" s="64">
        <v>0.64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6" t="s">
        <v>1287</v>
      </c>
      <c r="B90" s="64">
        <v>0.1</v>
      </c>
      <c r="C90" s="64">
        <v>8.1199999999999992</v>
      </c>
      <c r="D90" s="64">
        <v>4.24</v>
      </c>
      <c r="E90" s="64">
        <v>2.19</v>
      </c>
      <c r="F90" s="64">
        <v>3.94</v>
      </c>
      <c r="G90" s="64">
        <v>92.05</v>
      </c>
      <c r="H90" s="64">
        <v>20</v>
      </c>
      <c r="I90" s="64">
        <v>5.03</v>
      </c>
      <c r="J90" s="64">
        <v>0.52</v>
      </c>
      <c r="K90" s="64">
        <v>111.66</v>
      </c>
      <c r="L90" s="64">
        <v>28.18</v>
      </c>
      <c r="M90" s="64">
        <v>42.59</v>
      </c>
      <c r="N90" s="64">
        <v>17.399999999999999</v>
      </c>
      <c r="O90" s="64">
        <v>0</v>
      </c>
      <c r="P90" s="64">
        <v>0.64</v>
      </c>
      <c r="Q90" s="64">
        <v>9.43</v>
      </c>
      <c r="R90" s="198"/>
      <c r="S90" s="198"/>
      <c r="T90" s="198"/>
      <c r="U90" s="198"/>
    </row>
    <row r="91" spans="1:26" s="12" customFormat="1" x14ac:dyDescent="0.25">
      <c r="A91" s="216" t="s">
        <v>1288</v>
      </c>
      <c r="B91" s="64">
        <v>0.1</v>
      </c>
      <c r="C91" s="64">
        <v>7.54</v>
      </c>
      <c r="D91" s="64">
        <v>3.94</v>
      </c>
      <c r="E91" s="64">
        <v>2.16</v>
      </c>
      <c r="F91" s="64">
        <v>4.12</v>
      </c>
      <c r="G91" s="64">
        <v>92.05</v>
      </c>
      <c r="H91" s="64">
        <v>20</v>
      </c>
      <c r="I91" s="64">
        <v>4.93</v>
      </c>
      <c r="J91" s="64">
        <v>0.41</v>
      </c>
      <c r="K91" s="64">
        <v>85.44</v>
      </c>
      <c r="L91" s="64">
        <v>28.39</v>
      </c>
      <c r="M91" s="64">
        <v>42.69</v>
      </c>
      <c r="N91" s="64">
        <v>17.5</v>
      </c>
      <c r="O91" s="64">
        <v>0</v>
      </c>
      <c r="P91" s="64">
        <v>0.63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6" t="s">
        <v>1289</v>
      </c>
      <c r="B92" s="64">
        <v>0.1</v>
      </c>
      <c r="C92" s="64">
        <v>8.08</v>
      </c>
      <c r="D92" s="64">
        <v>4.22</v>
      </c>
      <c r="E92" s="64">
        <v>1.64</v>
      </c>
      <c r="F92" s="64">
        <v>3.9</v>
      </c>
      <c r="G92" s="64">
        <v>87.08</v>
      </c>
      <c r="H92" s="64">
        <v>18.96</v>
      </c>
      <c r="I92" s="64">
        <v>4.9800000000000004</v>
      </c>
      <c r="J92" s="64">
        <v>0.34</v>
      </c>
      <c r="K92" s="64">
        <v>164.89</v>
      </c>
      <c r="L92" s="64">
        <v>28.5</v>
      </c>
      <c r="M92" s="64">
        <v>43</v>
      </c>
      <c r="N92" s="64">
        <v>17.399999999999999</v>
      </c>
      <c r="O92" s="64">
        <v>0</v>
      </c>
      <c r="P92" s="64">
        <v>0.65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16" t="s">
        <v>1290</v>
      </c>
      <c r="B93" s="64">
        <v>0.1</v>
      </c>
      <c r="C93" s="64">
        <v>9.52</v>
      </c>
      <c r="D93" s="64">
        <v>4.9800000000000004</v>
      </c>
      <c r="E93" s="64">
        <v>1.94</v>
      </c>
      <c r="F93" s="64">
        <v>4.1100000000000003</v>
      </c>
      <c r="G93" s="64">
        <v>83.76</v>
      </c>
      <c r="H93" s="64">
        <v>18.23</v>
      </c>
      <c r="I93" s="64">
        <v>5.18</v>
      </c>
      <c r="J93" s="64">
        <v>0.52</v>
      </c>
      <c r="K93" s="64">
        <v>144.1</v>
      </c>
      <c r="L93" s="64">
        <v>28.38</v>
      </c>
      <c r="M93" s="64">
        <v>41.71</v>
      </c>
      <c r="N93" s="64">
        <v>17.5</v>
      </c>
      <c r="O93" s="64">
        <v>0</v>
      </c>
      <c r="P93" s="64">
        <v>0.65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6" t="s">
        <v>1291</v>
      </c>
      <c r="B94" s="64">
        <v>0.1</v>
      </c>
      <c r="C94" s="64">
        <v>10.42</v>
      </c>
      <c r="D94" s="64">
        <v>5.44</v>
      </c>
      <c r="E94" s="64">
        <v>2.34</v>
      </c>
      <c r="F94" s="64">
        <v>3.28</v>
      </c>
      <c r="G94" s="64">
        <v>83.76</v>
      </c>
      <c r="H94" s="64">
        <v>18.23</v>
      </c>
      <c r="I94" s="64">
        <v>5.47</v>
      </c>
      <c r="J94" s="64">
        <v>0.55000000000000004</v>
      </c>
      <c r="K94" s="64">
        <v>155.77000000000001</v>
      </c>
      <c r="L94" s="64">
        <v>27.95</v>
      </c>
      <c r="M94" s="64">
        <v>43.64</v>
      </c>
      <c r="N94" s="64">
        <v>17.8</v>
      </c>
      <c r="O94" s="64">
        <v>0</v>
      </c>
      <c r="P94" s="64">
        <v>0.64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16" t="s">
        <v>1292</v>
      </c>
      <c r="B95" s="64">
        <v>0.1</v>
      </c>
      <c r="C95" s="64">
        <v>10.119999999999999</v>
      </c>
      <c r="D95" s="64">
        <v>5.29</v>
      </c>
      <c r="E95" s="64">
        <v>2</v>
      </c>
      <c r="F95" s="64">
        <v>4.28</v>
      </c>
      <c r="G95" s="64">
        <v>83.76</v>
      </c>
      <c r="H95" s="64">
        <v>18.23</v>
      </c>
      <c r="I95" s="64">
        <v>5.62</v>
      </c>
      <c r="J95" s="64">
        <v>1</v>
      </c>
      <c r="K95" s="64">
        <v>103.03</v>
      </c>
      <c r="L95" s="64">
        <v>27.85</v>
      </c>
      <c r="M95" s="64">
        <v>44.29</v>
      </c>
      <c r="N95" s="64">
        <v>17.399999999999999</v>
      </c>
      <c r="O95" s="64">
        <v>0</v>
      </c>
      <c r="P95" s="64">
        <v>0.62</v>
      </c>
      <c r="Q95" s="64">
        <v>9.3699999999999992</v>
      </c>
      <c r="R95" s="198"/>
      <c r="S95" s="198"/>
      <c r="T95" s="198"/>
      <c r="U95" s="198"/>
    </row>
    <row r="96" spans="1:26" s="12" customFormat="1" x14ac:dyDescent="0.25">
      <c r="A96" s="216" t="s">
        <v>1293</v>
      </c>
      <c r="B96" s="64">
        <v>0.1</v>
      </c>
      <c r="C96" s="64">
        <v>9.01</v>
      </c>
      <c r="D96" s="64">
        <v>4.7</v>
      </c>
      <c r="E96" s="64">
        <v>2.3199999999999998</v>
      </c>
      <c r="F96" s="64">
        <v>3.87</v>
      </c>
      <c r="G96" s="64">
        <v>82.58</v>
      </c>
      <c r="H96" s="64">
        <v>18.149999999999999</v>
      </c>
      <c r="I96" s="64">
        <v>5.69</v>
      </c>
      <c r="J96" s="64">
        <v>0.96</v>
      </c>
      <c r="K96" s="64">
        <v>159.69</v>
      </c>
      <c r="L96" s="64">
        <v>27.95</v>
      </c>
      <c r="M96" s="64">
        <v>44.88</v>
      </c>
      <c r="N96" s="64">
        <v>17.600000000000001</v>
      </c>
      <c r="O96" s="64">
        <v>0</v>
      </c>
      <c r="P96" s="64">
        <v>0.6</v>
      </c>
      <c r="Q96" s="64">
        <v>9.3800000000000008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1294</v>
      </c>
      <c r="B97" s="64">
        <v>0.1</v>
      </c>
      <c r="C97" s="64">
        <v>8.26</v>
      </c>
      <c r="D97" s="64">
        <v>4.3099999999999996</v>
      </c>
      <c r="E97" s="64">
        <v>1.95</v>
      </c>
      <c r="F97" s="64">
        <v>3.85</v>
      </c>
      <c r="G97" s="64">
        <v>81.75</v>
      </c>
      <c r="H97" s="64">
        <v>18.09</v>
      </c>
      <c r="I97" s="64">
        <v>5.7</v>
      </c>
      <c r="J97" s="64">
        <v>0.73</v>
      </c>
      <c r="K97" s="64">
        <v>103.08</v>
      </c>
      <c r="L97" s="64">
        <v>27.56</v>
      </c>
      <c r="M97" s="64">
        <v>47.61</v>
      </c>
      <c r="N97" s="64">
        <v>18.2</v>
      </c>
      <c r="O97" s="64">
        <v>0</v>
      </c>
      <c r="P97" s="64">
        <v>0.59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6" t="s">
        <v>1295</v>
      </c>
      <c r="B98" s="64">
        <v>0.1</v>
      </c>
      <c r="C98" s="64">
        <v>7.88</v>
      </c>
      <c r="D98" s="64">
        <v>4.12</v>
      </c>
      <c r="E98" s="64">
        <v>2.4300000000000002</v>
      </c>
      <c r="F98" s="64">
        <v>3.9</v>
      </c>
      <c r="G98" s="64">
        <v>81.75</v>
      </c>
      <c r="H98" s="64">
        <v>18.09</v>
      </c>
      <c r="I98" s="64">
        <v>5.75</v>
      </c>
      <c r="J98" s="64">
        <v>0.51</v>
      </c>
      <c r="K98" s="64">
        <v>135.66999999999999</v>
      </c>
      <c r="L98" s="64">
        <v>27.33</v>
      </c>
      <c r="M98" s="64">
        <v>48.71</v>
      </c>
      <c r="N98" s="64">
        <v>17.899999999999999</v>
      </c>
      <c r="O98" s="64">
        <v>0</v>
      </c>
      <c r="P98" s="64">
        <v>0.56999999999999995</v>
      </c>
      <c r="Q98" s="64">
        <v>9.33</v>
      </c>
      <c r="R98" s="198"/>
      <c r="S98" s="198"/>
      <c r="T98" s="198"/>
      <c r="U98" s="198"/>
    </row>
    <row r="99" spans="1:33" s="12" customFormat="1" x14ac:dyDescent="0.25">
      <c r="A99" s="216" t="s">
        <v>1296</v>
      </c>
      <c r="B99" s="64">
        <v>0.1</v>
      </c>
      <c r="C99" s="64">
        <v>7.03</v>
      </c>
      <c r="D99" s="64">
        <v>3.67</v>
      </c>
      <c r="E99" s="64">
        <v>2.2200000000000002</v>
      </c>
      <c r="F99" s="64">
        <v>3.82</v>
      </c>
      <c r="G99" s="64">
        <v>81.75</v>
      </c>
      <c r="H99" s="64">
        <v>18.09</v>
      </c>
      <c r="I99" s="64">
        <v>5.73</v>
      </c>
      <c r="J99" s="64">
        <v>0.52</v>
      </c>
      <c r="K99" s="64">
        <v>169.4</v>
      </c>
      <c r="L99" s="64">
        <v>27.27</v>
      </c>
      <c r="M99" s="64">
        <v>49.17</v>
      </c>
      <c r="N99" s="64">
        <v>17.7</v>
      </c>
      <c r="O99" s="64">
        <v>0</v>
      </c>
      <c r="P99" s="64">
        <v>0.55000000000000004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6" t="s">
        <v>1297</v>
      </c>
      <c r="B100" s="64">
        <v>0.1</v>
      </c>
      <c r="C100" s="64">
        <v>6.37</v>
      </c>
      <c r="D100" s="64">
        <v>3.33</v>
      </c>
      <c r="E100" s="64">
        <v>1.93</v>
      </c>
      <c r="F100" s="64">
        <v>4.2699999999999996</v>
      </c>
      <c r="G100" s="64">
        <v>69.8</v>
      </c>
      <c r="H100" s="64">
        <v>17.399999999999999</v>
      </c>
      <c r="I100" s="64">
        <v>5.77</v>
      </c>
      <c r="J100" s="64">
        <v>0.64</v>
      </c>
      <c r="K100" s="64">
        <v>165.71</v>
      </c>
      <c r="L100" s="64">
        <v>27.23</v>
      </c>
      <c r="M100" s="64">
        <v>49.34</v>
      </c>
      <c r="N100" s="64">
        <v>17.7</v>
      </c>
      <c r="O100" s="64">
        <v>0</v>
      </c>
      <c r="P100" s="64">
        <v>0.53</v>
      </c>
      <c r="Q100" s="64">
        <v>9.34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1298</v>
      </c>
      <c r="B101" s="64">
        <v>0.1</v>
      </c>
      <c r="C101" s="64">
        <v>5.85</v>
      </c>
      <c r="D101" s="64">
        <v>3.05</v>
      </c>
      <c r="E101" s="64">
        <v>1.79</v>
      </c>
      <c r="F101" s="64">
        <v>3.76</v>
      </c>
      <c r="G101" s="64">
        <v>61.45</v>
      </c>
      <c r="H101" s="64">
        <v>16.91</v>
      </c>
      <c r="I101" s="64">
        <v>5.67</v>
      </c>
      <c r="J101" s="64">
        <v>0.28000000000000003</v>
      </c>
      <c r="K101" s="64">
        <v>164.21</v>
      </c>
      <c r="L101" s="64">
        <v>27.14</v>
      </c>
      <c r="M101" s="64">
        <v>49.37</v>
      </c>
      <c r="N101" s="64">
        <v>17.8</v>
      </c>
      <c r="O101" s="64">
        <v>0</v>
      </c>
      <c r="P101" s="64">
        <v>0.52</v>
      </c>
      <c r="Q101" s="64">
        <v>9.3000000000000007</v>
      </c>
      <c r="R101" s="198"/>
      <c r="S101" s="198"/>
      <c r="T101" s="198"/>
      <c r="U101" s="198"/>
    </row>
    <row r="102" spans="1:33" s="12" customFormat="1" x14ac:dyDescent="0.25">
      <c r="A102" s="216" t="s">
        <v>1299</v>
      </c>
      <c r="B102" s="64">
        <v>0.1</v>
      </c>
      <c r="C102" s="64">
        <v>5.56</v>
      </c>
      <c r="D102" s="64">
        <v>2.9</v>
      </c>
      <c r="E102" s="64">
        <v>2.0499999999999998</v>
      </c>
      <c r="F102" s="64">
        <v>2.87</v>
      </c>
      <c r="G102" s="64">
        <v>61.45</v>
      </c>
      <c r="H102" s="64">
        <v>16.91</v>
      </c>
      <c r="I102" s="64">
        <v>5.52</v>
      </c>
      <c r="J102" s="64">
        <v>0.37</v>
      </c>
      <c r="K102" s="64">
        <v>104.65</v>
      </c>
      <c r="L102" s="64">
        <v>27.19</v>
      </c>
      <c r="M102" s="64">
        <v>49.53</v>
      </c>
      <c r="N102" s="64">
        <v>17.7</v>
      </c>
      <c r="O102" s="64">
        <v>0</v>
      </c>
      <c r="P102" s="64">
        <v>0.5</v>
      </c>
      <c r="Q102" s="64">
        <v>9.31</v>
      </c>
      <c r="R102" s="198"/>
      <c r="S102" s="198"/>
      <c r="T102" s="198"/>
      <c r="U102" s="198"/>
    </row>
    <row r="103" spans="1:33" s="12" customFormat="1" x14ac:dyDescent="0.25">
      <c r="A103" s="216" t="s">
        <v>1300</v>
      </c>
      <c r="B103" s="64">
        <v>0.1</v>
      </c>
      <c r="C103" s="64">
        <v>3.67</v>
      </c>
      <c r="D103" s="64">
        <v>1.92</v>
      </c>
      <c r="E103" s="64">
        <v>2.13</v>
      </c>
      <c r="F103" s="64">
        <v>4.04</v>
      </c>
      <c r="G103" s="64">
        <v>61.45</v>
      </c>
      <c r="H103" s="64">
        <v>16.91</v>
      </c>
      <c r="I103" s="64">
        <v>5.36</v>
      </c>
      <c r="J103" s="64">
        <v>0.31</v>
      </c>
      <c r="K103" s="64">
        <v>321.79000000000002</v>
      </c>
      <c r="L103" s="64">
        <v>26.63</v>
      </c>
      <c r="M103" s="64">
        <v>59.5</v>
      </c>
      <c r="N103" s="64">
        <v>18.3</v>
      </c>
      <c r="O103" s="64">
        <v>0</v>
      </c>
      <c r="P103" s="64">
        <v>0.48</v>
      </c>
      <c r="Q103" s="64">
        <v>9.19</v>
      </c>
      <c r="R103" s="198"/>
      <c r="S103" s="198"/>
      <c r="T103" s="198"/>
      <c r="U103" s="198"/>
    </row>
    <row r="104" spans="1:33" s="12" customFormat="1" x14ac:dyDescent="0.25">
      <c r="A104" s="216" t="s">
        <v>1301</v>
      </c>
      <c r="B104" s="64">
        <v>0.1</v>
      </c>
      <c r="C104" s="64">
        <v>2.99</v>
      </c>
      <c r="D104" s="64">
        <v>1.56</v>
      </c>
      <c r="E104" s="64">
        <v>1.21</v>
      </c>
      <c r="F104" s="64">
        <v>4.3099999999999996</v>
      </c>
      <c r="G104" s="64">
        <v>55</v>
      </c>
      <c r="H104" s="64">
        <v>14.99</v>
      </c>
      <c r="I104" s="64">
        <v>5.0199999999999996</v>
      </c>
      <c r="J104" s="64">
        <v>0.17</v>
      </c>
      <c r="K104" s="64">
        <v>64.930000000000007</v>
      </c>
      <c r="L104" s="64">
        <v>26.47</v>
      </c>
      <c r="M104" s="64">
        <v>54.61</v>
      </c>
      <c r="N104" s="64">
        <v>17.899999999999999</v>
      </c>
      <c r="O104" s="64">
        <v>0</v>
      </c>
      <c r="P104" s="64">
        <v>0.48</v>
      </c>
      <c r="Q104" s="64">
        <v>9.2200000000000006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2.99</v>
      </c>
      <c r="D106" s="67">
        <f t="shared" ref="D106:Q106" si="0">MIN(D9:D104)</f>
        <v>1.56</v>
      </c>
      <c r="E106" s="67">
        <f t="shared" si="0"/>
        <v>0.48</v>
      </c>
      <c r="F106" s="67">
        <f t="shared" si="0"/>
        <v>2.87</v>
      </c>
      <c r="G106" s="67">
        <f t="shared" si="0"/>
        <v>21.78</v>
      </c>
      <c r="H106" s="67">
        <f t="shared" si="0"/>
        <v>12.61</v>
      </c>
      <c r="I106" s="67">
        <f t="shared" si="0"/>
        <v>1.59</v>
      </c>
      <c r="J106" s="67">
        <f t="shared" si="0"/>
        <v>0.02</v>
      </c>
      <c r="K106" s="67">
        <f t="shared" si="0"/>
        <v>0.11</v>
      </c>
      <c r="L106" s="67">
        <f t="shared" si="0"/>
        <v>23.95</v>
      </c>
      <c r="M106" s="67">
        <f t="shared" si="0"/>
        <v>26.88</v>
      </c>
      <c r="N106" s="67">
        <f t="shared" si="0"/>
        <v>17.399999999999999</v>
      </c>
      <c r="O106" s="67">
        <f t="shared" si="0"/>
        <v>0</v>
      </c>
      <c r="P106" s="67">
        <f t="shared" si="0"/>
        <v>0.28000000000000003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20.86</v>
      </c>
      <c r="C107" s="66">
        <f t="shared" ref="C107:Q107" si="1">MAX(C9:C104)</f>
        <v>20.43</v>
      </c>
      <c r="D107" s="66">
        <f t="shared" si="1"/>
        <v>22.63</v>
      </c>
      <c r="E107" s="66">
        <f t="shared" si="1"/>
        <v>2.99</v>
      </c>
      <c r="F107" s="66">
        <f t="shared" si="1"/>
        <v>17.97</v>
      </c>
      <c r="G107" s="66">
        <f t="shared" si="1"/>
        <v>130.74</v>
      </c>
      <c r="H107" s="66">
        <f t="shared" si="1"/>
        <v>41.49</v>
      </c>
      <c r="I107" s="66">
        <f t="shared" si="1"/>
        <v>8.06</v>
      </c>
      <c r="J107" s="66">
        <f t="shared" si="1"/>
        <v>3.1</v>
      </c>
      <c r="K107" s="66">
        <f t="shared" si="1"/>
        <v>358.69</v>
      </c>
      <c r="L107" s="66">
        <f t="shared" si="1"/>
        <v>37.42</v>
      </c>
      <c r="M107" s="66">
        <f t="shared" si="1"/>
        <v>77.81</v>
      </c>
      <c r="N107" s="66">
        <f t="shared" si="1"/>
        <v>937.7</v>
      </c>
      <c r="O107" s="66">
        <f t="shared" si="1"/>
        <v>0</v>
      </c>
      <c r="P107" s="66">
        <f t="shared" si="1"/>
        <v>0.67</v>
      </c>
      <c r="Q107" s="66">
        <f t="shared" si="1"/>
        <v>9.94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3.1763541666666817</v>
      </c>
      <c r="C108" s="67">
        <f t="shared" ref="C108:Q108" si="2">AVERAGE(C9:C104)</f>
        <v>10.044583333333332</v>
      </c>
      <c r="D108" s="67">
        <f t="shared" si="2"/>
        <v>7.714999999999999</v>
      </c>
      <c r="E108" s="67">
        <f t="shared" si="2"/>
        <v>1.8298958333333328</v>
      </c>
      <c r="F108" s="67">
        <f t="shared" si="2"/>
        <v>6.3468749999999998</v>
      </c>
      <c r="G108" s="67">
        <f t="shared" si="2"/>
        <v>62.034791666666685</v>
      </c>
      <c r="H108" s="67">
        <f t="shared" si="2"/>
        <v>20.160833333333326</v>
      </c>
      <c r="I108" s="67">
        <f t="shared" si="2"/>
        <v>4.610833333333332</v>
      </c>
      <c r="J108" s="67">
        <f t="shared" si="2"/>
        <v>0.40166666666666662</v>
      </c>
      <c r="K108" s="67">
        <f t="shared" si="2"/>
        <v>251.23895833333322</v>
      </c>
      <c r="L108" s="67">
        <f t="shared" si="2"/>
        <v>30.108541666666664</v>
      </c>
      <c r="M108" s="67">
        <f t="shared" si="2"/>
        <v>48.991250000000008</v>
      </c>
      <c r="N108" s="67">
        <f t="shared" si="2"/>
        <v>268.10000000000008</v>
      </c>
      <c r="O108" s="67">
        <f t="shared" si="2"/>
        <v>0</v>
      </c>
      <c r="P108" s="67">
        <f t="shared" si="2"/>
        <v>0.50281250000000011</v>
      </c>
      <c r="Q108" s="67">
        <f t="shared" si="2"/>
        <v>9.4086458333333329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5.2893722878581206</v>
      </c>
      <c r="C109" s="67">
        <f t="shared" ref="C109:Q109" si="3">STDEV(C9:C104)</f>
        <v>3.5154764344827516</v>
      </c>
      <c r="D109" s="67">
        <f t="shared" si="3"/>
        <v>5.4499554802624006</v>
      </c>
      <c r="E109" s="67">
        <f t="shared" si="3"/>
        <v>0.59639883298213903</v>
      </c>
      <c r="F109" s="67">
        <f t="shared" si="3"/>
        <v>3.7142959416429484</v>
      </c>
      <c r="G109" s="67">
        <f t="shared" si="3"/>
        <v>30.700752398774728</v>
      </c>
      <c r="H109" s="67">
        <f t="shared" si="3"/>
        <v>7.9642171672876589</v>
      </c>
      <c r="I109" s="67">
        <f t="shared" si="3"/>
        <v>2.0092641578797878</v>
      </c>
      <c r="J109" s="67">
        <f t="shared" si="3"/>
        <v>0.40969993298476309</v>
      </c>
      <c r="K109" s="67">
        <f t="shared" si="3"/>
        <v>119.61835845263701</v>
      </c>
      <c r="L109" s="67">
        <f t="shared" si="3"/>
        <v>4.3219230561763622</v>
      </c>
      <c r="M109" s="67">
        <f t="shared" si="3"/>
        <v>15.292058017842223</v>
      </c>
      <c r="N109" s="67">
        <f t="shared" si="3"/>
        <v>337.9065566878387</v>
      </c>
      <c r="O109" s="67">
        <f t="shared" si="3"/>
        <v>0</v>
      </c>
      <c r="P109" s="67">
        <f t="shared" si="3"/>
        <v>0.12087142472805301</v>
      </c>
      <c r="Q109" s="67">
        <f t="shared" si="3"/>
        <v>0.20576235547306643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1302</v>
      </c>
      <c r="B9" s="64">
        <v>0.1</v>
      </c>
      <c r="C9" s="64">
        <v>2.8</v>
      </c>
      <c r="D9" s="64">
        <v>1.46</v>
      </c>
      <c r="E9" s="64">
        <v>0.67</v>
      </c>
      <c r="F9" s="64">
        <v>4.05</v>
      </c>
      <c r="G9" s="64">
        <v>50.7</v>
      </c>
      <c r="H9" s="64">
        <v>13.64</v>
      </c>
      <c r="I9" s="64">
        <v>5.1100000000000003</v>
      </c>
      <c r="J9" s="64">
        <v>0.48</v>
      </c>
      <c r="K9" s="64">
        <v>351.86</v>
      </c>
      <c r="L9" s="64">
        <v>26.6</v>
      </c>
      <c r="M9" s="64">
        <v>57.61</v>
      </c>
      <c r="N9" s="64">
        <v>18.2</v>
      </c>
      <c r="O9" s="64">
        <v>0</v>
      </c>
      <c r="P9" s="64">
        <v>0.48</v>
      </c>
      <c r="Q9" s="64">
        <v>9.25</v>
      </c>
      <c r="R9" s="198"/>
      <c r="S9" s="198"/>
      <c r="T9" s="198"/>
      <c r="U9" s="198"/>
    </row>
    <row r="10" spans="1:21" s="12" customFormat="1" x14ac:dyDescent="0.25">
      <c r="A10" s="216" t="s">
        <v>1303</v>
      </c>
      <c r="B10" s="64">
        <v>0.1</v>
      </c>
      <c r="C10" s="64">
        <v>2.91</v>
      </c>
      <c r="D10" s="64">
        <v>1.52</v>
      </c>
      <c r="E10" s="64">
        <v>0.72</v>
      </c>
      <c r="F10" s="64">
        <v>3.88</v>
      </c>
      <c r="G10" s="64">
        <v>50.7</v>
      </c>
      <c r="H10" s="64">
        <v>13.64</v>
      </c>
      <c r="I10" s="64">
        <v>5.19</v>
      </c>
      <c r="J10" s="64">
        <v>0.16</v>
      </c>
      <c r="K10" s="64">
        <v>4.6100000000000003</v>
      </c>
      <c r="L10" s="64">
        <v>26.56</v>
      </c>
      <c r="M10" s="64">
        <v>53.56</v>
      </c>
      <c r="N10" s="64">
        <v>18</v>
      </c>
      <c r="O10" s="64">
        <v>0</v>
      </c>
      <c r="P10" s="64">
        <v>0.48</v>
      </c>
      <c r="Q10" s="64">
        <v>9.2899999999999991</v>
      </c>
      <c r="R10" s="198"/>
      <c r="S10" s="198"/>
      <c r="T10" s="198"/>
      <c r="U10" s="198"/>
    </row>
    <row r="11" spans="1:21" s="12" customFormat="1" x14ac:dyDescent="0.25">
      <c r="A11" s="216" t="s">
        <v>1304</v>
      </c>
      <c r="B11" s="64">
        <v>0.1</v>
      </c>
      <c r="C11" s="64">
        <v>3.28</v>
      </c>
      <c r="D11" s="64">
        <v>1.71</v>
      </c>
      <c r="E11" s="64">
        <v>0.59</v>
      </c>
      <c r="F11" s="64">
        <v>3.95</v>
      </c>
      <c r="G11" s="64">
        <v>50.7</v>
      </c>
      <c r="H11" s="64">
        <v>13.64</v>
      </c>
      <c r="I11" s="64">
        <v>5.15</v>
      </c>
      <c r="J11" s="64">
        <v>0.33</v>
      </c>
      <c r="K11" s="64">
        <v>7.86</v>
      </c>
      <c r="L11" s="64">
        <v>26.58</v>
      </c>
      <c r="M11" s="64">
        <v>53.8</v>
      </c>
      <c r="N11" s="64">
        <v>18</v>
      </c>
      <c r="O11" s="64">
        <v>0</v>
      </c>
      <c r="P11" s="64">
        <v>0.47</v>
      </c>
      <c r="Q11" s="64">
        <v>9.3000000000000007</v>
      </c>
      <c r="R11" s="198"/>
      <c r="S11" s="198"/>
      <c r="T11" s="198"/>
      <c r="U11" s="198"/>
    </row>
    <row r="12" spans="1:21" s="12" customFormat="1" x14ac:dyDescent="0.25">
      <c r="A12" s="216" t="s">
        <v>1305</v>
      </c>
      <c r="B12" s="64">
        <v>0.1</v>
      </c>
      <c r="C12" s="64">
        <v>3.27</v>
      </c>
      <c r="D12" s="64">
        <v>1.71</v>
      </c>
      <c r="E12" s="64">
        <v>0.73</v>
      </c>
      <c r="F12" s="64">
        <v>3.69</v>
      </c>
      <c r="G12" s="64">
        <v>47.99</v>
      </c>
      <c r="H12" s="64">
        <v>13.48</v>
      </c>
      <c r="I12" s="64">
        <v>5.5</v>
      </c>
      <c r="J12" s="64">
        <v>0.08</v>
      </c>
      <c r="K12" s="64">
        <v>348.24</v>
      </c>
      <c r="L12" s="64">
        <v>26.39</v>
      </c>
      <c r="M12" s="64">
        <v>54.9</v>
      </c>
      <c r="N12" s="64">
        <v>18.2</v>
      </c>
      <c r="O12" s="64">
        <v>0</v>
      </c>
      <c r="P12" s="64">
        <v>0.47</v>
      </c>
      <c r="Q12" s="64">
        <v>9.34</v>
      </c>
      <c r="R12" s="198"/>
      <c r="S12" s="198"/>
      <c r="T12" s="198"/>
      <c r="U12" s="198"/>
    </row>
    <row r="13" spans="1:21" s="12" customFormat="1" x14ac:dyDescent="0.25">
      <c r="A13" s="216" t="s">
        <v>1306</v>
      </c>
      <c r="B13" s="64">
        <v>0.1</v>
      </c>
      <c r="C13" s="64">
        <v>3.35</v>
      </c>
      <c r="D13" s="64">
        <v>1.75</v>
      </c>
      <c r="E13" s="64">
        <v>0.73</v>
      </c>
      <c r="F13" s="64">
        <v>3.56</v>
      </c>
      <c r="G13" s="64">
        <v>46.19</v>
      </c>
      <c r="H13" s="64">
        <v>13.37</v>
      </c>
      <c r="I13" s="64">
        <v>5.67</v>
      </c>
      <c r="J13" s="64">
        <v>0.1</v>
      </c>
      <c r="K13" s="64">
        <v>322.85000000000002</v>
      </c>
      <c r="L13" s="64">
        <v>25.99</v>
      </c>
      <c r="M13" s="64">
        <v>57.37</v>
      </c>
      <c r="N13" s="64">
        <v>18.3</v>
      </c>
      <c r="O13" s="64">
        <v>0</v>
      </c>
      <c r="P13" s="64">
        <v>0.45</v>
      </c>
      <c r="Q13" s="64">
        <v>9.34</v>
      </c>
      <c r="R13" s="198"/>
      <c r="S13" s="198"/>
      <c r="T13" s="198"/>
      <c r="U13" s="198"/>
    </row>
    <row r="14" spans="1:21" s="12" customFormat="1" x14ac:dyDescent="0.25">
      <c r="A14" s="216" t="s">
        <v>1307</v>
      </c>
      <c r="B14" s="64">
        <v>0.1</v>
      </c>
      <c r="C14" s="64">
        <v>4.13</v>
      </c>
      <c r="D14" s="64">
        <v>2.16</v>
      </c>
      <c r="E14" s="64">
        <v>0.75</v>
      </c>
      <c r="F14" s="64">
        <v>3.9</v>
      </c>
      <c r="G14" s="64">
        <v>46.19</v>
      </c>
      <c r="H14" s="64">
        <v>13.37</v>
      </c>
      <c r="I14" s="64">
        <v>5.99</v>
      </c>
      <c r="J14" s="64">
        <v>0.21</v>
      </c>
      <c r="K14" s="64">
        <v>242.9</v>
      </c>
      <c r="L14" s="64">
        <v>25.84</v>
      </c>
      <c r="M14" s="64">
        <v>58.88</v>
      </c>
      <c r="N14" s="64">
        <v>18.100000000000001</v>
      </c>
      <c r="O14" s="64">
        <v>0</v>
      </c>
      <c r="P14" s="64">
        <v>0.46</v>
      </c>
      <c r="Q14" s="64">
        <v>9.35</v>
      </c>
      <c r="R14" s="198"/>
      <c r="S14" s="198"/>
      <c r="T14" s="198"/>
      <c r="U14" s="198"/>
    </row>
    <row r="15" spans="1:21" s="12" customFormat="1" x14ac:dyDescent="0.25">
      <c r="A15" s="216" t="s">
        <v>1308</v>
      </c>
      <c r="B15" s="64">
        <v>0.1</v>
      </c>
      <c r="C15" s="64">
        <v>4.55</v>
      </c>
      <c r="D15" s="64">
        <v>2.38</v>
      </c>
      <c r="E15" s="64">
        <v>0.98</v>
      </c>
      <c r="F15" s="64">
        <v>4.07</v>
      </c>
      <c r="G15" s="64">
        <v>46.19</v>
      </c>
      <c r="H15" s="64">
        <v>13.37</v>
      </c>
      <c r="I15" s="64">
        <v>6.33</v>
      </c>
      <c r="J15" s="64">
        <v>0.02</v>
      </c>
      <c r="K15" s="64">
        <v>326.39</v>
      </c>
      <c r="L15" s="64">
        <v>26.08</v>
      </c>
      <c r="M15" s="64">
        <v>58.03</v>
      </c>
      <c r="N15" s="64">
        <v>17.899999999999999</v>
      </c>
      <c r="O15" s="64">
        <v>0</v>
      </c>
      <c r="P15" s="64">
        <v>0.46</v>
      </c>
      <c r="Q15" s="64">
        <v>9.36</v>
      </c>
      <c r="R15" s="198"/>
      <c r="S15" s="198"/>
      <c r="T15" s="198"/>
      <c r="U15" s="198"/>
    </row>
    <row r="16" spans="1:21" s="12" customFormat="1" x14ac:dyDescent="0.25">
      <c r="A16" s="216" t="s">
        <v>1309</v>
      </c>
      <c r="B16" s="64">
        <v>0.1</v>
      </c>
      <c r="C16" s="64">
        <v>4.83</v>
      </c>
      <c r="D16" s="64">
        <v>2.52</v>
      </c>
      <c r="E16" s="64">
        <v>1.18</v>
      </c>
      <c r="F16" s="64">
        <v>4.2300000000000004</v>
      </c>
      <c r="G16" s="64">
        <v>43.53</v>
      </c>
      <c r="H16" s="64">
        <v>12.94</v>
      </c>
      <c r="I16" s="64">
        <v>6.29</v>
      </c>
      <c r="J16" s="64">
        <v>0.23</v>
      </c>
      <c r="K16" s="64">
        <v>194.2</v>
      </c>
      <c r="L16" s="64">
        <v>26.19</v>
      </c>
      <c r="M16" s="64">
        <v>54.25</v>
      </c>
      <c r="N16" s="64">
        <v>17.7</v>
      </c>
      <c r="O16" s="64">
        <v>0</v>
      </c>
      <c r="P16" s="64">
        <v>0.45</v>
      </c>
      <c r="Q16" s="64">
        <v>9.39</v>
      </c>
      <c r="R16" s="198"/>
      <c r="S16" s="198"/>
      <c r="T16" s="198"/>
      <c r="U16" s="198"/>
    </row>
    <row r="17" spans="1:21" s="12" customFormat="1" x14ac:dyDescent="0.25">
      <c r="A17" s="216" t="s">
        <v>1310</v>
      </c>
      <c r="B17" s="64">
        <v>0.1</v>
      </c>
      <c r="C17" s="64">
        <v>5.41</v>
      </c>
      <c r="D17" s="64">
        <v>2.83</v>
      </c>
      <c r="E17" s="64">
        <v>1</v>
      </c>
      <c r="F17" s="64">
        <v>4.1500000000000004</v>
      </c>
      <c r="G17" s="64">
        <v>41.68</v>
      </c>
      <c r="H17" s="64">
        <v>12.63</v>
      </c>
      <c r="I17" s="64">
        <v>6.22</v>
      </c>
      <c r="J17" s="64">
        <v>0.09</v>
      </c>
      <c r="K17" s="64">
        <v>269.45999999999998</v>
      </c>
      <c r="L17" s="64">
        <v>26</v>
      </c>
      <c r="M17" s="64">
        <v>56.96</v>
      </c>
      <c r="N17" s="64">
        <v>18.3</v>
      </c>
      <c r="O17" s="64">
        <v>0</v>
      </c>
      <c r="P17" s="64">
        <v>0.44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6" t="s">
        <v>1311</v>
      </c>
      <c r="B18" s="64">
        <v>0.1</v>
      </c>
      <c r="C18" s="64">
        <v>5.31</v>
      </c>
      <c r="D18" s="64">
        <v>2.77</v>
      </c>
      <c r="E18" s="64">
        <v>1.05</v>
      </c>
      <c r="F18" s="64">
        <v>3.44</v>
      </c>
      <c r="G18" s="64">
        <v>41.68</v>
      </c>
      <c r="H18" s="64">
        <v>12.63</v>
      </c>
      <c r="I18" s="64">
        <v>6.07</v>
      </c>
      <c r="J18" s="64">
        <v>0.2</v>
      </c>
      <c r="K18" s="64">
        <v>312.82</v>
      </c>
      <c r="L18" s="64">
        <v>25.33</v>
      </c>
      <c r="M18" s="64">
        <v>62.67</v>
      </c>
      <c r="N18" s="64">
        <v>18.7</v>
      </c>
      <c r="O18" s="64">
        <v>0</v>
      </c>
      <c r="P18" s="64">
        <v>0.43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16" t="s">
        <v>1312</v>
      </c>
      <c r="B19" s="64">
        <v>0.1</v>
      </c>
      <c r="C19" s="64">
        <v>3.98</v>
      </c>
      <c r="D19" s="64">
        <v>2.08</v>
      </c>
      <c r="E19" s="64">
        <v>0.98</v>
      </c>
      <c r="F19" s="64">
        <v>3.3</v>
      </c>
      <c r="G19" s="64">
        <v>41.68</v>
      </c>
      <c r="H19" s="64">
        <v>12.63</v>
      </c>
      <c r="I19" s="64">
        <v>5.95</v>
      </c>
      <c r="J19" s="64">
        <v>0.18</v>
      </c>
      <c r="K19" s="64">
        <v>265.8</v>
      </c>
      <c r="L19" s="64">
        <v>24.92</v>
      </c>
      <c r="M19" s="64">
        <v>64.78</v>
      </c>
      <c r="N19" s="64">
        <v>18.3</v>
      </c>
      <c r="O19" s="64">
        <v>0</v>
      </c>
      <c r="P19" s="64">
        <v>0.42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6" t="s">
        <v>1313</v>
      </c>
      <c r="B20" s="64">
        <v>0.1</v>
      </c>
      <c r="C20" s="64">
        <v>2.93</v>
      </c>
      <c r="D20" s="64">
        <v>1.53</v>
      </c>
      <c r="E20" s="64">
        <v>0.91</v>
      </c>
      <c r="F20" s="64">
        <v>3.72</v>
      </c>
      <c r="G20" s="64">
        <v>40.11</v>
      </c>
      <c r="H20" s="64">
        <v>13.58</v>
      </c>
      <c r="I20" s="64">
        <v>5.89</v>
      </c>
      <c r="J20" s="64">
        <v>0.18</v>
      </c>
      <c r="K20" s="64">
        <v>287.13</v>
      </c>
      <c r="L20" s="64">
        <v>25.12</v>
      </c>
      <c r="M20" s="64">
        <v>63.35</v>
      </c>
      <c r="N20" s="64">
        <v>18.100000000000001</v>
      </c>
      <c r="O20" s="64">
        <v>0</v>
      </c>
      <c r="P20" s="64">
        <v>0.41</v>
      </c>
      <c r="Q20" s="64">
        <v>9.3000000000000007</v>
      </c>
      <c r="R20" s="198"/>
      <c r="S20" s="198"/>
      <c r="T20" s="198"/>
      <c r="U20" s="198"/>
    </row>
    <row r="21" spans="1:21" s="12" customFormat="1" x14ac:dyDescent="0.25">
      <c r="A21" s="216" t="s">
        <v>1314</v>
      </c>
      <c r="B21" s="64">
        <v>0.1</v>
      </c>
      <c r="C21" s="64">
        <v>2.57</v>
      </c>
      <c r="D21" s="64">
        <v>1.35</v>
      </c>
      <c r="E21" s="64">
        <v>0.56000000000000005</v>
      </c>
      <c r="F21" s="64">
        <v>3.62</v>
      </c>
      <c r="G21" s="64">
        <v>39.020000000000003</v>
      </c>
      <c r="H21" s="64">
        <v>14.25</v>
      </c>
      <c r="I21" s="64">
        <v>5.86</v>
      </c>
      <c r="J21" s="64">
        <v>0.22</v>
      </c>
      <c r="K21" s="64">
        <v>324.92</v>
      </c>
      <c r="L21" s="64">
        <v>24.69</v>
      </c>
      <c r="M21" s="64">
        <v>70.760000000000005</v>
      </c>
      <c r="N21" s="64">
        <v>18.399999999999999</v>
      </c>
      <c r="O21" s="64">
        <v>0</v>
      </c>
      <c r="P21" s="64">
        <v>0.4</v>
      </c>
      <c r="Q21" s="64">
        <v>9.32</v>
      </c>
      <c r="R21" s="198"/>
      <c r="S21" s="198"/>
      <c r="T21" s="198"/>
      <c r="U21" s="198"/>
    </row>
    <row r="22" spans="1:21" s="12" customFormat="1" x14ac:dyDescent="0.25">
      <c r="A22" s="216" t="s">
        <v>1315</v>
      </c>
      <c r="B22" s="64">
        <v>0.1</v>
      </c>
      <c r="C22" s="64">
        <v>2.68</v>
      </c>
      <c r="D22" s="64">
        <v>1.4</v>
      </c>
      <c r="E22" s="64">
        <v>0.68</v>
      </c>
      <c r="F22" s="64">
        <v>3.91</v>
      </c>
      <c r="G22" s="64">
        <v>39.020000000000003</v>
      </c>
      <c r="H22" s="64">
        <v>14.25</v>
      </c>
      <c r="I22" s="64">
        <v>5.73</v>
      </c>
      <c r="J22" s="64">
        <v>0.16</v>
      </c>
      <c r="K22" s="64">
        <v>171.51</v>
      </c>
      <c r="L22" s="64">
        <v>24.42</v>
      </c>
      <c r="M22" s="64">
        <v>69.48</v>
      </c>
      <c r="N22" s="64">
        <v>18.100000000000001</v>
      </c>
      <c r="O22" s="64">
        <v>0</v>
      </c>
      <c r="P22" s="64">
        <v>0.39</v>
      </c>
      <c r="Q22" s="64">
        <v>9.2899999999999991</v>
      </c>
      <c r="R22" s="198"/>
      <c r="S22" s="198"/>
      <c r="T22" s="198"/>
      <c r="U22" s="198"/>
    </row>
    <row r="23" spans="1:21" s="12" customFormat="1" x14ac:dyDescent="0.25">
      <c r="A23" s="216" t="s">
        <v>1316</v>
      </c>
      <c r="B23" s="64">
        <v>0.1</v>
      </c>
      <c r="C23" s="64">
        <v>2.7</v>
      </c>
      <c r="D23" s="64">
        <v>1.41</v>
      </c>
      <c r="E23" s="64">
        <v>0.81</v>
      </c>
      <c r="F23" s="64">
        <v>4.03</v>
      </c>
      <c r="G23" s="64">
        <v>39.020000000000003</v>
      </c>
      <c r="H23" s="64">
        <v>14.25</v>
      </c>
      <c r="I23" s="64">
        <v>5.63</v>
      </c>
      <c r="J23" s="64">
        <v>0.11</v>
      </c>
      <c r="K23" s="64">
        <v>135.53</v>
      </c>
      <c r="L23" s="64">
        <v>24.84</v>
      </c>
      <c r="M23" s="64">
        <v>66.19</v>
      </c>
      <c r="N23" s="64">
        <v>17.8</v>
      </c>
      <c r="O23" s="64">
        <v>0</v>
      </c>
      <c r="P23" s="64">
        <v>0.39</v>
      </c>
      <c r="Q23" s="64">
        <v>9.31</v>
      </c>
      <c r="R23" s="198"/>
      <c r="S23" s="198"/>
      <c r="T23" s="198"/>
      <c r="U23" s="198"/>
    </row>
    <row r="24" spans="1:21" s="12" customFormat="1" x14ac:dyDescent="0.25">
      <c r="A24" s="216" t="s">
        <v>1317</v>
      </c>
      <c r="B24" s="64">
        <v>0.1</v>
      </c>
      <c r="C24" s="64">
        <v>2.82</v>
      </c>
      <c r="D24" s="64">
        <v>1.47</v>
      </c>
      <c r="E24" s="64">
        <v>1.1200000000000001</v>
      </c>
      <c r="F24" s="64">
        <v>3.72</v>
      </c>
      <c r="G24" s="64">
        <v>39.549999999999997</v>
      </c>
      <c r="H24" s="64">
        <v>14.36</v>
      </c>
      <c r="I24" s="64">
        <v>5.58</v>
      </c>
      <c r="J24" s="64">
        <v>0.18</v>
      </c>
      <c r="K24" s="64">
        <v>211.23</v>
      </c>
      <c r="L24" s="64">
        <v>24.94</v>
      </c>
      <c r="M24" s="64">
        <v>66.37</v>
      </c>
      <c r="N24" s="64">
        <v>17.899999999999999</v>
      </c>
      <c r="O24" s="64">
        <v>0</v>
      </c>
      <c r="P24" s="64">
        <v>0.38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16" t="s">
        <v>1318</v>
      </c>
      <c r="B25" s="64">
        <v>0.1</v>
      </c>
      <c r="C25" s="64">
        <v>2.35</v>
      </c>
      <c r="D25" s="64">
        <v>1.23</v>
      </c>
      <c r="E25" s="64">
        <v>1.86</v>
      </c>
      <c r="F25" s="64">
        <v>3.49</v>
      </c>
      <c r="G25" s="64">
        <v>39.909999999999997</v>
      </c>
      <c r="H25" s="64">
        <v>14.43</v>
      </c>
      <c r="I25" s="64">
        <v>5.46</v>
      </c>
      <c r="J25" s="64">
        <v>0.3</v>
      </c>
      <c r="K25" s="64">
        <v>190.12</v>
      </c>
      <c r="L25" s="64">
        <v>25.02</v>
      </c>
      <c r="M25" s="64">
        <v>65.09</v>
      </c>
      <c r="N25" s="64">
        <v>17.7</v>
      </c>
      <c r="O25" s="64">
        <v>0</v>
      </c>
      <c r="P25" s="64">
        <v>0.38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6" t="s">
        <v>1319</v>
      </c>
      <c r="B26" s="64">
        <v>0.1</v>
      </c>
      <c r="C26" s="64">
        <v>2.83</v>
      </c>
      <c r="D26" s="64">
        <v>1.48</v>
      </c>
      <c r="E26" s="64">
        <v>2.23</v>
      </c>
      <c r="F26" s="64">
        <v>3.75</v>
      </c>
      <c r="G26" s="64">
        <v>39.909999999999997</v>
      </c>
      <c r="H26" s="64">
        <v>14.43</v>
      </c>
      <c r="I26" s="64">
        <v>5.29</v>
      </c>
      <c r="J26" s="64">
        <v>0.32</v>
      </c>
      <c r="K26" s="64">
        <v>337.82</v>
      </c>
      <c r="L26" s="64">
        <v>24.72</v>
      </c>
      <c r="M26" s="64">
        <v>69.47</v>
      </c>
      <c r="N26" s="64">
        <v>18.5</v>
      </c>
      <c r="O26" s="64">
        <v>0</v>
      </c>
      <c r="P26" s="64">
        <v>0.37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6" t="s">
        <v>1320</v>
      </c>
      <c r="B27" s="64">
        <v>0.1</v>
      </c>
      <c r="C27" s="64">
        <v>2.96</v>
      </c>
      <c r="D27" s="64">
        <v>1.55</v>
      </c>
      <c r="E27" s="64">
        <v>1.94</v>
      </c>
      <c r="F27" s="64">
        <v>3.56</v>
      </c>
      <c r="G27" s="64">
        <v>39.909999999999997</v>
      </c>
      <c r="H27" s="64">
        <v>14.43</v>
      </c>
      <c r="I27" s="64">
        <v>5.16</v>
      </c>
      <c r="J27" s="64">
        <v>0.2</v>
      </c>
      <c r="K27" s="64">
        <v>269.06</v>
      </c>
      <c r="L27" s="64">
        <v>24.33</v>
      </c>
      <c r="M27" s="64">
        <v>68.790000000000006</v>
      </c>
      <c r="N27" s="64">
        <v>18.100000000000001</v>
      </c>
      <c r="O27" s="64">
        <v>0</v>
      </c>
      <c r="P27" s="64">
        <v>0.38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6" t="s">
        <v>1321</v>
      </c>
      <c r="B28" s="64">
        <v>0.1</v>
      </c>
      <c r="C28" s="64">
        <v>3.1</v>
      </c>
      <c r="D28" s="64">
        <v>1.62</v>
      </c>
      <c r="E28" s="64">
        <v>2.11</v>
      </c>
      <c r="F28" s="64">
        <v>3.86</v>
      </c>
      <c r="G28" s="64">
        <v>40.92</v>
      </c>
      <c r="H28" s="64">
        <v>14.28</v>
      </c>
      <c r="I28" s="64">
        <v>5.45</v>
      </c>
      <c r="J28" s="64">
        <v>0.2</v>
      </c>
      <c r="K28" s="64">
        <v>266.79000000000002</v>
      </c>
      <c r="L28" s="64">
        <v>24.53</v>
      </c>
      <c r="M28" s="64">
        <v>71.319999999999993</v>
      </c>
      <c r="N28" s="64">
        <v>18.3</v>
      </c>
      <c r="O28" s="64">
        <v>0</v>
      </c>
      <c r="P28" s="64">
        <v>0.38</v>
      </c>
      <c r="Q28" s="64">
        <v>9.3699999999999992</v>
      </c>
      <c r="R28" s="198"/>
      <c r="S28" s="198"/>
      <c r="T28" s="198"/>
      <c r="U28" s="198"/>
    </row>
    <row r="29" spans="1:21" s="12" customFormat="1" x14ac:dyDescent="0.25">
      <c r="A29" s="216" t="s">
        <v>1322</v>
      </c>
      <c r="B29" s="64">
        <v>0.1</v>
      </c>
      <c r="C29" s="64">
        <v>3.55</v>
      </c>
      <c r="D29" s="64">
        <v>1.85</v>
      </c>
      <c r="E29" s="64">
        <v>2.09</v>
      </c>
      <c r="F29" s="64">
        <v>3.84</v>
      </c>
      <c r="G29" s="64">
        <v>41.62</v>
      </c>
      <c r="H29" s="64">
        <v>14.17</v>
      </c>
      <c r="I29" s="64">
        <v>5.62</v>
      </c>
      <c r="J29" s="64">
        <v>0.31</v>
      </c>
      <c r="K29" s="64">
        <v>171.74</v>
      </c>
      <c r="L29" s="64">
        <v>25.1</v>
      </c>
      <c r="M29" s="64">
        <v>64.39</v>
      </c>
      <c r="N29" s="64">
        <v>18.600000000000001</v>
      </c>
      <c r="O29" s="64">
        <v>0</v>
      </c>
      <c r="P29" s="64">
        <v>0.38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6" t="s">
        <v>1323</v>
      </c>
      <c r="B30" s="64">
        <v>0.1</v>
      </c>
      <c r="C30" s="64">
        <v>3.27</v>
      </c>
      <c r="D30" s="64">
        <v>1.71</v>
      </c>
      <c r="E30" s="64">
        <v>1.88</v>
      </c>
      <c r="F30" s="64">
        <v>3.71</v>
      </c>
      <c r="G30" s="64">
        <v>41.62</v>
      </c>
      <c r="H30" s="64">
        <v>14.17</v>
      </c>
      <c r="I30" s="64">
        <v>5.71</v>
      </c>
      <c r="J30" s="64">
        <v>0.39</v>
      </c>
      <c r="K30" s="64">
        <v>166.47</v>
      </c>
      <c r="L30" s="64">
        <v>24.88</v>
      </c>
      <c r="M30" s="64">
        <v>64.739999999999995</v>
      </c>
      <c r="N30" s="64">
        <v>23.6</v>
      </c>
      <c r="O30" s="64">
        <v>0</v>
      </c>
      <c r="P30" s="64">
        <v>0.38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16" t="s">
        <v>1324</v>
      </c>
      <c r="B31" s="64">
        <v>0.1</v>
      </c>
      <c r="C31" s="64">
        <v>3.66</v>
      </c>
      <c r="D31" s="64">
        <v>1.91</v>
      </c>
      <c r="E31" s="64">
        <v>2.08</v>
      </c>
      <c r="F31" s="64">
        <v>3.73</v>
      </c>
      <c r="G31" s="64">
        <v>41.62</v>
      </c>
      <c r="H31" s="64">
        <v>14.17</v>
      </c>
      <c r="I31" s="64">
        <v>6.04</v>
      </c>
      <c r="J31" s="64">
        <v>0.22</v>
      </c>
      <c r="K31" s="64">
        <v>32.21</v>
      </c>
      <c r="L31" s="64">
        <v>24.82</v>
      </c>
      <c r="M31" s="64">
        <v>66.67</v>
      </c>
      <c r="N31" s="64">
        <v>38</v>
      </c>
      <c r="O31" s="64">
        <v>0</v>
      </c>
      <c r="P31" s="64">
        <v>0.38</v>
      </c>
      <c r="Q31" s="64">
        <v>9.3800000000000008</v>
      </c>
      <c r="R31" s="198"/>
      <c r="S31" s="198"/>
      <c r="T31" s="198"/>
      <c r="U31" s="198"/>
    </row>
    <row r="32" spans="1:21" s="12" customFormat="1" x14ac:dyDescent="0.25">
      <c r="A32" s="216" t="s">
        <v>1325</v>
      </c>
      <c r="B32" s="64">
        <v>0.25</v>
      </c>
      <c r="C32" s="64">
        <v>4.6900000000000004</v>
      </c>
      <c r="D32" s="64">
        <v>2.57</v>
      </c>
      <c r="E32" s="64">
        <v>2.08</v>
      </c>
      <c r="F32" s="64">
        <v>3.67</v>
      </c>
      <c r="G32" s="64">
        <v>46.53</v>
      </c>
      <c r="H32" s="64">
        <v>14.62</v>
      </c>
      <c r="I32" s="64">
        <v>6.09</v>
      </c>
      <c r="J32" s="64">
        <v>0.65</v>
      </c>
      <c r="K32" s="64">
        <v>91.02</v>
      </c>
      <c r="L32" s="64">
        <v>25.05</v>
      </c>
      <c r="M32" s="64">
        <v>66.209999999999994</v>
      </c>
      <c r="N32" s="64">
        <v>58.7</v>
      </c>
      <c r="O32" s="64">
        <v>0</v>
      </c>
      <c r="P32" s="64">
        <v>0.39</v>
      </c>
      <c r="Q32" s="64">
        <v>9.34</v>
      </c>
      <c r="R32" s="198"/>
      <c r="S32" s="198"/>
      <c r="T32" s="198"/>
      <c r="U32" s="198"/>
    </row>
    <row r="33" spans="1:21" s="12" customFormat="1" x14ac:dyDescent="0.25">
      <c r="A33" s="216" t="s">
        <v>1326</v>
      </c>
      <c r="B33" s="64">
        <v>0.3</v>
      </c>
      <c r="C33" s="64">
        <v>5.22</v>
      </c>
      <c r="D33" s="64">
        <v>2.89</v>
      </c>
      <c r="E33" s="64">
        <v>2.4</v>
      </c>
      <c r="F33" s="64">
        <v>3.69</v>
      </c>
      <c r="G33" s="64">
        <v>49.96</v>
      </c>
      <c r="H33" s="64">
        <v>14.94</v>
      </c>
      <c r="I33" s="64">
        <v>6.15</v>
      </c>
      <c r="J33" s="64">
        <v>1.29</v>
      </c>
      <c r="K33" s="64">
        <v>103.58</v>
      </c>
      <c r="L33" s="64">
        <v>25.02</v>
      </c>
      <c r="M33" s="64">
        <v>64.13</v>
      </c>
      <c r="N33" s="64">
        <v>86.2</v>
      </c>
      <c r="O33" s="64">
        <v>0</v>
      </c>
      <c r="P33" s="64">
        <v>0.4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6" t="s">
        <v>1327</v>
      </c>
      <c r="B34" s="64">
        <v>0.16</v>
      </c>
      <c r="C34" s="64">
        <v>4.9800000000000004</v>
      </c>
      <c r="D34" s="64">
        <v>2.65</v>
      </c>
      <c r="E34" s="64">
        <v>2.15</v>
      </c>
      <c r="F34" s="64">
        <v>3.72</v>
      </c>
      <c r="G34" s="64">
        <v>49.96</v>
      </c>
      <c r="H34" s="64">
        <v>14.94</v>
      </c>
      <c r="I34" s="64">
        <v>6.73</v>
      </c>
      <c r="J34" s="64">
        <v>1.07</v>
      </c>
      <c r="K34" s="64">
        <v>101.86</v>
      </c>
      <c r="L34" s="64">
        <v>25.16</v>
      </c>
      <c r="M34" s="64">
        <v>64.33</v>
      </c>
      <c r="N34" s="64">
        <v>122.7</v>
      </c>
      <c r="O34" s="64">
        <v>0</v>
      </c>
      <c r="P34" s="64">
        <v>0.39</v>
      </c>
      <c r="Q34" s="64">
        <v>9.4</v>
      </c>
      <c r="R34" s="198"/>
      <c r="S34" s="198"/>
      <c r="T34" s="198"/>
      <c r="U34" s="198"/>
    </row>
    <row r="35" spans="1:21" s="12" customFormat="1" x14ac:dyDescent="0.25">
      <c r="A35" s="216" t="s">
        <v>1328</v>
      </c>
      <c r="B35" s="64">
        <v>0.1</v>
      </c>
      <c r="C35" s="64">
        <v>4.5599999999999996</v>
      </c>
      <c r="D35" s="64">
        <v>2.38</v>
      </c>
      <c r="E35" s="64">
        <v>2.25</v>
      </c>
      <c r="F35" s="64">
        <v>3.94</v>
      </c>
      <c r="G35" s="64">
        <v>49.96</v>
      </c>
      <c r="H35" s="64">
        <v>14.94</v>
      </c>
      <c r="I35" s="64">
        <v>6.97</v>
      </c>
      <c r="J35" s="64">
        <v>0.56000000000000005</v>
      </c>
      <c r="K35" s="64">
        <v>91.44</v>
      </c>
      <c r="L35" s="64">
        <v>25.61</v>
      </c>
      <c r="M35" s="64">
        <v>63.66</v>
      </c>
      <c r="N35" s="64">
        <v>169.7</v>
      </c>
      <c r="O35" s="64">
        <v>0</v>
      </c>
      <c r="P35" s="64">
        <v>0.39</v>
      </c>
      <c r="Q35" s="64">
        <v>9.39</v>
      </c>
      <c r="R35" s="198"/>
      <c r="S35" s="198"/>
      <c r="T35" s="198"/>
      <c r="U35" s="198"/>
    </row>
    <row r="36" spans="1:21" s="12" customFormat="1" x14ac:dyDescent="0.25">
      <c r="A36" s="216" t="s">
        <v>1329</v>
      </c>
      <c r="B36" s="64">
        <v>0.1</v>
      </c>
      <c r="C36" s="64">
        <v>4.99</v>
      </c>
      <c r="D36" s="64">
        <v>2.61</v>
      </c>
      <c r="E36" s="64">
        <v>2.31</v>
      </c>
      <c r="F36" s="64">
        <v>3.53</v>
      </c>
      <c r="G36" s="64">
        <v>49.69</v>
      </c>
      <c r="H36" s="64">
        <v>16.07</v>
      </c>
      <c r="I36" s="64">
        <v>7.01</v>
      </c>
      <c r="J36" s="64">
        <v>0.67</v>
      </c>
      <c r="K36" s="64">
        <v>94.72</v>
      </c>
      <c r="L36" s="64">
        <v>26.35</v>
      </c>
      <c r="M36" s="64">
        <v>61.26</v>
      </c>
      <c r="N36" s="64">
        <v>219</v>
      </c>
      <c r="O36" s="64">
        <v>0</v>
      </c>
      <c r="P36" s="64">
        <v>0.39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16" t="s">
        <v>1330</v>
      </c>
      <c r="B37" s="64">
        <v>0.11</v>
      </c>
      <c r="C37" s="64">
        <v>5.01</v>
      </c>
      <c r="D37" s="64">
        <v>2.63</v>
      </c>
      <c r="E37" s="64">
        <v>2.4500000000000002</v>
      </c>
      <c r="F37" s="64">
        <v>3.32</v>
      </c>
      <c r="G37" s="64">
        <v>49.5</v>
      </c>
      <c r="H37" s="64">
        <v>16.86</v>
      </c>
      <c r="I37" s="64">
        <v>7.07</v>
      </c>
      <c r="J37" s="64">
        <v>0.28000000000000003</v>
      </c>
      <c r="K37" s="64">
        <v>102.41</v>
      </c>
      <c r="L37" s="64">
        <v>27.25</v>
      </c>
      <c r="M37" s="64">
        <v>58.76</v>
      </c>
      <c r="N37" s="64">
        <v>255.3</v>
      </c>
      <c r="O37" s="64">
        <v>0</v>
      </c>
      <c r="P37" s="64">
        <v>0.41</v>
      </c>
      <c r="Q37" s="64">
        <v>9.3699999999999992</v>
      </c>
      <c r="R37" s="198"/>
      <c r="S37" s="198"/>
      <c r="T37" s="198"/>
      <c r="U37" s="198"/>
    </row>
    <row r="38" spans="1:21" s="12" customFormat="1" x14ac:dyDescent="0.25">
      <c r="A38" s="216" t="s">
        <v>1331</v>
      </c>
      <c r="B38" s="64">
        <v>0.1</v>
      </c>
      <c r="C38" s="64">
        <v>4.88</v>
      </c>
      <c r="D38" s="64">
        <v>2.5499999999999998</v>
      </c>
      <c r="E38" s="64">
        <v>2.27</v>
      </c>
      <c r="F38" s="64">
        <v>3.65</v>
      </c>
      <c r="G38" s="64">
        <v>49.5</v>
      </c>
      <c r="H38" s="64">
        <v>16.86</v>
      </c>
      <c r="I38" s="64">
        <v>7.09</v>
      </c>
      <c r="J38" s="64">
        <v>0.41</v>
      </c>
      <c r="K38" s="64">
        <v>132.25</v>
      </c>
      <c r="L38" s="64">
        <v>28.04</v>
      </c>
      <c r="M38" s="64">
        <v>55.42</v>
      </c>
      <c r="N38" s="64">
        <v>306</v>
      </c>
      <c r="O38" s="64">
        <v>0</v>
      </c>
      <c r="P38" s="64">
        <v>0.44</v>
      </c>
      <c r="Q38" s="64">
        <v>9.36</v>
      </c>
      <c r="R38" s="198"/>
      <c r="S38" s="198"/>
      <c r="T38" s="198"/>
      <c r="U38" s="198"/>
    </row>
    <row r="39" spans="1:21" s="12" customFormat="1" x14ac:dyDescent="0.25">
      <c r="A39" s="216" t="s">
        <v>1332</v>
      </c>
      <c r="B39" s="64">
        <v>0.1</v>
      </c>
      <c r="C39" s="64">
        <v>4.4800000000000004</v>
      </c>
      <c r="D39" s="64">
        <v>2.34</v>
      </c>
      <c r="E39" s="64">
        <v>2.48</v>
      </c>
      <c r="F39" s="64">
        <v>3.81</v>
      </c>
      <c r="G39" s="64">
        <v>49.5</v>
      </c>
      <c r="H39" s="64">
        <v>16.86</v>
      </c>
      <c r="I39" s="64">
        <v>7.14</v>
      </c>
      <c r="J39" s="64">
        <v>0.76</v>
      </c>
      <c r="K39" s="64">
        <v>157.19</v>
      </c>
      <c r="L39" s="64">
        <v>28.12</v>
      </c>
      <c r="M39" s="64">
        <v>55.03</v>
      </c>
      <c r="N39" s="64">
        <v>342.3</v>
      </c>
      <c r="O39" s="64">
        <v>0</v>
      </c>
      <c r="P39" s="64">
        <v>0.44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6" t="s">
        <v>1333</v>
      </c>
      <c r="B40" s="64">
        <v>0.1</v>
      </c>
      <c r="C40" s="64">
        <v>4.26</v>
      </c>
      <c r="D40" s="64">
        <v>2.2200000000000002</v>
      </c>
      <c r="E40" s="64">
        <v>1.05</v>
      </c>
      <c r="F40" s="64">
        <v>3.82</v>
      </c>
      <c r="G40" s="64">
        <v>51.52</v>
      </c>
      <c r="H40" s="64">
        <v>16.95</v>
      </c>
      <c r="I40" s="64">
        <v>7.01</v>
      </c>
      <c r="J40" s="64">
        <v>0.63</v>
      </c>
      <c r="K40" s="64">
        <v>143.01</v>
      </c>
      <c r="L40" s="64">
        <v>29.04</v>
      </c>
      <c r="M40" s="64">
        <v>52.7</v>
      </c>
      <c r="N40" s="64">
        <v>401.5</v>
      </c>
      <c r="O40" s="64">
        <v>0</v>
      </c>
      <c r="P40" s="64">
        <v>0.43</v>
      </c>
      <c r="Q40" s="64">
        <v>9.36</v>
      </c>
      <c r="R40" s="198"/>
      <c r="S40" s="198"/>
      <c r="T40" s="198"/>
      <c r="U40" s="198"/>
    </row>
    <row r="41" spans="1:21" s="12" customFormat="1" x14ac:dyDescent="0.25">
      <c r="A41" s="216" t="s">
        <v>1334</v>
      </c>
      <c r="B41" s="64">
        <v>0.1</v>
      </c>
      <c r="C41" s="64">
        <v>3.65</v>
      </c>
      <c r="D41" s="64">
        <v>1.91</v>
      </c>
      <c r="E41" s="64">
        <v>1.05</v>
      </c>
      <c r="F41" s="64">
        <v>4.25</v>
      </c>
      <c r="G41" s="64">
        <v>52.93</v>
      </c>
      <c r="H41" s="64">
        <v>17.010000000000002</v>
      </c>
      <c r="I41" s="64">
        <v>6.91</v>
      </c>
      <c r="J41" s="64">
        <v>0.25</v>
      </c>
      <c r="K41" s="64">
        <v>176.16</v>
      </c>
      <c r="L41" s="64">
        <v>29.81</v>
      </c>
      <c r="M41" s="64">
        <v>50.3</v>
      </c>
      <c r="N41" s="64">
        <v>451.1</v>
      </c>
      <c r="O41" s="64">
        <v>0</v>
      </c>
      <c r="P41" s="64">
        <v>0.43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16" t="s">
        <v>1335</v>
      </c>
      <c r="B42" s="64">
        <v>0.1</v>
      </c>
      <c r="C42" s="64">
        <v>3.24</v>
      </c>
      <c r="D42" s="64">
        <v>1.69</v>
      </c>
      <c r="E42" s="64">
        <v>1.3</v>
      </c>
      <c r="F42" s="64">
        <v>4.24</v>
      </c>
      <c r="G42" s="64">
        <v>52.93</v>
      </c>
      <c r="H42" s="64">
        <v>17.010000000000002</v>
      </c>
      <c r="I42" s="64">
        <v>7.03</v>
      </c>
      <c r="J42" s="64">
        <v>0.11</v>
      </c>
      <c r="K42" s="64">
        <v>316.60000000000002</v>
      </c>
      <c r="L42" s="64">
        <v>31.02</v>
      </c>
      <c r="M42" s="64">
        <v>47.7</v>
      </c>
      <c r="N42" s="64">
        <v>499.7</v>
      </c>
      <c r="O42" s="64">
        <v>0</v>
      </c>
      <c r="P42" s="64">
        <v>0.44</v>
      </c>
      <c r="Q42" s="64">
        <v>9.3000000000000007</v>
      </c>
      <c r="R42" s="198"/>
      <c r="S42" s="198"/>
      <c r="T42" s="198"/>
      <c r="U42" s="198"/>
    </row>
    <row r="43" spans="1:21" s="12" customFormat="1" x14ac:dyDescent="0.25">
      <c r="A43" s="216" t="s">
        <v>1336</v>
      </c>
      <c r="B43" s="64">
        <v>0.1</v>
      </c>
      <c r="C43" s="64">
        <v>3.24</v>
      </c>
      <c r="D43" s="64">
        <v>1.69</v>
      </c>
      <c r="E43" s="64">
        <v>1.59</v>
      </c>
      <c r="F43" s="64">
        <v>3.39</v>
      </c>
      <c r="G43" s="64">
        <v>52.93</v>
      </c>
      <c r="H43" s="64">
        <v>17.010000000000002</v>
      </c>
      <c r="I43" s="64">
        <v>6.97</v>
      </c>
      <c r="J43" s="64">
        <v>0.2</v>
      </c>
      <c r="K43" s="64">
        <v>347.49</v>
      </c>
      <c r="L43" s="64">
        <v>31.31</v>
      </c>
      <c r="M43" s="64">
        <v>50.37</v>
      </c>
      <c r="N43" s="64">
        <v>549</v>
      </c>
      <c r="O43" s="64">
        <v>0</v>
      </c>
      <c r="P43" s="64">
        <v>0.45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6" t="s">
        <v>1337</v>
      </c>
      <c r="B44" s="64">
        <v>0.1</v>
      </c>
      <c r="C44" s="64">
        <v>2.7</v>
      </c>
      <c r="D44" s="64">
        <v>1.41</v>
      </c>
      <c r="E44" s="64">
        <v>1.37</v>
      </c>
      <c r="F44" s="64">
        <v>3.88</v>
      </c>
      <c r="G44" s="64">
        <v>53.1</v>
      </c>
      <c r="H44" s="64">
        <v>17.059999999999999</v>
      </c>
      <c r="I44" s="64">
        <v>6.89</v>
      </c>
      <c r="J44" s="64">
        <v>0.38</v>
      </c>
      <c r="K44" s="64">
        <v>335.73</v>
      </c>
      <c r="L44" s="64">
        <v>31.47</v>
      </c>
      <c r="M44" s="64">
        <v>50.85</v>
      </c>
      <c r="N44" s="64">
        <v>598.6</v>
      </c>
      <c r="O44" s="64">
        <v>0</v>
      </c>
      <c r="P44" s="64">
        <v>0.46</v>
      </c>
      <c r="Q44" s="64">
        <v>9.32</v>
      </c>
      <c r="R44" s="198"/>
      <c r="S44" s="198"/>
      <c r="T44" s="198"/>
      <c r="U44" s="198"/>
    </row>
    <row r="45" spans="1:21" s="12" customFormat="1" x14ac:dyDescent="0.25">
      <c r="A45" s="216" t="s">
        <v>1338</v>
      </c>
      <c r="B45" s="64">
        <v>0.1</v>
      </c>
      <c r="C45" s="64">
        <v>2.67</v>
      </c>
      <c r="D45" s="64">
        <v>1.4</v>
      </c>
      <c r="E45" s="64">
        <v>1.27</v>
      </c>
      <c r="F45" s="64">
        <v>4.18</v>
      </c>
      <c r="G45" s="64">
        <v>53.22</v>
      </c>
      <c r="H45" s="64">
        <v>17.09</v>
      </c>
      <c r="I45" s="64">
        <v>6.86</v>
      </c>
      <c r="J45" s="64">
        <v>0.37</v>
      </c>
      <c r="K45" s="64">
        <v>329.03</v>
      </c>
      <c r="L45" s="64">
        <v>32.07</v>
      </c>
      <c r="M45" s="64">
        <v>49.63</v>
      </c>
      <c r="N45" s="64">
        <v>641.6</v>
      </c>
      <c r="O45" s="64">
        <v>0</v>
      </c>
      <c r="P45" s="64">
        <v>0.48</v>
      </c>
      <c r="Q45" s="64">
        <v>9.3000000000000007</v>
      </c>
      <c r="R45" s="198"/>
      <c r="S45" s="198"/>
      <c r="T45" s="198"/>
      <c r="U45" s="198"/>
    </row>
    <row r="46" spans="1:21" s="12" customFormat="1" x14ac:dyDescent="0.25">
      <c r="A46" s="216" t="s">
        <v>1339</v>
      </c>
      <c r="B46" s="64">
        <v>0.1</v>
      </c>
      <c r="C46" s="64">
        <v>2.85</v>
      </c>
      <c r="D46" s="64">
        <v>1.49</v>
      </c>
      <c r="E46" s="64">
        <v>1.1399999999999999</v>
      </c>
      <c r="F46" s="64">
        <v>4.21</v>
      </c>
      <c r="G46" s="64">
        <v>53.22</v>
      </c>
      <c r="H46" s="64">
        <v>17.09</v>
      </c>
      <c r="I46" s="64">
        <v>7.04</v>
      </c>
      <c r="J46" s="64">
        <v>0.5</v>
      </c>
      <c r="K46" s="64">
        <v>323.39</v>
      </c>
      <c r="L46" s="64">
        <v>32.64</v>
      </c>
      <c r="M46" s="64">
        <v>48.93</v>
      </c>
      <c r="N46" s="64">
        <v>676.5</v>
      </c>
      <c r="O46" s="64">
        <v>0</v>
      </c>
      <c r="P46" s="64">
        <v>0.5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6" t="s">
        <v>1340</v>
      </c>
      <c r="B47" s="64">
        <v>0.1</v>
      </c>
      <c r="C47" s="64">
        <v>3.35</v>
      </c>
      <c r="D47" s="64">
        <v>1.75</v>
      </c>
      <c r="E47" s="64">
        <v>1.48</v>
      </c>
      <c r="F47" s="64">
        <v>4.32</v>
      </c>
      <c r="G47" s="64">
        <v>53.22</v>
      </c>
      <c r="H47" s="64">
        <v>17.09</v>
      </c>
      <c r="I47" s="64">
        <v>7.26</v>
      </c>
      <c r="J47" s="64">
        <v>0.52</v>
      </c>
      <c r="K47" s="64">
        <v>323.5</v>
      </c>
      <c r="L47" s="64">
        <v>33.380000000000003</v>
      </c>
      <c r="M47" s="64">
        <v>45.72</v>
      </c>
      <c r="N47" s="64">
        <v>729.6</v>
      </c>
      <c r="O47" s="64">
        <v>0</v>
      </c>
      <c r="P47" s="64">
        <v>0.55000000000000004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6" t="s">
        <v>1341</v>
      </c>
      <c r="B48" s="64">
        <v>0.1</v>
      </c>
      <c r="C48" s="64">
        <v>3.98</v>
      </c>
      <c r="D48" s="64">
        <v>2.08</v>
      </c>
      <c r="E48" s="64">
        <v>1.56</v>
      </c>
      <c r="F48" s="64">
        <v>4.74</v>
      </c>
      <c r="G48" s="64">
        <v>58.81</v>
      </c>
      <c r="H48" s="64">
        <v>17.989999999999998</v>
      </c>
      <c r="I48" s="64">
        <v>7.4</v>
      </c>
      <c r="J48" s="64">
        <v>0.65</v>
      </c>
      <c r="K48" s="64">
        <v>321.24</v>
      </c>
      <c r="L48" s="64">
        <v>33.85</v>
      </c>
      <c r="M48" s="64">
        <v>45.57</v>
      </c>
      <c r="N48" s="64">
        <v>769.7</v>
      </c>
      <c r="O48" s="64">
        <v>0</v>
      </c>
      <c r="P48" s="64">
        <v>0.61</v>
      </c>
      <c r="Q48" s="64">
        <v>9.31</v>
      </c>
      <c r="R48" s="198"/>
      <c r="S48" s="198"/>
      <c r="T48" s="198"/>
      <c r="U48" s="198"/>
    </row>
    <row r="49" spans="1:21" s="12" customFormat="1" x14ac:dyDescent="0.25">
      <c r="A49" s="216" t="s">
        <v>1342</v>
      </c>
      <c r="B49" s="64">
        <v>0.1</v>
      </c>
      <c r="C49" s="64">
        <v>4.22</v>
      </c>
      <c r="D49" s="64">
        <v>2.21</v>
      </c>
      <c r="E49" s="64">
        <v>1.58</v>
      </c>
      <c r="F49" s="64">
        <v>4.79</v>
      </c>
      <c r="G49" s="64">
        <v>62.71</v>
      </c>
      <c r="H49" s="64">
        <v>18.62</v>
      </c>
      <c r="I49" s="64">
        <v>7.55</v>
      </c>
      <c r="J49" s="64">
        <v>0.47</v>
      </c>
      <c r="K49" s="64">
        <v>329.24</v>
      </c>
      <c r="L49" s="64">
        <v>34.42</v>
      </c>
      <c r="M49" s="64">
        <v>42.6</v>
      </c>
      <c r="N49" s="64">
        <v>800.3</v>
      </c>
      <c r="O49" s="64">
        <v>0</v>
      </c>
      <c r="P49" s="64">
        <v>0.67</v>
      </c>
      <c r="Q49" s="64">
        <v>9.35</v>
      </c>
      <c r="R49" s="198"/>
      <c r="S49" s="198"/>
      <c r="T49" s="198"/>
      <c r="U49" s="198"/>
    </row>
    <row r="50" spans="1:21" s="12" customFormat="1" x14ac:dyDescent="0.25">
      <c r="A50" s="216" t="s">
        <v>1343</v>
      </c>
      <c r="B50" s="64">
        <v>0.1</v>
      </c>
      <c r="C50" s="64">
        <v>4.13</v>
      </c>
      <c r="D50" s="64">
        <v>2.16</v>
      </c>
      <c r="E50" s="64">
        <v>1.64</v>
      </c>
      <c r="F50" s="64">
        <v>5.65</v>
      </c>
      <c r="G50" s="64">
        <v>62.71</v>
      </c>
      <c r="H50" s="64">
        <v>18.62</v>
      </c>
      <c r="I50" s="64">
        <v>7.61</v>
      </c>
      <c r="J50" s="64">
        <v>0.39</v>
      </c>
      <c r="K50" s="64">
        <v>335.59</v>
      </c>
      <c r="L50" s="64">
        <v>35.6</v>
      </c>
      <c r="M50" s="64">
        <v>38.07</v>
      </c>
      <c r="N50" s="64">
        <v>814.9</v>
      </c>
      <c r="O50" s="64">
        <v>0</v>
      </c>
      <c r="P50" s="64">
        <v>0.74</v>
      </c>
      <c r="Q50" s="64">
        <v>9.33</v>
      </c>
      <c r="R50" s="198"/>
      <c r="S50" s="198"/>
      <c r="T50" s="198"/>
      <c r="U50" s="198"/>
    </row>
    <row r="51" spans="1:21" s="12" customFormat="1" x14ac:dyDescent="0.25">
      <c r="A51" s="216" t="s">
        <v>1344</v>
      </c>
      <c r="B51" s="64">
        <v>0.1</v>
      </c>
      <c r="C51" s="64">
        <v>4.07</v>
      </c>
      <c r="D51" s="64">
        <v>2.13</v>
      </c>
      <c r="E51" s="64">
        <v>1.45</v>
      </c>
      <c r="F51" s="64">
        <v>5.83</v>
      </c>
      <c r="G51" s="64">
        <v>62.71</v>
      </c>
      <c r="H51" s="64">
        <v>18.62</v>
      </c>
      <c r="I51" s="64">
        <v>7.86</v>
      </c>
      <c r="J51" s="64">
        <v>0.81</v>
      </c>
      <c r="K51" s="64">
        <v>317.5</v>
      </c>
      <c r="L51" s="64">
        <v>37.549999999999997</v>
      </c>
      <c r="M51" s="64">
        <v>34.380000000000003</v>
      </c>
      <c r="N51" s="64">
        <v>857.7</v>
      </c>
      <c r="O51" s="64">
        <v>0</v>
      </c>
      <c r="P51" s="64">
        <v>0.81</v>
      </c>
      <c r="Q51" s="64">
        <v>9.31</v>
      </c>
      <c r="R51" s="198"/>
      <c r="S51" s="198"/>
      <c r="T51" s="198"/>
      <c r="U51" s="198"/>
    </row>
    <row r="52" spans="1:21" s="12" customFormat="1" x14ac:dyDescent="0.25">
      <c r="A52" s="216" t="s">
        <v>1345</v>
      </c>
      <c r="B52" s="64">
        <v>0.1</v>
      </c>
      <c r="C52" s="64">
        <v>3.66</v>
      </c>
      <c r="D52" s="64">
        <v>1.91</v>
      </c>
      <c r="E52" s="64">
        <v>1.48</v>
      </c>
      <c r="F52" s="64">
        <v>6.26</v>
      </c>
      <c r="G52" s="64">
        <v>65.47</v>
      </c>
      <c r="H52" s="64">
        <v>20.58</v>
      </c>
      <c r="I52" s="64">
        <v>8.0500000000000007</v>
      </c>
      <c r="J52" s="64">
        <v>0.73</v>
      </c>
      <c r="K52" s="64">
        <v>320.2</v>
      </c>
      <c r="L52" s="64">
        <v>38.5</v>
      </c>
      <c r="M52" s="64">
        <v>32.14</v>
      </c>
      <c r="N52" s="64">
        <v>886.1</v>
      </c>
      <c r="O52" s="64">
        <v>0</v>
      </c>
      <c r="P52" s="64">
        <v>0.81</v>
      </c>
      <c r="Q52" s="64">
        <v>9.2799999999999994</v>
      </c>
      <c r="R52" s="198"/>
      <c r="S52" s="198"/>
      <c r="T52" s="198"/>
      <c r="U52" s="198"/>
    </row>
    <row r="53" spans="1:21" s="12" customFormat="1" x14ac:dyDescent="0.25">
      <c r="A53" s="216" t="s">
        <v>1346</v>
      </c>
      <c r="B53" s="64">
        <v>0.1</v>
      </c>
      <c r="C53" s="64">
        <v>3.18</v>
      </c>
      <c r="D53" s="64">
        <v>1.66</v>
      </c>
      <c r="E53" s="64">
        <v>1.46</v>
      </c>
      <c r="F53" s="64">
        <v>6.98</v>
      </c>
      <c r="G53" s="64">
        <v>67.400000000000006</v>
      </c>
      <c r="H53" s="64">
        <v>21.95</v>
      </c>
      <c r="I53" s="64">
        <v>8.14</v>
      </c>
      <c r="J53" s="64">
        <v>0.77</v>
      </c>
      <c r="K53" s="64">
        <v>313.86</v>
      </c>
      <c r="L53" s="64">
        <v>38.56</v>
      </c>
      <c r="M53" s="64">
        <v>31.79</v>
      </c>
      <c r="N53" s="64">
        <v>893.6</v>
      </c>
      <c r="O53" s="64">
        <v>0</v>
      </c>
      <c r="P53" s="64">
        <v>0.8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6" t="s">
        <v>1347</v>
      </c>
      <c r="B54" s="64">
        <v>0.1</v>
      </c>
      <c r="C54" s="64">
        <v>2.71</v>
      </c>
      <c r="D54" s="64">
        <v>1.42</v>
      </c>
      <c r="E54" s="64">
        <v>1.58</v>
      </c>
      <c r="F54" s="64">
        <v>6.93</v>
      </c>
      <c r="G54" s="64">
        <v>67.400000000000006</v>
      </c>
      <c r="H54" s="64">
        <v>21.95</v>
      </c>
      <c r="I54" s="64">
        <v>7.92</v>
      </c>
      <c r="J54" s="64">
        <v>0.56000000000000005</v>
      </c>
      <c r="K54" s="64">
        <v>332.66</v>
      </c>
      <c r="L54" s="64">
        <v>38.520000000000003</v>
      </c>
      <c r="M54" s="64">
        <v>31.4</v>
      </c>
      <c r="N54" s="64">
        <v>910.8</v>
      </c>
      <c r="O54" s="64">
        <v>0</v>
      </c>
      <c r="P54" s="64">
        <v>0.78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6" t="s">
        <v>1348</v>
      </c>
      <c r="B55" s="64">
        <v>0.1</v>
      </c>
      <c r="C55" s="64">
        <v>2.4900000000000002</v>
      </c>
      <c r="D55" s="64">
        <v>1.3</v>
      </c>
      <c r="E55" s="64">
        <v>1.68</v>
      </c>
      <c r="F55" s="64">
        <v>7.14</v>
      </c>
      <c r="G55" s="64">
        <v>67.400000000000006</v>
      </c>
      <c r="H55" s="64">
        <v>21.95</v>
      </c>
      <c r="I55" s="64">
        <v>7.57</v>
      </c>
      <c r="J55" s="64">
        <v>0.3</v>
      </c>
      <c r="K55" s="64">
        <v>8.8800000000000008</v>
      </c>
      <c r="L55" s="64">
        <v>37.19</v>
      </c>
      <c r="M55" s="64">
        <v>32.31</v>
      </c>
      <c r="N55" s="64">
        <v>898.3</v>
      </c>
      <c r="O55" s="64">
        <v>0</v>
      </c>
      <c r="P55" s="64">
        <v>0.77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6" t="s">
        <v>1349</v>
      </c>
      <c r="B56" s="64">
        <v>0.1</v>
      </c>
      <c r="C56" s="64">
        <v>2.25</v>
      </c>
      <c r="D56" s="64">
        <v>1.17</v>
      </c>
      <c r="E56" s="64">
        <v>0.92</v>
      </c>
      <c r="F56" s="64">
        <v>6.93</v>
      </c>
      <c r="G56" s="64">
        <v>66.02</v>
      </c>
      <c r="H56" s="64">
        <v>20.95</v>
      </c>
      <c r="I56" s="64">
        <v>7.3</v>
      </c>
      <c r="J56" s="64">
        <v>1</v>
      </c>
      <c r="K56" s="64">
        <v>337.03</v>
      </c>
      <c r="L56" s="64">
        <v>37.28</v>
      </c>
      <c r="M56" s="64">
        <v>34.119999999999997</v>
      </c>
      <c r="N56" s="64">
        <v>888.7</v>
      </c>
      <c r="O56" s="64">
        <v>0</v>
      </c>
      <c r="P56" s="64">
        <v>0.77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6" t="s">
        <v>1350</v>
      </c>
      <c r="B57" s="64">
        <v>0.1</v>
      </c>
      <c r="C57" s="64">
        <v>2.37</v>
      </c>
      <c r="D57" s="64">
        <v>1.24</v>
      </c>
      <c r="E57" s="64">
        <v>1.05</v>
      </c>
      <c r="F57" s="64">
        <v>6.81</v>
      </c>
      <c r="G57" s="64">
        <v>65.06</v>
      </c>
      <c r="H57" s="64">
        <v>20.25</v>
      </c>
      <c r="I57" s="64">
        <v>7.14</v>
      </c>
      <c r="J57" s="64">
        <v>0.84</v>
      </c>
      <c r="K57" s="64">
        <v>328.74</v>
      </c>
      <c r="L57" s="64">
        <v>36.81</v>
      </c>
      <c r="M57" s="64">
        <v>35.799999999999997</v>
      </c>
      <c r="N57" s="64">
        <v>887.1</v>
      </c>
      <c r="O57" s="64">
        <v>0</v>
      </c>
      <c r="P57" s="64">
        <v>0.76</v>
      </c>
      <c r="Q57" s="64">
        <v>9.19</v>
      </c>
      <c r="R57" s="198"/>
      <c r="S57" s="198"/>
      <c r="T57" s="198"/>
      <c r="U57" s="198"/>
    </row>
    <row r="58" spans="1:21" s="12" customFormat="1" x14ac:dyDescent="0.25">
      <c r="A58" s="216" t="s">
        <v>1351</v>
      </c>
      <c r="B58" s="64">
        <v>0.1</v>
      </c>
      <c r="C58" s="64">
        <v>2.66</v>
      </c>
      <c r="D58" s="64">
        <v>1.39</v>
      </c>
      <c r="E58" s="64">
        <v>1.34</v>
      </c>
      <c r="F58" s="64">
        <v>7.13</v>
      </c>
      <c r="G58" s="64">
        <v>65.06</v>
      </c>
      <c r="H58" s="64">
        <v>20.25</v>
      </c>
      <c r="I58" s="64">
        <v>7.13</v>
      </c>
      <c r="J58" s="64">
        <v>1.05</v>
      </c>
      <c r="K58" s="64">
        <v>331.06</v>
      </c>
      <c r="L58" s="64">
        <v>36.9</v>
      </c>
      <c r="M58" s="64">
        <v>34.479999999999997</v>
      </c>
      <c r="N58" s="64">
        <v>893.7</v>
      </c>
      <c r="O58" s="64">
        <v>0</v>
      </c>
      <c r="P58" s="64">
        <v>0.76</v>
      </c>
      <c r="Q58" s="64">
        <v>9.18</v>
      </c>
      <c r="R58" s="198"/>
      <c r="S58" s="198"/>
      <c r="T58" s="198"/>
      <c r="U58" s="198"/>
    </row>
    <row r="59" spans="1:21" s="12" customFormat="1" x14ac:dyDescent="0.25">
      <c r="A59" s="216" t="s">
        <v>1352</v>
      </c>
      <c r="B59" s="64">
        <v>0.1</v>
      </c>
      <c r="C59" s="64">
        <v>3.29</v>
      </c>
      <c r="D59" s="64">
        <v>1.72</v>
      </c>
      <c r="E59" s="64">
        <v>1.56</v>
      </c>
      <c r="F59" s="64">
        <v>6.72</v>
      </c>
      <c r="G59" s="64">
        <v>65.06</v>
      </c>
      <c r="H59" s="64">
        <v>20.25</v>
      </c>
      <c r="I59" s="64">
        <v>7.04</v>
      </c>
      <c r="J59" s="64">
        <v>1.0900000000000001</v>
      </c>
      <c r="K59" s="64">
        <v>334.96</v>
      </c>
      <c r="L59" s="64">
        <v>38.86</v>
      </c>
      <c r="M59" s="64">
        <v>28.76</v>
      </c>
      <c r="N59" s="64">
        <v>892.4</v>
      </c>
      <c r="O59" s="64">
        <v>0</v>
      </c>
      <c r="P59" s="64">
        <v>0.74</v>
      </c>
      <c r="Q59" s="64">
        <v>9.1999999999999993</v>
      </c>
      <c r="R59" s="198"/>
      <c r="S59" s="198"/>
      <c r="T59" s="198"/>
      <c r="U59" s="198"/>
    </row>
    <row r="60" spans="1:21" s="12" customFormat="1" x14ac:dyDescent="0.25">
      <c r="A60" s="216" t="s">
        <v>1353</v>
      </c>
      <c r="B60" s="64">
        <v>0.1</v>
      </c>
      <c r="C60" s="64">
        <v>3.49</v>
      </c>
      <c r="D60" s="64">
        <v>1.82</v>
      </c>
      <c r="E60" s="64">
        <v>1.35</v>
      </c>
      <c r="F60" s="64">
        <v>5.77</v>
      </c>
      <c r="G60" s="64">
        <v>62.17</v>
      </c>
      <c r="H60" s="64">
        <v>19.43</v>
      </c>
      <c r="I60" s="64">
        <v>6.99</v>
      </c>
      <c r="J60" s="64">
        <v>0.61</v>
      </c>
      <c r="K60" s="64">
        <v>32.21</v>
      </c>
      <c r="L60" s="64">
        <v>38.93</v>
      </c>
      <c r="M60" s="64">
        <v>28</v>
      </c>
      <c r="N60" s="64">
        <v>439.8</v>
      </c>
      <c r="O60" s="64">
        <v>0</v>
      </c>
      <c r="P60" s="64">
        <v>0.73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6" t="s">
        <v>1354</v>
      </c>
      <c r="B61" s="64">
        <v>0.1</v>
      </c>
      <c r="C61" s="64">
        <v>3.17</v>
      </c>
      <c r="D61" s="64">
        <v>1.65</v>
      </c>
      <c r="E61" s="64">
        <v>1.45</v>
      </c>
      <c r="F61" s="64">
        <v>6.34</v>
      </c>
      <c r="G61" s="64">
        <v>60.15</v>
      </c>
      <c r="H61" s="64">
        <v>18.86</v>
      </c>
      <c r="I61" s="64">
        <v>6.81</v>
      </c>
      <c r="J61" s="64">
        <v>0.11</v>
      </c>
      <c r="K61" s="64">
        <v>98</v>
      </c>
      <c r="L61" s="64">
        <v>36.28</v>
      </c>
      <c r="M61" s="64">
        <v>32.549999999999997</v>
      </c>
      <c r="N61" s="64">
        <v>582.79999999999995</v>
      </c>
      <c r="O61" s="64">
        <v>0</v>
      </c>
      <c r="P61" s="64">
        <v>0.6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6" t="s">
        <v>1355</v>
      </c>
      <c r="B62" s="64">
        <v>0.1</v>
      </c>
      <c r="C62" s="64">
        <v>2.76</v>
      </c>
      <c r="D62" s="64">
        <v>1.44</v>
      </c>
      <c r="E62" s="64">
        <v>1.52</v>
      </c>
      <c r="F62" s="64">
        <v>5.78</v>
      </c>
      <c r="G62" s="64">
        <v>60.15</v>
      </c>
      <c r="H62" s="64">
        <v>18.86</v>
      </c>
      <c r="I62" s="64">
        <v>6.74</v>
      </c>
      <c r="J62" s="64">
        <v>0.28999999999999998</v>
      </c>
      <c r="K62" s="64">
        <v>307.20999999999998</v>
      </c>
      <c r="L62" s="64">
        <v>37.659999999999997</v>
      </c>
      <c r="M62" s="64">
        <v>29.65</v>
      </c>
      <c r="N62" s="64">
        <v>804</v>
      </c>
      <c r="O62" s="64">
        <v>0</v>
      </c>
      <c r="P62" s="64">
        <v>0.63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6" t="s">
        <v>1356</v>
      </c>
      <c r="B63" s="64">
        <v>0.1</v>
      </c>
      <c r="C63" s="64">
        <v>2.37</v>
      </c>
      <c r="D63" s="64">
        <v>1.24</v>
      </c>
      <c r="E63" s="64">
        <v>1.66</v>
      </c>
      <c r="F63" s="64">
        <v>6.46</v>
      </c>
      <c r="G63" s="64">
        <v>60.15</v>
      </c>
      <c r="H63" s="64">
        <v>18.86</v>
      </c>
      <c r="I63" s="64">
        <v>6.92</v>
      </c>
      <c r="J63" s="64">
        <v>0.67</v>
      </c>
      <c r="K63" s="64">
        <v>318.51</v>
      </c>
      <c r="L63" s="64">
        <v>38.369999999999997</v>
      </c>
      <c r="M63" s="64">
        <v>28.56</v>
      </c>
      <c r="N63" s="64">
        <v>680.9</v>
      </c>
      <c r="O63" s="64">
        <v>0</v>
      </c>
      <c r="P63" s="64">
        <v>0.61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6" t="s">
        <v>1357</v>
      </c>
      <c r="B64" s="64">
        <v>0.1</v>
      </c>
      <c r="C64" s="64">
        <v>1.81</v>
      </c>
      <c r="D64" s="64">
        <v>0.94</v>
      </c>
      <c r="E64" s="64">
        <v>1.21</v>
      </c>
      <c r="F64" s="64">
        <v>6.27</v>
      </c>
      <c r="G64" s="64">
        <v>54.52</v>
      </c>
      <c r="H64" s="64">
        <v>17.690000000000001</v>
      </c>
      <c r="I64" s="64">
        <v>7.04</v>
      </c>
      <c r="J64" s="64">
        <v>0.28999999999999998</v>
      </c>
      <c r="K64" s="64">
        <v>348.53</v>
      </c>
      <c r="L64" s="64">
        <v>38.15</v>
      </c>
      <c r="M64" s="64">
        <v>27.87</v>
      </c>
      <c r="N64" s="64">
        <v>582.79999999999995</v>
      </c>
      <c r="O64" s="64">
        <v>0</v>
      </c>
      <c r="P64" s="64">
        <v>0.59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6" t="s">
        <v>1358</v>
      </c>
      <c r="B65" s="64">
        <v>0.1</v>
      </c>
      <c r="C65" s="64">
        <v>1.5</v>
      </c>
      <c r="D65" s="64">
        <v>0.78</v>
      </c>
      <c r="E65" s="64">
        <v>1.39</v>
      </c>
      <c r="F65" s="64">
        <v>5.75</v>
      </c>
      <c r="G65" s="64">
        <v>50.59</v>
      </c>
      <c r="H65" s="64">
        <v>16.87</v>
      </c>
      <c r="I65" s="64">
        <v>7.01</v>
      </c>
      <c r="J65" s="64">
        <v>1.07</v>
      </c>
      <c r="K65" s="64">
        <v>335.54</v>
      </c>
      <c r="L65" s="64">
        <v>37.909999999999997</v>
      </c>
      <c r="M65" s="64">
        <v>28.67</v>
      </c>
      <c r="N65" s="64">
        <v>387.9</v>
      </c>
      <c r="O65" s="64">
        <v>0</v>
      </c>
      <c r="P65" s="64">
        <v>0.56999999999999995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16" t="s">
        <v>1359</v>
      </c>
      <c r="B66" s="64">
        <v>0.1</v>
      </c>
      <c r="C66" s="64">
        <v>1.57</v>
      </c>
      <c r="D66" s="64">
        <v>0.82</v>
      </c>
      <c r="E66" s="64">
        <v>1.23</v>
      </c>
      <c r="F66" s="64">
        <v>5.67</v>
      </c>
      <c r="G66" s="64">
        <v>50.59</v>
      </c>
      <c r="H66" s="64">
        <v>16.87</v>
      </c>
      <c r="I66" s="64">
        <v>6.79</v>
      </c>
      <c r="J66" s="64">
        <v>0.78</v>
      </c>
      <c r="K66" s="64">
        <v>330.04</v>
      </c>
      <c r="L66" s="64">
        <v>38.04</v>
      </c>
      <c r="M66" s="64">
        <v>27.62</v>
      </c>
      <c r="N66" s="64">
        <v>371.4</v>
      </c>
      <c r="O66" s="64">
        <v>0</v>
      </c>
      <c r="P66" s="64">
        <v>0.56999999999999995</v>
      </c>
      <c r="Q66" s="64">
        <v>9.1999999999999993</v>
      </c>
      <c r="R66" s="198"/>
      <c r="S66" s="198"/>
      <c r="T66" s="198"/>
      <c r="U66" s="198"/>
    </row>
    <row r="67" spans="1:21" s="12" customFormat="1" x14ac:dyDescent="0.25">
      <c r="A67" s="216" t="s">
        <v>1360</v>
      </c>
      <c r="B67" s="64">
        <v>0.1</v>
      </c>
      <c r="C67" s="64">
        <v>1.55</v>
      </c>
      <c r="D67" s="64">
        <v>0.81</v>
      </c>
      <c r="E67" s="64">
        <v>1.1499999999999999</v>
      </c>
      <c r="F67" s="64">
        <v>5.85</v>
      </c>
      <c r="G67" s="64">
        <v>50.59</v>
      </c>
      <c r="H67" s="64">
        <v>16.87</v>
      </c>
      <c r="I67" s="64">
        <v>7.09</v>
      </c>
      <c r="J67" s="64">
        <v>0.67</v>
      </c>
      <c r="K67" s="64">
        <v>341.2</v>
      </c>
      <c r="L67" s="64">
        <v>37.75</v>
      </c>
      <c r="M67" s="64">
        <v>26.56</v>
      </c>
      <c r="N67" s="64">
        <v>379.4</v>
      </c>
      <c r="O67" s="64">
        <v>0</v>
      </c>
      <c r="P67" s="64">
        <v>0.56000000000000005</v>
      </c>
      <c r="Q67" s="64">
        <v>9.18</v>
      </c>
      <c r="R67" s="198"/>
      <c r="S67" s="198"/>
      <c r="T67" s="198"/>
      <c r="U67" s="198"/>
    </row>
    <row r="68" spans="1:21" s="12" customFormat="1" x14ac:dyDescent="0.25">
      <c r="A68" s="216" t="s">
        <v>1361</v>
      </c>
      <c r="B68" s="64">
        <v>0.1</v>
      </c>
      <c r="C68" s="64">
        <v>1.68</v>
      </c>
      <c r="D68" s="64">
        <v>0.88</v>
      </c>
      <c r="E68" s="64">
        <v>1.03</v>
      </c>
      <c r="F68" s="64">
        <v>5.22</v>
      </c>
      <c r="G68" s="64">
        <v>48.26</v>
      </c>
      <c r="H68" s="64">
        <v>17.29</v>
      </c>
      <c r="I68" s="64">
        <v>7.2</v>
      </c>
      <c r="J68" s="64">
        <v>1.1000000000000001</v>
      </c>
      <c r="K68" s="64">
        <v>350.6</v>
      </c>
      <c r="L68" s="64">
        <v>36.630000000000003</v>
      </c>
      <c r="M68" s="64">
        <v>25.4</v>
      </c>
      <c r="N68" s="64">
        <v>90.4</v>
      </c>
      <c r="O68" s="64">
        <v>0</v>
      </c>
      <c r="P68" s="64">
        <v>0.55000000000000004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6" t="s">
        <v>1362</v>
      </c>
      <c r="B69" s="64">
        <v>0.1</v>
      </c>
      <c r="C69" s="64">
        <v>2.2000000000000002</v>
      </c>
      <c r="D69" s="64">
        <v>1.1499999999999999</v>
      </c>
      <c r="E69" s="64">
        <v>0.96</v>
      </c>
      <c r="F69" s="64">
        <v>5.18</v>
      </c>
      <c r="G69" s="64">
        <v>46.64</v>
      </c>
      <c r="H69" s="64">
        <v>17.579999999999998</v>
      </c>
      <c r="I69" s="64">
        <v>7.16</v>
      </c>
      <c r="J69" s="64">
        <v>0.67</v>
      </c>
      <c r="K69" s="64">
        <v>348.88</v>
      </c>
      <c r="L69" s="64">
        <v>35.549999999999997</v>
      </c>
      <c r="M69" s="64">
        <v>25.78</v>
      </c>
      <c r="N69" s="64">
        <v>81.2</v>
      </c>
      <c r="O69" s="64">
        <v>0</v>
      </c>
      <c r="P69" s="64">
        <v>0.54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16" t="s">
        <v>1363</v>
      </c>
      <c r="B70" s="64">
        <v>0.1</v>
      </c>
      <c r="C70" s="64">
        <v>3.01</v>
      </c>
      <c r="D70" s="64">
        <v>1.57</v>
      </c>
      <c r="E70" s="64">
        <v>1.28</v>
      </c>
      <c r="F70" s="64">
        <v>5.19</v>
      </c>
      <c r="G70" s="64">
        <v>46.64</v>
      </c>
      <c r="H70" s="64">
        <v>17.579999999999998</v>
      </c>
      <c r="I70" s="64">
        <v>7.21</v>
      </c>
      <c r="J70" s="64">
        <v>0.28999999999999998</v>
      </c>
      <c r="K70" s="64">
        <v>3.35</v>
      </c>
      <c r="L70" s="64">
        <v>35.25</v>
      </c>
      <c r="M70" s="64">
        <v>26.24</v>
      </c>
      <c r="N70" s="64">
        <v>132.4</v>
      </c>
      <c r="O70" s="64">
        <v>0</v>
      </c>
      <c r="P70" s="64">
        <v>0.55000000000000004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16" t="s">
        <v>1364</v>
      </c>
      <c r="B71" s="64">
        <v>0.1</v>
      </c>
      <c r="C71" s="64">
        <v>4</v>
      </c>
      <c r="D71" s="64">
        <v>2.09</v>
      </c>
      <c r="E71" s="64">
        <v>1.3</v>
      </c>
      <c r="F71" s="64">
        <v>4.84</v>
      </c>
      <c r="G71" s="64">
        <v>46.64</v>
      </c>
      <c r="H71" s="64">
        <v>17.579999999999998</v>
      </c>
      <c r="I71" s="64">
        <v>7.29</v>
      </c>
      <c r="J71" s="64">
        <v>0.48</v>
      </c>
      <c r="K71" s="64">
        <v>333.59</v>
      </c>
      <c r="L71" s="64">
        <v>35.479999999999997</v>
      </c>
      <c r="M71" s="64">
        <v>29.59</v>
      </c>
      <c r="N71" s="64">
        <v>211.8</v>
      </c>
      <c r="O71" s="64">
        <v>0</v>
      </c>
      <c r="P71" s="64">
        <v>0.56000000000000005</v>
      </c>
      <c r="Q71" s="64">
        <v>9.18</v>
      </c>
      <c r="R71" s="198"/>
      <c r="S71" s="198"/>
      <c r="T71" s="198"/>
      <c r="U71" s="198"/>
    </row>
    <row r="72" spans="1:21" s="12" customFormat="1" x14ac:dyDescent="0.25">
      <c r="A72" s="216" t="s">
        <v>1365</v>
      </c>
      <c r="B72" s="64">
        <v>0.1</v>
      </c>
      <c r="C72" s="64">
        <v>3.77</v>
      </c>
      <c r="D72" s="64">
        <v>1.97</v>
      </c>
      <c r="E72" s="64">
        <v>1.24</v>
      </c>
      <c r="F72" s="64">
        <v>5.62</v>
      </c>
      <c r="G72" s="64">
        <v>46.19</v>
      </c>
      <c r="H72" s="64">
        <v>16.13</v>
      </c>
      <c r="I72" s="64">
        <v>6.68</v>
      </c>
      <c r="J72" s="64">
        <v>0.35</v>
      </c>
      <c r="K72" s="64">
        <v>150.96</v>
      </c>
      <c r="L72" s="64">
        <v>34.520000000000003</v>
      </c>
      <c r="M72" s="64">
        <v>33.11</v>
      </c>
      <c r="N72" s="64">
        <v>168.5</v>
      </c>
      <c r="O72" s="64">
        <v>0</v>
      </c>
      <c r="P72" s="64">
        <v>0.55000000000000004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6" t="s">
        <v>1366</v>
      </c>
      <c r="B73" s="64">
        <v>0.1</v>
      </c>
      <c r="C73" s="64">
        <v>3.4</v>
      </c>
      <c r="D73" s="64">
        <v>1.78</v>
      </c>
      <c r="E73" s="64">
        <v>1.34</v>
      </c>
      <c r="F73" s="64">
        <v>6.07</v>
      </c>
      <c r="G73" s="64">
        <v>45.88</v>
      </c>
      <c r="H73" s="64">
        <v>15.11</v>
      </c>
      <c r="I73" s="64">
        <v>6.78</v>
      </c>
      <c r="J73" s="64">
        <v>0.31</v>
      </c>
      <c r="K73" s="64">
        <v>318</v>
      </c>
      <c r="L73" s="64">
        <v>33.909999999999997</v>
      </c>
      <c r="M73" s="64">
        <v>35</v>
      </c>
      <c r="N73" s="64">
        <v>80.3</v>
      </c>
      <c r="O73" s="64">
        <v>0</v>
      </c>
      <c r="P73" s="64">
        <v>0.53</v>
      </c>
      <c r="Q73" s="64">
        <v>9.2100000000000009</v>
      </c>
      <c r="R73" s="198"/>
      <c r="S73" s="198"/>
      <c r="T73" s="198"/>
      <c r="U73" s="198"/>
    </row>
    <row r="74" spans="1:21" s="12" customFormat="1" x14ac:dyDescent="0.25">
      <c r="A74" s="216" t="s">
        <v>1367</v>
      </c>
      <c r="B74" s="64">
        <v>0.1</v>
      </c>
      <c r="C74" s="64">
        <v>2.97</v>
      </c>
      <c r="D74" s="64">
        <v>1.55</v>
      </c>
      <c r="E74" s="64">
        <v>1.69</v>
      </c>
      <c r="F74" s="64">
        <v>5.66</v>
      </c>
      <c r="G74" s="64">
        <v>45.88</v>
      </c>
      <c r="H74" s="64">
        <v>15.11</v>
      </c>
      <c r="I74" s="64">
        <v>7.25</v>
      </c>
      <c r="J74" s="64">
        <v>0.15</v>
      </c>
      <c r="K74" s="64">
        <v>340.1</v>
      </c>
      <c r="L74" s="64">
        <v>33.18</v>
      </c>
      <c r="M74" s="64">
        <v>35.869999999999997</v>
      </c>
      <c r="N74" s="64">
        <v>64.3</v>
      </c>
      <c r="O74" s="64">
        <v>0</v>
      </c>
      <c r="P74" s="64">
        <v>0.53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6" t="s">
        <v>1368</v>
      </c>
      <c r="B75" s="64">
        <v>0.1</v>
      </c>
      <c r="C75" s="64">
        <v>3.21</v>
      </c>
      <c r="D75" s="64">
        <v>1.68</v>
      </c>
      <c r="E75" s="64">
        <v>1.31</v>
      </c>
      <c r="F75" s="64">
        <v>4.84</v>
      </c>
      <c r="G75" s="64">
        <v>45.88</v>
      </c>
      <c r="H75" s="64">
        <v>15.11</v>
      </c>
      <c r="I75" s="64">
        <v>6.93</v>
      </c>
      <c r="J75" s="64">
        <v>0.08</v>
      </c>
      <c r="K75" s="64">
        <v>157.43</v>
      </c>
      <c r="L75" s="64">
        <v>33.08</v>
      </c>
      <c r="M75" s="64">
        <v>34.53</v>
      </c>
      <c r="N75" s="64">
        <v>99</v>
      </c>
      <c r="O75" s="64">
        <v>0</v>
      </c>
      <c r="P75" s="64">
        <v>0.52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6" t="s">
        <v>1369</v>
      </c>
      <c r="B76" s="64">
        <v>0.1</v>
      </c>
      <c r="C76" s="64">
        <v>3.26</v>
      </c>
      <c r="D76" s="64">
        <v>1.7</v>
      </c>
      <c r="E76" s="64">
        <v>0.96</v>
      </c>
      <c r="F76" s="64">
        <v>4.8099999999999996</v>
      </c>
      <c r="G76" s="64">
        <v>44.15</v>
      </c>
      <c r="H76" s="64">
        <v>15.02</v>
      </c>
      <c r="I76" s="64">
        <v>6.52</v>
      </c>
      <c r="J76" s="64">
        <v>0.06</v>
      </c>
      <c r="K76" s="64">
        <v>301.76</v>
      </c>
      <c r="L76" s="64">
        <v>33.299999999999997</v>
      </c>
      <c r="M76" s="64">
        <v>35.72</v>
      </c>
      <c r="N76" s="64">
        <v>81</v>
      </c>
      <c r="O76" s="64">
        <v>0</v>
      </c>
      <c r="P76" s="64">
        <v>0.54</v>
      </c>
      <c r="Q76" s="64">
        <v>9.16</v>
      </c>
      <c r="R76" s="198"/>
      <c r="S76" s="198"/>
      <c r="T76" s="198"/>
      <c r="U76" s="198"/>
    </row>
    <row r="77" spans="1:21" s="12" customFormat="1" x14ac:dyDescent="0.25">
      <c r="A77" s="216" t="s">
        <v>1370</v>
      </c>
      <c r="B77" s="64">
        <v>0.1</v>
      </c>
      <c r="C77" s="64">
        <v>3.6</v>
      </c>
      <c r="D77" s="64">
        <v>1.88</v>
      </c>
      <c r="E77" s="64">
        <v>0.94</v>
      </c>
      <c r="F77" s="64">
        <v>4.7300000000000004</v>
      </c>
      <c r="G77" s="64">
        <v>42.93</v>
      </c>
      <c r="H77" s="64">
        <v>14.95</v>
      </c>
      <c r="I77" s="64">
        <v>5.97</v>
      </c>
      <c r="J77" s="64">
        <v>0.25</v>
      </c>
      <c r="K77" s="64">
        <v>16.510000000000002</v>
      </c>
      <c r="L77" s="64">
        <v>32.74</v>
      </c>
      <c r="M77" s="64">
        <v>39.47</v>
      </c>
      <c r="N77" s="64">
        <v>80.599999999999994</v>
      </c>
      <c r="O77" s="64">
        <v>0</v>
      </c>
      <c r="P77" s="64">
        <v>0.56000000000000005</v>
      </c>
      <c r="Q77" s="64">
        <v>9.18</v>
      </c>
      <c r="R77" s="198"/>
      <c r="S77" s="198"/>
      <c r="T77" s="198"/>
      <c r="U77" s="198"/>
    </row>
    <row r="78" spans="1:21" s="12" customFormat="1" x14ac:dyDescent="0.25">
      <c r="A78" s="216" t="s">
        <v>1371</v>
      </c>
      <c r="B78" s="64">
        <v>0.1</v>
      </c>
      <c r="C78" s="64">
        <v>4.08</v>
      </c>
      <c r="D78" s="64">
        <v>2.13</v>
      </c>
      <c r="E78" s="64">
        <v>1.1299999999999999</v>
      </c>
      <c r="F78" s="64">
        <v>4.5199999999999996</v>
      </c>
      <c r="G78" s="64">
        <v>42.93</v>
      </c>
      <c r="H78" s="64">
        <v>14.95</v>
      </c>
      <c r="I78" s="64">
        <v>6.21</v>
      </c>
      <c r="J78" s="64">
        <v>0.22</v>
      </c>
      <c r="K78" s="64">
        <v>315.37</v>
      </c>
      <c r="L78" s="64">
        <v>32.76</v>
      </c>
      <c r="M78" s="64">
        <v>33.61</v>
      </c>
      <c r="N78" s="64">
        <v>58.8</v>
      </c>
      <c r="O78" s="64">
        <v>0</v>
      </c>
      <c r="P78" s="64">
        <v>0.57999999999999996</v>
      </c>
      <c r="Q78" s="64">
        <v>9.18</v>
      </c>
      <c r="R78" s="198"/>
      <c r="S78" s="198"/>
      <c r="T78" s="198"/>
      <c r="U78" s="198"/>
    </row>
    <row r="79" spans="1:21" s="12" customFormat="1" x14ac:dyDescent="0.25">
      <c r="A79" s="216" t="s">
        <v>1372</v>
      </c>
      <c r="B79" s="64">
        <v>0.1</v>
      </c>
      <c r="C79" s="64">
        <v>4.72</v>
      </c>
      <c r="D79" s="64">
        <v>2.46</v>
      </c>
      <c r="E79" s="64">
        <v>1.17</v>
      </c>
      <c r="F79" s="64">
        <v>4.47</v>
      </c>
      <c r="G79" s="64">
        <v>42.93</v>
      </c>
      <c r="H79" s="64">
        <v>14.95</v>
      </c>
      <c r="I79" s="64">
        <v>6.59</v>
      </c>
      <c r="J79" s="64">
        <v>0.23</v>
      </c>
      <c r="K79" s="64">
        <v>322.52</v>
      </c>
      <c r="L79" s="64">
        <v>32.9</v>
      </c>
      <c r="M79" s="64">
        <v>33.07</v>
      </c>
      <c r="N79" s="64">
        <v>44.4</v>
      </c>
      <c r="O79" s="64">
        <v>0</v>
      </c>
      <c r="P79" s="64">
        <v>0.65</v>
      </c>
      <c r="Q79" s="64">
        <v>9.19</v>
      </c>
      <c r="R79" s="198"/>
      <c r="S79" s="198"/>
      <c r="T79" s="198"/>
      <c r="U79" s="198"/>
    </row>
    <row r="80" spans="1:21" s="12" customFormat="1" x14ac:dyDescent="0.25">
      <c r="A80" s="216" t="s">
        <v>1373</v>
      </c>
      <c r="B80" s="64">
        <v>0.1</v>
      </c>
      <c r="C80" s="64">
        <v>4.8899999999999997</v>
      </c>
      <c r="D80" s="64">
        <v>2.5499999999999998</v>
      </c>
      <c r="E80" s="64">
        <v>1.41</v>
      </c>
      <c r="F80" s="64">
        <v>4.51</v>
      </c>
      <c r="G80" s="64">
        <v>46.06</v>
      </c>
      <c r="H80" s="64">
        <v>16.22</v>
      </c>
      <c r="I80" s="64">
        <v>6.74</v>
      </c>
      <c r="J80" s="64">
        <v>1.01</v>
      </c>
      <c r="K80" s="64">
        <v>172.13</v>
      </c>
      <c r="L80" s="64">
        <v>31.47</v>
      </c>
      <c r="M80" s="64">
        <v>41.11</v>
      </c>
      <c r="N80" s="64">
        <v>39.1</v>
      </c>
      <c r="O80" s="64">
        <v>0</v>
      </c>
      <c r="P80" s="64">
        <v>0.64</v>
      </c>
      <c r="Q80" s="64">
        <v>9.18</v>
      </c>
      <c r="R80" s="198"/>
      <c r="S80" s="198"/>
      <c r="T80" s="198"/>
      <c r="U80" s="198"/>
    </row>
    <row r="81" spans="1:26" s="12" customFormat="1" x14ac:dyDescent="0.25">
      <c r="A81" s="216" t="s">
        <v>1374</v>
      </c>
      <c r="B81" s="64">
        <v>0.1</v>
      </c>
      <c r="C81" s="64">
        <v>3.6</v>
      </c>
      <c r="D81" s="64">
        <v>1.88</v>
      </c>
      <c r="E81" s="64">
        <v>1.19</v>
      </c>
      <c r="F81" s="64">
        <v>5.69</v>
      </c>
      <c r="G81" s="64">
        <v>48.23</v>
      </c>
      <c r="H81" s="64">
        <v>17.11</v>
      </c>
      <c r="I81" s="64">
        <v>6.44</v>
      </c>
      <c r="J81" s="64">
        <v>0.92</v>
      </c>
      <c r="K81" s="64">
        <v>180.2</v>
      </c>
      <c r="L81" s="64">
        <v>28.97</v>
      </c>
      <c r="M81" s="64">
        <v>52.44</v>
      </c>
      <c r="N81" s="64">
        <v>34</v>
      </c>
      <c r="O81" s="64">
        <v>0</v>
      </c>
      <c r="P81" s="64">
        <v>0.57999999999999996</v>
      </c>
      <c r="Q81" s="64">
        <v>9.2100000000000009</v>
      </c>
      <c r="R81" s="198"/>
      <c r="S81" s="198"/>
      <c r="T81" s="198"/>
      <c r="U81" s="198"/>
    </row>
    <row r="82" spans="1:26" s="12" customFormat="1" x14ac:dyDescent="0.25">
      <c r="A82" s="216" t="s">
        <v>1375</v>
      </c>
      <c r="B82" s="64">
        <v>0.1</v>
      </c>
      <c r="C82" s="64">
        <v>1.8</v>
      </c>
      <c r="D82" s="64">
        <v>0.94</v>
      </c>
      <c r="E82" s="64">
        <v>1.1499999999999999</v>
      </c>
      <c r="F82" s="64">
        <v>7.22</v>
      </c>
      <c r="G82" s="64">
        <v>48.23</v>
      </c>
      <c r="H82" s="64">
        <v>17.11</v>
      </c>
      <c r="I82" s="64">
        <v>6.85</v>
      </c>
      <c r="J82" s="64">
        <v>0.28999999999999998</v>
      </c>
      <c r="K82" s="64">
        <v>164.08</v>
      </c>
      <c r="L82" s="64">
        <v>28.18</v>
      </c>
      <c r="M82" s="64">
        <v>55.16</v>
      </c>
      <c r="N82" s="64">
        <v>27.6</v>
      </c>
      <c r="O82" s="64">
        <v>0</v>
      </c>
      <c r="P82" s="64">
        <v>0.54</v>
      </c>
      <c r="Q82" s="64">
        <v>9.2200000000000006</v>
      </c>
      <c r="R82" s="198"/>
      <c r="S82" s="198"/>
      <c r="T82" s="198"/>
      <c r="U82" s="198"/>
    </row>
    <row r="83" spans="1:26" s="12" customFormat="1" x14ac:dyDescent="0.25">
      <c r="A83" s="216" t="s">
        <v>1376</v>
      </c>
      <c r="B83" s="64">
        <v>0.1</v>
      </c>
      <c r="C83" s="64">
        <v>1.1599999999999999</v>
      </c>
      <c r="D83" s="64">
        <v>0.61</v>
      </c>
      <c r="E83" s="64">
        <v>1.1599999999999999</v>
      </c>
      <c r="F83" s="64">
        <v>6.95</v>
      </c>
      <c r="G83" s="64">
        <v>48.23</v>
      </c>
      <c r="H83" s="64">
        <v>17.11</v>
      </c>
      <c r="I83" s="64">
        <v>6.6</v>
      </c>
      <c r="J83" s="64">
        <v>1.02</v>
      </c>
      <c r="K83" s="64">
        <v>314.7</v>
      </c>
      <c r="L83" s="64">
        <v>28.1</v>
      </c>
      <c r="M83" s="64">
        <v>54.94</v>
      </c>
      <c r="N83" s="64">
        <v>24.8</v>
      </c>
      <c r="O83" s="64">
        <v>0</v>
      </c>
      <c r="P83" s="64">
        <v>0.52</v>
      </c>
      <c r="Q83" s="64">
        <v>9.2200000000000006</v>
      </c>
      <c r="R83" s="198"/>
      <c r="S83" s="198"/>
      <c r="T83" s="198"/>
      <c r="U83" s="198"/>
    </row>
    <row r="84" spans="1:26" s="12" customFormat="1" x14ac:dyDescent="0.25">
      <c r="A84" s="216" t="s">
        <v>1377</v>
      </c>
      <c r="B84" s="64">
        <v>0.1</v>
      </c>
      <c r="C84" s="64">
        <v>0.87</v>
      </c>
      <c r="D84" s="64">
        <v>0.45</v>
      </c>
      <c r="E84" s="64">
        <v>1</v>
      </c>
      <c r="F84" s="64">
        <v>8.3000000000000007</v>
      </c>
      <c r="G84" s="64">
        <v>47.01</v>
      </c>
      <c r="H84" s="64">
        <v>16.28</v>
      </c>
      <c r="I84" s="64">
        <v>5.97</v>
      </c>
      <c r="J84" s="64">
        <v>3.29</v>
      </c>
      <c r="K84" s="64">
        <v>322.37</v>
      </c>
      <c r="L84" s="64">
        <v>27.57</v>
      </c>
      <c r="M84" s="64">
        <v>48.29</v>
      </c>
      <c r="N84" s="64">
        <v>28.5</v>
      </c>
      <c r="O84" s="64">
        <v>0</v>
      </c>
      <c r="P84" s="64">
        <v>0.5</v>
      </c>
      <c r="Q84" s="64">
        <v>9.2200000000000006</v>
      </c>
      <c r="R84" s="198"/>
      <c r="S84" s="198"/>
      <c r="T84" s="198"/>
      <c r="U84" s="198"/>
    </row>
    <row r="85" spans="1:26" s="12" customFormat="1" x14ac:dyDescent="0.25">
      <c r="A85" s="216" t="s">
        <v>1378</v>
      </c>
      <c r="B85" s="64">
        <v>0.1</v>
      </c>
      <c r="C85" s="64">
        <v>0.2</v>
      </c>
      <c r="D85" s="64">
        <v>0.1</v>
      </c>
      <c r="E85" s="64">
        <v>1.34</v>
      </c>
      <c r="F85" s="64">
        <v>10.93</v>
      </c>
      <c r="G85" s="64">
        <v>46.16</v>
      </c>
      <c r="H85" s="64">
        <v>15.71</v>
      </c>
      <c r="I85" s="64">
        <v>5.55</v>
      </c>
      <c r="J85" s="64">
        <v>3.32</v>
      </c>
      <c r="K85" s="64">
        <v>327.37</v>
      </c>
      <c r="L85" s="64">
        <v>26.07</v>
      </c>
      <c r="M85" s="64">
        <v>53.33</v>
      </c>
      <c r="N85" s="64">
        <v>26</v>
      </c>
      <c r="O85" s="64">
        <v>0</v>
      </c>
      <c r="P85" s="64">
        <v>0.47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16" t="s">
        <v>1379</v>
      </c>
      <c r="B86" s="64">
        <v>0.1</v>
      </c>
      <c r="C86" s="64">
        <v>0.2</v>
      </c>
      <c r="D86" s="64">
        <v>0.1</v>
      </c>
      <c r="E86" s="64">
        <v>1.06</v>
      </c>
      <c r="F86" s="64">
        <v>10.48</v>
      </c>
      <c r="G86" s="64">
        <v>46.16</v>
      </c>
      <c r="H86" s="64">
        <v>15.71</v>
      </c>
      <c r="I86" s="64">
        <v>5.09</v>
      </c>
      <c r="J86" s="64">
        <v>2.68</v>
      </c>
      <c r="K86" s="64">
        <v>336.04</v>
      </c>
      <c r="L86" s="64">
        <v>25.98</v>
      </c>
      <c r="M86" s="64">
        <v>54.54</v>
      </c>
      <c r="N86" s="64">
        <v>26.5</v>
      </c>
      <c r="O86" s="64">
        <v>0.2</v>
      </c>
      <c r="P86" s="64">
        <v>0.48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6" t="s">
        <v>1380</v>
      </c>
      <c r="B87" s="64">
        <v>0.1</v>
      </c>
      <c r="C87" s="64">
        <v>0.28000000000000003</v>
      </c>
      <c r="D87" s="64">
        <v>0.15</v>
      </c>
      <c r="E87" s="64">
        <v>1.22</v>
      </c>
      <c r="F87" s="64">
        <v>9</v>
      </c>
      <c r="G87" s="64">
        <v>46.16</v>
      </c>
      <c r="H87" s="64">
        <v>15.71</v>
      </c>
      <c r="I87" s="64">
        <v>4.37</v>
      </c>
      <c r="J87" s="64">
        <v>3.4</v>
      </c>
      <c r="K87" s="64">
        <v>337.41</v>
      </c>
      <c r="L87" s="64">
        <v>23.02</v>
      </c>
      <c r="M87" s="64">
        <v>83.86</v>
      </c>
      <c r="N87" s="64">
        <v>34.700000000000003</v>
      </c>
      <c r="O87" s="64">
        <v>1.2</v>
      </c>
      <c r="P87" s="64">
        <v>0.47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6" t="s">
        <v>1381</v>
      </c>
      <c r="B88" s="64">
        <v>0.1</v>
      </c>
      <c r="C88" s="64">
        <v>0.1</v>
      </c>
      <c r="D88" s="64">
        <v>0.05</v>
      </c>
      <c r="E88" s="64">
        <v>1.69</v>
      </c>
      <c r="F88" s="64">
        <v>8.44</v>
      </c>
      <c r="G88" s="64">
        <v>41.92</v>
      </c>
      <c r="H88" s="64">
        <v>13.27</v>
      </c>
      <c r="I88" s="64">
        <v>4</v>
      </c>
      <c r="J88" s="64">
        <v>2.2200000000000002</v>
      </c>
      <c r="K88" s="64">
        <v>319.69</v>
      </c>
      <c r="L88" s="64">
        <v>21.12</v>
      </c>
      <c r="M88" s="64">
        <v>92.92</v>
      </c>
      <c r="N88" s="64">
        <v>25.6</v>
      </c>
      <c r="O88" s="64">
        <v>0.2</v>
      </c>
      <c r="P88" s="64">
        <v>0.45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6" t="s">
        <v>1382</v>
      </c>
      <c r="B89" s="64">
        <v>0.1</v>
      </c>
      <c r="C89" s="214" t="s">
        <v>42</v>
      </c>
      <c r="D89" s="214" t="s">
        <v>42</v>
      </c>
      <c r="E89" s="64">
        <v>1.41</v>
      </c>
      <c r="F89" s="64">
        <v>8.8800000000000008</v>
      </c>
      <c r="G89" s="64">
        <v>38.96</v>
      </c>
      <c r="H89" s="64">
        <v>11.58</v>
      </c>
      <c r="I89" s="64">
        <v>3.82</v>
      </c>
      <c r="J89" s="64">
        <v>1.85</v>
      </c>
      <c r="K89" s="64">
        <v>330.54</v>
      </c>
      <c r="L89" s="64">
        <v>21.21</v>
      </c>
      <c r="M89" s="64">
        <v>88.14</v>
      </c>
      <c r="N89" s="64">
        <v>24.9</v>
      </c>
      <c r="O89" s="64">
        <v>0.4</v>
      </c>
      <c r="P89" s="64">
        <v>0.43</v>
      </c>
      <c r="Q89" s="64">
        <v>9.23</v>
      </c>
      <c r="R89" s="198"/>
      <c r="S89" s="198"/>
      <c r="T89" s="198"/>
      <c r="U89" s="198"/>
    </row>
    <row r="90" spans="1:26" s="12" customFormat="1" x14ac:dyDescent="0.25">
      <c r="A90" s="216" t="s">
        <v>1383</v>
      </c>
      <c r="B90" s="64">
        <v>0.1</v>
      </c>
      <c r="C90" s="214" t="s">
        <v>42</v>
      </c>
      <c r="D90" s="214" t="s">
        <v>42</v>
      </c>
      <c r="E90" s="64">
        <v>1.25</v>
      </c>
      <c r="F90" s="64">
        <v>8.31</v>
      </c>
      <c r="G90" s="64">
        <v>38.96</v>
      </c>
      <c r="H90" s="64">
        <v>11.58</v>
      </c>
      <c r="I90" s="64">
        <v>3.48</v>
      </c>
      <c r="J90" s="64">
        <v>1.1599999999999999</v>
      </c>
      <c r="K90" s="64">
        <v>337.65</v>
      </c>
      <c r="L90" s="64">
        <v>20.88</v>
      </c>
      <c r="M90" s="64">
        <v>87.1</v>
      </c>
      <c r="N90" s="64">
        <v>25.5</v>
      </c>
      <c r="O90" s="64">
        <v>0.6</v>
      </c>
      <c r="P90" s="64">
        <v>0.42</v>
      </c>
      <c r="Q90" s="64">
        <v>9.2100000000000009</v>
      </c>
      <c r="R90" s="198"/>
      <c r="S90" s="198"/>
      <c r="T90" s="198"/>
      <c r="U90" s="198"/>
    </row>
    <row r="91" spans="1:26" s="12" customFormat="1" x14ac:dyDescent="0.25">
      <c r="A91" s="216" t="s">
        <v>1384</v>
      </c>
      <c r="B91" s="64">
        <v>0.1</v>
      </c>
      <c r="C91" s="214" t="s">
        <v>42</v>
      </c>
      <c r="D91" s="214" t="s">
        <v>42</v>
      </c>
      <c r="E91" s="64">
        <v>1.49</v>
      </c>
      <c r="F91" s="64">
        <v>6.37</v>
      </c>
      <c r="G91" s="64">
        <v>38.96</v>
      </c>
      <c r="H91" s="64">
        <v>11.58</v>
      </c>
      <c r="I91" s="64">
        <v>3.21</v>
      </c>
      <c r="J91" s="64">
        <v>0.36</v>
      </c>
      <c r="K91" s="64">
        <v>175.96</v>
      </c>
      <c r="L91" s="64">
        <v>20.81</v>
      </c>
      <c r="M91" s="64">
        <v>92.16</v>
      </c>
      <c r="N91" s="64">
        <v>24</v>
      </c>
      <c r="O91" s="64">
        <v>0.2</v>
      </c>
      <c r="P91" s="64">
        <v>0.4</v>
      </c>
      <c r="Q91" s="64">
        <v>9.2100000000000009</v>
      </c>
      <c r="R91" s="198"/>
      <c r="S91" s="198"/>
      <c r="T91" s="198"/>
      <c r="U91" s="198"/>
    </row>
    <row r="92" spans="1:26" s="12" customFormat="1" x14ac:dyDescent="0.25">
      <c r="A92" s="216" t="s">
        <v>1385</v>
      </c>
      <c r="B92" s="64">
        <v>0.1</v>
      </c>
      <c r="C92" s="214" t="s">
        <v>42</v>
      </c>
      <c r="D92" s="214" t="s">
        <v>42</v>
      </c>
      <c r="E92" s="64">
        <v>1.36</v>
      </c>
      <c r="F92" s="64">
        <v>4.7699999999999996</v>
      </c>
      <c r="G92" s="64">
        <v>36.39</v>
      </c>
      <c r="H92" s="64">
        <v>11.46</v>
      </c>
      <c r="I92" s="64">
        <v>3.09</v>
      </c>
      <c r="J92" s="64">
        <v>1.53</v>
      </c>
      <c r="K92" s="64">
        <v>92.6</v>
      </c>
      <c r="L92" s="64">
        <v>22.75</v>
      </c>
      <c r="M92" s="64">
        <v>71.19</v>
      </c>
      <c r="N92" s="64">
        <v>27.1</v>
      </c>
      <c r="O92" s="64">
        <v>0</v>
      </c>
      <c r="P92" s="64">
        <v>0.4</v>
      </c>
      <c r="Q92" s="64">
        <v>9.2100000000000009</v>
      </c>
      <c r="R92" s="198"/>
      <c r="S92" s="198"/>
      <c r="T92" s="198"/>
      <c r="U92" s="198"/>
    </row>
    <row r="93" spans="1:26" s="12" customFormat="1" x14ac:dyDescent="0.25">
      <c r="A93" s="216" t="s">
        <v>1386</v>
      </c>
      <c r="B93" s="64">
        <v>0.1</v>
      </c>
      <c r="C93" s="214" t="s">
        <v>42</v>
      </c>
      <c r="D93" s="214" t="s">
        <v>42</v>
      </c>
      <c r="E93" s="64">
        <v>1.44</v>
      </c>
      <c r="F93" s="64">
        <v>4.7300000000000004</v>
      </c>
      <c r="G93" s="64">
        <v>34.590000000000003</v>
      </c>
      <c r="H93" s="64">
        <v>11.38</v>
      </c>
      <c r="I93" s="64">
        <v>3.05</v>
      </c>
      <c r="J93" s="64">
        <v>1.1399999999999999</v>
      </c>
      <c r="K93" s="64">
        <v>92.94</v>
      </c>
      <c r="L93" s="64">
        <v>23.73</v>
      </c>
      <c r="M93" s="64">
        <v>67.23</v>
      </c>
      <c r="N93" s="64">
        <v>25.9</v>
      </c>
      <c r="O93" s="64">
        <v>0.2</v>
      </c>
      <c r="P93" s="64">
        <v>0.4</v>
      </c>
      <c r="Q93" s="64">
        <v>9.1999999999999993</v>
      </c>
      <c r="R93" s="198"/>
      <c r="S93" s="198"/>
      <c r="T93" s="198"/>
      <c r="U93" s="198"/>
    </row>
    <row r="94" spans="1:26" s="12" customFormat="1" x14ac:dyDescent="0.25">
      <c r="A94" s="216" t="s">
        <v>1387</v>
      </c>
      <c r="B94" s="64">
        <v>0.1</v>
      </c>
      <c r="C94" s="64">
        <v>0.31</v>
      </c>
      <c r="D94" s="64">
        <v>0.16</v>
      </c>
      <c r="E94" s="64">
        <v>0.93</v>
      </c>
      <c r="F94" s="64">
        <v>4.5199999999999996</v>
      </c>
      <c r="G94" s="64">
        <v>34.590000000000003</v>
      </c>
      <c r="H94" s="64">
        <v>11.38</v>
      </c>
      <c r="I94" s="64">
        <v>3.4</v>
      </c>
      <c r="J94" s="64">
        <v>0.94</v>
      </c>
      <c r="K94" s="64">
        <v>96.6</v>
      </c>
      <c r="L94" s="64">
        <v>22.94</v>
      </c>
      <c r="M94" s="64">
        <v>78.64</v>
      </c>
      <c r="N94" s="64">
        <v>24.5</v>
      </c>
      <c r="O94" s="64">
        <v>0</v>
      </c>
      <c r="P94" s="64">
        <v>0.41</v>
      </c>
      <c r="Q94" s="64">
        <v>9.2100000000000009</v>
      </c>
      <c r="R94" s="198"/>
      <c r="S94" s="198"/>
      <c r="T94" s="198"/>
      <c r="U94" s="198"/>
    </row>
    <row r="95" spans="1:26" s="12" customFormat="1" x14ac:dyDescent="0.25">
      <c r="A95" s="216" t="s">
        <v>1388</v>
      </c>
      <c r="B95" s="64">
        <v>0.1</v>
      </c>
      <c r="C95" s="64">
        <v>0.4</v>
      </c>
      <c r="D95" s="64">
        <v>0.21</v>
      </c>
      <c r="E95" s="64">
        <v>1.35</v>
      </c>
      <c r="F95" s="64">
        <v>4.38</v>
      </c>
      <c r="G95" s="64">
        <v>34.590000000000003</v>
      </c>
      <c r="H95" s="64">
        <v>11.38</v>
      </c>
      <c r="I95" s="64">
        <v>3.95</v>
      </c>
      <c r="J95" s="64">
        <v>0.39</v>
      </c>
      <c r="K95" s="64">
        <v>43.01</v>
      </c>
      <c r="L95" s="64">
        <v>23.07</v>
      </c>
      <c r="M95" s="64">
        <v>75.37</v>
      </c>
      <c r="N95" s="64">
        <v>25.3</v>
      </c>
      <c r="O95" s="64">
        <v>0</v>
      </c>
      <c r="P95" s="64">
        <v>0.41</v>
      </c>
      <c r="Q95" s="64">
        <v>9.2100000000000009</v>
      </c>
      <c r="R95" s="198"/>
      <c r="S95" s="198"/>
      <c r="T95" s="198"/>
      <c r="U95" s="198"/>
    </row>
    <row r="96" spans="1:26" s="12" customFormat="1" x14ac:dyDescent="0.25">
      <c r="A96" s="216" t="s">
        <v>1389</v>
      </c>
      <c r="B96" s="64">
        <v>0.1</v>
      </c>
      <c r="C96" s="64">
        <v>0.69</v>
      </c>
      <c r="D96" s="64">
        <v>0.36</v>
      </c>
      <c r="E96" s="64">
        <v>1.54</v>
      </c>
      <c r="F96" s="64">
        <v>4.0599999999999996</v>
      </c>
      <c r="G96" s="64">
        <v>29.11</v>
      </c>
      <c r="H96" s="64">
        <v>10.17</v>
      </c>
      <c r="I96" s="64">
        <v>4.22</v>
      </c>
      <c r="J96" s="64">
        <v>0.22</v>
      </c>
      <c r="K96" s="64">
        <v>3.7</v>
      </c>
      <c r="L96" s="64">
        <v>22.81</v>
      </c>
      <c r="M96" s="64">
        <v>78.430000000000007</v>
      </c>
      <c r="N96" s="64">
        <v>26.7</v>
      </c>
      <c r="O96" s="64">
        <v>0</v>
      </c>
      <c r="P96" s="64">
        <v>0.42</v>
      </c>
      <c r="Q96" s="64">
        <v>9.2200000000000006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1390</v>
      </c>
      <c r="B97" s="64">
        <v>0.1</v>
      </c>
      <c r="C97" s="64">
        <v>0.88</v>
      </c>
      <c r="D97" s="64">
        <v>0.46</v>
      </c>
      <c r="E97" s="64">
        <v>1.53</v>
      </c>
      <c r="F97" s="64">
        <v>4.01</v>
      </c>
      <c r="G97" s="64">
        <v>25.28</v>
      </c>
      <c r="H97" s="64">
        <v>9.32</v>
      </c>
      <c r="I97" s="64">
        <v>4.3499999999999996</v>
      </c>
      <c r="J97" s="64">
        <v>0.25</v>
      </c>
      <c r="K97" s="64">
        <v>33.44</v>
      </c>
      <c r="L97" s="64">
        <v>22.79</v>
      </c>
      <c r="M97" s="64">
        <v>80.739999999999995</v>
      </c>
      <c r="N97" s="64">
        <v>26.1</v>
      </c>
      <c r="O97" s="64">
        <v>0</v>
      </c>
      <c r="P97" s="64">
        <v>0.43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16" t="s">
        <v>1391</v>
      </c>
      <c r="B98" s="64">
        <v>0.1</v>
      </c>
      <c r="C98" s="64">
        <v>1.64</v>
      </c>
      <c r="D98" s="64">
        <v>0.86</v>
      </c>
      <c r="E98" s="64">
        <v>1.48</v>
      </c>
      <c r="F98" s="64">
        <v>3.87</v>
      </c>
      <c r="G98" s="64">
        <v>25.28</v>
      </c>
      <c r="H98" s="64">
        <v>9.32</v>
      </c>
      <c r="I98" s="64">
        <v>4.29</v>
      </c>
      <c r="J98" s="64">
        <v>0.34</v>
      </c>
      <c r="K98" s="64">
        <v>336.13</v>
      </c>
      <c r="L98" s="64">
        <v>22.81</v>
      </c>
      <c r="M98" s="64">
        <v>84.79</v>
      </c>
      <c r="N98" s="64">
        <v>25.4</v>
      </c>
      <c r="O98" s="64">
        <v>0</v>
      </c>
      <c r="P98" s="64">
        <v>0.44</v>
      </c>
      <c r="Q98" s="64">
        <v>9.23</v>
      </c>
      <c r="R98" s="198"/>
      <c r="S98" s="198"/>
      <c r="T98" s="198"/>
      <c r="U98" s="198"/>
    </row>
    <row r="99" spans="1:33" s="12" customFormat="1" x14ac:dyDescent="0.25">
      <c r="A99" s="216" t="s">
        <v>1392</v>
      </c>
      <c r="B99" s="64">
        <v>0.1</v>
      </c>
      <c r="C99" s="64">
        <v>1.95</v>
      </c>
      <c r="D99" s="64">
        <v>1.02</v>
      </c>
      <c r="E99" s="64">
        <v>1.54</v>
      </c>
      <c r="F99" s="64">
        <v>4.18</v>
      </c>
      <c r="G99" s="64">
        <v>25.28</v>
      </c>
      <c r="H99" s="64">
        <v>9.32</v>
      </c>
      <c r="I99" s="64">
        <v>4.18</v>
      </c>
      <c r="J99" s="64">
        <v>0.23</v>
      </c>
      <c r="K99" s="64">
        <v>186.91</v>
      </c>
      <c r="L99" s="64">
        <v>23.56</v>
      </c>
      <c r="M99" s="64">
        <v>72.31</v>
      </c>
      <c r="N99" s="64">
        <v>24.4</v>
      </c>
      <c r="O99" s="64">
        <v>0</v>
      </c>
      <c r="P99" s="64">
        <v>0.45</v>
      </c>
      <c r="Q99" s="64">
        <v>9.25</v>
      </c>
      <c r="R99" s="198"/>
      <c r="S99" s="198"/>
      <c r="T99" s="198"/>
      <c r="U99" s="198"/>
    </row>
    <row r="100" spans="1:33" s="12" customFormat="1" x14ac:dyDescent="0.25">
      <c r="A100" s="216" t="s">
        <v>1393</v>
      </c>
      <c r="B100" s="64">
        <v>0.1</v>
      </c>
      <c r="C100" s="64">
        <v>1.98</v>
      </c>
      <c r="D100" s="64">
        <v>1.04</v>
      </c>
      <c r="E100" s="64">
        <v>1.73</v>
      </c>
      <c r="F100" s="64">
        <v>4.25</v>
      </c>
      <c r="G100" s="64">
        <v>22.59</v>
      </c>
      <c r="H100" s="64">
        <v>8.77</v>
      </c>
      <c r="I100" s="64">
        <v>4.16</v>
      </c>
      <c r="J100" s="64">
        <v>0.54</v>
      </c>
      <c r="K100" s="64">
        <v>190.63</v>
      </c>
      <c r="L100" s="64">
        <v>23.53</v>
      </c>
      <c r="M100" s="64">
        <v>72.180000000000007</v>
      </c>
      <c r="N100" s="64">
        <v>25.5</v>
      </c>
      <c r="O100" s="64">
        <v>0</v>
      </c>
      <c r="P100" s="64">
        <v>0.44</v>
      </c>
      <c r="Q100" s="64">
        <v>9.3000000000000007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1394</v>
      </c>
      <c r="B101" s="64">
        <v>0.1</v>
      </c>
      <c r="C101" s="64">
        <v>1.58</v>
      </c>
      <c r="D101" s="64">
        <v>0.83</v>
      </c>
      <c r="E101" s="64">
        <v>1.44</v>
      </c>
      <c r="F101" s="64">
        <v>3.92</v>
      </c>
      <c r="G101" s="64">
        <v>20.71</v>
      </c>
      <c r="H101" s="64">
        <v>8.39</v>
      </c>
      <c r="I101" s="64">
        <v>4.2699999999999996</v>
      </c>
      <c r="J101" s="64">
        <v>0.38</v>
      </c>
      <c r="K101" s="64">
        <v>176.51</v>
      </c>
      <c r="L101" s="64">
        <v>23.18</v>
      </c>
      <c r="M101" s="64">
        <v>74.790000000000006</v>
      </c>
      <c r="N101" s="64">
        <v>25.9</v>
      </c>
      <c r="O101" s="64">
        <v>0</v>
      </c>
      <c r="P101" s="64">
        <v>0.43</v>
      </c>
      <c r="Q101" s="64">
        <v>9.3000000000000007</v>
      </c>
      <c r="R101" s="198"/>
      <c r="S101" s="198"/>
      <c r="T101" s="198"/>
      <c r="U101" s="198"/>
    </row>
    <row r="102" spans="1:33" s="12" customFormat="1" x14ac:dyDescent="0.25">
      <c r="A102" s="216" t="s">
        <v>1395</v>
      </c>
      <c r="B102" s="64">
        <v>0.1</v>
      </c>
      <c r="C102" s="64">
        <v>1.26</v>
      </c>
      <c r="D102" s="64">
        <v>0.66</v>
      </c>
      <c r="E102" s="64">
        <v>1.55</v>
      </c>
      <c r="F102" s="64">
        <v>3.84</v>
      </c>
      <c r="G102" s="64">
        <v>20.71</v>
      </c>
      <c r="H102" s="64">
        <v>8.39</v>
      </c>
      <c r="I102" s="64">
        <v>4.1900000000000004</v>
      </c>
      <c r="J102" s="64">
        <v>0.45</v>
      </c>
      <c r="K102" s="64">
        <v>207</v>
      </c>
      <c r="L102" s="64">
        <v>23.17</v>
      </c>
      <c r="M102" s="64">
        <v>73.16</v>
      </c>
      <c r="N102" s="64">
        <v>25.6</v>
      </c>
      <c r="O102" s="64">
        <v>0</v>
      </c>
      <c r="P102" s="64">
        <v>0.42</v>
      </c>
      <c r="Q102" s="64">
        <v>9.3000000000000007</v>
      </c>
      <c r="R102" s="198"/>
      <c r="S102" s="198"/>
      <c r="T102" s="198"/>
      <c r="U102" s="198"/>
    </row>
    <row r="103" spans="1:33" s="12" customFormat="1" x14ac:dyDescent="0.25">
      <c r="A103" s="216" t="s">
        <v>1396</v>
      </c>
      <c r="B103" s="64">
        <v>0.1</v>
      </c>
      <c r="C103" s="64">
        <v>1.03</v>
      </c>
      <c r="D103" s="64">
        <v>0.54</v>
      </c>
      <c r="E103" s="64">
        <v>1.37</v>
      </c>
      <c r="F103" s="64">
        <v>4.22</v>
      </c>
      <c r="G103" s="64">
        <v>20.71</v>
      </c>
      <c r="H103" s="64">
        <v>8.39</v>
      </c>
      <c r="I103" s="64">
        <v>4.21</v>
      </c>
      <c r="J103" s="64">
        <v>0.28999999999999998</v>
      </c>
      <c r="K103" s="64">
        <v>206.1</v>
      </c>
      <c r="L103" s="64">
        <v>23.07</v>
      </c>
      <c r="M103" s="64">
        <v>73.62</v>
      </c>
      <c r="N103" s="64">
        <v>26</v>
      </c>
      <c r="O103" s="64">
        <v>0</v>
      </c>
      <c r="P103" s="64">
        <v>0.41</v>
      </c>
      <c r="Q103" s="64">
        <v>9.2899999999999991</v>
      </c>
      <c r="R103" s="198"/>
      <c r="S103" s="198"/>
      <c r="T103" s="198"/>
      <c r="U103" s="198"/>
    </row>
    <row r="104" spans="1:33" s="12" customFormat="1" x14ac:dyDescent="0.25">
      <c r="A104" s="216" t="s">
        <v>1397</v>
      </c>
      <c r="B104" s="64">
        <v>0.1</v>
      </c>
      <c r="C104" s="64">
        <v>0.83</v>
      </c>
      <c r="D104" s="64">
        <v>0.44</v>
      </c>
      <c r="E104" s="64">
        <v>0.85</v>
      </c>
      <c r="F104" s="64">
        <v>4.26</v>
      </c>
      <c r="G104" s="64">
        <v>17.239999999999998</v>
      </c>
      <c r="H104" s="64">
        <v>7.65</v>
      </c>
      <c r="I104" s="64">
        <v>4.21</v>
      </c>
      <c r="J104" s="64">
        <v>0.37</v>
      </c>
      <c r="K104" s="64">
        <v>192.04</v>
      </c>
      <c r="L104" s="64">
        <v>22.73</v>
      </c>
      <c r="M104" s="64">
        <v>77.569999999999993</v>
      </c>
      <c r="N104" s="64">
        <v>26.1</v>
      </c>
      <c r="O104" s="64">
        <v>0</v>
      </c>
      <c r="P104" s="64">
        <v>0.4</v>
      </c>
      <c r="Q104" s="64">
        <v>9.26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0.1</v>
      </c>
      <c r="D106" s="67">
        <f t="shared" ref="D106:Q106" si="0">MIN(D9:D104)</f>
        <v>0.05</v>
      </c>
      <c r="E106" s="67">
        <f t="shared" si="0"/>
        <v>0.56000000000000005</v>
      </c>
      <c r="F106" s="67">
        <f t="shared" si="0"/>
        <v>3.3</v>
      </c>
      <c r="G106" s="67">
        <f t="shared" si="0"/>
        <v>17.239999999999998</v>
      </c>
      <c r="H106" s="67">
        <f t="shared" si="0"/>
        <v>7.65</v>
      </c>
      <c r="I106" s="67">
        <f t="shared" si="0"/>
        <v>3.05</v>
      </c>
      <c r="J106" s="67">
        <f t="shared" si="0"/>
        <v>0.02</v>
      </c>
      <c r="K106" s="67">
        <f t="shared" si="0"/>
        <v>3.35</v>
      </c>
      <c r="L106" s="67">
        <f t="shared" si="0"/>
        <v>20.81</v>
      </c>
      <c r="M106" s="67">
        <f t="shared" si="0"/>
        <v>25.4</v>
      </c>
      <c r="N106" s="67">
        <f t="shared" si="0"/>
        <v>17.7</v>
      </c>
      <c r="O106" s="67">
        <f t="shared" si="0"/>
        <v>0</v>
      </c>
      <c r="P106" s="67">
        <f t="shared" si="0"/>
        <v>0.37</v>
      </c>
      <c r="Q106" s="67">
        <f t="shared" si="0"/>
        <v>9.16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0.3</v>
      </c>
      <c r="C107" s="66">
        <f t="shared" ref="C107:Q107" si="1">MAX(C9:C104)</f>
        <v>5.41</v>
      </c>
      <c r="D107" s="66">
        <f t="shared" si="1"/>
        <v>2.89</v>
      </c>
      <c r="E107" s="66">
        <f t="shared" si="1"/>
        <v>2.48</v>
      </c>
      <c r="F107" s="66">
        <f t="shared" si="1"/>
        <v>10.93</v>
      </c>
      <c r="G107" s="66">
        <f t="shared" si="1"/>
        <v>67.400000000000006</v>
      </c>
      <c r="H107" s="66">
        <f t="shared" si="1"/>
        <v>21.95</v>
      </c>
      <c r="I107" s="66">
        <f t="shared" si="1"/>
        <v>8.14</v>
      </c>
      <c r="J107" s="66">
        <f t="shared" si="1"/>
        <v>3.4</v>
      </c>
      <c r="K107" s="66">
        <f t="shared" si="1"/>
        <v>351.86</v>
      </c>
      <c r="L107" s="66">
        <f t="shared" si="1"/>
        <v>38.93</v>
      </c>
      <c r="M107" s="66">
        <f t="shared" si="1"/>
        <v>92.92</v>
      </c>
      <c r="N107" s="66">
        <f t="shared" si="1"/>
        <v>910.8</v>
      </c>
      <c r="O107" s="66">
        <f t="shared" si="1"/>
        <v>1.2</v>
      </c>
      <c r="P107" s="66">
        <f t="shared" si="1"/>
        <v>0.81</v>
      </c>
      <c r="Q107" s="66">
        <f t="shared" si="1"/>
        <v>9.42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0.10437499999999979</v>
      </c>
      <c r="C108" s="67">
        <f t="shared" ref="C108:Q108" si="2">AVERAGE(C9:C104)</f>
        <v>2.93175824175824</v>
      </c>
      <c r="D108" s="67">
        <f t="shared" si="2"/>
        <v>1.5353846153846151</v>
      </c>
      <c r="E108" s="67">
        <f t="shared" si="2"/>
        <v>1.3789583333333333</v>
      </c>
      <c r="F108" s="67">
        <f t="shared" si="2"/>
        <v>5.0397916666666678</v>
      </c>
      <c r="G108" s="67">
        <f t="shared" si="2"/>
        <v>46.446979166666665</v>
      </c>
      <c r="H108" s="67">
        <f t="shared" si="2"/>
        <v>15.213020833333339</v>
      </c>
      <c r="I108" s="67">
        <f t="shared" si="2"/>
        <v>6.0696875000000032</v>
      </c>
      <c r="J108" s="67">
        <f t="shared" si="2"/>
        <v>0.61927083333333333</v>
      </c>
      <c r="K108" s="67">
        <f t="shared" si="2"/>
        <v>231.64499999999995</v>
      </c>
      <c r="L108" s="67">
        <f t="shared" si="2"/>
        <v>29.220625000000002</v>
      </c>
      <c r="M108" s="67">
        <f t="shared" si="2"/>
        <v>53.611770833333331</v>
      </c>
      <c r="N108" s="67">
        <f t="shared" si="2"/>
        <v>240.01041666666671</v>
      </c>
      <c r="O108" s="67">
        <f t="shared" si="2"/>
        <v>3.1250000000000007E-2</v>
      </c>
      <c r="P108" s="67">
        <f t="shared" si="2"/>
        <v>0.50541666666666651</v>
      </c>
      <c r="Q108" s="67">
        <f t="shared" si="2"/>
        <v>9.2713541666666686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2.6028830169641703E-2</v>
      </c>
      <c r="C109" s="67">
        <f t="shared" ref="C109:Q109" si="3">STDEV(C9:C104)</f>
        <v>1.3391536244182149</v>
      </c>
      <c r="D109" s="67">
        <f t="shared" si="3"/>
        <v>0.7056207790029172</v>
      </c>
      <c r="E109" s="67">
        <f t="shared" si="3"/>
        <v>0.44143183098130762</v>
      </c>
      <c r="F109" s="67">
        <f t="shared" si="3"/>
        <v>1.6162477527426327</v>
      </c>
      <c r="G109" s="67">
        <f t="shared" si="3"/>
        <v>11.155454188285216</v>
      </c>
      <c r="H109" s="67">
        <f t="shared" si="3"/>
        <v>3.2250875532111101</v>
      </c>
      <c r="I109" s="67">
        <f t="shared" si="3"/>
        <v>1.2624524613248698</v>
      </c>
      <c r="J109" s="67">
        <f t="shared" si="3"/>
        <v>0.66794932803661211</v>
      </c>
      <c r="K109" s="67">
        <f t="shared" si="3"/>
        <v>111.81585779636475</v>
      </c>
      <c r="L109" s="67">
        <f t="shared" si="3"/>
        <v>5.5979586152359957</v>
      </c>
      <c r="M109" s="67">
        <f t="shared" si="3"/>
        <v>18.135799025816997</v>
      </c>
      <c r="N109" s="67">
        <f t="shared" si="3"/>
        <v>310.11033197172577</v>
      </c>
      <c r="O109" s="67">
        <f t="shared" si="3"/>
        <v>0.1460443335717653</v>
      </c>
      <c r="P109" s="67">
        <f t="shared" si="3"/>
        <v>0.12042832912624982</v>
      </c>
      <c r="Q109" s="67">
        <f t="shared" si="3"/>
        <v>7.4701085621177291E-2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COUNT(C9:C104)+5</f>
        <v>96</v>
      </c>
      <c r="D110" s="66">
        <f>COUNT(D9:D104)+5</f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1398</v>
      </c>
      <c r="B9" s="64">
        <v>0.1</v>
      </c>
      <c r="C9" s="64">
        <v>0.52</v>
      </c>
      <c r="D9" s="64">
        <v>0.27</v>
      </c>
      <c r="E9" s="64">
        <v>1.34</v>
      </c>
      <c r="F9" s="64">
        <v>4.53</v>
      </c>
      <c r="G9" s="64">
        <v>14.83</v>
      </c>
      <c r="H9" s="64">
        <v>7.15</v>
      </c>
      <c r="I9" s="64">
        <v>4.13</v>
      </c>
      <c r="J9" s="64">
        <v>0.04</v>
      </c>
      <c r="K9" s="64">
        <v>121.5</v>
      </c>
      <c r="L9" s="64">
        <v>22.51</v>
      </c>
      <c r="M9" s="64">
        <v>82.23</v>
      </c>
      <c r="N9" s="64">
        <v>26.1</v>
      </c>
      <c r="O9" s="64">
        <v>0</v>
      </c>
      <c r="P9" s="64">
        <v>0.39</v>
      </c>
      <c r="Q9" s="64">
        <v>9.24</v>
      </c>
      <c r="R9" s="198"/>
      <c r="S9" s="198"/>
      <c r="T9" s="198"/>
      <c r="U9" s="198"/>
    </row>
    <row r="10" spans="1:21" s="12" customFormat="1" x14ac:dyDescent="0.25">
      <c r="A10" s="216" t="s">
        <v>1399</v>
      </c>
      <c r="B10" s="64">
        <v>0.1</v>
      </c>
      <c r="C10" s="64">
        <v>0.18</v>
      </c>
      <c r="D10" s="64">
        <v>0.09</v>
      </c>
      <c r="E10" s="64">
        <v>1.38</v>
      </c>
      <c r="F10" s="64">
        <v>4.8899999999999997</v>
      </c>
      <c r="G10" s="64">
        <v>14.83</v>
      </c>
      <c r="H10" s="64">
        <v>7.15</v>
      </c>
      <c r="I10" s="64">
        <v>4.0599999999999996</v>
      </c>
      <c r="J10" s="64">
        <v>0.09</v>
      </c>
      <c r="K10" s="64">
        <v>28.51</v>
      </c>
      <c r="L10" s="64">
        <v>22.42</v>
      </c>
      <c r="M10" s="64">
        <v>84.51</v>
      </c>
      <c r="N10" s="64">
        <v>26</v>
      </c>
      <c r="O10" s="64">
        <v>0</v>
      </c>
      <c r="P10" s="64">
        <v>0.38</v>
      </c>
      <c r="Q10" s="64">
        <v>9.2100000000000009</v>
      </c>
      <c r="R10" s="198"/>
      <c r="S10" s="198"/>
      <c r="T10" s="198"/>
      <c r="U10" s="198"/>
    </row>
    <row r="11" spans="1:21" s="12" customFormat="1" x14ac:dyDescent="0.25">
      <c r="A11" s="216" t="s">
        <v>1400</v>
      </c>
      <c r="B11" s="214" t="s">
        <v>42</v>
      </c>
      <c r="C11" s="214" t="s">
        <v>42</v>
      </c>
      <c r="D11" s="214" t="s">
        <v>42</v>
      </c>
      <c r="E11" s="64">
        <v>1.18</v>
      </c>
      <c r="F11" s="64">
        <v>5.14</v>
      </c>
      <c r="G11" s="64">
        <v>14.83</v>
      </c>
      <c r="H11" s="64">
        <v>7.15</v>
      </c>
      <c r="I11" s="64">
        <v>4.07</v>
      </c>
      <c r="J11" s="64">
        <v>0.2</v>
      </c>
      <c r="K11" s="64">
        <v>24.09</v>
      </c>
      <c r="L11" s="64">
        <v>22.3</v>
      </c>
      <c r="M11" s="64">
        <v>86.58</v>
      </c>
      <c r="N11" s="64">
        <v>26</v>
      </c>
      <c r="O11" s="64">
        <v>0</v>
      </c>
      <c r="P11" s="64">
        <v>0.36</v>
      </c>
      <c r="Q11" s="64">
        <v>9.19</v>
      </c>
      <c r="R11" s="198"/>
      <c r="S11" s="198"/>
      <c r="T11" s="198"/>
      <c r="U11" s="198"/>
    </row>
    <row r="12" spans="1:21" s="12" customFormat="1" x14ac:dyDescent="0.25">
      <c r="A12" s="216" t="s">
        <v>1401</v>
      </c>
      <c r="B12" s="214" t="s">
        <v>42</v>
      </c>
      <c r="C12" s="214" t="s">
        <v>42</v>
      </c>
      <c r="D12" s="214" t="s">
        <v>42</v>
      </c>
      <c r="E12" s="64">
        <v>1.42</v>
      </c>
      <c r="F12" s="64">
        <v>5.51</v>
      </c>
      <c r="G12" s="64">
        <v>16.59</v>
      </c>
      <c r="H12" s="64">
        <v>7.21</v>
      </c>
      <c r="I12" s="64">
        <v>3.85</v>
      </c>
      <c r="J12" s="64">
        <v>0.19</v>
      </c>
      <c r="K12" s="64">
        <v>37.479999999999997</v>
      </c>
      <c r="L12" s="64">
        <v>22.29</v>
      </c>
      <c r="M12" s="64">
        <v>87.37</v>
      </c>
      <c r="N12" s="64">
        <v>26</v>
      </c>
      <c r="O12" s="64">
        <v>0</v>
      </c>
      <c r="P12" s="64">
        <v>0.35</v>
      </c>
      <c r="Q12" s="64">
        <v>9.1999999999999993</v>
      </c>
      <c r="R12" s="198"/>
      <c r="S12" s="198"/>
      <c r="T12" s="198"/>
      <c r="U12" s="198"/>
    </row>
    <row r="13" spans="1:21" s="12" customFormat="1" x14ac:dyDescent="0.25">
      <c r="A13" s="216" t="s">
        <v>1402</v>
      </c>
      <c r="B13" s="214" t="s">
        <v>42</v>
      </c>
      <c r="C13" s="214" t="s">
        <v>42</v>
      </c>
      <c r="D13" s="214" t="s">
        <v>42</v>
      </c>
      <c r="E13" s="64">
        <v>1.33</v>
      </c>
      <c r="F13" s="64">
        <v>5.45</v>
      </c>
      <c r="G13" s="64">
        <v>17.82</v>
      </c>
      <c r="H13" s="64">
        <v>7.26</v>
      </c>
      <c r="I13" s="64">
        <v>3.59</v>
      </c>
      <c r="J13" s="64">
        <v>0.09</v>
      </c>
      <c r="K13" s="64">
        <v>22.08</v>
      </c>
      <c r="L13" s="64">
        <v>22.2</v>
      </c>
      <c r="M13" s="64">
        <v>87.67</v>
      </c>
      <c r="N13" s="64">
        <v>26</v>
      </c>
      <c r="O13" s="64">
        <v>0</v>
      </c>
      <c r="P13" s="64">
        <v>0.31</v>
      </c>
      <c r="Q13" s="64">
        <v>9.19</v>
      </c>
      <c r="R13" s="198"/>
      <c r="S13" s="198"/>
      <c r="T13" s="198"/>
      <c r="U13" s="198"/>
    </row>
    <row r="14" spans="1:21" s="12" customFormat="1" x14ac:dyDescent="0.25">
      <c r="A14" s="216" t="s">
        <v>1403</v>
      </c>
      <c r="B14" s="214" t="s">
        <v>42</v>
      </c>
      <c r="C14" s="214" t="s">
        <v>42</v>
      </c>
      <c r="D14" s="214" t="s">
        <v>42</v>
      </c>
      <c r="E14" s="64">
        <v>1.62</v>
      </c>
      <c r="F14" s="64">
        <v>5.07</v>
      </c>
      <c r="G14" s="64">
        <v>17.82</v>
      </c>
      <c r="H14" s="64">
        <v>7.26</v>
      </c>
      <c r="I14" s="64">
        <v>3.33</v>
      </c>
      <c r="J14" s="64">
        <v>0.19</v>
      </c>
      <c r="K14" s="64">
        <v>349.39</v>
      </c>
      <c r="L14" s="64">
        <v>22.19</v>
      </c>
      <c r="M14" s="64">
        <v>87.7</v>
      </c>
      <c r="N14" s="64">
        <v>26</v>
      </c>
      <c r="O14" s="64">
        <v>0</v>
      </c>
      <c r="P14" s="64">
        <v>0.32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6" t="s">
        <v>1404</v>
      </c>
      <c r="B15" s="214" t="s">
        <v>42</v>
      </c>
      <c r="C15" s="214" t="s">
        <v>42</v>
      </c>
      <c r="D15" s="214" t="s">
        <v>42</v>
      </c>
      <c r="E15" s="64">
        <v>1.1000000000000001</v>
      </c>
      <c r="F15" s="64">
        <v>4.99</v>
      </c>
      <c r="G15" s="64">
        <v>17.82</v>
      </c>
      <c r="H15" s="64">
        <v>7.26</v>
      </c>
      <c r="I15" s="64">
        <v>3.1</v>
      </c>
      <c r="J15" s="64">
        <v>0.36</v>
      </c>
      <c r="K15" s="64">
        <v>329.93</v>
      </c>
      <c r="L15" s="64">
        <v>22.21</v>
      </c>
      <c r="M15" s="64">
        <v>85.65</v>
      </c>
      <c r="N15" s="64">
        <v>26.1</v>
      </c>
      <c r="O15" s="64">
        <v>0</v>
      </c>
      <c r="P15" s="64">
        <v>0.31</v>
      </c>
      <c r="Q15" s="64">
        <v>9.14</v>
      </c>
      <c r="R15" s="198"/>
      <c r="S15" s="198"/>
      <c r="T15" s="198"/>
      <c r="U15" s="198"/>
    </row>
    <row r="16" spans="1:21" s="12" customFormat="1" x14ac:dyDescent="0.25">
      <c r="A16" s="216" t="s">
        <v>1405</v>
      </c>
      <c r="B16" s="214" t="s">
        <v>42</v>
      </c>
      <c r="C16" s="214" t="s">
        <v>42</v>
      </c>
      <c r="D16" s="214" t="s">
        <v>42</v>
      </c>
      <c r="E16" s="64">
        <v>1.3</v>
      </c>
      <c r="F16" s="64">
        <v>5.39</v>
      </c>
      <c r="G16" s="64">
        <v>16.97</v>
      </c>
      <c r="H16" s="64">
        <v>6.11</v>
      </c>
      <c r="I16" s="64">
        <v>2.72</v>
      </c>
      <c r="J16" s="64">
        <v>0.38</v>
      </c>
      <c r="K16" s="64">
        <v>323.67</v>
      </c>
      <c r="L16" s="64">
        <v>22.1</v>
      </c>
      <c r="M16" s="64">
        <v>85.73</v>
      </c>
      <c r="N16" s="64">
        <v>26</v>
      </c>
      <c r="O16" s="64">
        <v>0</v>
      </c>
      <c r="P16" s="64">
        <v>0.3</v>
      </c>
      <c r="Q16" s="64">
        <v>9.11</v>
      </c>
      <c r="R16" s="198"/>
      <c r="S16" s="198"/>
      <c r="T16" s="198"/>
      <c r="U16" s="198"/>
    </row>
    <row r="17" spans="1:21" s="12" customFormat="1" x14ac:dyDescent="0.25">
      <c r="A17" s="216" t="s">
        <v>1406</v>
      </c>
      <c r="B17" s="214" t="s">
        <v>42</v>
      </c>
      <c r="C17" s="214" t="s">
        <v>42</v>
      </c>
      <c r="D17" s="214" t="s">
        <v>42</v>
      </c>
      <c r="E17" s="64">
        <v>1.36</v>
      </c>
      <c r="F17" s="64">
        <v>5.47</v>
      </c>
      <c r="G17" s="64">
        <v>16.38</v>
      </c>
      <c r="H17" s="64">
        <v>5.31</v>
      </c>
      <c r="I17" s="64">
        <v>2.57</v>
      </c>
      <c r="J17" s="64">
        <v>0.35</v>
      </c>
      <c r="K17" s="64">
        <v>331.96</v>
      </c>
      <c r="L17" s="64">
        <v>22.05</v>
      </c>
      <c r="M17" s="64">
        <v>83.66</v>
      </c>
      <c r="N17" s="64">
        <v>26</v>
      </c>
      <c r="O17" s="64">
        <v>0</v>
      </c>
      <c r="P17" s="64">
        <v>0.28999999999999998</v>
      </c>
      <c r="Q17" s="64">
        <v>9.1199999999999992</v>
      </c>
      <c r="R17" s="198"/>
      <c r="S17" s="198"/>
      <c r="T17" s="198"/>
      <c r="U17" s="198"/>
    </row>
    <row r="18" spans="1:21" s="12" customFormat="1" x14ac:dyDescent="0.25">
      <c r="A18" s="216" t="s">
        <v>1407</v>
      </c>
      <c r="B18" s="214" t="s">
        <v>42</v>
      </c>
      <c r="C18" s="214" t="s">
        <v>42</v>
      </c>
      <c r="D18" s="214" t="s">
        <v>42</v>
      </c>
      <c r="E18" s="64">
        <v>1.44</v>
      </c>
      <c r="F18" s="64">
        <v>5.57</v>
      </c>
      <c r="G18" s="64">
        <v>16.38</v>
      </c>
      <c r="H18" s="64">
        <v>5.31</v>
      </c>
      <c r="I18" s="64">
        <v>2.46</v>
      </c>
      <c r="J18" s="64">
        <v>0.31</v>
      </c>
      <c r="K18" s="64">
        <v>329.87</v>
      </c>
      <c r="L18" s="64">
        <v>22.05</v>
      </c>
      <c r="M18" s="64">
        <v>83.14</v>
      </c>
      <c r="N18" s="64">
        <v>25.9</v>
      </c>
      <c r="O18" s="64">
        <v>0</v>
      </c>
      <c r="P18" s="64">
        <v>0.28000000000000003</v>
      </c>
      <c r="Q18" s="64">
        <v>9.14</v>
      </c>
      <c r="R18" s="198"/>
      <c r="S18" s="198"/>
      <c r="T18" s="198"/>
      <c r="U18" s="198"/>
    </row>
    <row r="19" spans="1:21" s="12" customFormat="1" x14ac:dyDescent="0.25">
      <c r="A19" s="216" t="s">
        <v>1408</v>
      </c>
      <c r="B19" s="214" t="s">
        <v>42</v>
      </c>
      <c r="C19" s="214" t="s">
        <v>42</v>
      </c>
      <c r="D19" s="214" t="s">
        <v>42</v>
      </c>
      <c r="E19" s="64">
        <v>1.44</v>
      </c>
      <c r="F19" s="64">
        <v>5.49</v>
      </c>
      <c r="G19" s="64">
        <v>16.38</v>
      </c>
      <c r="H19" s="64">
        <v>5.31</v>
      </c>
      <c r="I19" s="64">
        <v>2.31</v>
      </c>
      <c r="J19" s="64">
        <v>1.86</v>
      </c>
      <c r="K19" s="64">
        <v>328.11</v>
      </c>
      <c r="L19" s="64">
        <v>22.1</v>
      </c>
      <c r="M19" s="64">
        <v>84.12</v>
      </c>
      <c r="N19" s="64">
        <v>25.2</v>
      </c>
      <c r="O19" s="64">
        <v>0</v>
      </c>
      <c r="P19" s="64">
        <v>0.28000000000000003</v>
      </c>
      <c r="Q19" s="64">
        <v>9.1199999999999992</v>
      </c>
      <c r="R19" s="198"/>
      <c r="S19" s="198"/>
      <c r="T19" s="198"/>
      <c r="U19" s="198"/>
    </row>
    <row r="20" spans="1:21" s="12" customFormat="1" x14ac:dyDescent="0.25">
      <c r="A20" s="216" t="s">
        <v>1409</v>
      </c>
      <c r="B20" s="64">
        <v>0.1</v>
      </c>
      <c r="C20" s="64">
        <v>0.27</v>
      </c>
      <c r="D20" s="64">
        <v>0.14000000000000001</v>
      </c>
      <c r="E20" s="64">
        <v>1.41</v>
      </c>
      <c r="F20" s="64">
        <v>5.97</v>
      </c>
      <c r="G20" s="64">
        <v>16.73</v>
      </c>
      <c r="H20" s="64">
        <v>6.62</v>
      </c>
      <c r="I20" s="64">
        <v>2.19</v>
      </c>
      <c r="J20" s="64">
        <v>1.8</v>
      </c>
      <c r="K20" s="64">
        <v>314.79000000000002</v>
      </c>
      <c r="L20" s="64">
        <v>22.16</v>
      </c>
      <c r="M20" s="64">
        <v>80.790000000000006</v>
      </c>
      <c r="N20" s="64">
        <v>26.2</v>
      </c>
      <c r="O20" s="64">
        <v>0</v>
      </c>
      <c r="P20" s="64">
        <v>0.27</v>
      </c>
      <c r="Q20" s="64">
        <v>9.14</v>
      </c>
      <c r="R20" s="198"/>
      <c r="S20" s="198"/>
      <c r="T20" s="198"/>
      <c r="U20" s="198"/>
    </row>
    <row r="21" spans="1:21" s="12" customFormat="1" x14ac:dyDescent="0.25">
      <c r="A21" s="216" t="s">
        <v>1410</v>
      </c>
      <c r="B21" s="64">
        <v>0.1</v>
      </c>
      <c r="C21" s="64">
        <v>0.42</v>
      </c>
      <c r="D21" s="64">
        <v>0.22</v>
      </c>
      <c r="E21" s="64">
        <v>1.02</v>
      </c>
      <c r="F21" s="64">
        <v>5.54</v>
      </c>
      <c r="G21" s="64">
        <v>16.97</v>
      </c>
      <c r="H21" s="64">
        <v>7.53</v>
      </c>
      <c r="I21" s="64">
        <v>2.13</v>
      </c>
      <c r="J21" s="64">
        <v>1.28</v>
      </c>
      <c r="K21" s="64">
        <v>311.35000000000002</v>
      </c>
      <c r="L21" s="64">
        <v>22.04</v>
      </c>
      <c r="M21" s="64">
        <v>80.06</v>
      </c>
      <c r="N21" s="64">
        <v>26.1</v>
      </c>
      <c r="O21" s="64">
        <v>0</v>
      </c>
      <c r="P21" s="64">
        <v>0.27</v>
      </c>
      <c r="Q21" s="64">
        <v>9.16</v>
      </c>
      <c r="R21" s="198"/>
      <c r="S21" s="198"/>
      <c r="T21" s="198"/>
      <c r="U21" s="198"/>
    </row>
    <row r="22" spans="1:21" s="12" customFormat="1" x14ac:dyDescent="0.25">
      <c r="A22" s="216" t="s">
        <v>1411</v>
      </c>
      <c r="B22" s="64">
        <v>0.1</v>
      </c>
      <c r="C22" s="64">
        <v>0.31</v>
      </c>
      <c r="D22" s="64">
        <v>0.16</v>
      </c>
      <c r="E22" s="64">
        <v>1.43</v>
      </c>
      <c r="F22" s="64">
        <v>5.08</v>
      </c>
      <c r="G22" s="64">
        <v>16.97</v>
      </c>
      <c r="H22" s="64">
        <v>7.53</v>
      </c>
      <c r="I22" s="64">
        <v>2.09</v>
      </c>
      <c r="J22" s="64">
        <v>1.26</v>
      </c>
      <c r="K22" s="64">
        <v>312.62</v>
      </c>
      <c r="L22" s="64">
        <v>22.02</v>
      </c>
      <c r="M22" s="64">
        <v>79.400000000000006</v>
      </c>
      <c r="N22" s="64">
        <v>26</v>
      </c>
      <c r="O22" s="64">
        <v>0</v>
      </c>
      <c r="P22" s="64">
        <v>0.27</v>
      </c>
      <c r="Q22" s="64">
        <v>9.1999999999999993</v>
      </c>
      <c r="R22" s="198"/>
      <c r="S22" s="198"/>
      <c r="T22" s="198"/>
      <c r="U22" s="198"/>
    </row>
    <row r="23" spans="1:21" s="12" customFormat="1" x14ac:dyDescent="0.25">
      <c r="A23" s="216" t="s">
        <v>1412</v>
      </c>
      <c r="B23" s="64">
        <v>0.1</v>
      </c>
      <c r="C23" s="64">
        <v>0.41</v>
      </c>
      <c r="D23" s="64">
        <v>0.21</v>
      </c>
      <c r="E23" s="64">
        <v>1.53</v>
      </c>
      <c r="F23" s="64">
        <v>4.6399999999999997</v>
      </c>
      <c r="G23" s="64">
        <v>16.97</v>
      </c>
      <c r="H23" s="64">
        <v>7.53</v>
      </c>
      <c r="I23" s="64">
        <v>2.23</v>
      </c>
      <c r="J23" s="64">
        <v>0.91</v>
      </c>
      <c r="K23" s="64">
        <v>309.08</v>
      </c>
      <c r="L23" s="64">
        <v>22.02</v>
      </c>
      <c r="M23" s="64">
        <v>78.83</v>
      </c>
      <c r="N23" s="64">
        <v>26</v>
      </c>
      <c r="O23" s="64">
        <v>0</v>
      </c>
      <c r="P23" s="64">
        <v>0.26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6" t="s">
        <v>1413</v>
      </c>
      <c r="B24" s="64">
        <v>0.1</v>
      </c>
      <c r="C24" s="64">
        <v>0.53</v>
      </c>
      <c r="D24" s="64">
        <v>0.28000000000000003</v>
      </c>
      <c r="E24" s="64">
        <v>0.88</v>
      </c>
      <c r="F24" s="64">
        <v>4.0999999999999996</v>
      </c>
      <c r="G24" s="64">
        <v>16.43</v>
      </c>
      <c r="H24" s="64">
        <v>6.59</v>
      </c>
      <c r="I24" s="64">
        <v>2.17</v>
      </c>
      <c r="J24" s="64">
        <v>1.05</v>
      </c>
      <c r="K24" s="64">
        <v>313.54000000000002</v>
      </c>
      <c r="L24" s="64">
        <v>22.08</v>
      </c>
      <c r="M24" s="64">
        <v>78.63</v>
      </c>
      <c r="N24" s="64">
        <v>25.6</v>
      </c>
      <c r="O24" s="64">
        <v>0</v>
      </c>
      <c r="P24" s="64">
        <v>0.26</v>
      </c>
      <c r="Q24" s="64">
        <v>9.2100000000000009</v>
      </c>
      <c r="R24" s="198"/>
      <c r="S24" s="198"/>
      <c r="T24" s="198"/>
      <c r="U24" s="198"/>
    </row>
    <row r="25" spans="1:21" s="12" customFormat="1" x14ac:dyDescent="0.25">
      <c r="A25" s="216" t="s">
        <v>1414</v>
      </c>
      <c r="B25" s="64">
        <v>0.1</v>
      </c>
      <c r="C25" s="64">
        <v>0.62</v>
      </c>
      <c r="D25" s="64">
        <v>0.32</v>
      </c>
      <c r="E25" s="64">
        <v>0.62</v>
      </c>
      <c r="F25" s="64">
        <v>5.0599999999999996</v>
      </c>
      <c r="G25" s="64">
        <v>16.059999999999999</v>
      </c>
      <c r="H25" s="64">
        <v>5.93</v>
      </c>
      <c r="I25" s="64">
        <v>2.09</v>
      </c>
      <c r="J25" s="64">
        <v>1.31</v>
      </c>
      <c r="K25" s="64">
        <v>327.25</v>
      </c>
      <c r="L25" s="64">
        <v>22.28</v>
      </c>
      <c r="M25" s="64">
        <v>78.040000000000006</v>
      </c>
      <c r="N25" s="64">
        <v>25.9</v>
      </c>
      <c r="O25" s="64">
        <v>0</v>
      </c>
      <c r="P25" s="64">
        <v>0.25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6" t="s">
        <v>1415</v>
      </c>
      <c r="B26" s="64">
        <v>0.1</v>
      </c>
      <c r="C26" s="64">
        <v>0.61</v>
      </c>
      <c r="D26" s="64">
        <v>0.32</v>
      </c>
      <c r="E26" s="64">
        <v>0.8</v>
      </c>
      <c r="F26" s="64">
        <v>4.45</v>
      </c>
      <c r="G26" s="64">
        <v>16.059999999999999</v>
      </c>
      <c r="H26" s="64">
        <v>5.93</v>
      </c>
      <c r="I26" s="64">
        <v>2.0699999999999998</v>
      </c>
      <c r="J26" s="64">
        <v>1.2</v>
      </c>
      <c r="K26" s="64">
        <v>326.43</v>
      </c>
      <c r="L26" s="64">
        <v>22.28</v>
      </c>
      <c r="M26" s="64">
        <v>78.39</v>
      </c>
      <c r="N26" s="64">
        <v>26.2</v>
      </c>
      <c r="O26" s="64">
        <v>0</v>
      </c>
      <c r="P26" s="64">
        <v>0.25</v>
      </c>
      <c r="Q26" s="64">
        <v>9.1999999999999993</v>
      </c>
      <c r="R26" s="198"/>
      <c r="S26" s="198"/>
      <c r="T26" s="198"/>
      <c r="U26" s="198"/>
    </row>
    <row r="27" spans="1:21" s="12" customFormat="1" x14ac:dyDescent="0.25">
      <c r="A27" s="216" t="s">
        <v>1416</v>
      </c>
      <c r="B27" s="64">
        <v>0.1</v>
      </c>
      <c r="C27" s="64">
        <v>0.63</v>
      </c>
      <c r="D27" s="64">
        <v>0.33</v>
      </c>
      <c r="E27" s="64">
        <v>0.63</v>
      </c>
      <c r="F27" s="64">
        <v>3.84</v>
      </c>
      <c r="G27" s="64">
        <v>16.059999999999999</v>
      </c>
      <c r="H27" s="64">
        <v>5.93</v>
      </c>
      <c r="I27" s="64">
        <v>1.98</v>
      </c>
      <c r="J27" s="64">
        <v>0.95</v>
      </c>
      <c r="K27" s="64">
        <v>325.58</v>
      </c>
      <c r="L27" s="64">
        <v>22.25</v>
      </c>
      <c r="M27" s="64">
        <v>77.95</v>
      </c>
      <c r="N27" s="64">
        <v>26.1</v>
      </c>
      <c r="O27" s="64">
        <v>0</v>
      </c>
      <c r="P27" s="64">
        <v>0.25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16" t="s">
        <v>1417</v>
      </c>
      <c r="B28" s="64">
        <v>0.1</v>
      </c>
      <c r="C28" s="64">
        <v>0.59</v>
      </c>
      <c r="D28" s="64">
        <v>0.31</v>
      </c>
      <c r="E28" s="64">
        <v>1.04</v>
      </c>
      <c r="F28" s="64">
        <v>4.0999999999999996</v>
      </c>
      <c r="G28" s="64">
        <v>16.09</v>
      </c>
      <c r="H28" s="64">
        <v>6</v>
      </c>
      <c r="I28" s="64">
        <v>1.77</v>
      </c>
      <c r="J28" s="64">
        <v>0.36</v>
      </c>
      <c r="K28" s="64">
        <v>323.32</v>
      </c>
      <c r="L28" s="64">
        <v>22.23</v>
      </c>
      <c r="M28" s="64">
        <v>77.44</v>
      </c>
      <c r="N28" s="64">
        <v>26.5</v>
      </c>
      <c r="O28" s="64">
        <v>0</v>
      </c>
      <c r="P28" s="64">
        <v>0.25</v>
      </c>
      <c r="Q28" s="64">
        <v>9.19</v>
      </c>
      <c r="R28" s="198"/>
      <c r="S28" s="198"/>
      <c r="T28" s="198"/>
      <c r="U28" s="198"/>
    </row>
    <row r="29" spans="1:21" s="12" customFormat="1" x14ac:dyDescent="0.25">
      <c r="A29" s="216" t="s">
        <v>1418</v>
      </c>
      <c r="B29" s="64">
        <v>0.1</v>
      </c>
      <c r="C29" s="64">
        <v>0.53</v>
      </c>
      <c r="D29" s="64">
        <v>0.28000000000000003</v>
      </c>
      <c r="E29" s="64">
        <v>1</v>
      </c>
      <c r="F29" s="64">
        <v>3.84</v>
      </c>
      <c r="G29" s="64">
        <v>16.100000000000001</v>
      </c>
      <c r="H29" s="64">
        <v>6.04</v>
      </c>
      <c r="I29" s="64">
        <v>1.89</v>
      </c>
      <c r="J29" s="64">
        <v>0.56999999999999995</v>
      </c>
      <c r="K29" s="64">
        <v>153.29</v>
      </c>
      <c r="L29" s="64">
        <v>22.56</v>
      </c>
      <c r="M29" s="64">
        <v>74.42</v>
      </c>
      <c r="N29" s="64">
        <v>26.4</v>
      </c>
      <c r="O29" s="64">
        <v>0</v>
      </c>
      <c r="P29" s="64">
        <v>0.24</v>
      </c>
      <c r="Q29" s="64">
        <v>9.19</v>
      </c>
      <c r="R29" s="198"/>
      <c r="S29" s="198"/>
      <c r="T29" s="198"/>
      <c r="U29" s="198"/>
    </row>
    <row r="30" spans="1:21" s="12" customFormat="1" x14ac:dyDescent="0.25">
      <c r="A30" s="216" t="s">
        <v>1419</v>
      </c>
      <c r="B30" s="64">
        <v>0.1</v>
      </c>
      <c r="C30" s="64">
        <v>0.79</v>
      </c>
      <c r="D30" s="64">
        <v>0.42</v>
      </c>
      <c r="E30" s="64">
        <v>0.72</v>
      </c>
      <c r="F30" s="64">
        <v>4</v>
      </c>
      <c r="G30" s="64">
        <v>16.100000000000001</v>
      </c>
      <c r="H30" s="64">
        <v>6.04</v>
      </c>
      <c r="I30" s="64">
        <v>2.16</v>
      </c>
      <c r="J30" s="64">
        <v>1.06</v>
      </c>
      <c r="K30" s="64">
        <v>168.17</v>
      </c>
      <c r="L30" s="64">
        <v>22.7</v>
      </c>
      <c r="M30" s="64">
        <v>75.680000000000007</v>
      </c>
      <c r="N30" s="64">
        <v>30.9</v>
      </c>
      <c r="O30" s="64">
        <v>0</v>
      </c>
      <c r="P30" s="64">
        <v>0.24</v>
      </c>
      <c r="Q30" s="64">
        <v>9.17</v>
      </c>
      <c r="R30" s="198"/>
      <c r="S30" s="198"/>
      <c r="T30" s="198"/>
      <c r="U30" s="198"/>
    </row>
    <row r="31" spans="1:21" s="12" customFormat="1" x14ac:dyDescent="0.25">
      <c r="A31" s="216" t="s">
        <v>1420</v>
      </c>
      <c r="B31" s="64">
        <v>0.1</v>
      </c>
      <c r="C31" s="64">
        <v>0.83</v>
      </c>
      <c r="D31" s="64">
        <v>0.43</v>
      </c>
      <c r="E31" s="64">
        <v>0.95</v>
      </c>
      <c r="F31" s="64">
        <v>3.89</v>
      </c>
      <c r="G31" s="64">
        <v>16.100000000000001</v>
      </c>
      <c r="H31" s="64">
        <v>6.04</v>
      </c>
      <c r="I31" s="64">
        <v>2.21</v>
      </c>
      <c r="J31" s="64">
        <v>1.44</v>
      </c>
      <c r="K31" s="64">
        <v>157.13999999999999</v>
      </c>
      <c r="L31" s="64">
        <v>22.36</v>
      </c>
      <c r="M31" s="64">
        <v>78.510000000000005</v>
      </c>
      <c r="N31" s="64">
        <v>44.8</v>
      </c>
      <c r="O31" s="64">
        <v>0</v>
      </c>
      <c r="P31" s="64">
        <v>0.25</v>
      </c>
      <c r="Q31" s="64">
        <v>9.16</v>
      </c>
      <c r="R31" s="198"/>
      <c r="S31" s="198"/>
      <c r="T31" s="198"/>
      <c r="U31" s="198"/>
    </row>
    <row r="32" spans="1:21" s="12" customFormat="1" x14ac:dyDescent="0.25">
      <c r="A32" s="216" t="s">
        <v>1421</v>
      </c>
      <c r="B32" s="64">
        <v>0.1</v>
      </c>
      <c r="C32" s="64">
        <v>1.1200000000000001</v>
      </c>
      <c r="D32" s="64">
        <v>0.59</v>
      </c>
      <c r="E32" s="64">
        <v>1.06</v>
      </c>
      <c r="F32" s="64">
        <v>4</v>
      </c>
      <c r="G32" s="64">
        <v>18.190000000000001</v>
      </c>
      <c r="H32" s="64">
        <v>7.53</v>
      </c>
      <c r="I32" s="64">
        <v>2.2999999999999998</v>
      </c>
      <c r="J32" s="64">
        <v>1.21</v>
      </c>
      <c r="K32" s="64">
        <v>156.80000000000001</v>
      </c>
      <c r="L32" s="64">
        <v>22.37</v>
      </c>
      <c r="M32" s="64">
        <v>78.52</v>
      </c>
      <c r="N32" s="64">
        <v>79.3</v>
      </c>
      <c r="O32" s="64">
        <v>0</v>
      </c>
      <c r="P32" s="64">
        <v>0.25</v>
      </c>
      <c r="Q32" s="64">
        <v>9.15</v>
      </c>
      <c r="R32" s="198"/>
      <c r="S32" s="198"/>
      <c r="T32" s="198"/>
      <c r="U32" s="198"/>
    </row>
    <row r="33" spans="1:21" s="12" customFormat="1" x14ac:dyDescent="0.25">
      <c r="A33" s="216" t="s">
        <v>1422</v>
      </c>
      <c r="B33" s="64">
        <v>0.1</v>
      </c>
      <c r="C33" s="64">
        <v>1.33</v>
      </c>
      <c r="D33" s="64">
        <v>0.69</v>
      </c>
      <c r="E33" s="64">
        <v>0.81</v>
      </c>
      <c r="F33" s="64">
        <v>4.03</v>
      </c>
      <c r="G33" s="64">
        <v>19.649999999999999</v>
      </c>
      <c r="H33" s="64">
        <v>8.57</v>
      </c>
      <c r="I33" s="64">
        <v>2.37</v>
      </c>
      <c r="J33" s="64">
        <v>1.27</v>
      </c>
      <c r="K33" s="64">
        <v>147.28</v>
      </c>
      <c r="L33" s="64">
        <v>22.58</v>
      </c>
      <c r="M33" s="64">
        <v>77.349999999999994</v>
      </c>
      <c r="N33" s="64">
        <v>101.7</v>
      </c>
      <c r="O33" s="64">
        <v>0</v>
      </c>
      <c r="P33" s="64">
        <v>0.25</v>
      </c>
      <c r="Q33" s="64">
        <v>9.16</v>
      </c>
      <c r="R33" s="198"/>
      <c r="S33" s="198"/>
      <c r="T33" s="198"/>
      <c r="U33" s="198"/>
    </row>
    <row r="34" spans="1:21" s="12" customFormat="1" x14ac:dyDescent="0.25">
      <c r="A34" s="216" t="s">
        <v>1423</v>
      </c>
      <c r="B34" s="64">
        <v>0.1</v>
      </c>
      <c r="C34" s="64">
        <v>1.46</v>
      </c>
      <c r="D34" s="64">
        <v>0.76</v>
      </c>
      <c r="E34" s="64">
        <v>0.91</v>
      </c>
      <c r="F34" s="64">
        <v>4.03</v>
      </c>
      <c r="G34" s="64">
        <v>19.649999999999999</v>
      </c>
      <c r="H34" s="64">
        <v>8.57</v>
      </c>
      <c r="I34" s="64">
        <v>2.38</v>
      </c>
      <c r="J34" s="64">
        <v>0.76</v>
      </c>
      <c r="K34" s="64">
        <v>158.18</v>
      </c>
      <c r="L34" s="64">
        <v>22.75</v>
      </c>
      <c r="M34" s="64">
        <v>77.13</v>
      </c>
      <c r="N34" s="64">
        <v>113.1</v>
      </c>
      <c r="O34" s="64">
        <v>0</v>
      </c>
      <c r="P34" s="64">
        <v>0.25</v>
      </c>
      <c r="Q34" s="64">
        <v>9.17</v>
      </c>
      <c r="R34" s="198"/>
      <c r="S34" s="198"/>
      <c r="T34" s="198"/>
      <c r="U34" s="198"/>
    </row>
    <row r="35" spans="1:21" s="12" customFormat="1" x14ac:dyDescent="0.25">
      <c r="A35" s="216" t="s">
        <v>1424</v>
      </c>
      <c r="B35" s="64">
        <v>0.1</v>
      </c>
      <c r="C35" s="64">
        <v>1.5</v>
      </c>
      <c r="D35" s="64">
        <v>0.78</v>
      </c>
      <c r="E35" s="64">
        <v>1.08</v>
      </c>
      <c r="F35" s="64">
        <v>4.13</v>
      </c>
      <c r="G35" s="64">
        <v>19.649999999999999</v>
      </c>
      <c r="H35" s="64">
        <v>8.57</v>
      </c>
      <c r="I35" s="64">
        <v>2.27</v>
      </c>
      <c r="J35" s="64">
        <v>1.63</v>
      </c>
      <c r="K35" s="64">
        <v>156.58000000000001</v>
      </c>
      <c r="L35" s="64">
        <v>23.06</v>
      </c>
      <c r="M35" s="64">
        <v>76.02</v>
      </c>
      <c r="N35" s="64">
        <v>202.3</v>
      </c>
      <c r="O35" s="64">
        <v>0</v>
      </c>
      <c r="P35" s="64">
        <v>0.25</v>
      </c>
      <c r="Q35" s="64">
        <v>9.17</v>
      </c>
      <c r="R35" s="198"/>
      <c r="S35" s="198"/>
      <c r="T35" s="198"/>
      <c r="U35" s="198"/>
    </row>
    <row r="36" spans="1:21" s="12" customFormat="1" x14ac:dyDescent="0.25">
      <c r="A36" s="216" t="s">
        <v>1425</v>
      </c>
      <c r="B36" s="64">
        <v>0.1</v>
      </c>
      <c r="C36" s="64">
        <v>1.74</v>
      </c>
      <c r="D36" s="64">
        <v>0.91</v>
      </c>
      <c r="E36" s="64">
        <v>0.77</v>
      </c>
      <c r="F36" s="64">
        <v>4.38</v>
      </c>
      <c r="G36" s="64">
        <v>19.440000000000001</v>
      </c>
      <c r="H36" s="64">
        <v>8.7799999999999994</v>
      </c>
      <c r="I36" s="64">
        <v>2.5499999999999998</v>
      </c>
      <c r="J36" s="64">
        <v>1.6</v>
      </c>
      <c r="K36" s="64">
        <v>153.38999999999999</v>
      </c>
      <c r="L36" s="64">
        <v>23.65</v>
      </c>
      <c r="M36" s="64">
        <v>73.760000000000005</v>
      </c>
      <c r="N36" s="64">
        <v>265.2</v>
      </c>
      <c r="O36" s="64">
        <v>0</v>
      </c>
      <c r="P36" s="64">
        <v>0.25</v>
      </c>
      <c r="Q36" s="64">
        <v>9.19</v>
      </c>
      <c r="R36" s="198"/>
      <c r="S36" s="198"/>
      <c r="T36" s="198"/>
      <c r="U36" s="198"/>
    </row>
    <row r="37" spans="1:21" s="12" customFormat="1" x14ac:dyDescent="0.25">
      <c r="A37" s="216" t="s">
        <v>1426</v>
      </c>
      <c r="B37" s="64">
        <v>0.1</v>
      </c>
      <c r="C37" s="64">
        <v>1.81</v>
      </c>
      <c r="D37" s="64">
        <v>0.95</v>
      </c>
      <c r="E37" s="64">
        <v>0.5</v>
      </c>
      <c r="F37" s="64">
        <v>4.53</v>
      </c>
      <c r="G37" s="64">
        <v>19.3</v>
      </c>
      <c r="H37" s="64">
        <v>8.92</v>
      </c>
      <c r="I37" s="64">
        <v>2.63</v>
      </c>
      <c r="J37" s="64">
        <v>1.64</v>
      </c>
      <c r="K37" s="64">
        <v>159.84</v>
      </c>
      <c r="L37" s="64">
        <v>24.2</v>
      </c>
      <c r="M37" s="64">
        <v>71.650000000000006</v>
      </c>
      <c r="N37" s="64">
        <v>316.3</v>
      </c>
      <c r="O37" s="64">
        <v>0</v>
      </c>
      <c r="P37" s="64">
        <v>0.24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6" t="s">
        <v>1427</v>
      </c>
      <c r="B38" s="64">
        <v>0.1</v>
      </c>
      <c r="C38" s="64">
        <v>1.87</v>
      </c>
      <c r="D38" s="64">
        <v>0.98</v>
      </c>
      <c r="E38" s="64">
        <v>1.1200000000000001</v>
      </c>
      <c r="F38" s="64">
        <v>4.49</v>
      </c>
      <c r="G38" s="64">
        <v>19.3</v>
      </c>
      <c r="H38" s="64">
        <v>8.92</v>
      </c>
      <c r="I38" s="64">
        <v>2.69</v>
      </c>
      <c r="J38" s="64">
        <v>1.25</v>
      </c>
      <c r="K38" s="64">
        <v>155.19999999999999</v>
      </c>
      <c r="L38" s="64">
        <v>24.65</v>
      </c>
      <c r="M38" s="64">
        <v>69.72</v>
      </c>
      <c r="N38" s="64">
        <v>375</v>
      </c>
      <c r="O38" s="64">
        <v>0</v>
      </c>
      <c r="P38" s="64">
        <v>0.26</v>
      </c>
      <c r="Q38" s="64">
        <v>9.16</v>
      </c>
      <c r="R38" s="198"/>
      <c r="S38" s="198"/>
      <c r="T38" s="198"/>
      <c r="U38" s="198"/>
    </row>
    <row r="39" spans="1:21" s="12" customFormat="1" x14ac:dyDescent="0.25">
      <c r="A39" s="216" t="s">
        <v>1428</v>
      </c>
      <c r="B39" s="64">
        <v>0.1</v>
      </c>
      <c r="C39" s="64">
        <v>2.0099999999999998</v>
      </c>
      <c r="D39" s="64">
        <v>1.05</v>
      </c>
      <c r="E39" s="64">
        <v>1.0900000000000001</v>
      </c>
      <c r="F39" s="64">
        <v>4.67</v>
      </c>
      <c r="G39" s="64">
        <v>19.3</v>
      </c>
      <c r="H39" s="64">
        <v>8.92</v>
      </c>
      <c r="I39" s="64">
        <v>2.77</v>
      </c>
      <c r="J39" s="64">
        <v>0.32</v>
      </c>
      <c r="K39" s="64">
        <v>151.77000000000001</v>
      </c>
      <c r="L39" s="64">
        <v>25.27</v>
      </c>
      <c r="M39" s="64">
        <v>67.47</v>
      </c>
      <c r="N39" s="64">
        <v>358.4</v>
      </c>
      <c r="O39" s="64">
        <v>0</v>
      </c>
      <c r="P39" s="64">
        <v>0.26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6" t="s">
        <v>1429</v>
      </c>
      <c r="B40" s="64">
        <v>0.1</v>
      </c>
      <c r="C40" s="64">
        <v>1.78</v>
      </c>
      <c r="D40" s="64">
        <v>0.93</v>
      </c>
      <c r="E40" s="64">
        <v>1.1100000000000001</v>
      </c>
      <c r="F40" s="64">
        <v>4.78</v>
      </c>
      <c r="G40" s="64">
        <v>18.940000000000001</v>
      </c>
      <c r="H40" s="64">
        <v>8.77</v>
      </c>
      <c r="I40" s="64">
        <v>2.81</v>
      </c>
      <c r="J40" s="64">
        <v>0.06</v>
      </c>
      <c r="K40" s="64">
        <v>12.13</v>
      </c>
      <c r="L40" s="64">
        <v>25.95</v>
      </c>
      <c r="M40" s="64">
        <v>66.11</v>
      </c>
      <c r="N40" s="64">
        <v>438</v>
      </c>
      <c r="O40" s="64">
        <v>0</v>
      </c>
      <c r="P40" s="64">
        <v>0.27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6" t="s">
        <v>1430</v>
      </c>
      <c r="B41" s="64">
        <v>0.1</v>
      </c>
      <c r="C41" s="64">
        <v>1.41</v>
      </c>
      <c r="D41" s="64">
        <v>0.73</v>
      </c>
      <c r="E41" s="64">
        <v>0.39</v>
      </c>
      <c r="F41" s="64">
        <v>5.28</v>
      </c>
      <c r="G41" s="64">
        <v>18.690000000000001</v>
      </c>
      <c r="H41" s="64">
        <v>8.66</v>
      </c>
      <c r="I41" s="64">
        <v>2.88</v>
      </c>
      <c r="J41" s="64">
        <v>0.24</v>
      </c>
      <c r="K41" s="64">
        <v>159.49</v>
      </c>
      <c r="L41" s="64">
        <v>25.66</v>
      </c>
      <c r="M41" s="64">
        <v>66.400000000000006</v>
      </c>
      <c r="N41" s="64">
        <v>466.2</v>
      </c>
      <c r="O41" s="64">
        <v>0</v>
      </c>
      <c r="P41" s="64">
        <v>0.28000000000000003</v>
      </c>
      <c r="Q41" s="64">
        <v>9.18</v>
      </c>
      <c r="R41" s="198"/>
      <c r="S41" s="198"/>
      <c r="T41" s="198"/>
      <c r="U41" s="198"/>
    </row>
    <row r="42" spans="1:21" s="12" customFormat="1" x14ac:dyDescent="0.25">
      <c r="A42" s="216" t="s">
        <v>1431</v>
      </c>
      <c r="B42" s="64">
        <v>0.1</v>
      </c>
      <c r="C42" s="64">
        <v>1.1599999999999999</v>
      </c>
      <c r="D42" s="64">
        <v>0.61</v>
      </c>
      <c r="E42" s="64">
        <v>0.69</v>
      </c>
      <c r="F42" s="64">
        <v>4.54</v>
      </c>
      <c r="G42" s="64">
        <v>18.690000000000001</v>
      </c>
      <c r="H42" s="64">
        <v>8.66</v>
      </c>
      <c r="I42" s="64">
        <v>2.88</v>
      </c>
      <c r="J42" s="64">
        <v>0.47</v>
      </c>
      <c r="K42" s="64">
        <v>145.47</v>
      </c>
      <c r="L42" s="64">
        <v>26.41</v>
      </c>
      <c r="M42" s="64">
        <v>65.040000000000006</v>
      </c>
      <c r="N42" s="64">
        <v>585</v>
      </c>
      <c r="O42" s="64">
        <v>0</v>
      </c>
      <c r="P42" s="64">
        <v>0.28000000000000003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6" t="s">
        <v>1432</v>
      </c>
      <c r="B43" s="64">
        <v>0.1</v>
      </c>
      <c r="C43" s="64">
        <v>1.1499999999999999</v>
      </c>
      <c r="D43" s="64">
        <v>0.6</v>
      </c>
      <c r="E43" s="64">
        <v>0.38</v>
      </c>
      <c r="F43" s="64">
        <v>4.78</v>
      </c>
      <c r="G43" s="64">
        <v>18.690000000000001</v>
      </c>
      <c r="H43" s="64">
        <v>8.66</v>
      </c>
      <c r="I43" s="64">
        <v>2.88</v>
      </c>
      <c r="J43" s="64">
        <v>0.19</v>
      </c>
      <c r="K43" s="64">
        <v>146.47</v>
      </c>
      <c r="L43" s="64">
        <v>27.3</v>
      </c>
      <c r="M43" s="64">
        <v>61.32</v>
      </c>
      <c r="N43" s="64">
        <v>668.8</v>
      </c>
      <c r="O43" s="64">
        <v>0</v>
      </c>
      <c r="P43" s="64">
        <v>0.28999999999999998</v>
      </c>
      <c r="Q43" s="64">
        <v>9.18</v>
      </c>
      <c r="R43" s="198"/>
      <c r="S43" s="198"/>
      <c r="T43" s="198"/>
      <c r="U43" s="198"/>
    </row>
    <row r="44" spans="1:21" s="12" customFormat="1" x14ac:dyDescent="0.25">
      <c r="A44" s="216" t="s">
        <v>1433</v>
      </c>
      <c r="B44" s="64">
        <v>0.1</v>
      </c>
      <c r="C44" s="64">
        <v>1.02</v>
      </c>
      <c r="D44" s="64">
        <v>0.53</v>
      </c>
      <c r="E44" s="64">
        <v>0.73</v>
      </c>
      <c r="F44" s="64">
        <v>4.67</v>
      </c>
      <c r="G44" s="64">
        <v>21.42</v>
      </c>
      <c r="H44" s="64">
        <v>9.33</v>
      </c>
      <c r="I44" s="64">
        <v>2.96</v>
      </c>
      <c r="J44" s="64">
        <v>0.32</v>
      </c>
      <c r="K44" s="64">
        <v>142.08000000000001</v>
      </c>
      <c r="L44" s="64">
        <v>28.78</v>
      </c>
      <c r="M44" s="64">
        <v>55.65</v>
      </c>
      <c r="N44" s="64">
        <v>674.4</v>
      </c>
      <c r="O44" s="64">
        <v>0</v>
      </c>
      <c r="P44" s="64">
        <v>0.3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6" t="s">
        <v>1434</v>
      </c>
      <c r="B45" s="64">
        <v>0.1</v>
      </c>
      <c r="C45" s="64">
        <v>1.01</v>
      </c>
      <c r="D45" s="64">
        <v>0.53</v>
      </c>
      <c r="E45" s="64">
        <v>0.3</v>
      </c>
      <c r="F45" s="64">
        <v>4.91</v>
      </c>
      <c r="G45" s="64">
        <v>23.33</v>
      </c>
      <c r="H45" s="64">
        <v>9.7899999999999991</v>
      </c>
      <c r="I45" s="64">
        <v>3.06</v>
      </c>
      <c r="J45" s="64">
        <v>0.2</v>
      </c>
      <c r="K45" s="64">
        <v>309.35000000000002</v>
      </c>
      <c r="L45" s="64">
        <v>28.91</v>
      </c>
      <c r="M45" s="64">
        <v>56.64</v>
      </c>
      <c r="N45" s="64">
        <v>741.2</v>
      </c>
      <c r="O45" s="64">
        <v>0</v>
      </c>
      <c r="P45" s="64">
        <v>0.28999999999999998</v>
      </c>
      <c r="Q45" s="64">
        <v>9.1999999999999993</v>
      </c>
      <c r="R45" s="198"/>
      <c r="S45" s="198"/>
      <c r="T45" s="198"/>
      <c r="U45" s="198"/>
    </row>
    <row r="46" spans="1:21" s="12" customFormat="1" x14ac:dyDescent="0.25">
      <c r="A46" s="216" t="s">
        <v>1435</v>
      </c>
      <c r="B46" s="64">
        <v>0.1</v>
      </c>
      <c r="C46" s="64">
        <v>0.96</v>
      </c>
      <c r="D46" s="64">
        <v>0.5</v>
      </c>
      <c r="E46" s="64">
        <v>0.57999999999999996</v>
      </c>
      <c r="F46" s="64">
        <v>3.85</v>
      </c>
      <c r="G46" s="64">
        <v>23.33</v>
      </c>
      <c r="H46" s="64">
        <v>9.7899999999999991</v>
      </c>
      <c r="I46" s="64">
        <v>3.06</v>
      </c>
      <c r="J46" s="64">
        <v>0.27</v>
      </c>
      <c r="K46" s="64">
        <v>317.99</v>
      </c>
      <c r="L46" s="64">
        <v>30.42</v>
      </c>
      <c r="M46" s="64">
        <v>51.67</v>
      </c>
      <c r="N46" s="64">
        <v>771.3</v>
      </c>
      <c r="O46" s="64">
        <v>0</v>
      </c>
      <c r="P46" s="64">
        <v>0.3</v>
      </c>
      <c r="Q46" s="64">
        <v>9.1999999999999993</v>
      </c>
      <c r="R46" s="198"/>
      <c r="S46" s="198"/>
      <c r="T46" s="198"/>
      <c r="U46" s="198"/>
    </row>
    <row r="47" spans="1:21" s="12" customFormat="1" x14ac:dyDescent="0.25">
      <c r="A47" s="216" t="s">
        <v>1436</v>
      </c>
      <c r="B47" s="64">
        <v>0.1</v>
      </c>
      <c r="C47" s="64">
        <v>0.88</v>
      </c>
      <c r="D47" s="64">
        <v>0.46</v>
      </c>
      <c r="E47" s="64">
        <v>0.43</v>
      </c>
      <c r="F47" s="64">
        <v>4.8600000000000003</v>
      </c>
      <c r="G47" s="64">
        <v>23.33</v>
      </c>
      <c r="H47" s="64">
        <v>9.7899999999999991</v>
      </c>
      <c r="I47" s="64">
        <v>3.19</v>
      </c>
      <c r="J47" s="64">
        <v>0.24</v>
      </c>
      <c r="K47" s="64">
        <v>315.27999999999997</v>
      </c>
      <c r="L47" s="64">
        <v>31.54</v>
      </c>
      <c r="M47" s="64">
        <v>47.43</v>
      </c>
      <c r="N47" s="64">
        <v>816.4</v>
      </c>
      <c r="O47" s="64">
        <v>0</v>
      </c>
      <c r="P47" s="64">
        <v>0.31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6" t="s">
        <v>1437</v>
      </c>
      <c r="B48" s="64">
        <v>0.57999999999999996</v>
      </c>
      <c r="C48" s="64">
        <v>3.89</v>
      </c>
      <c r="D48" s="64">
        <v>2.41</v>
      </c>
      <c r="E48" s="64">
        <v>0.66</v>
      </c>
      <c r="F48" s="64">
        <v>15.58</v>
      </c>
      <c r="G48" s="64">
        <v>23.33</v>
      </c>
      <c r="H48" s="64">
        <v>9.7899999999999991</v>
      </c>
      <c r="I48" s="64">
        <v>3.32</v>
      </c>
      <c r="J48" s="64">
        <v>0.8</v>
      </c>
      <c r="K48" s="64">
        <v>331.12</v>
      </c>
      <c r="L48" s="64">
        <v>31.88</v>
      </c>
      <c r="M48" s="64">
        <v>47.27</v>
      </c>
      <c r="N48" s="64">
        <v>797.9</v>
      </c>
      <c r="O48" s="64">
        <v>0</v>
      </c>
      <c r="P48" s="64">
        <v>0.39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6" t="s">
        <v>1438</v>
      </c>
      <c r="B49" s="64">
        <v>2.65</v>
      </c>
      <c r="C49" s="64">
        <v>17.25</v>
      </c>
      <c r="D49" s="64">
        <v>11.01</v>
      </c>
      <c r="E49" s="64">
        <v>10.41</v>
      </c>
      <c r="F49" s="64">
        <v>28.61</v>
      </c>
      <c r="G49" s="64">
        <v>23.33</v>
      </c>
      <c r="H49" s="64">
        <v>9.7899999999999991</v>
      </c>
      <c r="I49" s="64">
        <v>3.29</v>
      </c>
      <c r="J49" s="64">
        <v>0.51</v>
      </c>
      <c r="K49" s="64">
        <v>340.7</v>
      </c>
      <c r="L49" s="64">
        <v>32.99</v>
      </c>
      <c r="M49" s="64">
        <v>44.04</v>
      </c>
      <c r="N49" s="64">
        <v>838</v>
      </c>
      <c r="O49" s="64">
        <v>0</v>
      </c>
      <c r="P49" s="64">
        <v>0.72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16" t="s">
        <v>1439</v>
      </c>
      <c r="B50" s="64">
        <v>1.63</v>
      </c>
      <c r="C50" s="64">
        <v>14.5</v>
      </c>
      <c r="D50" s="64">
        <v>8.8000000000000007</v>
      </c>
      <c r="E50" s="64">
        <v>9.58</v>
      </c>
      <c r="F50" s="64">
        <v>24.47</v>
      </c>
      <c r="G50" s="64">
        <v>23.33</v>
      </c>
      <c r="H50" s="64">
        <v>9.7899999999999991</v>
      </c>
      <c r="I50" s="64">
        <v>3.39</v>
      </c>
      <c r="J50" s="64">
        <v>0.95</v>
      </c>
      <c r="K50" s="64">
        <v>332.3</v>
      </c>
      <c r="L50" s="64">
        <v>34.28</v>
      </c>
      <c r="M50" s="64">
        <v>40.229999999999997</v>
      </c>
      <c r="N50" s="64">
        <v>875.1</v>
      </c>
      <c r="O50" s="64">
        <v>0</v>
      </c>
      <c r="P50" s="64">
        <v>0.93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6" t="s">
        <v>1440</v>
      </c>
      <c r="B51" s="64">
        <v>1.23</v>
      </c>
      <c r="C51" s="64">
        <v>12.8</v>
      </c>
      <c r="D51" s="64">
        <v>7.59</v>
      </c>
      <c r="E51" s="64">
        <v>50.13</v>
      </c>
      <c r="F51" s="64">
        <v>12.03</v>
      </c>
      <c r="G51" s="64">
        <v>23.33</v>
      </c>
      <c r="H51" s="64">
        <v>9.7899999999999991</v>
      </c>
      <c r="I51" s="64">
        <v>4.29</v>
      </c>
      <c r="J51" s="64">
        <v>0.31</v>
      </c>
      <c r="K51" s="64">
        <v>332.01</v>
      </c>
      <c r="L51" s="64">
        <v>33.82</v>
      </c>
      <c r="M51" s="64">
        <v>40.47</v>
      </c>
      <c r="N51" s="64">
        <v>888.5</v>
      </c>
      <c r="O51" s="64">
        <v>0</v>
      </c>
      <c r="P51" s="64">
        <v>0.96</v>
      </c>
      <c r="Q51" s="64">
        <v>9.3699999999999992</v>
      </c>
      <c r="R51" s="198"/>
      <c r="S51" s="198"/>
      <c r="T51" s="198"/>
      <c r="U51" s="198"/>
    </row>
    <row r="52" spans="1:21" s="12" customFormat="1" x14ac:dyDescent="0.25">
      <c r="A52" s="216" t="s">
        <v>1441</v>
      </c>
      <c r="B52" s="64">
        <v>1.21</v>
      </c>
      <c r="C52" s="64">
        <v>12.12</v>
      </c>
      <c r="D52" s="64">
        <v>7.22</v>
      </c>
      <c r="E52" s="213" t="s">
        <v>40</v>
      </c>
      <c r="F52" s="64">
        <v>9.9700000000000006</v>
      </c>
      <c r="G52" s="64">
        <v>6.22</v>
      </c>
      <c r="H52" s="64">
        <v>2.61</v>
      </c>
      <c r="I52" s="64">
        <v>5.59</v>
      </c>
      <c r="J52" s="64">
        <v>0.32</v>
      </c>
      <c r="K52" s="64">
        <v>87.86</v>
      </c>
      <c r="L52" s="64">
        <v>32.520000000000003</v>
      </c>
      <c r="M52" s="64">
        <v>42.72</v>
      </c>
      <c r="N52" s="64">
        <v>917.5</v>
      </c>
      <c r="O52" s="64">
        <v>0</v>
      </c>
      <c r="P52" s="64">
        <v>0.94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6" t="s">
        <v>1442</v>
      </c>
      <c r="B53" s="64">
        <v>1.2</v>
      </c>
      <c r="C53" s="64">
        <v>11.31</v>
      </c>
      <c r="D53" s="64">
        <v>6.79</v>
      </c>
      <c r="E53" s="213" t="s">
        <v>40</v>
      </c>
      <c r="F53" s="64">
        <v>9.1</v>
      </c>
      <c r="G53" s="213" t="s">
        <v>40</v>
      </c>
      <c r="H53" s="213" t="s">
        <v>40</v>
      </c>
      <c r="I53" s="64">
        <v>7.55</v>
      </c>
      <c r="J53" s="64">
        <v>1</v>
      </c>
      <c r="K53" s="64">
        <v>334.47</v>
      </c>
      <c r="L53" s="64">
        <v>33.880000000000003</v>
      </c>
      <c r="M53" s="64">
        <v>38.28</v>
      </c>
      <c r="N53" s="64">
        <v>945.2</v>
      </c>
      <c r="O53" s="64">
        <v>0</v>
      </c>
      <c r="P53" s="64">
        <v>0.92</v>
      </c>
      <c r="Q53" s="64">
        <v>9.27</v>
      </c>
      <c r="R53" s="198"/>
      <c r="S53" s="198"/>
      <c r="T53" s="198"/>
      <c r="U53" s="198"/>
    </row>
    <row r="54" spans="1:21" s="12" customFormat="1" x14ac:dyDescent="0.25">
      <c r="A54" s="216" t="s">
        <v>1443</v>
      </c>
      <c r="B54" s="64">
        <v>1.22</v>
      </c>
      <c r="C54" s="64">
        <v>10.95</v>
      </c>
      <c r="D54" s="64">
        <v>6.62</v>
      </c>
      <c r="E54" s="64">
        <v>12.37</v>
      </c>
      <c r="F54" s="64">
        <v>10.28</v>
      </c>
      <c r="G54" s="213" t="s">
        <v>40</v>
      </c>
      <c r="H54" s="213" t="s">
        <v>40</v>
      </c>
      <c r="I54" s="64">
        <v>10.17</v>
      </c>
      <c r="J54" s="64">
        <v>1.23</v>
      </c>
      <c r="K54" s="64">
        <v>338.52</v>
      </c>
      <c r="L54" s="64">
        <v>35.409999999999997</v>
      </c>
      <c r="M54" s="64">
        <v>35.369999999999997</v>
      </c>
      <c r="N54" s="64">
        <v>959.1</v>
      </c>
      <c r="O54" s="64">
        <v>0</v>
      </c>
      <c r="P54" s="64">
        <v>0.85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6" t="s">
        <v>1444</v>
      </c>
      <c r="B55" s="213" t="s">
        <v>40</v>
      </c>
      <c r="C55" s="213" t="s">
        <v>40</v>
      </c>
      <c r="D55" s="213" t="s">
        <v>40</v>
      </c>
      <c r="E55" s="64">
        <v>3.8</v>
      </c>
      <c r="F55" s="64">
        <v>12.48</v>
      </c>
      <c r="G55" s="213" t="s">
        <v>40</v>
      </c>
      <c r="H55" s="213" t="s">
        <v>40</v>
      </c>
      <c r="I55" s="64">
        <v>11.99</v>
      </c>
      <c r="J55" s="64">
        <v>1.07</v>
      </c>
      <c r="K55" s="64">
        <v>325.88</v>
      </c>
      <c r="L55" s="64">
        <v>35.799999999999997</v>
      </c>
      <c r="M55" s="64">
        <v>34.33</v>
      </c>
      <c r="N55" s="64">
        <v>957.8</v>
      </c>
      <c r="O55" s="64">
        <v>0</v>
      </c>
      <c r="P55" s="64">
        <v>0.76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16" t="s">
        <v>1445</v>
      </c>
      <c r="B56" s="213" t="s">
        <v>40</v>
      </c>
      <c r="C56" s="213" t="s">
        <v>40</v>
      </c>
      <c r="D56" s="213" t="s">
        <v>40</v>
      </c>
      <c r="E56" s="64">
        <v>2.2799999999999998</v>
      </c>
      <c r="F56" s="64">
        <v>12.4</v>
      </c>
      <c r="G56" s="64">
        <v>13.78</v>
      </c>
      <c r="H56" s="64">
        <v>8.75</v>
      </c>
      <c r="I56" s="64">
        <v>13.13</v>
      </c>
      <c r="J56" s="64">
        <v>0.86</v>
      </c>
      <c r="K56" s="64">
        <v>327.08999999999997</v>
      </c>
      <c r="L56" s="64">
        <v>35.43</v>
      </c>
      <c r="M56" s="64">
        <v>34.4</v>
      </c>
      <c r="N56" s="64">
        <v>909</v>
      </c>
      <c r="O56" s="64">
        <v>0</v>
      </c>
      <c r="P56" s="64">
        <v>0.69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6" t="s">
        <v>1446</v>
      </c>
      <c r="B57" s="213" t="s">
        <v>40</v>
      </c>
      <c r="C57" s="213" t="s">
        <v>40</v>
      </c>
      <c r="D57" s="213" t="s">
        <v>40</v>
      </c>
      <c r="E57" s="64">
        <v>3.4</v>
      </c>
      <c r="F57" s="64">
        <v>22.64</v>
      </c>
      <c r="G57" s="64">
        <v>18.510000000000002</v>
      </c>
      <c r="H57" s="64">
        <v>11.75</v>
      </c>
      <c r="I57" s="64">
        <v>13.44</v>
      </c>
      <c r="J57" s="64">
        <v>1.0900000000000001</v>
      </c>
      <c r="K57" s="64">
        <v>334.47</v>
      </c>
      <c r="L57" s="64">
        <v>34.69</v>
      </c>
      <c r="M57" s="64">
        <v>35.619999999999997</v>
      </c>
      <c r="N57" s="64">
        <v>804.6</v>
      </c>
      <c r="O57" s="64">
        <v>0</v>
      </c>
      <c r="P57" s="64">
        <v>0.6</v>
      </c>
      <c r="Q57" s="64">
        <v>9.1199999999999992</v>
      </c>
      <c r="R57" s="198"/>
      <c r="S57" s="198"/>
      <c r="T57" s="198"/>
      <c r="U57" s="198"/>
    </row>
    <row r="58" spans="1:21" s="12" customFormat="1" x14ac:dyDescent="0.25">
      <c r="A58" s="216" t="s">
        <v>1447</v>
      </c>
      <c r="B58" s="213" t="s">
        <v>40</v>
      </c>
      <c r="C58" s="213" t="s">
        <v>40</v>
      </c>
      <c r="D58" s="213" t="s">
        <v>40</v>
      </c>
      <c r="E58" s="64">
        <v>2.42</v>
      </c>
      <c r="F58" s="64">
        <v>11.11</v>
      </c>
      <c r="G58" s="64">
        <v>18.510000000000002</v>
      </c>
      <c r="H58" s="64">
        <v>11.75</v>
      </c>
      <c r="I58" s="64">
        <v>13.6</v>
      </c>
      <c r="J58" s="64">
        <v>0.6</v>
      </c>
      <c r="K58" s="64">
        <v>342.64</v>
      </c>
      <c r="L58" s="64">
        <v>33.81</v>
      </c>
      <c r="M58" s="64">
        <v>36.43</v>
      </c>
      <c r="N58" s="64">
        <v>625.9</v>
      </c>
      <c r="O58" s="64">
        <v>0</v>
      </c>
      <c r="P58" s="64">
        <v>0.57999999999999996</v>
      </c>
      <c r="Q58" s="64">
        <v>9.1300000000000008</v>
      </c>
      <c r="R58" s="198"/>
      <c r="S58" s="198"/>
      <c r="T58" s="198"/>
      <c r="U58" s="198"/>
    </row>
    <row r="59" spans="1:21" s="12" customFormat="1" x14ac:dyDescent="0.25">
      <c r="A59" s="216" t="s">
        <v>1448</v>
      </c>
      <c r="B59" s="213" t="s">
        <v>40</v>
      </c>
      <c r="C59" s="213" t="s">
        <v>40</v>
      </c>
      <c r="D59" s="213" t="s">
        <v>40</v>
      </c>
      <c r="E59" s="64">
        <v>2.37</v>
      </c>
      <c r="F59" s="64">
        <v>8.0299999999999994</v>
      </c>
      <c r="G59" s="64">
        <v>18.510000000000002</v>
      </c>
      <c r="H59" s="64">
        <v>11.75</v>
      </c>
      <c r="I59" s="64">
        <v>12.47</v>
      </c>
      <c r="J59" s="64">
        <v>0.46</v>
      </c>
      <c r="K59" s="64">
        <v>336.39</v>
      </c>
      <c r="L59" s="64">
        <v>34.340000000000003</v>
      </c>
      <c r="M59" s="64">
        <v>34.79</v>
      </c>
      <c r="N59" s="64">
        <v>838.5</v>
      </c>
      <c r="O59" s="64">
        <v>0</v>
      </c>
      <c r="P59" s="64">
        <v>0.56999999999999995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6" t="s">
        <v>1449</v>
      </c>
      <c r="B60" s="213" t="s">
        <v>40</v>
      </c>
      <c r="C60" s="213" t="s">
        <v>40</v>
      </c>
      <c r="D60" s="213" t="s">
        <v>40</v>
      </c>
      <c r="E60" s="64">
        <v>2.2999999999999998</v>
      </c>
      <c r="F60" s="64">
        <v>6.26</v>
      </c>
      <c r="G60" s="64">
        <v>22.76</v>
      </c>
      <c r="H60" s="64">
        <v>12.99</v>
      </c>
      <c r="I60" s="64">
        <v>13.53</v>
      </c>
      <c r="J60" s="64">
        <v>0.66</v>
      </c>
      <c r="K60" s="64">
        <v>333.53</v>
      </c>
      <c r="L60" s="64">
        <v>35.35</v>
      </c>
      <c r="M60" s="64">
        <v>32.79</v>
      </c>
      <c r="N60" s="64">
        <v>916.8</v>
      </c>
      <c r="O60" s="64">
        <v>0</v>
      </c>
      <c r="P60" s="64">
        <v>0.55000000000000004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6" t="s">
        <v>1450</v>
      </c>
      <c r="B61" s="64">
        <v>1.24</v>
      </c>
      <c r="C61" s="64">
        <v>8.4600000000000009</v>
      </c>
      <c r="D61" s="64">
        <v>9.6</v>
      </c>
      <c r="E61" s="64">
        <v>2.17</v>
      </c>
      <c r="F61" s="64">
        <v>9.98</v>
      </c>
      <c r="G61" s="64">
        <v>24.23</v>
      </c>
      <c r="H61" s="64">
        <v>13.39</v>
      </c>
      <c r="I61" s="64">
        <v>14.83</v>
      </c>
      <c r="J61" s="64">
        <v>0.3</v>
      </c>
      <c r="K61" s="64">
        <v>330.17</v>
      </c>
      <c r="L61" s="64">
        <v>35.880000000000003</v>
      </c>
      <c r="M61" s="64">
        <v>32.01</v>
      </c>
      <c r="N61" s="64">
        <v>868.5</v>
      </c>
      <c r="O61" s="64">
        <v>0</v>
      </c>
      <c r="P61" s="64">
        <v>0.52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6" t="s">
        <v>1451</v>
      </c>
      <c r="B62" s="64">
        <v>1.23</v>
      </c>
      <c r="C62" s="64">
        <v>7.95</v>
      </c>
      <c r="D62" s="64">
        <v>9.07</v>
      </c>
      <c r="E62" s="64">
        <v>2.17</v>
      </c>
      <c r="F62" s="64">
        <v>8.1999999999999993</v>
      </c>
      <c r="G62" s="64">
        <v>24.23</v>
      </c>
      <c r="H62" s="64">
        <v>13.39</v>
      </c>
      <c r="I62" s="64">
        <v>15.99</v>
      </c>
      <c r="J62" s="64">
        <v>0.53</v>
      </c>
      <c r="K62" s="64">
        <v>333.73</v>
      </c>
      <c r="L62" s="64">
        <v>35.47</v>
      </c>
      <c r="M62" s="64">
        <v>32.82</v>
      </c>
      <c r="N62" s="64">
        <v>814.4</v>
      </c>
      <c r="O62" s="64">
        <v>0</v>
      </c>
      <c r="P62" s="64">
        <v>0.51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6" t="s">
        <v>1452</v>
      </c>
      <c r="B63" s="64">
        <v>1.29</v>
      </c>
      <c r="C63" s="64">
        <v>7.5</v>
      </c>
      <c r="D63" s="64">
        <v>8.68</v>
      </c>
      <c r="E63" s="64">
        <v>2.74</v>
      </c>
      <c r="F63" s="64">
        <v>5.92</v>
      </c>
      <c r="G63" s="64">
        <v>24.23</v>
      </c>
      <c r="H63" s="64">
        <v>13.39</v>
      </c>
      <c r="I63" s="64">
        <v>14.93</v>
      </c>
      <c r="J63" s="64">
        <v>0.69</v>
      </c>
      <c r="K63" s="64">
        <v>321.10000000000002</v>
      </c>
      <c r="L63" s="64">
        <v>36.89</v>
      </c>
      <c r="M63" s="64">
        <v>30.23</v>
      </c>
      <c r="N63" s="64">
        <v>842.5</v>
      </c>
      <c r="O63" s="64">
        <v>0</v>
      </c>
      <c r="P63" s="64">
        <v>0.51</v>
      </c>
      <c r="Q63" s="64">
        <v>9.2799999999999994</v>
      </c>
      <c r="R63" s="198"/>
      <c r="S63" s="198"/>
      <c r="T63" s="198"/>
      <c r="U63" s="198"/>
    </row>
    <row r="64" spans="1:21" s="12" customFormat="1" x14ac:dyDescent="0.25">
      <c r="A64" s="216" t="s">
        <v>1453</v>
      </c>
      <c r="B64" s="64">
        <v>1.38</v>
      </c>
      <c r="C64" s="64">
        <v>7.34</v>
      </c>
      <c r="D64" s="64">
        <v>8.6199999999999992</v>
      </c>
      <c r="E64" s="64">
        <v>2.0499999999999998</v>
      </c>
      <c r="F64" s="64">
        <v>5.2</v>
      </c>
      <c r="G64" s="64">
        <v>31.47</v>
      </c>
      <c r="H64" s="64">
        <v>13.35</v>
      </c>
      <c r="I64" s="64">
        <v>13.42</v>
      </c>
      <c r="J64" s="64">
        <v>0.05</v>
      </c>
      <c r="K64" s="64">
        <v>30.59</v>
      </c>
      <c r="L64" s="64">
        <v>35.4</v>
      </c>
      <c r="M64" s="64">
        <v>31.04</v>
      </c>
      <c r="N64" s="64">
        <v>787.7</v>
      </c>
      <c r="O64" s="64">
        <v>0</v>
      </c>
      <c r="P64" s="64">
        <v>0.49</v>
      </c>
      <c r="Q64" s="64">
        <v>9.25</v>
      </c>
      <c r="R64" s="198"/>
      <c r="S64" s="198"/>
      <c r="T64" s="198"/>
      <c r="U64" s="198"/>
    </row>
    <row r="65" spans="1:21" s="12" customFormat="1" x14ac:dyDescent="0.25">
      <c r="A65" s="216" t="s">
        <v>1454</v>
      </c>
      <c r="B65" s="64">
        <v>1.38</v>
      </c>
      <c r="C65" s="64">
        <v>7.29</v>
      </c>
      <c r="D65" s="64">
        <v>8.57</v>
      </c>
      <c r="E65" s="64">
        <v>2.11</v>
      </c>
      <c r="F65" s="64">
        <v>8.98</v>
      </c>
      <c r="G65" s="64">
        <v>33.96</v>
      </c>
      <c r="H65" s="64">
        <v>13.34</v>
      </c>
      <c r="I65" s="64">
        <v>12.94</v>
      </c>
      <c r="J65" s="64">
        <v>0.66</v>
      </c>
      <c r="K65" s="64">
        <v>353.41</v>
      </c>
      <c r="L65" s="64">
        <v>34.270000000000003</v>
      </c>
      <c r="M65" s="64">
        <v>33.22</v>
      </c>
      <c r="N65" s="64">
        <v>610.6</v>
      </c>
      <c r="O65" s="64">
        <v>0</v>
      </c>
      <c r="P65" s="64">
        <v>0.48</v>
      </c>
      <c r="Q65" s="64">
        <v>9.19</v>
      </c>
      <c r="R65" s="198"/>
      <c r="S65" s="198"/>
      <c r="T65" s="198"/>
      <c r="U65" s="198"/>
    </row>
    <row r="66" spans="1:21" s="12" customFormat="1" x14ac:dyDescent="0.25">
      <c r="A66" s="216" t="s">
        <v>1455</v>
      </c>
      <c r="B66" s="64">
        <v>1.33</v>
      </c>
      <c r="C66" s="64">
        <v>7.23</v>
      </c>
      <c r="D66" s="64">
        <v>8.4600000000000009</v>
      </c>
      <c r="E66" s="64">
        <v>2.29</v>
      </c>
      <c r="F66" s="64">
        <v>8.2899999999999991</v>
      </c>
      <c r="G66" s="64">
        <v>33.96</v>
      </c>
      <c r="H66" s="64">
        <v>13.34</v>
      </c>
      <c r="I66" s="64">
        <v>12.37</v>
      </c>
      <c r="J66" s="64">
        <v>0.37</v>
      </c>
      <c r="K66" s="64">
        <v>168.15</v>
      </c>
      <c r="L66" s="64">
        <v>33.369999999999997</v>
      </c>
      <c r="M66" s="64">
        <v>34.520000000000003</v>
      </c>
      <c r="N66" s="64">
        <v>407.8</v>
      </c>
      <c r="O66" s="64">
        <v>0</v>
      </c>
      <c r="P66" s="64">
        <v>0.47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6" t="s">
        <v>1456</v>
      </c>
      <c r="B67" s="64">
        <v>1.33</v>
      </c>
      <c r="C67" s="64">
        <v>7.02</v>
      </c>
      <c r="D67" s="64">
        <v>8.25</v>
      </c>
      <c r="E67" s="64">
        <v>1.63</v>
      </c>
      <c r="F67" s="64">
        <v>7.13</v>
      </c>
      <c r="G67" s="64">
        <v>33.96</v>
      </c>
      <c r="H67" s="64">
        <v>13.34</v>
      </c>
      <c r="I67" s="64">
        <v>11.57</v>
      </c>
      <c r="J67" s="64">
        <v>0.36</v>
      </c>
      <c r="K67" s="64">
        <v>331.2</v>
      </c>
      <c r="L67" s="64">
        <v>34.119999999999997</v>
      </c>
      <c r="M67" s="64">
        <v>32.32</v>
      </c>
      <c r="N67" s="64">
        <v>389.1</v>
      </c>
      <c r="O67" s="64">
        <v>0</v>
      </c>
      <c r="P67" s="64">
        <v>0.45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6" t="s">
        <v>1457</v>
      </c>
      <c r="B68" s="64">
        <v>1.37</v>
      </c>
      <c r="C68" s="64">
        <v>6.88</v>
      </c>
      <c r="D68" s="64">
        <v>8.15</v>
      </c>
      <c r="E68" s="64">
        <v>1.66</v>
      </c>
      <c r="F68" s="64">
        <v>7.23</v>
      </c>
      <c r="G68" s="64">
        <v>23.86</v>
      </c>
      <c r="H68" s="64">
        <v>12.31</v>
      </c>
      <c r="I68" s="64">
        <v>10.67</v>
      </c>
      <c r="J68" s="64">
        <v>0.2</v>
      </c>
      <c r="K68" s="64">
        <v>316.27999999999997</v>
      </c>
      <c r="L68" s="64">
        <v>34.22</v>
      </c>
      <c r="M68" s="64">
        <v>31.44</v>
      </c>
      <c r="N68" s="64">
        <v>287.10000000000002</v>
      </c>
      <c r="O68" s="64">
        <v>0</v>
      </c>
      <c r="P68" s="64">
        <v>0.44</v>
      </c>
      <c r="Q68" s="64">
        <v>9.23</v>
      </c>
      <c r="R68" s="198"/>
      <c r="S68" s="198"/>
      <c r="T68" s="198"/>
      <c r="U68" s="198"/>
    </row>
    <row r="69" spans="1:21" s="12" customFormat="1" x14ac:dyDescent="0.25">
      <c r="A69" s="216" t="s">
        <v>1458</v>
      </c>
      <c r="B69" s="64">
        <v>1.35</v>
      </c>
      <c r="C69" s="64">
        <v>7.1</v>
      </c>
      <c r="D69" s="64">
        <v>8.35</v>
      </c>
      <c r="E69" s="64">
        <v>2.14</v>
      </c>
      <c r="F69" s="64">
        <v>7.7</v>
      </c>
      <c r="G69" s="64">
        <v>20.399999999999999</v>
      </c>
      <c r="H69" s="64">
        <v>11.96</v>
      </c>
      <c r="I69" s="64">
        <v>9.74</v>
      </c>
      <c r="J69" s="64">
        <v>0.71</v>
      </c>
      <c r="K69" s="64">
        <v>335.23</v>
      </c>
      <c r="L69" s="64">
        <v>34.71</v>
      </c>
      <c r="M69" s="64">
        <v>31.15</v>
      </c>
      <c r="N69" s="64">
        <v>219.6</v>
      </c>
      <c r="O69" s="64">
        <v>0</v>
      </c>
      <c r="P69" s="64">
        <v>0.44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6" t="s">
        <v>1459</v>
      </c>
      <c r="B70" s="64">
        <v>1.38</v>
      </c>
      <c r="C70" s="64">
        <v>7.21</v>
      </c>
      <c r="D70" s="64">
        <v>8.49</v>
      </c>
      <c r="E70" s="64">
        <v>2.09</v>
      </c>
      <c r="F70" s="64">
        <v>5.62</v>
      </c>
      <c r="G70" s="64">
        <v>20.399999999999999</v>
      </c>
      <c r="H70" s="64">
        <v>11.96</v>
      </c>
      <c r="I70" s="64">
        <v>9.0500000000000007</v>
      </c>
      <c r="J70" s="64">
        <v>0.4</v>
      </c>
      <c r="K70" s="64">
        <v>113.07</v>
      </c>
      <c r="L70" s="64">
        <v>33.54</v>
      </c>
      <c r="M70" s="64">
        <v>31.87</v>
      </c>
      <c r="N70" s="64">
        <v>306.3</v>
      </c>
      <c r="O70" s="64">
        <v>0</v>
      </c>
      <c r="P70" s="64">
        <v>0.43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6" t="s">
        <v>1460</v>
      </c>
      <c r="B71" s="64">
        <v>1.43</v>
      </c>
      <c r="C71" s="64">
        <v>7.07</v>
      </c>
      <c r="D71" s="64">
        <v>8.4</v>
      </c>
      <c r="E71" s="64">
        <v>1.93</v>
      </c>
      <c r="F71" s="64">
        <v>5.5</v>
      </c>
      <c r="G71" s="64">
        <v>20.399999999999999</v>
      </c>
      <c r="H71" s="64">
        <v>11.96</v>
      </c>
      <c r="I71" s="64">
        <v>8.43</v>
      </c>
      <c r="J71" s="64">
        <v>1.01</v>
      </c>
      <c r="K71" s="64">
        <v>336.64</v>
      </c>
      <c r="L71" s="64">
        <v>33.6</v>
      </c>
      <c r="M71" s="64">
        <v>31.55</v>
      </c>
      <c r="N71" s="64">
        <v>145.6</v>
      </c>
      <c r="O71" s="64">
        <v>0</v>
      </c>
      <c r="P71" s="64">
        <v>0.42</v>
      </c>
      <c r="Q71" s="64">
        <v>9.1999999999999993</v>
      </c>
      <c r="R71" s="198"/>
      <c r="S71" s="198"/>
      <c r="T71" s="198"/>
      <c r="U71" s="198"/>
    </row>
    <row r="72" spans="1:21" s="12" customFormat="1" x14ac:dyDescent="0.25">
      <c r="A72" s="216" t="s">
        <v>1461</v>
      </c>
      <c r="B72" s="64">
        <v>1.48</v>
      </c>
      <c r="C72" s="64">
        <v>7.04</v>
      </c>
      <c r="D72" s="64">
        <v>8.42</v>
      </c>
      <c r="E72" s="64">
        <v>1.46</v>
      </c>
      <c r="F72" s="64">
        <v>5.86</v>
      </c>
      <c r="G72" s="64">
        <v>31.09</v>
      </c>
      <c r="H72" s="64">
        <v>12.12</v>
      </c>
      <c r="I72" s="64">
        <v>8.24</v>
      </c>
      <c r="J72" s="64">
        <v>0.69</v>
      </c>
      <c r="K72" s="64">
        <v>0.45</v>
      </c>
      <c r="L72" s="64">
        <v>33.81</v>
      </c>
      <c r="M72" s="64">
        <v>30.52</v>
      </c>
      <c r="N72" s="64">
        <v>129.5</v>
      </c>
      <c r="O72" s="64">
        <v>0</v>
      </c>
      <c r="P72" s="64">
        <v>0.43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6" t="s">
        <v>1462</v>
      </c>
      <c r="B73" s="64">
        <v>1.46</v>
      </c>
      <c r="C73" s="64">
        <v>7.28</v>
      </c>
      <c r="D73" s="64">
        <v>8.64</v>
      </c>
      <c r="E73" s="64">
        <v>0.95</v>
      </c>
      <c r="F73" s="64">
        <v>6.21</v>
      </c>
      <c r="G73" s="64">
        <v>34.549999999999997</v>
      </c>
      <c r="H73" s="64">
        <v>12.18</v>
      </c>
      <c r="I73" s="64">
        <v>8.0500000000000007</v>
      </c>
      <c r="J73" s="64">
        <v>0.24</v>
      </c>
      <c r="K73" s="64">
        <v>12</v>
      </c>
      <c r="L73" s="64">
        <v>33.39</v>
      </c>
      <c r="M73" s="64">
        <v>31.15</v>
      </c>
      <c r="N73" s="64">
        <v>117.5</v>
      </c>
      <c r="O73" s="64">
        <v>0</v>
      </c>
      <c r="P73" s="64">
        <v>0.43</v>
      </c>
      <c r="Q73" s="64">
        <v>9.2200000000000006</v>
      </c>
      <c r="R73" s="198"/>
      <c r="S73" s="198"/>
      <c r="T73" s="198"/>
      <c r="U73" s="198"/>
    </row>
    <row r="74" spans="1:21" s="12" customFormat="1" x14ac:dyDescent="0.25">
      <c r="A74" s="216" t="s">
        <v>1463</v>
      </c>
      <c r="B74" s="64">
        <v>1.5</v>
      </c>
      <c r="C74" s="64">
        <v>7.56</v>
      </c>
      <c r="D74" s="64">
        <v>8.9700000000000006</v>
      </c>
      <c r="E74" s="64">
        <v>1.0900000000000001</v>
      </c>
      <c r="F74" s="64">
        <v>5.19</v>
      </c>
      <c r="G74" s="64">
        <v>34.549999999999997</v>
      </c>
      <c r="H74" s="64">
        <v>12.18</v>
      </c>
      <c r="I74" s="64">
        <v>7.71</v>
      </c>
      <c r="J74" s="64">
        <v>0.47</v>
      </c>
      <c r="K74" s="64">
        <v>328.32</v>
      </c>
      <c r="L74" s="64">
        <v>33.43</v>
      </c>
      <c r="M74" s="64">
        <v>31.81</v>
      </c>
      <c r="N74" s="64">
        <v>102.3</v>
      </c>
      <c r="O74" s="64">
        <v>0</v>
      </c>
      <c r="P74" s="64">
        <v>0.43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6" t="s">
        <v>1464</v>
      </c>
      <c r="B75" s="64">
        <v>1.57</v>
      </c>
      <c r="C75" s="64">
        <v>7.65</v>
      </c>
      <c r="D75" s="64">
        <v>9.1199999999999992</v>
      </c>
      <c r="E75" s="64">
        <v>1.24</v>
      </c>
      <c r="F75" s="64">
        <v>4.93</v>
      </c>
      <c r="G75" s="64">
        <v>34.549999999999997</v>
      </c>
      <c r="H75" s="64">
        <v>12.18</v>
      </c>
      <c r="I75" s="64">
        <v>7.52</v>
      </c>
      <c r="J75" s="64">
        <v>0.57999999999999996</v>
      </c>
      <c r="K75" s="64">
        <v>346.98</v>
      </c>
      <c r="L75" s="64">
        <v>33.54</v>
      </c>
      <c r="M75" s="64">
        <v>31.13</v>
      </c>
      <c r="N75" s="64">
        <v>91.6</v>
      </c>
      <c r="O75" s="64">
        <v>0</v>
      </c>
      <c r="P75" s="64">
        <v>0.43</v>
      </c>
      <c r="Q75" s="64">
        <v>9.25</v>
      </c>
      <c r="R75" s="198"/>
      <c r="S75" s="198"/>
      <c r="T75" s="198"/>
      <c r="U75" s="198"/>
    </row>
    <row r="76" spans="1:21" s="12" customFormat="1" x14ac:dyDescent="0.25">
      <c r="A76" s="216" t="s">
        <v>1465</v>
      </c>
      <c r="B76" s="64">
        <v>1.65</v>
      </c>
      <c r="C76" s="64">
        <v>7.65</v>
      </c>
      <c r="D76" s="64">
        <v>9.2100000000000009</v>
      </c>
      <c r="E76" s="64">
        <v>1.06</v>
      </c>
      <c r="F76" s="64">
        <v>4.62</v>
      </c>
      <c r="G76" s="64">
        <v>34.15</v>
      </c>
      <c r="H76" s="64">
        <v>12.49</v>
      </c>
      <c r="I76" s="64">
        <v>7.36</v>
      </c>
      <c r="J76" s="64">
        <v>0.77</v>
      </c>
      <c r="K76" s="64">
        <v>333.77</v>
      </c>
      <c r="L76" s="64">
        <v>33.369999999999997</v>
      </c>
      <c r="M76" s="64">
        <v>30.95</v>
      </c>
      <c r="N76" s="64">
        <v>82.5</v>
      </c>
      <c r="O76" s="64">
        <v>0</v>
      </c>
      <c r="P76" s="64">
        <v>0.43</v>
      </c>
      <c r="Q76" s="64">
        <v>9.27</v>
      </c>
      <c r="R76" s="198"/>
      <c r="S76" s="198"/>
      <c r="T76" s="198"/>
      <c r="U76" s="198"/>
    </row>
    <row r="77" spans="1:21" s="12" customFormat="1" x14ac:dyDescent="0.25">
      <c r="A77" s="216" t="s">
        <v>1466</v>
      </c>
      <c r="B77" s="64">
        <v>1.72</v>
      </c>
      <c r="C77" s="64">
        <v>8.01</v>
      </c>
      <c r="D77" s="64">
        <v>9.64</v>
      </c>
      <c r="E77" s="64">
        <v>1.21</v>
      </c>
      <c r="F77" s="64">
        <v>8.6999999999999993</v>
      </c>
      <c r="G77" s="64">
        <v>34.01</v>
      </c>
      <c r="H77" s="64">
        <v>12.6</v>
      </c>
      <c r="I77" s="64">
        <v>7.18</v>
      </c>
      <c r="J77" s="64">
        <v>0.26</v>
      </c>
      <c r="K77" s="64">
        <v>326.2</v>
      </c>
      <c r="L77" s="64">
        <v>33.07</v>
      </c>
      <c r="M77" s="64">
        <v>31.39</v>
      </c>
      <c r="N77" s="64">
        <v>72.7</v>
      </c>
      <c r="O77" s="64">
        <v>0</v>
      </c>
      <c r="P77" s="64">
        <v>0.44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6" t="s">
        <v>1467</v>
      </c>
      <c r="B78" s="64">
        <v>1.5</v>
      </c>
      <c r="C78" s="64">
        <v>9.75</v>
      </c>
      <c r="D78" s="64">
        <v>11.15</v>
      </c>
      <c r="E78" s="64">
        <v>1.34</v>
      </c>
      <c r="F78" s="64">
        <v>10.31</v>
      </c>
      <c r="G78" s="64">
        <v>34.01</v>
      </c>
      <c r="H78" s="64">
        <v>12.6</v>
      </c>
      <c r="I78" s="64">
        <v>7.12</v>
      </c>
      <c r="J78" s="64">
        <v>0.31</v>
      </c>
      <c r="K78" s="64">
        <v>319.52999999999997</v>
      </c>
      <c r="L78" s="64">
        <v>32.86</v>
      </c>
      <c r="M78" s="64">
        <v>32.229999999999997</v>
      </c>
      <c r="N78" s="64">
        <v>61.5</v>
      </c>
      <c r="O78" s="64">
        <v>0</v>
      </c>
      <c r="P78" s="64">
        <v>0.48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6" t="s">
        <v>1468</v>
      </c>
      <c r="B79" s="64">
        <v>1.57</v>
      </c>
      <c r="C79" s="64">
        <v>11.21</v>
      </c>
      <c r="D79" s="64">
        <v>12.68</v>
      </c>
      <c r="E79" s="64">
        <v>1.08</v>
      </c>
      <c r="F79" s="64">
        <v>6.46</v>
      </c>
      <c r="G79" s="64">
        <v>34.01</v>
      </c>
      <c r="H79" s="64">
        <v>12.6</v>
      </c>
      <c r="I79" s="64">
        <v>6.7</v>
      </c>
      <c r="J79" s="64">
        <v>0.39</v>
      </c>
      <c r="K79" s="64">
        <v>321.33</v>
      </c>
      <c r="L79" s="64">
        <v>32.5</v>
      </c>
      <c r="M79" s="64">
        <v>32.729999999999997</v>
      </c>
      <c r="N79" s="64">
        <v>51.6</v>
      </c>
      <c r="O79" s="64">
        <v>0</v>
      </c>
      <c r="P79" s="64">
        <v>0.51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16" t="s">
        <v>1469</v>
      </c>
      <c r="B80" s="64">
        <v>1.64</v>
      </c>
      <c r="C80" s="64">
        <v>11.38</v>
      </c>
      <c r="D80" s="64">
        <v>12.92</v>
      </c>
      <c r="E80" s="64">
        <v>1.08</v>
      </c>
      <c r="F80" s="64">
        <v>4.8499999999999996</v>
      </c>
      <c r="G80" s="64">
        <v>24.07</v>
      </c>
      <c r="H80" s="64">
        <v>10.79</v>
      </c>
      <c r="I80" s="64">
        <v>6.11</v>
      </c>
      <c r="J80" s="64">
        <v>0.13</v>
      </c>
      <c r="K80" s="64">
        <v>321.75</v>
      </c>
      <c r="L80" s="64">
        <v>32.14</v>
      </c>
      <c r="M80" s="64">
        <v>32.54</v>
      </c>
      <c r="N80" s="64">
        <v>40.1</v>
      </c>
      <c r="O80" s="64">
        <v>0</v>
      </c>
      <c r="P80" s="64">
        <v>0.53</v>
      </c>
      <c r="Q80" s="64">
        <v>9.36</v>
      </c>
      <c r="R80" s="198"/>
      <c r="S80" s="198"/>
      <c r="T80" s="198"/>
      <c r="U80" s="198"/>
    </row>
    <row r="81" spans="1:26" s="12" customFormat="1" x14ac:dyDescent="0.25">
      <c r="A81" s="216" t="s">
        <v>1470</v>
      </c>
      <c r="B81" s="64">
        <v>1.69</v>
      </c>
      <c r="C81" s="64">
        <v>11.08</v>
      </c>
      <c r="D81" s="64">
        <v>12.67</v>
      </c>
      <c r="E81" s="64">
        <v>1.1499999999999999</v>
      </c>
      <c r="F81" s="64">
        <v>4.51</v>
      </c>
      <c r="G81" s="64">
        <v>20.66</v>
      </c>
      <c r="H81" s="64">
        <v>10.16</v>
      </c>
      <c r="I81" s="64">
        <v>6.44</v>
      </c>
      <c r="J81" s="64">
        <v>0.06</v>
      </c>
      <c r="K81" s="64">
        <v>227.53</v>
      </c>
      <c r="L81" s="64">
        <v>31.97</v>
      </c>
      <c r="M81" s="64">
        <v>31.89</v>
      </c>
      <c r="N81" s="64">
        <v>28.4</v>
      </c>
      <c r="O81" s="64">
        <v>0</v>
      </c>
      <c r="P81" s="64">
        <v>0.53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6" t="s">
        <v>1471</v>
      </c>
      <c r="B82" s="64">
        <v>1.72</v>
      </c>
      <c r="C82" s="64">
        <v>10.84</v>
      </c>
      <c r="D82" s="64">
        <v>12.46</v>
      </c>
      <c r="E82" s="64">
        <v>1.42</v>
      </c>
      <c r="F82" s="64">
        <v>4.55</v>
      </c>
      <c r="G82" s="64">
        <v>20.66</v>
      </c>
      <c r="H82" s="64">
        <v>10.16</v>
      </c>
      <c r="I82" s="64">
        <v>6.6</v>
      </c>
      <c r="J82" s="64">
        <v>0.02</v>
      </c>
      <c r="K82" s="64">
        <v>38.69</v>
      </c>
      <c r="L82" s="64">
        <v>31.38</v>
      </c>
      <c r="M82" s="64">
        <v>34.58</v>
      </c>
      <c r="N82" s="64">
        <v>20.9</v>
      </c>
      <c r="O82" s="64">
        <v>0</v>
      </c>
      <c r="P82" s="64">
        <v>0.54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6" t="s">
        <v>1472</v>
      </c>
      <c r="B83" s="64">
        <v>2.06</v>
      </c>
      <c r="C83" s="64">
        <v>12.45</v>
      </c>
      <c r="D83" s="64">
        <v>14.41</v>
      </c>
      <c r="E83" s="64">
        <v>1.1499999999999999</v>
      </c>
      <c r="F83" s="64">
        <v>4.76</v>
      </c>
      <c r="G83" s="64">
        <v>20.66</v>
      </c>
      <c r="H83" s="64">
        <v>10.16</v>
      </c>
      <c r="I83" s="64">
        <v>6.6</v>
      </c>
      <c r="J83" s="64">
        <v>0.09</v>
      </c>
      <c r="K83" s="64">
        <v>30.16</v>
      </c>
      <c r="L83" s="64">
        <v>30.42</v>
      </c>
      <c r="M83" s="64">
        <v>39.950000000000003</v>
      </c>
      <c r="N83" s="64">
        <v>18.399999999999999</v>
      </c>
      <c r="O83" s="64">
        <v>0</v>
      </c>
      <c r="P83" s="64">
        <v>0.6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6" t="s">
        <v>1473</v>
      </c>
      <c r="B84" s="64">
        <v>2.4700000000000002</v>
      </c>
      <c r="C84" s="64">
        <v>13.85</v>
      </c>
      <c r="D84" s="64">
        <v>16.22</v>
      </c>
      <c r="E84" s="64">
        <v>1.46</v>
      </c>
      <c r="F84" s="64">
        <v>4.84</v>
      </c>
      <c r="G84" s="64">
        <v>36.450000000000003</v>
      </c>
      <c r="H84" s="64">
        <v>12.78</v>
      </c>
      <c r="I84" s="64">
        <v>6.66</v>
      </c>
      <c r="J84" s="64">
        <v>0.26</v>
      </c>
      <c r="K84" s="64">
        <v>91.24</v>
      </c>
      <c r="L84" s="64">
        <v>30.17</v>
      </c>
      <c r="M84" s="64">
        <v>39.090000000000003</v>
      </c>
      <c r="N84" s="64">
        <v>17.8</v>
      </c>
      <c r="O84" s="64">
        <v>0</v>
      </c>
      <c r="P84" s="64">
        <v>0.66</v>
      </c>
      <c r="Q84" s="64">
        <v>9.39</v>
      </c>
      <c r="R84" s="198"/>
      <c r="S84" s="198"/>
      <c r="T84" s="198"/>
      <c r="U84" s="198"/>
    </row>
    <row r="85" spans="1:26" s="12" customFormat="1" x14ac:dyDescent="0.25">
      <c r="A85" s="216" t="s">
        <v>1474</v>
      </c>
      <c r="B85" s="64">
        <v>3.06</v>
      </c>
      <c r="C85" s="64">
        <v>14.32</v>
      </c>
      <c r="D85" s="64">
        <v>17.28</v>
      </c>
      <c r="E85" s="64">
        <v>1.56</v>
      </c>
      <c r="F85" s="64">
        <v>4.1399999999999997</v>
      </c>
      <c r="G85" s="64">
        <v>41.87</v>
      </c>
      <c r="H85" s="64">
        <v>13.68</v>
      </c>
      <c r="I85" s="64">
        <v>6.7</v>
      </c>
      <c r="J85" s="64">
        <v>0.11</v>
      </c>
      <c r="K85" s="64">
        <v>48.79</v>
      </c>
      <c r="L85" s="64">
        <v>29.95</v>
      </c>
      <c r="M85" s="64">
        <v>43.55</v>
      </c>
      <c r="N85" s="64">
        <v>18</v>
      </c>
      <c r="O85" s="64">
        <v>0</v>
      </c>
      <c r="P85" s="64">
        <v>0.61</v>
      </c>
      <c r="Q85" s="64">
        <v>9.32</v>
      </c>
      <c r="R85" s="198"/>
      <c r="S85" s="198"/>
      <c r="T85" s="198"/>
      <c r="U85" s="198"/>
    </row>
    <row r="86" spans="1:26" s="12" customFormat="1" x14ac:dyDescent="0.25">
      <c r="A86" s="216" t="s">
        <v>1475</v>
      </c>
      <c r="B86" s="64">
        <v>4.2300000000000004</v>
      </c>
      <c r="C86" s="64">
        <v>14.09</v>
      </c>
      <c r="D86" s="64">
        <v>18.22</v>
      </c>
      <c r="E86" s="64">
        <v>1.4</v>
      </c>
      <c r="F86" s="64">
        <v>2.99</v>
      </c>
      <c r="G86" s="64">
        <v>41.87</v>
      </c>
      <c r="H86" s="64">
        <v>13.68</v>
      </c>
      <c r="I86" s="64">
        <v>6.67</v>
      </c>
      <c r="J86" s="64">
        <v>0.25</v>
      </c>
      <c r="K86" s="64">
        <v>357.7</v>
      </c>
      <c r="L86" s="64">
        <v>29.23</v>
      </c>
      <c r="M86" s="64">
        <v>51.99</v>
      </c>
      <c r="N86" s="64">
        <v>17.899999999999999</v>
      </c>
      <c r="O86" s="64">
        <v>0</v>
      </c>
      <c r="P86" s="64">
        <v>0.76</v>
      </c>
      <c r="Q86" s="64">
        <v>9.33</v>
      </c>
      <c r="R86" s="198"/>
      <c r="S86" s="198"/>
      <c r="T86" s="198"/>
      <c r="U86" s="198"/>
    </row>
    <row r="87" spans="1:26" s="12" customFormat="1" x14ac:dyDescent="0.25">
      <c r="A87" s="216" t="s">
        <v>1476</v>
      </c>
      <c r="B87" s="64">
        <v>5.22</v>
      </c>
      <c r="C87" s="64">
        <v>14.26</v>
      </c>
      <c r="D87" s="64">
        <v>19.39</v>
      </c>
      <c r="E87" s="64">
        <v>1.26</v>
      </c>
      <c r="F87" s="64">
        <v>3.75</v>
      </c>
      <c r="G87" s="64">
        <v>41.87</v>
      </c>
      <c r="H87" s="64">
        <v>13.68</v>
      </c>
      <c r="I87" s="64">
        <v>7.04</v>
      </c>
      <c r="J87" s="64">
        <v>1.75</v>
      </c>
      <c r="K87" s="64">
        <v>334.03</v>
      </c>
      <c r="L87" s="64">
        <v>29</v>
      </c>
      <c r="M87" s="64">
        <v>47.69</v>
      </c>
      <c r="N87" s="64">
        <v>16.899999999999999</v>
      </c>
      <c r="O87" s="64">
        <v>0</v>
      </c>
      <c r="P87" s="64">
        <v>0.82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6" t="s">
        <v>1477</v>
      </c>
      <c r="B88" s="64">
        <v>4.6100000000000003</v>
      </c>
      <c r="C88" s="64">
        <v>14.98</v>
      </c>
      <c r="D88" s="64">
        <v>19.5</v>
      </c>
      <c r="E88" s="64">
        <v>1.9</v>
      </c>
      <c r="F88" s="64">
        <v>3.94</v>
      </c>
      <c r="G88" s="64">
        <v>51.29</v>
      </c>
      <c r="H88" s="64">
        <v>15.51</v>
      </c>
      <c r="I88" s="64">
        <v>7.23</v>
      </c>
      <c r="J88" s="64">
        <v>1.91</v>
      </c>
      <c r="K88" s="64">
        <v>353.92</v>
      </c>
      <c r="L88" s="64">
        <v>28.85</v>
      </c>
      <c r="M88" s="64">
        <v>42.35</v>
      </c>
      <c r="N88" s="64">
        <v>18.2</v>
      </c>
      <c r="O88" s="64">
        <v>0</v>
      </c>
      <c r="P88" s="64">
        <v>0.82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6" t="s">
        <v>1478</v>
      </c>
      <c r="B89" s="64">
        <v>4.3899999999999997</v>
      </c>
      <c r="C89" s="64">
        <v>15.27</v>
      </c>
      <c r="D89" s="64">
        <v>19.559999999999999</v>
      </c>
      <c r="E89" s="64">
        <v>2</v>
      </c>
      <c r="F89" s="64">
        <v>3.52</v>
      </c>
      <c r="G89" s="64">
        <v>54.52</v>
      </c>
      <c r="H89" s="64">
        <v>16.14</v>
      </c>
      <c r="I89" s="64">
        <v>7.12</v>
      </c>
      <c r="J89" s="64">
        <v>1.72</v>
      </c>
      <c r="K89" s="64">
        <v>353.88</v>
      </c>
      <c r="L89" s="64">
        <v>28.55</v>
      </c>
      <c r="M89" s="64">
        <v>42.39</v>
      </c>
      <c r="N89" s="64">
        <v>18.8</v>
      </c>
      <c r="O89" s="64">
        <v>0</v>
      </c>
      <c r="P89" s="64">
        <v>0.82</v>
      </c>
      <c r="Q89" s="64">
        <v>9.43</v>
      </c>
      <c r="R89" s="198"/>
      <c r="S89" s="198"/>
      <c r="T89" s="198"/>
      <c r="U89" s="198"/>
    </row>
    <row r="90" spans="1:26" s="12" customFormat="1" x14ac:dyDescent="0.25">
      <c r="A90" s="216" t="s">
        <v>1479</v>
      </c>
      <c r="B90" s="64">
        <v>4.22</v>
      </c>
      <c r="C90" s="64">
        <v>15</v>
      </c>
      <c r="D90" s="64">
        <v>19.12</v>
      </c>
      <c r="E90" s="64">
        <v>1.93</v>
      </c>
      <c r="F90" s="64">
        <v>3.17</v>
      </c>
      <c r="G90" s="64">
        <v>54.52</v>
      </c>
      <c r="H90" s="64">
        <v>16.14</v>
      </c>
      <c r="I90" s="64">
        <v>7.02</v>
      </c>
      <c r="J90" s="64">
        <v>1.31</v>
      </c>
      <c r="K90" s="64">
        <v>352.93</v>
      </c>
      <c r="L90" s="64">
        <v>28.2</v>
      </c>
      <c r="M90" s="64">
        <v>43.45</v>
      </c>
      <c r="N90" s="64">
        <v>18.899999999999999</v>
      </c>
      <c r="O90" s="64">
        <v>0</v>
      </c>
      <c r="P90" s="64">
        <v>0.83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6" t="s">
        <v>1480</v>
      </c>
      <c r="B91" s="64">
        <v>4.28</v>
      </c>
      <c r="C91" s="64">
        <v>14.7</v>
      </c>
      <c r="D91" s="64">
        <v>18.88</v>
      </c>
      <c r="E91" s="64">
        <v>2.02</v>
      </c>
      <c r="F91" s="64">
        <v>3.66</v>
      </c>
      <c r="G91" s="64">
        <v>54.52</v>
      </c>
      <c r="H91" s="64">
        <v>16.14</v>
      </c>
      <c r="I91" s="64">
        <v>6.94</v>
      </c>
      <c r="J91" s="64">
        <v>0.87</v>
      </c>
      <c r="K91" s="64">
        <v>348.34</v>
      </c>
      <c r="L91" s="64">
        <v>28.02</v>
      </c>
      <c r="M91" s="64">
        <v>44.64</v>
      </c>
      <c r="N91" s="64">
        <v>18.600000000000001</v>
      </c>
      <c r="O91" s="64">
        <v>0</v>
      </c>
      <c r="P91" s="64">
        <v>0.84</v>
      </c>
      <c r="Q91" s="64">
        <v>9.4499999999999993</v>
      </c>
      <c r="R91" s="198"/>
      <c r="S91" s="198"/>
      <c r="T91" s="198"/>
      <c r="U91" s="198"/>
    </row>
    <row r="92" spans="1:26" s="12" customFormat="1" x14ac:dyDescent="0.25">
      <c r="A92" s="216" t="s">
        <v>1481</v>
      </c>
      <c r="B92" s="64">
        <v>4.59</v>
      </c>
      <c r="C92" s="64">
        <v>14.44</v>
      </c>
      <c r="D92" s="64">
        <v>18.93</v>
      </c>
      <c r="E92" s="64">
        <v>1.97</v>
      </c>
      <c r="F92" s="64">
        <v>3.44</v>
      </c>
      <c r="G92" s="64">
        <v>61.19</v>
      </c>
      <c r="H92" s="64">
        <v>18.079999999999998</v>
      </c>
      <c r="I92" s="64">
        <v>6.85</v>
      </c>
      <c r="J92" s="64">
        <v>0.53</v>
      </c>
      <c r="K92" s="64">
        <v>347.85</v>
      </c>
      <c r="L92" s="64">
        <v>27.88</v>
      </c>
      <c r="M92" s="64">
        <v>45</v>
      </c>
      <c r="N92" s="64">
        <v>18.899999999999999</v>
      </c>
      <c r="O92" s="64">
        <v>0</v>
      </c>
      <c r="P92" s="64">
        <v>0.86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16" t="s">
        <v>1482</v>
      </c>
      <c r="B93" s="64">
        <v>4.9800000000000004</v>
      </c>
      <c r="C93" s="64">
        <v>14.56</v>
      </c>
      <c r="D93" s="64">
        <v>19.440000000000001</v>
      </c>
      <c r="E93" s="64">
        <v>1.97</v>
      </c>
      <c r="F93" s="64">
        <v>2.63</v>
      </c>
      <c r="G93" s="64">
        <v>63.49</v>
      </c>
      <c r="H93" s="64">
        <v>18.71</v>
      </c>
      <c r="I93" s="64">
        <v>6.77</v>
      </c>
      <c r="J93" s="64">
        <v>0</v>
      </c>
      <c r="K93" s="64">
        <v>183.34</v>
      </c>
      <c r="L93" s="64">
        <v>27.55</v>
      </c>
      <c r="M93" s="64">
        <v>45.47</v>
      </c>
      <c r="N93" s="64">
        <v>19</v>
      </c>
      <c r="O93" s="64">
        <v>0</v>
      </c>
      <c r="P93" s="64">
        <v>0.89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6" t="s">
        <v>1483</v>
      </c>
      <c r="B94" s="64">
        <v>5.24</v>
      </c>
      <c r="C94" s="64">
        <v>13.16</v>
      </c>
      <c r="D94" s="64">
        <v>18.3</v>
      </c>
      <c r="E94" s="64">
        <v>1.64</v>
      </c>
      <c r="F94" s="64">
        <v>3.29</v>
      </c>
      <c r="G94" s="64">
        <v>63.49</v>
      </c>
      <c r="H94" s="64">
        <v>18.71</v>
      </c>
      <c r="I94" s="64">
        <v>6.74</v>
      </c>
      <c r="J94" s="64">
        <v>0.2</v>
      </c>
      <c r="K94" s="64">
        <v>107.36</v>
      </c>
      <c r="L94" s="64">
        <v>27.22</v>
      </c>
      <c r="M94" s="64">
        <v>49.21</v>
      </c>
      <c r="N94" s="64">
        <v>19.2</v>
      </c>
      <c r="O94" s="64">
        <v>0</v>
      </c>
      <c r="P94" s="64">
        <v>0.89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6" t="s">
        <v>1484</v>
      </c>
      <c r="B95" s="64">
        <v>5.67</v>
      </c>
      <c r="C95" s="64">
        <v>12.04</v>
      </c>
      <c r="D95" s="64">
        <v>17.600000000000001</v>
      </c>
      <c r="E95" s="64">
        <v>1.67</v>
      </c>
      <c r="F95" s="64">
        <v>3.44</v>
      </c>
      <c r="G95" s="64">
        <v>63.49</v>
      </c>
      <c r="H95" s="64">
        <v>18.71</v>
      </c>
      <c r="I95" s="64">
        <v>6.51</v>
      </c>
      <c r="J95" s="64">
        <v>0.39</v>
      </c>
      <c r="K95" s="64">
        <v>82.82</v>
      </c>
      <c r="L95" s="64">
        <v>27.88</v>
      </c>
      <c r="M95" s="64">
        <v>45.48</v>
      </c>
      <c r="N95" s="64">
        <v>18</v>
      </c>
      <c r="O95" s="64">
        <v>0</v>
      </c>
      <c r="P95" s="64">
        <v>0.9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16" t="s">
        <v>1485</v>
      </c>
      <c r="B96" s="64">
        <v>6.02</v>
      </c>
      <c r="C96" s="64">
        <v>12.21</v>
      </c>
      <c r="D96" s="64">
        <v>18.13</v>
      </c>
      <c r="E96" s="64">
        <v>1.48</v>
      </c>
      <c r="F96" s="64">
        <v>3.59</v>
      </c>
      <c r="G96" s="64">
        <v>66.13</v>
      </c>
      <c r="H96" s="64">
        <v>18.57</v>
      </c>
      <c r="I96" s="64">
        <v>6.62</v>
      </c>
      <c r="J96" s="64">
        <v>0.2</v>
      </c>
      <c r="K96" s="64">
        <v>236.71</v>
      </c>
      <c r="L96" s="64">
        <v>26.94</v>
      </c>
      <c r="M96" s="64">
        <v>53.6</v>
      </c>
      <c r="N96" s="64">
        <v>19.5</v>
      </c>
      <c r="O96" s="64">
        <v>0</v>
      </c>
      <c r="P96" s="64">
        <v>0.91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1486</v>
      </c>
      <c r="B97" s="64">
        <v>6.47</v>
      </c>
      <c r="C97" s="64">
        <v>11.87</v>
      </c>
      <c r="D97" s="64">
        <v>18.23</v>
      </c>
      <c r="E97" s="64">
        <v>1.9</v>
      </c>
      <c r="F97" s="64">
        <v>3.66</v>
      </c>
      <c r="G97" s="64">
        <v>67.03</v>
      </c>
      <c r="H97" s="64">
        <v>18.53</v>
      </c>
      <c r="I97" s="64">
        <v>7.13</v>
      </c>
      <c r="J97" s="64">
        <v>0.37</v>
      </c>
      <c r="K97" s="64">
        <v>348.78</v>
      </c>
      <c r="L97" s="64">
        <v>26.68</v>
      </c>
      <c r="M97" s="64">
        <v>55.43</v>
      </c>
      <c r="N97" s="64">
        <v>19.5</v>
      </c>
      <c r="O97" s="64">
        <v>0</v>
      </c>
      <c r="P97" s="64">
        <v>0.93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6" t="s">
        <v>1487</v>
      </c>
      <c r="B98" s="64">
        <v>7.03</v>
      </c>
      <c r="C98" s="64">
        <v>11.69</v>
      </c>
      <c r="D98" s="64">
        <v>18.62</v>
      </c>
      <c r="E98" s="64">
        <v>1.78</v>
      </c>
      <c r="F98" s="64">
        <v>3.38</v>
      </c>
      <c r="G98" s="64">
        <v>67.03</v>
      </c>
      <c r="H98" s="64">
        <v>18.53</v>
      </c>
      <c r="I98" s="64">
        <v>7.08</v>
      </c>
      <c r="J98" s="64">
        <v>0.2</v>
      </c>
      <c r="K98" s="64">
        <v>247.57</v>
      </c>
      <c r="L98" s="64">
        <v>26.15</v>
      </c>
      <c r="M98" s="64">
        <v>55.43</v>
      </c>
      <c r="N98" s="64">
        <v>19.399999999999999</v>
      </c>
      <c r="O98" s="64">
        <v>0</v>
      </c>
      <c r="P98" s="64">
        <v>0.96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6" t="s">
        <v>1488</v>
      </c>
      <c r="B99" s="64">
        <v>7.77</v>
      </c>
      <c r="C99" s="64">
        <v>11.67</v>
      </c>
      <c r="D99" s="64">
        <v>19.350000000000001</v>
      </c>
      <c r="E99" s="64">
        <v>1.93</v>
      </c>
      <c r="F99" s="64">
        <v>3.33</v>
      </c>
      <c r="G99" s="64">
        <v>67.03</v>
      </c>
      <c r="H99" s="64">
        <v>18.53</v>
      </c>
      <c r="I99" s="64">
        <v>7.12</v>
      </c>
      <c r="J99" s="64">
        <v>0.91</v>
      </c>
      <c r="K99" s="64">
        <v>346.63</v>
      </c>
      <c r="L99" s="64">
        <v>26.26</v>
      </c>
      <c r="M99" s="64">
        <v>57.24</v>
      </c>
      <c r="N99" s="64">
        <v>18.7</v>
      </c>
      <c r="O99" s="64">
        <v>0</v>
      </c>
      <c r="P99" s="64">
        <v>0.97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6" t="s">
        <v>1489</v>
      </c>
      <c r="B100" s="64">
        <v>8.11</v>
      </c>
      <c r="C100" s="64">
        <v>12.19</v>
      </c>
      <c r="D100" s="64">
        <v>20.2</v>
      </c>
      <c r="E100" s="64">
        <v>1.93</v>
      </c>
      <c r="F100" s="64">
        <v>3.61</v>
      </c>
      <c r="G100" s="64">
        <v>73.44</v>
      </c>
      <c r="H100" s="64">
        <v>20.53</v>
      </c>
      <c r="I100" s="64">
        <v>7.49</v>
      </c>
      <c r="J100" s="64">
        <v>0.9</v>
      </c>
      <c r="K100" s="64">
        <v>337.62</v>
      </c>
      <c r="L100" s="64">
        <v>26.15</v>
      </c>
      <c r="M100" s="64">
        <v>52.92</v>
      </c>
      <c r="N100" s="64">
        <v>18.899999999999999</v>
      </c>
      <c r="O100" s="64">
        <v>0</v>
      </c>
      <c r="P100" s="64">
        <v>0.97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1490</v>
      </c>
      <c r="B101" s="64">
        <v>7.82</v>
      </c>
      <c r="C101" s="64">
        <v>12.78</v>
      </c>
      <c r="D101" s="64">
        <v>20.5</v>
      </c>
      <c r="E101" s="64">
        <v>1.91</v>
      </c>
      <c r="F101" s="64">
        <v>3.21</v>
      </c>
      <c r="G101" s="64">
        <v>75.52</v>
      </c>
      <c r="H101" s="64">
        <v>21.22</v>
      </c>
      <c r="I101" s="64">
        <v>7.61</v>
      </c>
      <c r="J101" s="64">
        <v>0.93</v>
      </c>
      <c r="K101" s="64">
        <v>344.5</v>
      </c>
      <c r="L101" s="64">
        <v>26.13</v>
      </c>
      <c r="M101" s="64">
        <v>52.27</v>
      </c>
      <c r="N101" s="64">
        <v>19</v>
      </c>
      <c r="O101" s="64">
        <v>0</v>
      </c>
      <c r="P101" s="64">
        <v>0.96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16" t="s">
        <v>1491</v>
      </c>
      <c r="B102" s="64">
        <v>7.95</v>
      </c>
      <c r="C102" s="64">
        <v>13.18</v>
      </c>
      <c r="D102" s="64">
        <v>21.03</v>
      </c>
      <c r="E102" s="64">
        <v>2.02</v>
      </c>
      <c r="F102" s="64">
        <v>3.74</v>
      </c>
      <c r="G102" s="64">
        <v>75.52</v>
      </c>
      <c r="H102" s="64">
        <v>21.22</v>
      </c>
      <c r="I102" s="64">
        <v>7.89</v>
      </c>
      <c r="J102" s="64">
        <v>0.56999999999999995</v>
      </c>
      <c r="K102" s="64">
        <v>0.24</v>
      </c>
      <c r="L102" s="64">
        <v>26.34</v>
      </c>
      <c r="M102" s="64">
        <v>50.81</v>
      </c>
      <c r="N102" s="64">
        <v>19.399999999999999</v>
      </c>
      <c r="O102" s="64">
        <v>0</v>
      </c>
      <c r="P102" s="64">
        <v>0.96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6" t="s">
        <v>1492</v>
      </c>
      <c r="B103" s="64">
        <v>8.4</v>
      </c>
      <c r="C103" s="64">
        <v>13.19</v>
      </c>
      <c r="D103" s="64">
        <v>21.49</v>
      </c>
      <c r="E103" s="64">
        <v>1.74</v>
      </c>
      <c r="F103" s="64">
        <v>3.7</v>
      </c>
      <c r="G103" s="64">
        <v>75.52</v>
      </c>
      <c r="H103" s="64">
        <v>21.22</v>
      </c>
      <c r="I103" s="64">
        <v>7.74</v>
      </c>
      <c r="J103" s="64">
        <v>0.85</v>
      </c>
      <c r="K103" s="64">
        <v>353.3</v>
      </c>
      <c r="L103" s="64">
        <v>26.43</v>
      </c>
      <c r="M103" s="64">
        <v>50.71</v>
      </c>
      <c r="N103" s="64">
        <v>19.399999999999999</v>
      </c>
      <c r="O103" s="64">
        <v>0</v>
      </c>
      <c r="P103" s="64">
        <v>0.94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6" t="s">
        <v>1493</v>
      </c>
      <c r="B104" s="64">
        <v>8.3699999999999992</v>
      </c>
      <c r="C104" s="64">
        <v>13.09</v>
      </c>
      <c r="D104" s="64">
        <v>21.36</v>
      </c>
      <c r="E104" s="64">
        <v>1.67</v>
      </c>
      <c r="F104" s="64">
        <v>3.56</v>
      </c>
      <c r="G104" s="64">
        <v>85.9</v>
      </c>
      <c r="H104" s="64">
        <v>26.05</v>
      </c>
      <c r="I104" s="64">
        <v>7.64</v>
      </c>
      <c r="J104" s="64">
        <v>0.28999999999999998</v>
      </c>
      <c r="K104" s="64">
        <v>14.97</v>
      </c>
      <c r="L104" s="64">
        <v>26.26</v>
      </c>
      <c r="M104" s="64">
        <v>51.41</v>
      </c>
      <c r="N104" s="64">
        <v>19.7</v>
      </c>
      <c r="O104" s="64">
        <v>0</v>
      </c>
      <c r="P104" s="64">
        <v>0.94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0.18</v>
      </c>
      <c r="D106" s="67">
        <f t="shared" ref="D106:Q106" si="0">MIN(D9:D104)</f>
        <v>0.09</v>
      </c>
      <c r="E106" s="67">
        <f t="shared" si="0"/>
        <v>0.3</v>
      </c>
      <c r="F106" s="67">
        <f t="shared" si="0"/>
        <v>2.63</v>
      </c>
      <c r="G106" s="67">
        <f t="shared" si="0"/>
        <v>6.22</v>
      </c>
      <c r="H106" s="67">
        <f t="shared" si="0"/>
        <v>2.61</v>
      </c>
      <c r="I106" s="67">
        <f t="shared" si="0"/>
        <v>1.77</v>
      </c>
      <c r="J106" s="67">
        <f t="shared" si="0"/>
        <v>0</v>
      </c>
      <c r="K106" s="67">
        <f t="shared" si="0"/>
        <v>0.24</v>
      </c>
      <c r="L106" s="67">
        <f t="shared" si="0"/>
        <v>22.02</v>
      </c>
      <c r="M106" s="67">
        <f t="shared" si="0"/>
        <v>30.23</v>
      </c>
      <c r="N106" s="67">
        <f t="shared" si="0"/>
        <v>16.899999999999999</v>
      </c>
      <c r="O106" s="67">
        <f t="shared" si="0"/>
        <v>0</v>
      </c>
      <c r="P106" s="67">
        <f t="shared" si="0"/>
        <v>0.24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</v>
      </c>
      <c r="C107" s="66">
        <f t="shared" ref="C107:Q107" si="1">MAX(C9:C104)</f>
        <v>17.25</v>
      </c>
      <c r="D107" s="66">
        <f t="shared" si="1"/>
        <v>21.49</v>
      </c>
      <c r="E107" s="66">
        <f t="shared" si="1"/>
        <v>50.13</v>
      </c>
      <c r="F107" s="66">
        <f t="shared" si="1"/>
        <v>28.61</v>
      </c>
      <c r="G107" s="66">
        <f t="shared" si="1"/>
        <v>85.9</v>
      </c>
      <c r="H107" s="66">
        <f t="shared" si="1"/>
        <v>26.05</v>
      </c>
      <c r="I107" s="66">
        <f t="shared" si="1"/>
        <v>15.99</v>
      </c>
      <c r="J107" s="66">
        <f t="shared" si="1"/>
        <v>1.91</v>
      </c>
      <c r="K107" s="66">
        <f t="shared" si="1"/>
        <v>357.7</v>
      </c>
      <c r="L107" s="66">
        <f t="shared" si="1"/>
        <v>36.89</v>
      </c>
      <c r="M107" s="66">
        <f t="shared" si="1"/>
        <v>87.7</v>
      </c>
      <c r="N107" s="66">
        <f t="shared" si="1"/>
        <v>959.1</v>
      </c>
      <c r="O107" s="66">
        <f t="shared" si="1"/>
        <v>0</v>
      </c>
      <c r="P107" s="66">
        <f t="shared" si="1"/>
        <v>0.97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2.0727160493827159</v>
      </c>
      <c r="C108" s="67">
        <f t="shared" ref="C108:Q108" si="2">AVERAGE(C9:C104)</f>
        <v>7.2562962962962958</v>
      </c>
      <c r="D108" s="67">
        <f t="shared" si="2"/>
        <v>8.5444444444444461</v>
      </c>
      <c r="E108" s="67">
        <f t="shared" si="2"/>
        <v>2.2655319148936175</v>
      </c>
      <c r="F108" s="67">
        <f t="shared" si="2"/>
        <v>6.1686458333333354</v>
      </c>
      <c r="G108" s="67">
        <f t="shared" si="2"/>
        <v>30.317849462365601</v>
      </c>
      <c r="H108" s="67">
        <f t="shared" si="2"/>
        <v>11.284838709677418</v>
      </c>
      <c r="I108" s="67">
        <f t="shared" si="2"/>
        <v>6.1328125000000009</v>
      </c>
      <c r="J108" s="67">
        <f t="shared" si="2"/>
        <v>0.65197916666666667</v>
      </c>
      <c r="K108" s="67">
        <f t="shared" si="2"/>
        <v>241.89822916666665</v>
      </c>
      <c r="L108" s="67">
        <f t="shared" si="2"/>
        <v>28.357187499999998</v>
      </c>
      <c r="M108" s="67">
        <f t="shared" si="2"/>
        <v>54.148854166666688</v>
      </c>
      <c r="N108" s="67">
        <f t="shared" si="2"/>
        <v>268.31666666666672</v>
      </c>
      <c r="O108" s="67">
        <f t="shared" si="2"/>
        <v>0</v>
      </c>
      <c r="P108" s="67">
        <f t="shared" si="2"/>
        <v>0.51666666666666672</v>
      </c>
      <c r="Q108" s="67">
        <f t="shared" si="2"/>
        <v>9.2804166666666728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2.453298805866134</v>
      </c>
      <c r="C109" s="67">
        <f t="shared" ref="C109:Q109" si="3">STDEV(C9:C104)</f>
        <v>5.4419163546595515</v>
      </c>
      <c r="D109" s="67">
        <f t="shared" si="3"/>
        <v>7.4876089307602021</v>
      </c>
      <c r="E109" s="67">
        <f t="shared" si="3"/>
        <v>5.2961807332440571</v>
      </c>
      <c r="F109" s="67">
        <f t="shared" si="3"/>
        <v>4.2269047079497426</v>
      </c>
      <c r="G109" s="67">
        <f t="shared" si="3"/>
        <v>18.631619270188651</v>
      </c>
      <c r="H109" s="67">
        <f t="shared" si="3"/>
        <v>4.5445563740310391</v>
      </c>
      <c r="I109" s="67">
        <f t="shared" si="3"/>
        <v>3.7197840070641872</v>
      </c>
      <c r="J109" s="67">
        <f t="shared" si="3"/>
        <v>0.49953371898552429</v>
      </c>
      <c r="K109" s="67">
        <f t="shared" si="3"/>
        <v>119.06423215616185</v>
      </c>
      <c r="L109" s="67">
        <f t="shared" si="3"/>
        <v>4.8931156156002995</v>
      </c>
      <c r="M109" s="67">
        <f t="shared" si="3"/>
        <v>19.79427396574928</v>
      </c>
      <c r="N109" s="67">
        <f t="shared" si="3"/>
        <v>335.88919371742264</v>
      </c>
      <c r="O109" s="67">
        <f t="shared" si="3"/>
        <v>0</v>
      </c>
      <c r="P109" s="67">
        <f t="shared" si="3"/>
        <v>0.2531472077111061</v>
      </c>
      <c r="Q109" s="67">
        <f t="shared" si="3"/>
        <v>0.15756647163167722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COUNT(B9:B104)+15</f>
        <v>96</v>
      </c>
      <c r="C110" s="66">
        <f>COUNT(C9:C104)+15</f>
        <v>96</v>
      </c>
      <c r="D110" s="66">
        <f>COUNT(D9:D104)+15</f>
        <v>96</v>
      </c>
      <c r="E110" s="66">
        <f>COUNT(E9:E104)+2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1494</v>
      </c>
      <c r="B9" s="64">
        <v>8.08</v>
      </c>
      <c r="C9" s="64">
        <v>12.84</v>
      </c>
      <c r="D9" s="64">
        <v>20.83</v>
      </c>
      <c r="E9" s="64">
        <v>1.33</v>
      </c>
      <c r="F9" s="64">
        <v>3.45</v>
      </c>
      <c r="G9" s="64">
        <v>89.26</v>
      </c>
      <c r="H9" s="64">
        <v>27.7</v>
      </c>
      <c r="I9" s="64">
        <v>7.65</v>
      </c>
      <c r="J9" s="64">
        <v>0.32</v>
      </c>
      <c r="K9" s="64">
        <v>336.25</v>
      </c>
      <c r="L9" s="64">
        <v>25.93</v>
      </c>
      <c r="M9" s="64">
        <v>53.19</v>
      </c>
      <c r="N9" s="64">
        <v>19.899999999999999</v>
      </c>
      <c r="O9" s="64">
        <v>0</v>
      </c>
      <c r="P9" s="64">
        <v>0.91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6" t="s">
        <v>1495</v>
      </c>
      <c r="B10" s="64">
        <v>7.81</v>
      </c>
      <c r="C10" s="64">
        <v>12.56</v>
      </c>
      <c r="D10" s="64">
        <v>20.27</v>
      </c>
      <c r="E10" s="64">
        <v>1.28</v>
      </c>
      <c r="F10" s="64">
        <v>3.82</v>
      </c>
      <c r="G10" s="64">
        <v>89.26</v>
      </c>
      <c r="H10" s="64">
        <v>27.7</v>
      </c>
      <c r="I10" s="64">
        <v>7.61</v>
      </c>
      <c r="J10" s="64">
        <v>0.43</v>
      </c>
      <c r="K10" s="64">
        <v>127.43</v>
      </c>
      <c r="L10" s="64">
        <v>25.78</v>
      </c>
      <c r="M10" s="64">
        <v>52.65</v>
      </c>
      <c r="N10" s="64">
        <v>19.600000000000001</v>
      </c>
      <c r="O10" s="64">
        <v>0</v>
      </c>
      <c r="P10" s="64">
        <v>0.9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6" t="s">
        <v>1496</v>
      </c>
      <c r="B11" s="64">
        <v>7.32</v>
      </c>
      <c r="C11" s="64">
        <v>12.51</v>
      </c>
      <c r="D11" s="64">
        <v>19.73</v>
      </c>
      <c r="E11" s="64">
        <v>1.62</v>
      </c>
      <c r="F11" s="64">
        <v>3.93</v>
      </c>
      <c r="G11" s="64">
        <v>89.26</v>
      </c>
      <c r="H11" s="64">
        <v>27.7</v>
      </c>
      <c r="I11" s="64">
        <v>7.54</v>
      </c>
      <c r="J11" s="64">
        <v>0.17</v>
      </c>
      <c r="K11" s="64">
        <v>86.58</v>
      </c>
      <c r="L11" s="64">
        <v>26.01</v>
      </c>
      <c r="M11" s="64">
        <v>53.32</v>
      </c>
      <c r="N11" s="64">
        <v>19.899999999999999</v>
      </c>
      <c r="O11" s="64">
        <v>0</v>
      </c>
      <c r="P11" s="64">
        <v>0.88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6" t="s">
        <v>1497</v>
      </c>
      <c r="B12" s="64">
        <v>6.93</v>
      </c>
      <c r="C12" s="64">
        <v>12.24</v>
      </c>
      <c r="D12" s="64">
        <v>19.059999999999999</v>
      </c>
      <c r="E12" s="64">
        <v>1.73</v>
      </c>
      <c r="F12" s="64">
        <v>3.49</v>
      </c>
      <c r="G12" s="64">
        <v>87.84</v>
      </c>
      <c r="H12" s="64">
        <v>29.32</v>
      </c>
      <c r="I12" s="64">
        <v>7.5</v>
      </c>
      <c r="J12" s="64">
        <v>0.28000000000000003</v>
      </c>
      <c r="K12" s="64">
        <v>197.92</v>
      </c>
      <c r="L12" s="64">
        <v>25.56</v>
      </c>
      <c r="M12" s="64">
        <v>55.7</v>
      </c>
      <c r="N12" s="64">
        <v>20.3</v>
      </c>
      <c r="O12" s="64">
        <v>0</v>
      </c>
      <c r="P12" s="64">
        <v>0.84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6" t="s">
        <v>1498</v>
      </c>
      <c r="B13" s="64">
        <v>6.65</v>
      </c>
      <c r="C13" s="64">
        <v>11.62</v>
      </c>
      <c r="D13" s="64">
        <v>18.170000000000002</v>
      </c>
      <c r="E13" s="64">
        <v>1.31</v>
      </c>
      <c r="F13" s="64">
        <v>3.55</v>
      </c>
      <c r="G13" s="64">
        <v>87.35</v>
      </c>
      <c r="H13" s="64">
        <v>29.87</v>
      </c>
      <c r="I13" s="64">
        <v>7.6</v>
      </c>
      <c r="J13" s="64">
        <v>0.21</v>
      </c>
      <c r="K13" s="64">
        <v>169.27</v>
      </c>
      <c r="L13" s="64">
        <v>24.93</v>
      </c>
      <c r="M13" s="64">
        <v>61</v>
      </c>
      <c r="N13" s="64">
        <v>20.6</v>
      </c>
      <c r="O13" s="64">
        <v>0</v>
      </c>
      <c r="P13" s="64">
        <v>0.79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6" t="s">
        <v>1499</v>
      </c>
      <c r="B14" s="64">
        <v>6.5</v>
      </c>
      <c r="C14" s="64">
        <v>11.01</v>
      </c>
      <c r="D14" s="64">
        <v>17.41</v>
      </c>
      <c r="E14" s="64">
        <v>0.98</v>
      </c>
      <c r="F14" s="64">
        <v>3.47</v>
      </c>
      <c r="G14" s="64">
        <v>87.35</v>
      </c>
      <c r="H14" s="64">
        <v>29.87</v>
      </c>
      <c r="I14" s="64">
        <v>7.53</v>
      </c>
      <c r="J14" s="64">
        <v>0.16</v>
      </c>
      <c r="K14" s="64">
        <v>177.2</v>
      </c>
      <c r="L14" s="64">
        <v>24.55</v>
      </c>
      <c r="M14" s="64">
        <v>62.12</v>
      </c>
      <c r="N14" s="64">
        <v>20.7</v>
      </c>
      <c r="O14" s="64">
        <v>0</v>
      </c>
      <c r="P14" s="64">
        <v>0.8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6" t="s">
        <v>1500</v>
      </c>
      <c r="B15" s="64">
        <v>6.46</v>
      </c>
      <c r="C15" s="64">
        <v>10.56</v>
      </c>
      <c r="D15" s="64">
        <v>16.920000000000002</v>
      </c>
      <c r="E15" s="64">
        <v>1.49</v>
      </c>
      <c r="F15" s="64">
        <v>3.42</v>
      </c>
      <c r="G15" s="64">
        <v>87.35</v>
      </c>
      <c r="H15" s="64">
        <v>29.87</v>
      </c>
      <c r="I15" s="64">
        <v>7.35</v>
      </c>
      <c r="J15" s="64">
        <v>0.19</v>
      </c>
      <c r="K15" s="64">
        <v>249.95</v>
      </c>
      <c r="L15" s="64">
        <v>24.38</v>
      </c>
      <c r="M15" s="64">
        <v>62.82</v>
      </c>
      <c r="N15" s="64">
        <v>20.6</v>
      </c>
      <c r="O15" s="64">
        <v>0</v>
      </c>
      <c r="P15" s="64">
        <v>0.78</v>
      </c>
      <c r="Q15" s="64">
        <v>9.58</v>
      </c>
      <c r="R15" s="198"/>
      <c r="S15" s="198"/>
      <c r="T15" s="198"/>
      <c r="U15" s="198"/>
    </row>
    <row r="16" spans="1:21" s="12" customFormat="1" x14ac:dyDescent="0.25">
      <c r="A16" s="216" t="s">
        <v>1501</v>
      </c>
      <c r="B16" s="64">
        <v>6.35</v>
      </c>
      <c r="C16" s="64">
        <v>10.210000000000001</v>
      </c>
      <c r="D16" s="64">
        <v>16.46</v>
      </c>
      <c r="E16" s="64">
        <v>1.1000000000000001</v>
      </c>
      <c r="F16" s="64">
        <v>3.12</v>
      </c>
      <c r="G16" s="64">
        <v>80.95</v>
      </c>
      <c r="H16" s="64">
        <v>26.78</v>
      </c>
      <c r="I16" s="64">
        <v>7.15</v>
      </c>
      <c r="J16" s="64">
        <v>0.19</v>
      </c>
      <c r="K16" s="64">
        <v>353.2</v>
      </c>
      <c r="L16" s="64">
        <v>23.94</v>
      </c>
      <c r="M16" s="64">
        <v>69.53</v>
      </c>
      <c r="N16" s="64">
        <v>20.8</v>
      </c>
      <c r="O16" s="64">
        <v>0</v>
      </c>
      <c r="P16" s="64">
        <v>0.75</v>
      </c>
      <c r="Q16" s="64">
        <v>9.59</v>
      </c>
      <c r="R16" s="198"/>
      <c r="S16" s="198"/>
      <c r="T16" s="198"/>
      <c r="U16" s="198"/>
    </row>
    <row r="17" spans="1:21" s="12" customFormat="1" x14ac:dyDescent="0.25">
      <c r="A17" s="216" t="s">
        <v>1502</v>
      </c>
      <c r="B17" s="64">
        <v>6.16</v>
      </c>
      <c r="C17" s="64">
        <v>9.44</v>
      </c>
      <c r="D17" s="64">
        <v>15.5</v>
      </c>
      <c r="E17" s="64">
        <v>1.1100000000000001</v>
      </c>
      <c r="F17" s="64">
        <v>3.5</v>
      </c>
      <c r="G17" s="64">
        <v>78.75</v>
      </c>
      <c r="H17" s="64">
        <v>25.72</v>
      </c>
      <c r="I17" s="64">
        <v>7</v>
      </c>
      <c r="J17" s="64">
        <v>0.36</v>
      </c>
      <c r="K17" s="64">
        <v>160.75</v>
      </c>
      <c r="L17" s="64">
        <v>23.94</v>
      </c>
      <c r="M17" s="64">
        <v>65.040000000000006</v>
      </c>
      <c r="N17" s="64">
        <v>20.399999999999999</v>
      </c>
      <c r="O17" s="64">
        <v>0</v>
      </c>
      <c r="P17" s="64">
        <v>0.75</v>
      </c>
      <c r="Q17" s="64">
        <v>9.58</v>
      </c>
      <c r="R17" s="198"/>
      <c r="S17" s="198"/>
      <c r="T17" s="198"/>
      <c r="U17" s="198"/>
    </row>
    <row r="18" spans="1:21" s="12" customFormat="1" x14ac:dyDescent="0.25">
      <c r="A18" s="216" t="s">
        <v>1503</v>
      </c>
      <c r="B18" s="64">
        <v>5.95</v>
      </c>
      <c r="C18" s="64">
        <v>9.06</v>
      </c>
      <c r="D18" s="64">
        <v>14.91</v>
      </c>
      <c r="E18" s="64">
        <v>1.07</v>
      </c>
      <c r="F18" s="64">
        <v>3.53</v>
      </c>
      <c r="G18" s="64">
        <v>78.75</v>
      </c>
      <c r="H18" s="64">
        <v>25.72</v>
      </c>
      <c r="I18" s="64">
        <v>6.66</v>
      </c>
      <c r="J18" s="64">
        <v>0.19</v>
      </c>
      <c r="K18" s="64">
        <v>87.93</v>
      </c>
      <c r="L18" s="64">
        <v>24.41</v>
      </c>
      <c r="M18" s="64">
        <v>64.28</v>
      </c>
      <c r="N18" s="64">
        <v>20.399999999999999</v>
      </c>
      <c r="O18" s="64">
        <v>0</v>
      </c>
      <c r="P18" s="64">
        <v>0.73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6" t="s">
        <v>1504</v>
      </c>
      <c r="B19" s="64">
        <v>5.89</v>
      </c>
      <c r="C19" s="64">
        <v>8.68</v>
      </c>
      <c r="D19" s="64">
        <v>14.47</v>
      </c>
      <c r="E19" s="64">
        <v>1.01</v>
      </c>
      <c r="F19" s="64">
        <v>2.92</v>
      </c>
      <c r="G19" s="64">
        <v>78.75</v>
      </c>
      <c r="H19" s="64">
        <v>25.72</v>
      </c>
      <c r="I19" s="64">
        <v>6.82</v>
      </c>
      <c r="J19" s="64">
        <v>0.1</v>
      </c>
      <c r="K19" s="64">
        <v>332.34</v>
      </c>
      <c r="L19" s="64">
        <v>24.06</v>
      </c>
      <c r="M19" s="64">
        <v>66.5</v>
      </c>
      <c r="N19" s="64">
        <v>21</v>
      </c>
      <c r="O19" s="64">
        <v>0</v>
      </c>
      <c r="P19" s="64">
        <v>0.71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16" t="s">
        <v>1505</v>
      </c>
      <c r="B20" s="64">
        <v>6</v>
      </c>
      <c r="C20" s="64">
        <v>8.35</v>
      </c>
      <c r="D20" s="64">
        <v>14.26</v>
      </c>
      <c r="E20" s="64">
        <v>1.51</v>
      </c>
      <c r="F20" s="64">
        <v>3.57</v>
      </c>
      <c r="G20" s="64">
        <v>72.7</v>
      </c>
      <c r="H20" s="64">
        <v>25.08</v>
      </c>
      <c r="I20" s="64">
        <v>6.71</v>
      </c>
      <c r="J20" s="64">
        <v>0.19</v>
      </c>
      <c r="K20" s="64">
        <v>320.88</v>
      </c>
      <c r="L20" s="64">
        <v>23.53</v>
      </c>
      <c r="M20" s="64">
        <v>73.5</v>
      </c>
      <c r="N20" s="64">
        <v>21.3</v>
      </c>
      <c r="O20" s="64">
        <v>0</v>
      </c>
      <c r="P20" s="64">
        <v>0.69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6" t="s">
        <v>1506</v>
      </c>
      <c r="B21" s="64">
        <v>5.95</v>
      </c>
      <c r="C21" s="64">
        <v>7.66</v>
      </c>
      <c r="D21" s="64">
        <v>13.5</v>
      </c>
      <c r="E21" s="64">
        <v>1.27</v>
      </c>
      <c r="F21" s="64">
        <v>3.51</v>
      </c>
      <c r="G21" s="64">
        <v>70.62</v>
      </c>
      <c r="H21" s="64">
        <v>24.87</v>
      </c>
      <c r="I21" s="64">
        <v>6.75</v>
      </c>
      <c r="J21" s="64">
        <v>0.21</v>
      </c>
      <c r="K21" s="64">
        <v>308.95999999999998</v>
      </c>
      <c r="L21" s="64">
        <v>23.29</v>
      </c>
      <c r="M21" s="64">
        <v>74.31</v>
      </c>
      <c r="N21" s="64">
        <v>21.1</v>
      </c>
      <c r="O21" s="64">
        <v>0</v>
      </c>
      <c r="P21" s="64">
        <v>0.68</v>
      </c>
      <c r="Q21" s="64">
        <v>9.5299999999999994</v>
      </c>
      <c r="R21" s="198"/>
      <c r="S21" s="198"/>
      <c r="T21" s="198"/>
      <c r="U21" s="198"/>
    </row>
    <row r="22" spans="1:21" s="12" customFormat="1" x14ac:dyDescent="0.25">
      <c r="A22" s="216" t="s">
        <v>1507</v>
      </c>
      <c r="B22" s="64">
        <v>6.03</v>
      </c>
      <c r="C22" s="64">
        <v>7.44</v>
      </c>
      <c r="D22" s="64">
        <v>13.37</v>
      </c>
      <c r="E22" s="64">
        <v>1.31</v>
      </c>
      <c r="F22" s="64">
        <v>3.39</v>
      </c>
      <c r="G22" s="64">
        <v>70.62</v>
      </c>
      <c r="H22" s="64">
        <v>24.87</v>
      </c>
      <c r="I22" s="64">
        <v>7.01</v>
      </c>
      <c r="J22" s="64">
        <v>0.04</v>
      </c>
      <c r="K22" s="64">
        <v>15.93</v>
      </c>
      <c r="L22" s="64">
        <v>23.59</v>
      </c>
      <c r="M22" s="64">
        <v>68.5</v>
      </c>
      <c r="N22" s="64">
        <v>21</v>
      </c>
      <c r="O22" s="64">
        <v>0</v>
      </c>
      <c r="P22" s="64">
        <v>0.67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16" t="s">
        <v>1508</v>
      </c>
      <c r="B23" s="64">
        <v>5.92</v>
      </c>
      <c r="C23" s="64">
        <v>7.42</v>
      </c>
      <c r="D23" s="64">
        <v>13.23</v>
      </c>
      <c r="E23" s="64">
        <v>1.39</v>
      </c>
      <c r="F23" s="64">
        <v>3.79</v>
      </c>
      <c r="G23" s="64">
        <v>70.62</v>
      </c>
      <c r="H23" s="64">
        <v>24.87</v>
      </c>
      <c r="I23" s="64">
        <v>7.04</v>
      </c>
      <c r="J23" s="64">
        <v>0.09</v>
      </c>
      <c r="K23" s="64">
        <v>258.10000000000002</v>
      </c>
      <c r="L23" s="64">
        <v>23.67</v>
      </c>
      <c r="M23" s="64">
        <v>67.8</v>
      </c>
      <c r="N23" s="64">
        <v>21.3</v>
      </c>
      <c r="O23" s="64">
        <v>0</v>
      </c>
      <c r="P23" s="64">
        <v>0.66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6" t="s">
        <v>1509</v>
      </c>
      <c r="B24" s="64">
        <v>5.9</v>
      </c>
      <c r="C24" s="64">
        <v>7.13</v>
      </c>
      <c r="D24" s="64">
        <v>12.93</v>
      </c>
      <c r="E24" s="64">
        <v>1.03</v>
      </c>
      <c r="F24" s="64">
        <v>4.1399999999999997</v>
      </c>
      <c r="G24" s="64">
        <v>68.239999999999995</v>
      </c>
      <c r="H24" s="64">
        <v>24.12</v>
      </c>
      <c r="I24" s="64">
        <v>7.53</v>
      </c>
      <c r="J24" s="64">
        <v>0.42</v>
      </c>
      <c r="K24" s="64">
        <v>349.34</v>
      </c>
      <c r="L24" s="64">
        <v>23.45</v>
      </c>
      <c r="M24" s="64">
        <v>70.489999999999995</v>
      </c>
      <c r="N24" s="64">
        <v>20.9</v>
      </c>
      <c r="O24" s="64">
        <v>0</v>
      </c>
      <c r="P24" s="64">
        <v>0.65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6" t="s">
        <v>1510</v>
      </c>
      <c r="B25" s="64">
        <v>6.08</v>
      </c>
      <c r="C25" s="64">
        <v>7.33</v>
      </c>
      <c r="D25" s="64">
        <v>13.31</v>
      </c>
      <c r="E25" s="64">
        <v>1.58</v>
      </c>
      <c r="F25" s="64">
        <v>3.78</v>
      </c>
      <c r="G25" s="64">
        <v>67.42</v>
      </c>
      <c r="H25" s="64">
        <v>23.86</v>
      </c>
      <c r="I25" s="64">
        <v>7.72</v>
      </c>
      <c r="J25" s="64">
        <v>0.71</v>
      </c>
      <c r="K25" s="64">
        <v>329.45</v>
      </c>
      <c r="L25" s="64">
        <v>23.41</v>
      </c>
      <c r="M25" s="64">
        <v>67.53</v>
      </c>
      <c r="N25" s="64">
        <v>20.5</v>
      </c>
      <c r="O25" s="64">
        <v>0</v>
      </c>
      <c r="P25" s="64">
        <v>0.63</v>
      </c>
      <c r="Q25" s="64">
        <v>9.48</v>
      </c>
      <c r="R25" s="198"/>
      <c r="S25" s="198"/>
      <c r="T25" s="198"/>
      <c r="U25" s="198"/>
    </row>
    <row r="26" spans="1:21" s="12" customFormat="1" x14ac:dyDescent="0.25">
      <c r="A26" s="216" t="s">
        <v>1511</v>
      </c>
      <c r="B26" s="64">
        <v>5.79</v>
      </c>
      <c r="C26" s="64">
        <v>7.55</v>
      </c>
      <c r="D26" s="64">
        <v>13.24</v>
      </c>
      <c r="E26" s="64">
        <v>1.31</v>
      </c>
      <c r="F26" s="64">
        <v>3.27</v>
      </c>
      <c r="G26" s="64">
        <v>67.42</v>
      </c>
      <c r="H26" s="64">
        <v>23.86</v>
      </c>
      <c r="I26" s="64">
        <v>7.77</v>
      </c>
      <c r="J26" s="64">
        <v>0.4</v>
      </c>
      <c r="K26" s="64">
        <v>340.07</v>
      </c>
      <c r="L26" s="64">
        <v>23.47</v>
      </c>
      <c r="M26" s="64">
        <v>65.72</v>
      </c>
      <c r="N26" s="64">
        <v>21.1</v>
      </c>
      <c r="O26" s="64">
        <v>0</v>
      </c>
      <c r="P26" s="64">
        <v>0.62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6" t="s">
        <v>1512</v>
      </c>
      <c r="B27" s="64">
        <v>5.91</v>
      </c>
      <c r="C27" s="64">
        <v>7.54</v>
      </c>
      <c r="D27" s="64">
        <v>13.35</v>
      </c>
      <c r="E27" s="64">
        <v>1.51</v>
      </c>
      <c r="F27" s="64">
        <v>4.12</v>
      </c>
      <c r="G27" s="64">
        <v>67.42</v>
      </c>
      <c r="H27" s="64">
        <v>23.86</v>
      </c>
      <c r="I27" s="64">
        <v>7.54</v>
      </c>
      <c r="J27" s="64">
        <v>0.2</v>
      </c>
      <c r="K27" s="64">
        <v>354.39</v>
      </c>
      <c r="L27" s="64">
        <v>23.27</v>
      </c>
      <c r="M27" s="64">
        <v>68.040000000000006</v>
      </c>
      <c r="N27" s="64">
        <v>21.4</v>
      </c>
      <c r="O27" s="64">
        <v>0</v>
      </c>
      <c r="P27" s="64">
        <v>0.61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6" t="s">
        <v>1513</v>
      </c>
      <c r="B28" s="64">
        <v>5.94</v>
      </c>
      <c r="C28" s="64">
        <v>7.63</v>
      </c>
      <c r="D28" s="64">
        <v>13.47</v>
      </c>
      <c r="E28" s="64">
        <v>1.41</v>
      </c>
      <c r="F28" s="64">
        <v>3.17</v>
      </c>
      <c r="G28" s="64">
        <v>66.09</v>
      </c>
      <c r="H28" s="64">
        <v>23.03</v>
      </c>
      <c r="I28" s="64">
        <v>7.39</v>
      </c>
      <c r="J28" s="64">
        <v>0.24</v>
      </c>
      <c r="K28" s="64">
        <v>339.49</v>
      </c>
      <c r="L28" s="64">
        <v>23.13</v>
      </c>
      <c r="M28" s="64">
        <v>67.77</v>
      </c>
      <c r="N28" s="64">
        <v>21.3</v>
      </c>
      <c r="O28" s="64">
        <v>0</v>
      </c>
      <c r="P28" s="64">
        <v>0.61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16" t="s">
        <v>1514</v>
      </c>
      <c r="B29" s="64">
        <v>6.08</v>
      </c>
      <c r="C29" s="64">
        <v>7.53</v>
      </c>
      <c r="D29" s="64">
        <v>13.5</v>
      </c>
      <c r="E29" s="64">
        <v>1.49</v>
      </c>
      <c r="F29" s="64">
        <v>4.08</v>
      </c>
      <c r="G29" s="64">
        <v>65.64</v>
      </c>
      <c r="H29" s="64">
        <v>22.74</v>
      </c>
      <c r="I29" s="64">
        <v>7.28</v>
      </c>
      <c r="J29" s="64">
        <v>0.34</v>
      </c>
      <c r="K29" s="64">
        <v>322.98</v>
      </c>
      <c r="L29" s="64">
        <v>22.98</v>
      </c>
      <c r="M29" s="64">
        <v>69.95</v>
      </c>
      <c r="N29" s="64">
        <v>22.2</v>
      </c>
      <c r="O29" s="64">
        <v>0</v>
      </c>
      <c r="P29" s="64">
        <v>0.63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16" t="s">
        <v>1515</v>
      </c>
      <c r="B30" s="64">
        <v>6.26</v>
      </c>
      <c r="C30" s="64">
        <v>7.41</v>
      </c>
      <c r="D30" s="64">
        <v>13.57</v>
      </c>
      <c r="E30" s="64">
        <v>1.72</v>
      </c>
      <c r="F30" s="64">
        <v>4.04</v>
      </c>
      <c r="G30" s="64">
        <v>65.64</v>
      </c>
      <c r="H30" s="64">
        <v>22.74</v>
      </c>
      <c r="I30" s="64">
        <v>7.18</v>
      </c>
      <c r="J30" s="64">
        <v>0.34</v>
      </c>
      <c r="K30" s="64">
        <v>305.39999999999998</v>
      </c>
      <c r="L30" s="64">
        <v>22.85</v>
      </c>
      <c r="M30" s="64">
        <v>70.87</v>
      </c>
      <c r="N30" s="64">
        <v>25.2</v>
      </c>
      <c r="O30" s="64">
        <v>0</v>
      </c>
      <c r="P30" s="64">
        <v>0.65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6" t="s">
        <v>1516</v>
      </c>
      <c r="B31" s="64">
        <v>6.51</v>
      </c>
      <c r="C31" s="64">
        <v>7.44</v>
      </c>
      <c r="D31" s="64">
        <v>13.85</v>
      </c>
      <c r="E31" s="64">
        <v>1.46</v>
      </c>
      <c r="F31" s="64">
        <v>3.08</v>
      </c>
      <c r="G31" s="64">
        <v>65.64</v>
      </c>
      <c r="H31" s="64">
        <v>22.74</v>
      </c>
      <c r="I31" s="64">
        <v>7.1</v>
      </c>
      <c r="J31" s="64">
        <v>0.24</v>
      </c>
      <c r="K31" s="64">
        <v>312.79000000000002</v>
      </c>
      <c r="L31" s="64">
        <v>22.85</v>
      </c>
      <c r="M31" s="64">
        <v>71.59</v>
      </c>
      <c r="N31" s="64">
        <v>32.700000000000003</v>
      </c>
      <c r="O31" s="64">
        <v>0</v>
      </c>
      <c r="P31" s="64">
        <v>0.67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16" t="s">
        <v>1517</v>
      </c>
      <c r="B32" s="64">
        <v>6.85</v>
      </c>
      <c r="C32" s="64">
        <v>7.29</v>
      </c>
      <c r="D32" s="64">
        <v>14.04</v>
      </c>
      <c r="E32" s="64">
        <v>1.92</v>
      </c>
      <c r="F32" s="64">
        <v>3.33</v>
      </c>
      <c r="G32" s="64">
        <v>81.63</v>
      </c>
      <c r="H32" s="64">
        <v>31.41</v>
      </c>
      <c r="I32" s="64">
        <v>7.04</v>
      </c>
      <c r="J32" s="64">
        <v>0.06</v>
      </c>
      <c r="K32" s="64">
        <v>214.63</v>
      </c>
      <c r="L32" s="64">
        <v>22.93</v>
      </c>
      <c r="M32" s="64">
        <v>71.48</v>
      </c>
      <c r="N32" s="64">
        <v>54.6</v>
      </c>
      <c r="O32" s="64">
        <v>0</v>
      </c>
      <c r="P32" s="64">
        <v>0.69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6" t="s">
        <v>1518</v>
      </c>
      <c r="B33" s="64">
        <v>7.41</v>
      </c>
      <c r="C33" s="64">
        <v>7.34</v>
      </c>
      <c r="D33" s="64">
        <v>14.65</v>
      </c>
      <c r="E33" s="64">
        <v>1.55</v>
      </c>
      <c r="F33" s="64">
        <v>3.53</v>
      </c>
      <c r="G33" s="64">
        <v>87.12</v>
      </c>
      <c r="H33" s="64">
        <v>34.39</v>
      </c>
      <c r="I33" s="64">
        <v>7.01</v>
      </c>
      <c r="J33" s="64">
        <v>0.17</v>
      </c>
      <c r="K33" s="64">
        <v>244.45</v>
      </c>
      <c r="L33" s="64">
        <v>23.57</v>
      </c>
      <c r="M33" s="64">
        <v>68.95</v>
      </c>
      <c r="N33" s="64">
        <v>78.7</v>
      </c>
      <c r="O33" s="64">
        <v>0</v>
      </c>
      <c r="P33" s="64">
        <v>0.72</v>
      </c>
      <c r="Q33" s="64">
        <v>9.4499999999999993</v>
      </c>
      <c r="R33" s="198"/>
      <c r="S33" s="198"/>
      <c r="T33" s="198"/>
      <c r="U33" s="198"/>
    </row>
    <row r="34" spans="1:21" s="12" customFormat="1" x14ac:dyDescent="0.25">
      <c r="A34" s="216" t="s">
        <v>1519</v>
      </c>
      <c r="B34" s="64">
        <v>8.14</v>
      </c>
      <c r="C34" s="64">
        <v>8.07</v>
      </c>
      <c r="D34" s="64">
        <v>16.11</v>
      </c>
      <c r="E34" s="64">
        <v>1.68</v>
      </c>
      <c r="F34" s="64">
        <v>3.06</v>
      </c>
      <c r="G34" s="64">
        <v>87.12</v>
      </c>
      <c r="H34" s="64">
        <v>34.39</v>
      </c>
      <c r="I34" s="64">
        <v>7.01</v>
      </c>
      <c r="J34" s="64">
        <v>0.08</v>
      </c>
      <c r="K34" s="64">
        <v>112.93</v>
      </c>
      <c r="L34" s="64">
        <v>24.85</v>
      </c>
      <c r="M34" s="64">
        <v>62.11</v>
      </c>
      <c r="N34" s="64">
        <v>137.4</v>
      </c>
      <c r="O34" s="64">
        <v>0</v>
      </c>
      <c r="P34" s="64">
        <v>0.74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6" t="s">
        <v>1520</v>
      </c>
      <c r="B35" s="64">
        <v>8.5399999999999991</v>
      </c>
      <c r="C35" s="64">
        <v>8.18</v>
      </c>
      <c r="D35" s="64">
        <v>16.61</v>
      </c>
      <c r="E35" s="64">
        <v>1.41</v>
      </c>
      <c r="F35" s="64">
        <v>3.04</v>
      </c>
      <c r="G35" s="64">
        <v>87.12</v>
      </c>
      <c r="H35" s="64">
        <v>34.39</v>
      </c>
      <c r="I35" s="64">
        <v>7.07</v>
      </c>
      <c r="J35" s="64">
        <v>0.02</v>
      </c>
      <c r="K35" s="64">
        <v>115.37</v>
      </c>
      <c r="L35" s="64">
        <v>25.94</v>
      </c>
      <c r="M35" s="64">
        <v>58.39</v>
      </c>
      <c r="N35" s="64">
        <v>171.9</v>
      </c>
      <c r="O35" s="64">
        <v>0</v>
      </c>
      <c r="P35" s="64">
        <v>0.75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6" t="s">
        <v>1521</v>
      </c>
      <c r="B36" s="64">
        <v>8.77</v>
      </c>
      <c r="C36" s="64">
        <v>8.5299999999999994</v>
      </c>
      <c r="D36" s="64">
        <v>17.2</v>
      </c>
      <c r="E36" s="64">
        <v>1.47</v>
      </c>
      <c r="F36" s="64">
        <v>3.1</v>
      </c>
      <c r="G36" s="64">
        <v>149.04</v>
      </c>
      <c r="H36" s="64">
        <v>45.17</v>
      </c>
      <c r="I36" s="64">
        <v>7.13</v>
      </c>
      <c r="J36" s="64">
        <v>0.18</v>
      </c>
      <c r="K36" s="64">
        <v>299.77</v>
      </c>
      <c r="L36" s="64">
        <v>27.35</v>
      </c>
      <c r="M36" s="64">
        <v>55.18</v>
      </c>
      <c r="N36" s="64">
        <v>177.8</v>
      </c>
      <c r="O36" s="64">
        <v>0</v>
      </c>
      <c r="P36" s="64">
        <v>0.76</v>
      </c>
      <c r="Q36" s="64">
        <v>9.73</v>
      </c>
      <c r="R36" s="198"/>
      <c r="S36" s="198"/>
      <c r="T36" s="198"/>
      <c r="U36" s="198"/>
    </row>
    <row r="37" spans="1:21" s="12" customFormat="1" x14ac:dyDescent="0.25">
      <c r="A37" s="216" t="s">
        <v>1522</v>
      </c>
      <c r="B37" s="64">
        <v>8.85</v>
      </c>
      <c r="C37" s="64">
        <v>8.69</v>
      </c>
      <c r="D37" s="64">
        <v>17.440000000000001</v>
      </c>
      <c r="E37" s="64">
        <v>1.4</v>
      </c>
      <c r="F37" s="64">
        <v>3.73</v>
      </c>
      <c r="G37" s="64">
        <v>170.29</v>
      </c>
      <c r="H37" s="64">
        <v>48.88</v>
      </c>
      <c r="I37" s="64">
        <v>7.41</v>
      </c>
      <c r="J37" s="64">
        <v>0.55000000000000004</v>
      </c>
      <c r="K37" s="64">
        <v>329.86</v>
      </c>
      <c r="L37" s="64">
        <v>27.54</v>
      </c>
      <c r="M37" s="64">
        <v>56.4</v>
      </c>
      <c r="N37" s="64">
        <v>131</v>
      </c>
      <c r="O37" s="64">
        <v>0</v>
      </c>
      <c r="P37" s="64">
        <v>0.72</v>
      </c>
      <c r="Q37" s="64">
        <v>9.7200000000000006</v>
      </c>
      <c r="R37" s="198"/>
      <c r="S37" s="198"/>
      <c r="T37" s="198"/>
      <c r="U37" s="198"/>
    </row>
    <row r="38" spans="1:21" s="12" customFormat="1" x14ac:dyDescent="0.25">
      <c r="A38" s="216" t="s">
        <v>1523</v>
      </c>
      <c r="B38" s="64">
        <v>8.8800000000000008</v>
      </c>
      <c r="C38" s="64">
        <v>8.69</v>
      </c>
      <c r="D38" s="64">
        <v>17.47</v>
      </c>
      <c r="E38" s="64">
        <v>1.46</v>
      </c>
      <c r="F38" s="64">
        <v>3.63</v>
      </c>
      <c r="G38" s="64">
        <v>170.29</v>
      </c>
      <c r="H38" s="64">
        <v>48.88</v>
      </c>
      <c r="I38" s="64">
        <v>7.69</v>
      </c>
      <c r="J38" s="64">
        <v>0.72</v>
      </c>
      <c r="K38" s="64">
        <v>332.04</v>
      </c>
      <c r="L38" s="64">
        <v>27.31</v>
      </c>
      <c r="M38" s="64">
        <v>55.85</v>
      </c>
      <c r="N38" s="64">
        <v>249.7</v>
      </c>
      <c r="O38" s="64">
        <v>0</v>
      </c>
      <c r="P38" s="64">
        <v>0.76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6" t="s">
        <v>1524</v>
      </c>
      <c r="B39" s="64">
        <v>8.7799999999999994</v>
      </c>
      <c r="C39" s="64">
        <v>8.81</v>
      </c>
      <c r="D39" s="64">
        <v>17.48</v>
      </c>
      <c r="E39" s="64">
        <v>1.86</v>
      </c>
      <c r="F39" s="64">
        <v>3.69</v>
      </c>
      <c r="G39" s="64">
        <v>170.29</v>
      </c>
      <c r="H39" s="64">
        <v>48.88</v>
      </c>
      <c r="I39" s="64">
        <v>7.88</v>
      </c>
      <c r="J39" s="64">
        <v>0.84</v>
      </c>
      <c r="K39" s="64">
        <v>340.19</v>
      </c>
      <c r="L39" s="64">
        <v>29.45</v>
      </c>
      <c r="M39" s="64">
        <v>48.19</v>
      </c>
      <c r="N39" s="64">
        <v>345.5</v>
      </c>
      <c r="O39" s="64">
        <v>0</v>
      </c>
      <c r="P39" s="64">
        <v>0.76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6" t="s">
        <v>1525</v>
      </c>
      <c r="B40" s="64">
        <v>8.7899999999999991</v>
      </c>
      <c r="C40" s="64">
        <v>8.92</v>
      </c>
      <c r="D40" s="64">
        <v>17.61</v>
      </c>
      <c r="E40" s="64">
        <v>0.79</v>
      </c>
      <c r="F40" s="64">
        <v>3.28</v>
      </c>
      <c r="G40" s="64">
        <v>127.06</v>
      </c>
      <c r="H40" s="64">
        <v>44.4</v>
      </c>
      <c r="I40" s="64">
        <v>7.9</v>
      </c>
      <c r="J40" s="64">
        <v>0.53</v>
      </c>
      <c r="K40" s="64">
        <v>334.58</v>
      </c>
      <c r="L40" s="64">
        <v>30.4</v>
      </c>
      <c r="M40" s="64">
        <v>43.81</v>
      </c>
      <c r="N40" s="64">
        <v>390.8</v>
      </c>
      <c r="O40" s="64">
        <v>0</v>
      </c>
      <c r="P40" s="64">
        <v>0.77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6" t="s">
        <v>1526</v>
      </c>
      <c r="B41" s="64">
        <v>8.93</v>
      </c>
      <c r="C41" s="64">
        <v>8.93</v>
      </c>
      <c r="D41" s="64">
        <v>17.760000000000002</v>
      </c>
      <c r="E41" s="64">
        <v>1.1499999999999999</v>
      </c>
      <c r="F41" s="64">
        <v>3.92</v>
      </c>
      <c r="G41" s="64">
        <v>112.22</v>
      </c>
      <c r="H41" s="64">
        <v>42.86</v>
      </c>
      <c r="I41" s="64">
        <v>7.92</v>
      </c>
      <c r="J41" s="64">
        <v>0.45</v>
      </c>
      <c r="K41" s="64">
        <v>342.77</v>
      </c>
      <c r="L41" s="64">
        <v>31.09</v>
      </c>
      <c r="M41" s="64">
        <v>42.06</v>
      </c>
      <c r="N41" s="64">
        <v>431.8</v>
      </c>
      <c r="O41" s="64">
        <v>0</v>
      </c>
      <c r="P41" s="64">
        <v>0.77</v>
      </c>
      <c r="Q41" s="64">
        <v>9.73</v>
      </c>
      <c r="R41" s="198"/>
      <c r="S41" s="198"/>
      <c r="T41" s="198"/>
      <c r="U41" s="198"/>
    </row>
    <row r="42" spans="1:21" s="12" customFormat="1" x14ac:dyDescent="0.25">
      <c r="A42" s="216" t="s">
        <v>1527</v>
      </c>
      <c r="B42" s="64">
        <v>8.91</v>
      </c>
      <c r="C42" s="64">
        <v>9.44</v>
      </c>
      <c r="D42" s="64">
        <v>18.25</v>
      </c>
      <c r="E42" s="64">
        <v>0.76</v>
      </c>
      <c r="F42" s="64">
        <v>3.1</v>
      </c>
      <c r="G42" s="64">
        <v>112.22</v>
      </c>
      <c r="H42" s="64">
        <v>42.86</v>
      </c>
      <c r="I42" s="64">
        <v>7.96</v>
      </c>
      <c r="J42" s="64">
        <v>0.75</v>
      </c>
      <c r="K42" s="64">
        <v>350.34</v>
      </c>
      <c r="L42" s="64">
        <v>32.6</v>
      </c>
      <c r="M42" s="64">
        <v>38.229999999999997</v>
      </c>
      <c r="N42" s="64">
        <v>528.9</v>
      </c>
      <c r="O42" s="64">
        <v>0</v>
      </c>
      <c r="P42" s="64">
        <v>0.79</v>
      </c>
      <c r="Q42" s="64">
        <v>9.6999999999999993</v>
      </c>
      <c r="R42" s="198"/>
      <c r="S42" s="198"/>
      <c r="T42" s="198"/>
      <c r="U42" s="198"/>
    </row>
    <row r="43" spans="1:21" s="12" customFormat="1" x14ac:dyDescent="0.25">
      <c r="A43" s="216" t="s">
        <v>1528</v>
      </c>
      <c r="B43" s="64">
        <v>8.85</v>
      </c>
      <c r="C43" s="64">
        <v>10.19</v>
      </c>
      <c r="D43" s="64">
        <v>18.940000000000001</v>
      </c>
      <c r="E43" s="64">
        <v>1.21</v>
      </c>
      <c r="F43" s="64">
        <v>3.74</v>
      </c>
      <c r="G43" s="64">
        <v>112.22</v>
      </c>
      <c r="H43" s="64">
        <v>42.86</v>
      </c>
      <c r="I43" s="64">
        <v>8.07</v>
      </c>
      <c r="J43" s="64">
        <v>0.79</v>
      </c>
      <c r="K43" s="64">
        <v>346.3</v>
      </c>
      <c r="L43" s="64">
        <v>33.68</v>
      </c>
      <c r="M43" s="64">
        <v>36.729999999999997</v>
      </c>
      <c r="N43" s="64">
        <v>573.9</v>
      </c>
      <c r="O43" s="64">
        <v>0</v>
      </c>
      <c r="P43" s="64">
        <v>0.79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6" t="s">
        <v>1529</v>
      </c>
      <c r="B44" s="64">
        <v>8.5299999999999994</v>
      </c>
      <c r="C44" s="64">
        <v>11.22</v>
      </c>
      <c r="D44" s="64">
        <v>19.649999999999999</v>
      </c>
      <c r="E44" s="64">
        <v>0.82</v>
      </c>
      <c r="F44" s="64">
        <v>4.2300000000000004</v>
      </c>
      <c r="G44" s="64">
        <v>129.94</v>
      </c>
      <c r="H44" s="64">
        <v>43.71</v>
      </c>
      <c r="I44" s="64">
        <v>8.27</v>
      </c>
      <c r="J44" s="64">
        <v>0.87</v>
      </c>
      <c r="K44" s="64">
        <v>354.92</v>
      </c>
      <c r="L44" s="64">
        <v>34.19</v>
      </c>
      <c r="M44" s="64">
        <v>35.270000000000003</v>
      </c>
      <c r="N44" s="64">
        <v>617.5</v>
      </c>
      <c r="O44" s="64">
        <v>0</v>
      </c>
      <c r="P44" s="64">
        <v>0.81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16" t="s">
        <v>1530</v>
      </c>
      <c r="B45" s="64">
        <v>8.1</v>
      </c>
      <c r="C45" s="64">
        <v>12.11</v>
      </c>
      <c r="D45" s="64">
        <v>20.11</v>
      </c>
      <c r="E45" s="64">
        <v>1.07</v>
      </c>
      <c r="F45" s="64">
        <v>5.58</v>
      </c>
      <c r="G45" s="64">
        <v>136.03</v>
      </c>
      <c r="H45" s="64">
        <v>44</v>
      </c>
      <c r="I45" s="64">
        <v>8.18</v>
      </c>
      <c r="J45" s="64">
        <v>0.77</v>
      </c>
      <c r="K45" s="64">
        <v>338.24</v>
      </c>
      <c r="L45" s="64">
        <v>35.06</v>
      </c>
      <c r="M45" s="64">
        <v>34.270000000000003</v>
      </c>
      <c r="N45" s="64">
        <v>670.2</v>
      </c>
      <c r="O45" s="64">
        <v>0</v>
      </c>
      <c r="P45" s="64">
        <v>0.82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6" t="s">
        <v>1531</v>
      </c>
      <c r="B46" s="64">
        <v>7.71</v>
      </c>
      <c r="C46" s="64">
        <v>12.79</v>
      </c>
      <c r="D46" s="64">
        <v>20.399999999999999</v>
      </c>
      <c r="E46" s="64">
        <v>1.35</v>
      </c>
      <c r="F46" s="64">
        <v>4.5599999999999996</v>
      </c>
      <c r="G46" s="64">
        <v>136.03</v>
      </c>
      <c r="H46" s="64">
        <v>44</v>
      </c>
      <c r="I46" s="64">
        <v>8.1</v>
      </c>
      <c r="J46" s="64">
        <v>0.85</v>
      </c>
      <c r="K46" s="64">
        <v>349.39</v>
      </c>
      <c r="L46" s="64">
        <v>35.69</v>
      </c>
      <c r="M46" s="64">
        <v>32.58</v>
      </c>
      <c r="N46" s="64">
        <v>716.1</v>
      </c>
      <c r="O46" s="64">
        <v>0</v>
      </c>
      <c r="P46" s="64">
        <v>0.82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16" t="s">
        <v>1532</v>
      </c>
      <c r="B47" s="64">
        <v>7.13</v>
      </c>
      <c r="C47" s="64">
        <v>12.85</v>
      </c>
      <c r="D47" s="64">
        <v>19.87</v>
      </c>
      <c r="E47" s="64">
        <v>1.25</v>
      </c>
      <c r="F47" s="64">
        <v>4.2699999999999996</v>
      </c>
      <c r="G47" s="64">
        <v>136.03</v>
      </c>
      <c r="H47" s="64">
        <v>44</v>
      </c>
      <c r="I47" s="64">
        <v>8.0299999999999994</v>
      </c>
      <c r="J47" s="64">
        <v>0.65</v>
      </c>
      <c r="K47" s="64">
        <v>350.48</v>
      </c>
      <c r="L47" s="64">
        <v>35.43</v>
      </c>
      <c r="M47" s="64">
        <v>32.92</v>
      </c>
      <c r="N47" s="64">
        <v>754.6</v>
      </c>
      <c r="O47" s="64">
        <v>0</v>
      </c>
      <c r="P47" s="64">
        <v>0.83</v>
      </c>
      <c r="Q47" s="64">
        <v>9.5399999999999991</v>
      </c>
      <c r="R47" s="198"/>
      <c r="S47" s="198"/>
      <c r="T47" s="198"/>
      <c r="U47" s="198"/>
    </row>
    <row r="48" spans="1:21" s="12" customFormat="1" x14ac:dyDescent="0.25">
      <c r="A48" s="216" t="s">
        <v>1533</v>
      </c>
      <c r="B48" s="64">
        <v>6.43</v>
      </c>
      <c r="C48" s="64">
        <v>12.69</v>
      </c>
      <c r="D48" s="64">
        <v>19.02</v>
      </c>
      <c r="E48" s="64">
        <v>1.36</v>
      </c>
      <c r="F48" s="64">
        <v>4.03</v>
      </c>
      <c r="G48" s="64">
        <v>104.52</v>
      </c>
      <c r="H48" s="64">
        <v>44.83</v>
      </c>
      <c r="I48" s="64">
        <v>7.96</v>
      </c>
      <c r="J48" s="64">
        <v>0.53</v>
      </c>
      <c r="K48" s="64">
        <v>342.65</v>
      </c>
      <c r="L48" s="64">
        <v>36.08</v>
      </c>
      <c r="M48" s="64">
        <v>32.21</v>
      </c>
      <c r="N48" s="64">
        <v>787.4</v>
      </c>
      <c r="O48" s="64">
        <v>0</v>
      </c>
      <c r="P48" s="64">
        <v>0.83</v>
      </c>
      <c r="Q48" s="64">
        <v>9.5399999999999991</v>
      </c>
      <c r="R48" s="198"/>
      <c r="S48" s="198"/>
      <c r="T48" s="198"/>
      <c r="U48" s="198"/>
    </row>
    <row r="49" spans="1:21" s="12" customFormat="1" x14ac:dyDescent="0.25">
      <c r="A49" s="216" t="s">
        <v>1534</v>
      </c>
      <c r="B49" s="64">
        <v>5.83</v>
      </c>
      <c r="C49" s="64">
        <v>12.95</v>
      </c>
      <c r="D49" s="64">
        <v>18.68</v>
      </c>
      <c r="E49" s="64">
        <v>1.32</v>
      </c>
      <c r="F49" s="64">
        <v>3.93</v>
      </c>
      <c r="G49" s="64">
        <v>93.71</v>
      </c>
      <c r="H49" s="64">
        <v>45.11</v>
      </c>
      <c r="I49" s="64">
        <v>7.89</v>
      </c>
      <c r="J49" s="64">
        <v>0.8</v>
      </c>
      <c r="K49" s="64">
        <v>347.35</v>
      </c>
      <c r="L49" s="64">
        <v>36.71</v>
      </c>
      <c r="M49" s="64">
        <v>31.32</v>
      </c>
      <c r="N49" s="64">
        <v>823.5</v>
      </c>
      <c r="O49" s="64">
        <v>0</v>
      </c>
      <c r="P49" s="64">
        <v>0.84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16" t="s">
        <v>1535</v>
      </c>
      <c r="B50" s="64">
        <v>5.44</v>
      </c>
      <c r="C50" s="64">
        <v>13.17</v>
      </c>
      <c r="D50" s="64">
        <v>18.52</v>
      </c>
      <c r="E50" s="64">
        <v>0.9</v>
      </c>
      <c r="F50" s="64">
        <v>3.81</v>
      </c>
      <c r="G50" s="64">
        <v>93.71</v>
      </c>
      <c r="H50" s="64">
        <v>45.11</v>
      </c>
      <c r="I50" s="64">
        <v>7.83</v>
      </c>
      <c r="J50" s="64">
        <v>0.69</v>
      </c>
      <c r="K50" s="64">
        <v>354.12</v>
      </c>
      <c r="L50" s="64">
        <v>35.950000000000003</v>
      </c>
      <c r="M50" s="64">
        <v>32.39</v>
      </c>
      <c r="N50" s="64">
        <v>851.7</v>
      </c>
      <c r="O50" s="64">
        <v>0</v>
      </c>
      <c r="P50" s="64">
        <v>0.84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6" t="s">
        <v>1536</v>
      </c>
      <c r="B51" s="64">
        <v>4.91</v>
      </c>
      <c r="C51" s="64">
        <v>13.15</v>
      </c>
      <c r="D51" s="64">
        <v>17.96</v>
      </c>
      <c r="E51" s="64">
        <v>1.1599999999999999</v>
      </c>
      <c r="F51" s="64">
        <v>3.59</v>
      </c>
      <c r="G51" s="64">
        <v>93.71</v>
      </c>
      <c r="H51" s="64">
        <v>45.11</v>
      </c>
      <c r="I51" s="64">
        <v>7.82</v>
      </c>
      <c r="J51" s="64">
        <v>0.52</v>
      </c>
      <c r="K51" s="64">
        <v>352.64</v>
      </c>
      <c r="L51" s="64">
        <v>35.85</v>
      </c>
      <c r="M51" s="64">
        <v>32.729999999999997</v>
      </c>
      <c r="N51" s="64">
        <v>866.4</v>
      </c>
      <c r="O51" s="64">
        <v>0</v>
      </c>
      <c r="P51" s="64">
        <v>0.84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6" t="s">
        <v>1537</v>
      </c>
      <c r="B52" s="64">
        <v>4.38</v>
      </c>
      <c r="C52" s="64">
        <v>13.26</v>
      </c>
      <c r="D52" s="64">
        <v>17.54</v>
      </c>
      <c r="E52" s="64">
        <v>1.06</v>
      </c>
      <c r="F52" s="64">
        <v>3.49</v>
      </c>
      <c r="G52" s="64">
        <v>89.47</v>
      </c>
      <c r="H52" s="64">
        <v>43.35</v>
      </c>
      <c r="I52" s="64">
        <v>7.79</v>
      </c>
      <c r="J52" s="64">
        <v>0.51</v>
      </c>
      <c r="K52" s="64">
        <v>353.68</v>
      </c>
      <c r="L52" s="64">
        <v>36.49</v>
      </c>
      <c r="M52" s="64">
        <v>31.79</v>
      </c>
      <c r="N52" s="64">
        <v>882.9</v>
      </c>
      <c r="O52" s="64">
        <v>0</v>
      </c>
      <c r="P52" s="64">
        <v>0.83</v>
      </c>
      <c r="Q52" s="64">
        <v>9.51</v>
      </c>
      <c r="R52" s="198"/>
      <c r="S52" s="198"/>
      <c r="T52" s="198"/>
      <c r="U52" s="198"/>
    </row>
    <row r="53" spans="1:21" s="12" customFormat="1" x14ac:dyDescent="0.25">
      <c r="A53" s="216" t="s">
        <v>1538</v>
      </c>
      <c r="B53" s="64">
        <v>3.9</v>
      </c>
      <c r="C53" s="64">
        <v>12.03</v>
      </c>
      <c r="D53" s="64">
        <v>15.83</v>
      </c>
      <c r="E53" s="64">
        <v>1.08</v>
      </c>
      <c r="F53" s="64">
        <v>3.84</v>
      </c>
      <c r="G53" s="64">
        <v>88.02</v>
      </c>
      <c r="H53" s="64">
        <v>42.74</v>
      </c>
      <c r="I53" s="64">
        <v>7.8</v>
      </c>
      <c r="J53" s="64">
        <v>0.38</v>
      </c>
      <c r="K53" s="64">
        <v>351.97</v>
      </c>
      <c r="L53" s="64">
        <v>37.07</v>
      </c>
      <c r="M53" s="64">
        <v>29.88</v>
      </c>
      <c r="N53" s="64">
        <v>903.3</v>
      </c>
      <c r="O53" s="64">
        <v>0</v>
      </c>
      <c r="P53" s="64">
        <v>0.82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16" t="s">
        <v>1539</v>
      </c>
      <c r="B54" s="64">
        <v>3.42</v>
      </c>
      <c r="C54" s="64">
        <v>10.9</v>
      </c>
      <c r="D54" s="64">
        <v>14.22</v>
      </c>
      <c r="E54" s="64">
        <v>0.7</v>
      </c>
      <c r="F54" s="64">
        <v>4.1900000000000004</v>
      </c>
      <c r="G54" s="64">
        <v>88.02</v>
      </c>
      <c r="H54" s="64">
        <v>42.74</v>
      </c>
      <c r="I54" s="64">
        <v>7.93</v>
      </c>
      <c r="J54" s="64">
        <v>0.13</v>
      </c>
      <c r="K54" s="64">
        <v>22.08</v>
      </c>
      <c r="L54" s="64">
        <v>36.82</v>
      </c>
      <c r="M54" s="64">
        <v>29.68</v>
      </c>
      <c r="N54" s="64">
        <v>915.5</v>
      </c>
      <c r="O54" s="64">
        <v>0</v>
      </c>
      <c r="P54" s="64">
        <v>0.81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16" t="s">
        <v>1540</v>
      </c>
      <c r="B55" s="64">
        <v>2.97</v>
      </c>
      <c r="C55" s="64">
        <v>10.41</v>
      </c>
      <c r="D55" s="64">
        <v>13.28</v>
      </c>
      <c r="E55" s="64">
        <v>0.5</v>
      </c>
      <c r="F55" s="64">
        <v>4.34</v>
      </c>
      <c r="G55" s="64">
        <v>88.02</v>
      </c>
      <c r="H55" s="64">
        <v>42.74</v>
      </c>
      <c r="I55" s="64">
        <v>8.16</v>
      </c>
      <c r="J55" s="64">
        <v>0.86</v>
      </c>
      <c r="K55" s="64">
        <v>117.73</v>
      </c>
      <c r="L55" s="64">
        <v>34.729999999999997</v>
      </c>
      <c r="M55" s="64">
        <v>32.94</v>
      </c>
      <c r="N55" s="64">
        <v>909.3</v>
      </c>
      <c r="O55" s="64">
        <v>0</v>
      </c>
      <c r="P55" s="64">
        <v>0.8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6" t="s">
        <v>1541</v>
      </c>
      <c r="B56" s="64">
        <v>2.54</v>
      </c>
      <c r="C56" s="64">
        <v>9.8699999999999992</v>
      </c>
      <c r="D56" s="64">
        <v>12.31</v>
      </c>
      <c r="E56" s="64">
        <v>0.84</v>
      </c>
      <c r="F56" s="64">
        <v>4.58</v>
      </c>
      <c r="G56" s="64">
        <v>72.260000000000005</v>
      </c>
      <c r="H56" s="64">
        <v>38.07</v>
      </c>
      <c r="I56" s="64">
        <v>8.3800000000000008</v>
      </c>
      <c r="J56" s="64">
        <v>0.15</v>
      </c>
      <c r="K56" s="64">
        <v>67.89</v>
      </c>
      <c r="L56" s="64">
        <v>34.81</v>
      </c>
      <c r="M56" s="64">
        <v>33.590000000000003</v>
      </c>
      <c r="N56" s="64">
        <v>903.3</v>
      </c>
      <c r="O56" s="64">
        <v>0</v>
      </c>
      <c r="P56" s="64">
        <v>0.78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6" t="s">
        <v>1542</v>
      </c>
      <c r="B57" s="64">
        <v>2.21</v>
      </c>
      <c r="C57" s="64">
        <v>9.56</v>
      </c>
      <c r="D57" s="64">
        <v>11.67</v>
      </c>
      <c r="E57" s="64">
        <v>1.17</v>
      </c>
      <c r="F57" s="64">
        <v>4.74</v>
      </c>
      <c r="G57" s="64">
        <v>66.849999999999994</v>
      </c>
      <c r="H57" s="64">
        <v>36.46</v>
      </c>
      <c r="I57" s="64">
        <v>8.7100000000000009</v>
      </c>
      <c r="J57" s="64">
        <v>0.41</v>
      </c>
      <c r="K57" s="64">
        <v>345.1</v>
      </c>
      <c r="L57" s="64">
        <v>36.4</v>
      </c>
      <c r="M57" s="64">
        <v>30.03</v>
      </c>
      <c r="N57" s="64">
        <v>885.2</v>
      </c>
      <c r="O57" s="64">
        <v>0</v>
      </c>
      <c r="P57" s="64">
        <v>0.77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6" t="s">
        <v>1543</v>
      </c>
      <c r="B58" s="64">
        <v>1.94</v>
      </c>
      <c r="C58" s="64">
        <v>9.2899999999999991</v>
      </c>
      <c r="D58" s="64">
        <v>11.13</v>
      </c>
      <c r="E58" s="64">
        <v>1.03</v>
      </c>
      <c r="F58" s="64">
        <v>5.01</v>
      </c>
      <c r="G58" s="64">
        <v>66.849999999999994</v>
      </c>
      <c r="H58" s="64">
        <v>36.46</v>
      </c>
      <c r="I58" s="64">
        <v>9.11</v>
      </c>
      <c r="J58" s="64">
        <v>0.34</v>
      </c>
      <c r="K58" s="64">
        <v>352.42</v>
      </c>
      <c r="L58" s="64">
        <v>37.340000000000003</v>
      </c>
      <c r="M58" s="64">
        <v>28.29</v>
      </c>
      <c r="N58" s="64">
        <v>889.1</v>
      </c>
      <c r="O58" s="64">
        <v>0</v>
      </c>
      <c r="P58" s="64">
        <v>0.76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16" t="s">
        <v>1544</v>
      </c>
      <c r="B59" s="64">
        <v>1.68</v>
      </c>
      <c r="C59" s="64">
        <v>8.93</v>
      </c>
      <c r="D59" s="64">
        <v>10.51</v>
      </c>
      <c r="E59" s="64">
        <v>1.25</v>
      </c>
      <c r="F59" s="64">
        <v>5.72</v>
      </c>
      <c r="G59" s="64">
        <v>66.849999999999994</v>
      </c>
      <c r="H59" s="64">
        <v>36.46</v>
      </c>
      <c r="I59" s="64">
        <v>9.15</v>
      </c>
      <c r="J59" s="64">
        <v>0.06</v>
      </c>
      <c r="K59" s="64">
        <v>345.37</v>
      </c>
      <c r="L59" s="64">
        <v>37.18</v>
      </c>
      <c r="M59" s="64">
        <v>28.02</v>
      </c>
      <c r="N59" s="64">
        <v>803.5</v>
      </c>
      <c r="O59" s="64">
        <v>0</v>
      </c>
      <c r="P59" s="64">
        <v>0.74</v>
      </c>
      <c r="Q59" s="64">
        <v>9.39</v>
      </c>
      <c r="R59" s="198"/>
      <c r="S59" s="198"/>
      <c r="T59" s="198"/>
      <c r="U59" s="198"/>
    </row>
    <row r="60" spans="1:21" s="12" customFormat="1" x14ac:dyDescent="0.25">
      <c r="A60" s="216" t="s">
        <v>1545</v>
      </c>
      <c r="B60" s="64">
        <v>1.54</v>
      </c>
      <c r="C60" s="64">
        <v>9.16</v>
      </c>
      <c r="D60" s="64">
        <v>10.6</v>
      </c>
      <c r="E60" s="64">
        <v>0.99</v>
      </c>
      <c r="F60" s="64">
        <v>5.91</v>
      </c>
      <c r="G60" s="64">
        <v>58.5</v>
      </c>
      <c r="H60" s="64">
        <v>36.71</v>
      </c>
      <c r="I60" s="64">
        <v>9.1199999999999992</v>
      </c>
      <c r="J60" s="64">
        <v>0.47</v>
      </c>
      <c r="K60" s="64">
        <v>344.45</v>
      </c>
      <c r="L60" s="64">
        <v>36.880000000000003</v>
      </c>
      <c r="M60" s="64">
        <v>28.44</v>
      </c>
      <c r="N60" s="64">
        <v>804.5</v>
      </c>
      <c r="O60" s="64">
        <v>0</v>
      </c>
      <c r="P60" s="64">
        <v>0.72</v>
      </c>
      <c r="Q60" s="64">
        <v>9.41</v>
      </c>
      <c r="R60" s="198"/>
      <c r="S60" s="198"/>
      <c r="T60" s="198"/>
      <c r="U60" s="198"/>
    </row>
    <row r="61" spans="1:21" s="12" customFormat="1" x14ac:dyDescent="0.25">
      <c r="A61" s="216" t="s">
        <v>1546</v>
      </c>
      <c r="B61" s="64">
        <v>1.45</v>
      </c>
      <c r="C61" s="64">
        <v>8.9</v>
      </c>
      <c r="D61" s="64">
        <v>10.25</v>
      </c>
      <c r="E61" s="64">
        <v>1.24</v>
      </c>
      <c r="F61" s="64">
        <v>6.91</v>
      </c>
      <c r="G61" s="64">
        <v>55.8</v>
      </c>
      <c r="H61" s="64">
        <v>36.79</v>
      </c>
      <c r="I61" s="64">
        <v>8.94</v>
      </c>
      <c r="J61" s="64">
        <v>0.68</v>
      </c>
      <c r="K61" s="64">
        <v>341.67</v>
      </c>
      <c r="L61" s="64">
        <v>37.450000000000003</v>
      </c>
      <c r="M61" s="64">
        <v>28.25</v>
      </c>
      <c r="N61" s="64">
        <v>700.2</v>
      </c>
      <c r="O61" s="64">
        <v>0</v>
      </c>
      <c r="P61" s="64">
        <v>0.7</v>
      </c>
      <c r="Q61" s="64">
        <v>9.35</v>
      </c>
      <c r="R61" s="198"/>
      <c r="S61" s="198"/>
      <c r="T61" s="198"/>
      <c r="U61" s="198"/>
    </row>
    <row r="62" spans="1:21" s="12" customFormat="1" x14ac:dyDescent="0.25">
      <c r="A62" s="216" t="s">
        <v>1547</v>
      </c>
      <c r="B62" s="64">
        <v>1.4</v>
      </c>
      <c r="C62" s="64">
        <v>9.06</v>
      </c>
      <c r="D62" s="64">
        <v>10.36</v>
      </c>
      <c r="E62" s="64">
        <v>1.2</v>
      </c>
      <c r="F62" s="64">
        <v>7.14</v>
      </c>
      <c r="G62" s="64">
        <v>55.8</v>
      </c>
      <c r="H62" s="64">
        <v>36.79</v>
      </c>
      <c r="I62" s="64">
        <v>8.69</v>
      </c>
      <c r="J62" s="64">
        <v>0.89</v>
      </c>
      <c r="K62" s="64">
        <v>338.15</v>
      </c>
      <c r="L62" s="64">
        <v>38.47</v>
      </c>
      <c r="M62" s="64">
        <v>26.27</v>
      </c>
      <c r="N62" s="64">
        <v>728.4</v>
      </c>
      <c r="O62" s="64">
        <v>0</v>
      </c>
      <c r="P62" s="64">
        <v>0.74</v>
      </c>
      <c r="Q62" s="64">
        <v>9.3000000000000007</v>
      </c>
      <c r="R62" s="198"/>
      <c r="S62" s="198"/>
      <c r="T62" s="198"/>
      <c r="U62" s="198"/>
    </row>
    <row r="63" spans="1:21" s="12" customFormat="1" x14ac:dyDescent="0.25">
      <c r="A63" s="216" t="s">
        <v>1548</v>
      </c>
      <c r="B63" s="64">
        <v>1.37</v>
      </c>
      <c r="C63" s="64">
        <v>8.91</v>
      </c>
      <c r="D63" s="64">
        <v>10.18</v>
      </c>
      <c r="E63" s="64">
        <v>1.76</v>
      </c>
      <c r="F63" s="64">
        <v>6.4</v>
      </c>
      <c r="G63" s="64">
        <v>55.8</v>
      </c>
      <c r="H63" s="64">
        <v>36.79</v>
      </c>
      <c r="I63" s="64">
        <v>8.51</v>
      </c>
      <c r="J63" s="64">
        <v>0.17</v>
      </c>
      <c r="K63" s="64">
        <v>37.75</v>
      </c>
      <c r="L63" s="64">
        <v>37.54</v>
      </c>
      <c r="M63" s="64">
        <v>26.32</v>
      </c>
      <c r="N63" s="64">
        <v>673.5</v>
      </c>
      <c r="O63" s="64">
        <v>0</v>
      </c>
      <c r="P63" s="64">
        <v>0.73</v>
      </c>
      <c r="Q63" s="64">
        <v>9.31</v>
      </c>
      <c r="R63" s="198"/>
      <c r="S63" s="198"/>
      <c r="T63" s="198"/>
      <c r="U63" s="198"/>
    </row>
    <row r="64" spans="1:21" s="12" customFormat="1" x14ac:dyDescent="0.25">
      <c r="A64" s="216" t="s">
        <v>1549</v>
      </c>
      <c r="B64" s="64">
        <v>1.35</v>
      </c>
      <c r="C64" s="64">
        <v>8.6</v>
      </c>
      <c r="D64" s="64">
        <v>9.85</v>
      </c>
      <c r="E64" s="64">
        <v>1.38</v>
      </c>
      <c r="F64" s="64">
        <v>6.41</v>
      </c>
      <c r="G64" s="64">
        <v>70.08</v>
      </c>
      <c r="H64" s="64">
        <v>35.06</v>
      </c>
      <c r="I64" s="64">
        <v>8.26</v>
      </c>
      <c r="J64" s="64">
        <v>0.37</v>
      </c>
      <c r="K64" s="64">
        <v>307.10000000000002</v>
      </c>
      <c r="L64" s="64">
        <v>37.64</v>
      </c>
      <c r="M64" s="64">
        <v>26.67</v>
      </c>
      <c r="N64" s="64">
        <v>697.8</v>
      </c>
      <c r="O64" s="64">
        <v>0</v>
      </c>
      <c r="P64" s="64">
        <v>0.71</v>
      </c>
      <c r="Q64" s="64">
        <v>9.32</v>
      </c>
      <c r="R64" s="198"/>
      <c r="S64" s="198"/>
      <c r="T64" s="198"/>
      <c r="U64" s="198"/>
    </row>
    <row r="65" spans="1:21" s="12" customFormat="1" x14ac:dyDescent="0.25">
      <c r="A65" s="216" t="s">
        <v>1550</v>
      </c>
      <c r="B65" s="64">
        <v>1.34</v>
      </c>
      <c r="C65" s="64">
        <v>8.41</v>
      </c>
      <c r="D65" s="64">
        <v>9.64</v>
      </c>
      <c r="E65" s="64">
        <v>1.41</v>
      </c>
      <c r="F65" s="64">
        <v>6.68</v>
      </c>
      <c r="G65" s="64">
        <v>74.98</v>
      </c>
      <c r="H65" s="64">
        <v>34.46</v>
      </c>
      <c r="I65" s="64">
        <v>8.1199999999999992</v>
      </c>
      <c r="J65" s="64">
        <v>0.7</v>
      </c>
      <c r="K65" s="64">
        <v>331.72</v>
      </c>
      <c r="L65" s="64">
        <v>37.97</v>
      </c>
      <c r="M65" s="64">
        <v>26.11</v>
      </c>
      <c r="N65" s="64">
        <v>502.9</v>
      </c>
      <c r="O65" s="64">
        <v>0</v>
      </c>
      <c r="P65" s="64">
        <v>0.7</v>
      </c>
      <c r="Q65" s="64">
        <v>9.2799999999999994</v>
      </c>
      <c r="R65" s="198"/>
      <c r="S65" s="198"/>
      <c r="T65" s="198"/>
      <c r="U65" s="198"/>
    </row>
    <row r="66" spans="1:21" s="12" customFormat="1" x14ac:dyDescent="0.25">
      <c r="A66" s="216" t="s">
        <v>1551</v>
      </c>
      <c r="B66" s="64">
        <v>1.35</v>
      </c>
      <c r="C66" s="64">
        <v>8.3699999999999992</v>
      </c>
      <c r="D66" s="64">
        <v>9.6199999999999992</v>
      </c>
      <c r="E66" s="64">
        <v>1.32</v>
      </c>
      <c r="F66" s="64">
        <v>6.58</v>
      </c>
      <c r="G66" s="64">
        <v>74.98</v>
      </c>
      <c r="H66" s="64">
        <v>34.46</v>
      </c>
      <c r="I66" s="64">
        <v>7.97</v>
      </c>
      <c r="J66" s="64">
        <v>0.69</v>
      </c>
      <c r="K66" s="64">
        <v>339.47</v>
      </c>
      <c r="L66" s="64">
        <v>38.01</v>
      </c>
      <c r="M66" s="64">
        <v>24.88</v>
      </c>
      <c r="N66" s="64">
        <v>432.1</v>
      </c>
      <c r="O66" s="64">
        <v>0</v>
      </c>
      <c r="P66" s="64">
        <v>0.7</v>
      </c>
      <c r="Q66" s="64">
        <v>9.27</v>
      </c>
      <c r="R66" s="198"/>
      <c r="S66" s="198"/>
      <c r="T66" s="198"/>
      <c r="U66" s="198"/>
    </row>
    <row r="67" spans="1:21" s="12" customFormat="1" x14ac:dyDescent="0.25">
      <c r="A67" s="216" t="s">
        <v>1552</v>
      </c>
      <c r="B67" s="64">
        <v>1.38</v>
      </c>
      <c r="C67" s="64">
        <v>8.44</v>
      </c>
      <c r="D67" s="64">
        <v>9.7100000000000009</v>
      </c>
      <c r="E67" s="64">
        <v>1</v>
      </c>
      <c r="F67" s="64">
        <v>6.6</v>
      </c>
      <c r="G67" s="64">
        <v>74.98</v>
      </c>
      <c r="H67" s="64">
        <v>34.46</v>
      </c>
      <c r="I67" s="64">
        <v>7.6</v>
      </c>
      <c r="J67" s="64">
        <v>0.93</v>
      </c>
      <c r="K67" s="64">
        <v>334.42</v>
      </c>
      <c r="L67" s="64">
        <v>38.11</v>
      </c>
      <c r="M67" s="64">
        <v>24.51</v>
      </c>
      <c r="N67" s="64">
        <v>373.4</v>
      </c>
      <c r="O67" s="64">
        <v>0</v>
      </c>
      <c r="P67" s="64">
        <v>0.69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6" t="s">
        <v>1553</v>
      </c>
      <c r="B68" s="64">
        <v>1.39</v>
      </c>
      <c r="C68" s="64">
        <v>8.73</v>
      </c>
      <c r="D68" s="64">
        <v>10.02</v>
      </c>
      <c r="E68" s="64">
        <v>1.08</v>
      </c>
      <c r="F68" s="64">
        <v>6.44</v>
      </c>
      <c r="G68" s="64">
        <v>71.989999999999995</v>
      </c>
      <c r="H68" s="64">
        <v>34.17</v>
      </c>
      <c r="I68" s="64">
        <v>7.38</v>
      </c>
      <c r="J68" s="64">
        <v>0.81</v>
      </c>
      <c r="K68" s="64">
        <v>323.61</v>
      </c>
      <c r="L68" s="64">
        <v>37.92</v>
      </c>
      <c r="M68" s="64">
        <v>24.33</v>
      </c>
      <c r="N68" s="64">
        <v>307.8</v>
      </c>
      <c r="O68" s="64">
        <v>0</v>
      </c>
      <c r="P68" s="64">
        <v>0.68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6" t="s">
        <v>1554</v>
      </c>
      <c r="B69" s="64">
        <v>1.38</v>
      </c>
      <c r="C69" s="64">
        <v>8.75</v>
      </c>
      <c r="D69" s="64">
        <v>10.029999999999999</v>
      </c>
      <c r="E69" s="64">
        <v>0.91</v>
      </c>
      <c r="F69" s="64">
        <v>5.94</v>
      </c>
      <c r="G69" s="64">
        <v>70.959999999999994</v>
      </c>
      <c r="H69" s="64">
        <v>34.07</v>
      </c>
      <c r="I69" s="64">
        <v>7.32</v>
      </c>
      <c r="J69" s="64">
        <v>0.92</v>
      </c>
      <c r="K69" s="64">
        <v>336.01</v>
      </c>
      <c r="L69" s="64">
        <v>37.83</v>
      </c>
      <c r="M69" s="64">
        <v>24.29</v>
      </c>
      <c r="N69" s="64">
        <v>248.4</v>
      </c>
      <c r="O69" s="64">
        <v>0</v>
      </c>
      <c r="P69" s="64">
        <v>0.68</v>
      </c>
      <c r="Q69" s="64">
        <v>9.3000000000000007</v>
      </c>
      <c r="R69" s="198"/>
      <c r="S69" s="198"/>
      <c r="T69" s="198"/>
      <c r="U69" s="198"/>
    </row>
    <row r="70" spans="1:21" s="12" customFormat="1" x14ac:dyDescent="0.25">
      <c r="A70" s="216" t="s">
        <v>1555</v>
      </c>
      <c r="B70" s="64">
        <v>1.36</v>
      </c>
      <c r="C70" s="64">
        <v>8.76</v>
      </c>
      <c r="D70" s="64">
        <v>10.02</v>
      </c>
      <c r="E70" s="64">
        <v>1.1399999999999999</v>
      </c>
      <c r="F70" s="64">
        <v>6.72</v>
      </c>
      <c r="G70" s="64">
        <v>70.959999999999994</v>
      </c>
      <c r="H70" s="64">
        <v>34.07</v>
      </c>
      <c r="I70" s="64">
        <v>7.13</v>
      </c>
      <c r="J70" s="64">
        <v>0.61</v>
      </c>
      <c r="K70" s="64">
        <v>346.13</v>
      </c>
      <c r="L70" s="64">
        <v>36.700000000000003</v>
      </c>
      <c r="M70" s="64">
        <v>24.41</v>
      </c>
      <c r="N70" s="64">
        <v>250.8</v>
      </c>
      <c r="O70" s="64">
        <v>0</v>
      </c>
      <c r="P70" s="64">
        <v>0.66</v>
      </c>
      <c r="Q70" s="64">
        <v>9.27</v>
      </c>
      <c r="R70" s="198"/>
      <c r="S70" s="198"/>
      <c r="T70" s="198"/>
      <c r="U70" s="198"/>
    </row>
    <row r="71" spans="1:21" s="12" customFormat="1" x14ac:dyDescent="0.25">
      <c r="A71" s="216" t="s">
        <v>1556</v>
      </c>
      <c r="B71" s="64">
        <v>1.34</v>
      </c>
      <c r="C71" s="64">
        <v>8.93</v>
      </c>
      <c r="D71" s="64">
        <v>10.17</v>
      </c>
      <c r="E71" s="64">
        <v>0.66</v>
      </c>
      <c r="F71" s="64">
        <v>6.27</v>
      </c>
      <c r="G71" s="64">
        <v>70.959999999999994</v>
      </c>
      <c r="H71" s="64">
        <v>34.07</v>
      </c>
      <c r="I71" s="64">
        <v>6.94</v>
      </c>
      <c r="J71" s="64">
        <v>0.68</v>
      </c>
      <c r="K71" s="64">
        <v>352.67</v>
      </c>
      <c r="L71" s="64">
        <v>36.130000000000003</v>
      </c>
      <c r="M71" s="64">
        <v>25.51</v>
      </c>
      <c r="N71" s="64">
        <v>193</v>
      </c>
      <c r="O71" s="64">
        <v>0</v>
      </c>
      <c r="P71" s="64">
        <v>0.65</v>
      </c>
      <c r="Q71" s="64">
        <v>9.31</v>
      </c>
      <c r="R71" s="198"/>
      <c r="S71" s="198"/>
      <c r="T71" s="198"/>
      <c r="U71" s="198"/>
    </row>
    <row r="72" spans="1:21" s="12" customFormat="1" x14ac:dyDescent="0.25">
      <c r="A72" s="216" t="s">
        <v>1557</v>
      </c>
      <c r="B72" s="64">
        <v>1.36</v>
      </c>
      <c r="C72" s="64">
        <v>8.1199999999999992</v>
      </c>
      <c r="D72" s="64">
        <v>9.3800000000000008</v>
      </c>
      <c r="E72" s="64">
        <v>1.81</v>
      </c>
      <c r="F72" s="64">
        <v>5.52</v>
      </c>
      <c r="G72" s="64">
        <v>63.66</v>
      </c>
      <c r="H72" s="64">
        <v>34.56</v>
      </c>
      <c r="I72" s="64">
        <v>6.73</v>
      </c>
      <c r="J72" s="64">
        <v>1.35</v>
      </c>
      <c r="K72" s="64">
        <v>102.54</v>
      </c>
      <c r="L72" s="64">
        <v>34.32</v>
      </c>
      <c r="M72" s="64">
        <v>25.56</v>
      </c>
      <c r="N72" s="64">
        <v>202.6</v>
      </c>
      <c r="O72" s="64">
        <v>0</v>
      </c>
      <c r="P72" s="64">
        <v>0.64</v>
      </c>
      <c r="Q72" s="64">
        <v>9.3000000000000007</v>
      </c>
      <c r="R72" s="198"/>
      <c r="S72" s="198"/>
      <c r="T72" s="198"/>
      <c r="U72" s="198"/>
    </row>
    <row r="73" spans="1:21" s="12" customFormat="1" x14ac:dyDescent="0.25">
      <c r="A73" s="216" t="s">
        <v>1558</v>
      </c>
      <c r="B73" s="64">
        <v>1.35</v>
      </c>
      <c r="C73" s="64">
        <v>6.93</v>
      </c>
      <c r="D73" s="64">
        <v>8.18</v>
      </c>
      <c r="E73" s="64">
        <v>2.12</v>
      </c>
      <c r="F73" s="64">
        <v>6.34</v>
      </c>
      <c r="G73" s="64">
        <v>61.16</v>
      </c>
      <c r="H73" s="64">
        <v>34.729999999999997</v>
      </c>
      <c r="I73" s="64">
        <v>6.67</v>
      </c>
      <c r="J73" s="64">
        <v>1.76</v>
      </c>
      <c r="K73" s="64">
        <v>100.06</v>
      </c>
      <c r="L73" s="64">
        <v>32.979999999999997</v>
      </c>
      <c r="M73" s="64">
        <v>28.36</v>
      </c>
      <c r="N73" s="64">
        <v>158.80000000000001</v>
      </c>
      <c r="O73" s="64">
        <v>0</v>
      </c>
      <c r="P73" s="64">
        <v>0.61</v>
      </c>
      <c r="Q73" s="64">
        <v>9.27</v>
      </c>
      <c r="R73" s="198"/>
      <c r="S73" s="198"/>
      <c r="T73" s="198"/>
      <c r="U73" s="198"/>
    </row>
    <row r="74" spans="1:21" s="12" customFormat="1" x14ac:dyDescent="0.25">
      <c r="A74" s="216" t="s">
        <v>1559</v>
      </c>
      <c r="B74" s="64">
        <v>1.35</v>
      </c>
      <c r="C74" s="64">
        <v>6.16</v>
      </c>
      <c r="D74" s="64">
        <v>7.41</v>
      </c>
      <c r="E74" s="64">
        <v>1.57</v>
      </c>
      <c r="F74" s="64">
        <v>6.47</v>
      </c>
      <c r="G74" s="64">
        <v>61.16</v>
      </c>
      <c r="H74" s="64">
        <v>34.729999999999997</v>
      </c>
      <c r="I74" s="64">
        <v>7.44</v>
      </c>
      <c r="J74" s="64">
        <v>1.1399999999999999</v>
      </c>
      <c r="K74" s="64">
        <v>145.16999999999999</v>
      </c>
      <c r="L74" s="64">
        <v>32.93</v>
      </c>
      <c r="M74" s="64">
        <v>24.82</v>
      </c>
      <c r="N74" s="64">
        <v>123.8</v>
      </c>
      <c r="O74" s="64">
        <v>0</v>
      </c>
      <c r="P74" s="64">
        <v>0.56999999999999995</v>
      </c>
      <c r="Q74" s="64">
        <v>9.31</v>
      </c>
      <c r="R74" s="198"/>
      <c r="S74" s="198"/>
      <c r="T74" s="198"/>
      <c r="U74" s="198"/>
    </row>
    <row r="75" spans="1:21" s="12" customFormat="1" x14ac:dyDescent="0.25">
      <c r="A75" s="216" t="s">
        <v>1560</v>
      </c>
      <c r="B75" s="64">
        <v>1.32</v>
      </c>
      <c r="C75" s="64">
        <v>6.01</v>
      </c>
      <c r="D75" s="64">
        <v>7.22</v>
      </c>
      <c r="E75" s="64">
        <v>1.99</v>
      </c>
      <c r="F75" s="64">
        <v>6.71</v>
      </c>
      <c r="G75" s="64">
        <v>61.16</v>
      </c>
      <c r="H75" s="64">
        <v>34.729999999999997</v>
      </c>
      <c r="I75" s="64">
        <v>8.4</v>
      </c>
      <c r="J75" s="64">
        <v>1.51</v>
      </c>
      <c r="K75" s="64">
        <v>164.9</v>
      </c>
      <c r="L75" s="64">
        <v>32.75</v>
      </c>
      <c r="M75" s="64">
        <v>25.27</v>
      </c>
      <c r="N75" s="64">
        <v>116</v>
      </c>
      <c r="O75" s="64">
        <v>0</v>
      </c>
      <c r="P75" s="64">
        <v>0.54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6" t="s">
        <v>1561</v>
      </c>
      <c r="B76" s="64">
        <v>1.3</v>
      </c>
      <c r="C76" s="64">
        <v>5.65</v>
      </c>
      <c r="D76" s="64">
        <v>6.85</v>
      </c>
      <c r="E76" s="64">
        <v>2.15</v>
      </c>
      <c r="F76" s="64">
        <v>6.55</v>
      </c>
      <c r="G76" s="64">
        <v>55.97</v>
      </c>
      <c r="H76" s="64">
        <v>28.88</v>
      </c>
      <c r="I76" s="64">
        <v>8.69</v>
      </c>
      <c r="J76" s="64">
        <v>1.53</v>
      </c>
      <c r="K76" s="64">
        <v>158.47</v>
      </c>
      <c r="L76" s="64">
        <v>31.63</v>
      </c>
      <c r="M76" s="64">
        <v>31.93</v>
      </c>
      <c r="N76" s="64">
        <v>123.4</v>
      </c>
      <c r="O76" s="64">
        <v>0</v>
      </c>
      <c r="P76" s="64">
        <v>0.51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6" t="s">
        <v>1562</v>
      </c>
      <c r="B77" s="64">
        <v>1.31</v>
      </c>
      <c r="C77" s="64">
        <v>5.56</v>
      </c>
      <c r="D77" s="64">
        <v>6.78</v>
      </c>
      <c r="E77" s="64">
        <v>2.1800000000000002</v>
      </c>
      <c r="F77" s="64">
        <v>6.5</v>
      </c>
      <c r="G77" s="64">
        <v>54.2</v>
      </c>
      <c r="H77" s="64">
        <v>26.88</v>
      </c>
      <c r="I77" s="64">
        <v>8.5</v>
      </c>
      <c r="J77" s="64">
        <v>0.91</v>
      </c>
      <c r="K77" s="64">
        <v>160.47</v>
      </c>
      <c r="L77" s="64">
        <v>31.28</v>
      </c>
      <c r="M77" s="64">
        <v>34.020000000000003</v>
      </c>
      <c r="N77" s="64">
        <v>95.3</v>
      </c>
      <c r="O77" s="64">
        <v>0</v>
      </c>
      <c r="P77" s="64">
        <v>0.48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6" t="s">
        <v>1563</v>
      </c>
      <c r="B78" s="64">
        <v>1.32</v>
      </c>
      <c r="C78" s="64">
        <v>5.6</v>
      </c>
      <c r="D78" s="64">
        <v>6.82</v>
      </c>
      <c r="E78" s="64">
        <v>2.0499999999999998</v>
      </c>
      <c r="F78" s="64">
        <v>5.64</v>
      </c>
      <c r="G78" s="64">
        <v>54.2</v>
      </c>
      <c r="H78" s="64">
        <v>26.88</v>
      </c>
      <c r="I78" s="64">
        <v>8.1</v>
      </c>
      <c r="J78" s="64">
        <v>0.65</v>
      </c>
      <c r="K78" s="64">
        <v>136.52000000000001</v>
      </c>
      <c r="L78" s="64">
        <v>31.21</v>
      </c>
      <c r="M78" s="64">
        <v>33.729999999999997</v>
      </c>
      <c r="N78" s="64">
        <v>73.400000000000006</v>
      </c>
      <c r="O78" s="64">
        <v>0</v>
      </c>
      <c r="P78" s="64">
        <v>0.47</v>
      </c>
      <c r="Q78" s="64">
        <v>9.34</v>
      </c>
      <c r="R78" s="198"/>
      <c r="S78" s="198"/>
      <c r="T78" s="198"/>
      <c r="U78" s="198"/>
    </row>
    <row r="79" spans="1:21" s="12" customFormat="1" x14ac:dyDescent="0.25">
      <c r="A79" s="216" t="s">
        <v>1564</v>
      </c>
      <c r="B79" s="64">
        <v>1.33</v>
      </c>
      <c r="C79" s="64">
        <v>5.59</v>
      </c>
      <c r="D79" s="64">
        <v>6.81</v>
      </c>
      <c r="E79" s="64">
        <v>1.87</v>
      </c>
      <c r="F79" s="64">
        <v>5.24</v>
      </c>
      <c r="G79" s="64">
        <v>54.2</v>
      </c>
      <c r="H79" s="64">
        <v>26.88</v>
      </c>
      <c r="I79" s="64">
        <v>7.61</v>
      </c>
      <c r="J79" s="64">
        <v>1.02</v>
      </c>
      <c r="K79" s="64">
        <v>158.66999999999999</v>
      </c>
      <c r="L79" s="64">
        <v>31.29</v>
      </c>
      <c r="M79" s="64">
        <v>30.44</v>
      </c>
      <c r="N79" s="64">
        <v>67.2</v>
      </c>
      <c r="O79" s="64">
        <v>0</v>
      </c>
      <c r="P79" s="64">
        <v>0.45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6" t="s">
        <v>1565</v>
      </c>
      <c r="B80" s="64">
        <v>1.32</v>
      </c>
      <c r="C80" s="64">
        <v>5.36</v>
      </c>
      <c r="D80" s="64">
        <v>6.57</v>
      </c>
      <c r="E80" s="64">
        <v>1.57</v>
      </c>
      <c r="F80" s="64">
        <v>5.39</v>
      </c>
      <c r="G80" s="64">
        <v>43.3</v>
      </c>
      <c r="H80" s="64">
        <v>24.67</v>
      </c>
      <c r="I80" s="64">
        <v>7.62</v>
      </c>
      <c r="J80" s="64">
        <v>0.92</v>
      </c>
      <c r="K80" s="64">
        <v>154.02000000000001</v>
      </c>
      <c r="L80" s="64">
        <v>31.23</v>
      </c>
      <c r="M80" s="64">
        <v>29.69</v>
      </c>
      <c r="N80" s="64">
        <v>58.9</v>
      </c>
      <c r="O80" s="64">
        <v>0</v>
      </c>
      <c r="P80" s="64">
        <v>0.43</v>
      </c>
      <c r="Q80" s="64">
        <v>9.34</v>
      </c>
      <c r="R80" s="198"/>
      <c r="S80" s="198"/>
      <c r="T80" s="198"/>
      <c r="U80" s="198"/>
    </row>
    <row r="81" spans="1:26" s="12" customFormat="1" x14ac:dyDescent="0.25">
      <c r="A81" s="216" t="s">
        <v>1566</v>
      </c>
      <c r="B81" s="64">
        <v>1.31</v>
      </c>
      <c r="C81" s="64">
        <v>5.48</v>
      </c>
      <c r="D81" s="64">
        <v>6.68</v>
      </c>
      <c r="E81" s="64">
        <v>2.09</v>
      </c>
      <c r="F81" s="64">
        <v>5.22</v>
      </c>
      <c r="G81" s="64">
        <v>39.56</v>
      </c>
      <c r="H81" s="64">
        <v>23.91</v>
      </c>
      <c r="I81" s="64">
        <v>7.17</v>
      </c>
      <c r="J81" s="64">
        <v>0.52</v>
      </c>
      <c r="K81" s="64">
        <v>168.4</v>
      </c>
      <c r="L81" s="64">
        <v>31.11</v>
      </c>
      <c r="M81" s="64">
        <v>29.98</v>
      </c>
      <c r="N81" s="64">
        <v>46.8</v>
      </c>
      <c r="O81" s="64">
        <v>0</v>
      </c>
      <c r="P81" s="64">
        <v>0.42</v>
      </c>
      <c r="Q81" s="64">
        <v>9.32</v>
      </c>
      <c r="R81" s="198"/>
      <c r="S81" s="198"/>
      <c r="T81" s="198"/>
      <c r="U81" s="198"/>
    </row>
    <row r="82" spans="1:26" s="12" customFormat="1" x14ac:dyDescent="0.25">
      <c r="A82" s="216" t="s">
        <v>1567</v>
      </c>
      <c r="B82" s="64">
        <v>1.33</v>
      </c>
      <c r="C82" s="64">
        <v>5.74</v>
      </c>
      <c r="D82" s="64">
        <v>6.97</v>
      </c>
      <c r="E82" s="64">
        <v>1.8</v>
      </c>
      <c r="F82" s="64">
        <v>4.92</v>
      </c>
      <c r="G82" s="64">
        <v>39.56</v>
      </c>
      <c r="H82" s="64">
        <v>23.91</v>
      </c>
      <c r="I82" s="64">
        <v>6.89</v>
      </c>
      <c r="J82" s="64">
        <v>0.1</v>
      </c>
      <c r="K82" s="64">
        <v>124.42</v>
      </c>
      <c r="L82" s="64">
        <v>30.89</v>
      </c>
      <c r="M82" s="64">
        <v>31.33</v>
      </c>
      <c r="N82" s="64">
        <v>33.6</v>
      </c>
      <c r="O82" s="64">
        <v>0</v>
      </c>
      <c r="P82" s="64">
        <v>0.42</v>
      </c>
      <c r="Q82" s="64">
        <v>9.32</v>
      </c>
      <c r="R82" s="198"/>
      <c r="S82" s="198"/>
      <c r="T82" s="198"/>
      <c r="U82" s="198"/>
    </row>
    <row r="83" spans="1:26" s="12" customFormat="1" x14ac:dyDescent="0.25">
      <c r="A83" s="216" t="s">
        <v>1568</v>
      </c>
      <c r="B83" s="64">
        <v>1.35</v>
      </c>
      <c r="C83" s="64">
        <v>6.03</v>
      </c>
      <c r="D83" s="64">
        <v>7.28</v>
      </c>
      <c r="E83" s="64">
        <v>1.9</v>
      </c>
      <c r="F83" s="64">
        <v>4.83</v>
      </c>
      <c r="G83" s="64">
        <v>39.56</v>
      </c>
      <c r="H83" s="64">
        <v>23.91</v>
      </c>
      <c r="I83" s="64">
        <v>5.72</v>
      </c>
      <c r="J83" s="64">
        <v>0.99</v>
      </c>
      <c r="K83" s="64">
        <v>158.74</v>
      </c>
      <c r="L83" s="64">
        <v>30.84</v>
      </c>
      <c r="M83" s="64">
        <v>31.21</v>
      </c>
      <c r="N83" s="64">
        <v>28.6</v>
      </c>
      <c r="O83" s="64">
        <v>0</v>
      </c>
      <c r="P83" s="64">
        <v>0.42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16" t="s">
        <v>1569</v>
      </c>
      <c r="B84" s="64">
        <v>1.36</v>
      </c>
      <c r="C84" s="64">
        <v>6.07</v>
      </c>
      <c r="D84" s="64">
        <v>7.33</v>
      </c>
      <c r="E84" s="64">
        <v>1.95</v>
      </c>
      <c r="F84" s="64">
        <v>4.7</v>
      </c>
      <c r="G84" s="64">
        <v>40.04</v>
      </c>
      <c r="H84" s="64">
        <v>22.28</v>
      </c>
      <c r="I84" s="64">
        <v>5.76</v>
      </c>
      <c r="J84" s="64">
        <v>0.57999999999999996</v>
      </c>
      <c r="K84" s="64">
        <v>161.47</v>
      </c>
      <c r="L84" s="64">
        <v>30.6</v>
      </c>
      <c r="M84" s="64">
        <v>31.91</v>
      </c>
      <c r="N84" s="64">
        <v>29.9</v>
      </c>
      <c r="O84" s="64">
        <v>0</v>
      </c>
      <c r="P84" s="64">
        <v>0.42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16" t="s">
        <v>1570</v>
      </c>
      <c r="B85" s="64">
        <v>1.4</v>
      </c>
      <c r="C85" s="64">
        <v>6.15</v>
      </c>
      <c r="D85" s="64">
        <v>7.45</v>
      </c>
      <c r="E85" s="64">
        <v>1.97</v>
      </c>
      <c r="F85" s="64">
        <v>4.72</v>
      </c>
      <c r="G85" s="64">
        <v>40.200000000000003</v>
      </c>
      <c r="H85" s="64">
        <v>21.72</v>
      </c>
      <c r="I85" s="64">
        <v>6.26</v>
      </c>
      <c r="J85" s="64">
        <v>0.12</v>
      </c>
      <c r="K85" s="64">
        <v>147.71</v>
      </c>
      <c r="L85" s="64">
        <v>30.1</v>
      </c>
      <c r="M85" s="64">
        <v>31.79</v>
      </c>
      <c r="N85" s="64">
        <v>30.9</v>
      </c>
      <c r="O85" s="64">
        <v>0</v>
      </c>
      <c r="P85" s="64">
        <v>0.4</v>
      </c>
      <c r="Q85" s="64">
        <v>9.36</v>
      </c>
      <c r="R85" s="198"/>
      <c r="S85" s="198"/>
      <c r="T85" s="198"/>
      <c r="U85" s="198"/>
    </row>
    <row r="86" spans="1:26" s="12" customFormat="1" x14ac:dyDescent="0.25">
      <c r="A86" s="216" t="s">
        <v>1571</v>
      </c>
      <c r="B86" s="64">
        <v>1.52</v>
      </c>
      <c r="C86" s="64">
        <v>6.35</v>
      </c>
      <c r="D86" s="64">
        <v>7.77</v>
      </c>
      <c r="E86" s="64">
        <v>1.79</v>
      </c>
      <c r="F86" s="64">
        <v>4.4400000000000004</v>
      </c>
      <c r="G86" s="64">
        <v>40.200000000000003</v>
      </c>
      <c r="H86" s="64">
        <v>21.72</v>
      </c>
      <c r="I86" s="64">
        <v>6.31</v>
      </c>
      <c r="J86" s="64">
        <v>0.06</v>
      </c>
      <c r="K86" s="64">
        <v>175.51</v>
      </c>
      <c r="L86" s="64">
        <v>29.84</v>
      </c>
      <c r="M86" s="64">
        <v>32.299999999999997</v>
      </c>
      <c r="N86" s="64">
        <v>31.4</v>
      </c>
      <c r="O86" s="64">
        <v>0</v>
      </c>
      <c r="P86" s="64">
        <v>0.47</v>
      </c>
      <c r="Q86" s="64">
        <v>9.35</v>
      </c>
      <c r="R86" s="198"/>
      <c r="S86" s="198"/>
      <c r="T86" s="198"/>
      <c r="U86" s="198"/>
    </row>
    <row r="87" spans="1:26" s="12" customFormat="1" x14ac:dyDescent="0.25">
      <c r="A87" s="216" t="s">
        <v>1572</v>
      </c>
      <c r="B87" s="64">
        <v>1.62</v>
      </c>
      <c r="C87" s="64">
        <v>6.91</v>
      </c>
      <c r="D87" s="64">
        <v>8.44</v>
      </c>
      <c r="E87" s="64">
        <v>2.14</v>
      </c>
      <c r="F87" s="64">
        <v>4.1500000000000004</v>
      </c>
      <c r="G87" s="64">
        <v>40.200000000000003</v>
      </c>
      <c r="H87" s="64">
        <v>21.72</v>
      </c>
      <c r="I87" s="64">
        <v>6.18</v>
      </c>
      <c r="J87" s="64">
        <v>0.02</v>
      </c>
      <c r="K87" s="64">
        <v>308.52999999999997</v>
      </c>
      <c r="L87" s="64">
        <v>29.68</v>
      </c>
      <c r="M87" s="64">
        <v>33.07</v>
      </c>
      <c r="N87" s="64">
        <v>31.8</v>
      </c>
      <c r="O87" s="64">
        <v>0</v>
      </c>
      <c r="P87" s="64">
        <v>0.5</v>
      </c>
      <c r="Q87" s="64">
        <v>9.34</v>
      </c>
      <c r="R87" s="198"/>
      <c r="S87" s="198"/>
      <c r="T87" s="198"/>
      <c r="U87" s="198"/>
    </row>
    <row r="88" spans="1:26" s="12" customFormat="1" x14ac:dyDescent="0.25">
      <c r="A88" s="216" t="s">
        <v>1573</v>
      </c>
      <c r="B88" s="64">
        <v>1.67</v>
      </c>
      <c r="C88" s="64">
        <v>7.1</v>
      </c>
      <c r="D88" s="64">
        <v>8.68</v>
      </c>
      <c r="E88" s="64">
        <v>1.44</v>
      </c>
      <c r="F88" s="64">
        <v>4.08</v>
      </c>
      <c r="G88" s="64">
        <v>44.7</v>
      </c>
      <c r="H88" s="64">
        <v>22.38</v>
      </c>
      <c r="I88" s="64">
        <v>5.94</v>
      </c>
      <c r="J88" s="64">
        <v>0.05</v>
      </c>
      <c r="K88" s="64">
        <v>78.44</v>
      </c>
      <c r="L88" s="64">
        <v>29.54</v>
      </c>
      <c r="M88" s="64">
        <v>33.24</v>
      </c>
      <c r="N88" s="64">
        <v>32.799999999999997</v>
      </c>
      <c r="O88" s="64">
        <v>0</v>
      </c>
      <c r="P88" s="64">
        <v>0.51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16" t="s">
        <v>1574</v>
      </c>
      <c r="B89" s="64">
        <v>1.73</v>
      </c>
      <c r="C89" s="64">
        <v>7.61</v>
      </c>
      <c r="D89" s="64">
        <v>9.24</v>
      </c>
      <c r="E89" s="64">
        <v>1.1100000000000001</v>
      </c>
      <c r="F89" s="64">
        <v>3.84</v>
      </c>
      <c r="G89" s="64">
        <v>46.24</v>
      </c>
      <c r="H89" s="64">
        <v>22.6</v>
      </c>
      <c r="I89" s="64">
        <v>5.93</v>
      </c>
      <c r="J89" s="64">
        <v>0.26</v>
      </c>
      <c r="K89" s="64">
        <v>320.08</v>
      </c>
      <c r="L89" s="64">
        <v>29.34</v>
      </c>
      <c r="M89" s="64">
        <v>35.1</v>
      </c>
      <c r="N89" s="64">
        <v>34.4</v>
      </c>
      <c r="O89" s="64">
        <v>0</v>
      </c>
      <c r="P89" s="64">
        <v>0.6</v>
      </c>
      <c r="Q89" s="64">
        <v>9.42</v>
      </c>
      <c r="R89" s="198"/>
      <c r="S89" s="198"/>
      <c r="T89" s="198"/>
      <c r="U89" s="198"/>
    </row>
    <row r="90" spans="1:26" s="12" customFormat="1" x14ac:dyDescent="0.25">
      <c r="A90" s="216" t="s">
        <v>1575</v>
      </c>
      <c r="B90" s="64">
        <v>1.94</v>
      </c>
      <c r="C90" s="64">
        <v>7.27</v>
      </c>
      <c r="D90" s="64">
        <v>9.11</v>
      </c>
      <c r="E90" s="64">
        <v>1.26</v>
      </c>
      <c r="F90" s="64">
        <v>3.76</v>
      </c>
      <c r="G90" s="64">
        <v>46.24</v>
      </c>
      <c r="H90" s="64">
        <v>22.6</v>
      </c>
      <c r="I90" s="64">
        <v>6.14</v>
      </c>
      <c r="J90" s="64">
        <v>0.2</v>
      </c>
      <c r="K90" s="64">
        <v>335.5</v>
      </c>
      <c r="L90" s="64">
        <v>28.96</v>
      </c>
      <c r="M90" s="64">
        <v>36.61</v>
      </c>
      <c r="N90" s="64">
        <v>34.700000000000003</v>
      </c>
      <c r="O90" s="64">
        <v>0</v>
      </c>
      <c r="P90" s="64">
        <v>0.61</v>
      </c>
      <c r="Q90" s="64">
        <v>9.44</v>
      </c>
      <c r="R90" s="198"/>
      <c r="S90" s="198"/>
      <c r="T90" s="198"/>
      <c r="U90" s="198"/>
    </row>
    <row r="91" spans="1:26" s="12" customFormat="1" x14ac:dyDescent="0.25">
      <c r="A91" s="216" t="s">
        <v>1576</v>
      </c>
      <c r="B91" s="64">
        <v>2.17</v>
      </c>
      <c r="C91" s="64">
        <v>7.28</v>
      </c>
      <c r="D91" s="64">
        <v>9.35</v>
      </c>
      <c r="E91" s="64">
        <v>1.22</v>
      </c>
      <c r="F91" s="64">
        <v>3.73</v>
      </c>
      <c r="G91" s="64">
        <v>46.24</v>
      </c>
      <c r="H91" s="64">
        <v>22.6</v>
      </c>
      <c r="I91" s="64">
        <v>6.09</v>
      </c>
      <c r="J91" s="64">
        <v>0.28999999999999998</v>
      </c>
      <c r="K91" s="64">
        <v>329.06</v>
      </c>
      <c r="L91" s="64">
        <v>28.79</v>
      </c>
      <c r="M91" s="64">
        <v>37.9</v>
      </c>
      <c r="N91" s="64">
        <v>35</v>
      </c>
      <c r="O91" s="64">
        <v>0</v>
      </c>
      <c r="P91" s="64">
        <v>0.64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6" t="s">
        <v>1577</v>
      </c>
      <c r="B92" s="64">
        <v>2.39</v>
      </c>
      <c r="C92" s="64">
        <v>7.6</v>
      </c>
      <c r="D92" s="64">
        <v>9.89</v>
      </c>
      <c r="E92" s="64">
        <v>1.26</v>
      </c>
      <c r="F92" s="64">
        <v>3.77</v>
      </c>
      <c r="G92" s="64">
        <v>58.09</v>
      </c>
      <c r="H92" s="64">
        <v>21.75</v>
      </c>
      <c r="I92" s="64">
        <v>6.04</v>
      </c>
      <c r="J92" s="64">
        <v>0.43</v>
      </c>
      <c r="K92" s="64">
        <v>318.81</v>
      </c>
      <c r="L92" s="64">
        <v>28.63</v>
      </c>
      <c r="M92" s="64">
        <v>39.619999999999997</v>
      </c>
      <c r="N92" s="64">
        <v>35</v>
      </c>
      <c r="O92" s="64">
        <v>0</v>
      </c>
      <c r="P92" s="64">
        <v>0.65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6" t="s">
        <v>1578</v>
      </c>
      <c r="B93" s="64">
        <v>2.54</v>
      </c>
      <c r="C93" s="64">
        <v>7.54</v>
      </c>
      <c r="D93" s="64">
        <v>9.98</v>
      </c>
      <c r="E93" s="64">
        <v>1.28</v>
      </c>
      <c r="F93" s="64">
        <v>3.66</v>
      </c>
      <c r="G93" s="64">
        <v>61.92</v>
      </c>
      <c r="H93" s="64">
        <v>21.46</v>
      </c>
      <c r="I93" s="64">
        <v>6.32</v>
      </c>
      <c r="J93" s="64">
        <v>0.24</v>
      </c>
      <c r="K93" s="64">
        <v>312.91000000000003</v>
      </c>
      <c r="L93" s="64">
        <v>28.59</v>
      </c>
      <c r="M93" s="64">
        <v>38.65</v>
      </c>
      <c r="N93" s="64">
        <v>35.200000000000003</v>
      </c>
      <c r="O93" s="64">
        <v>0</v>
      </c>
      <c r="P93" s="64">
        <v>0.68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6" t="s">
        <v>1579</v>
      </c>
      <c r="B94" s="64">
        <v>2.7</v>
      </c>
      <c r="C94" s="64">
        <v>7.43</v>
      </c>
      <c r="D94" s="64">
        <v>10.029999999999999</v>
      </c>
      <c r="E94" s="64">
        <v>1.6</v>
      </c>
      <c r="F94" s="64">
        <v>3.31</v>
      </c>
      <c r="G94" s="64">
        <v>61.92</v>
      </c>
      <c r="H94" s="64">
        <v>21.46</v>
      </c>
      <c r="I94" s="64">
        <v>6.38</v>
      </c>
      <c r="J94" s="64">
        <v>0.38</v>
      </c>
      <c r="K94" s="64">
        <v>324.31</v>
      </c>
      <c r="L94" s="64">
        <v>28.36</v>
      </c>
      <c r="M94" s="64">
        <v>38.96</v>
      </c>
      <c r="N94" s="64">
        <v>34.799999999999997</v>
      </c>
      <c r="O94" s="64">
        <v>0</v>
      </c>
      <c r="P94" s="64">
        <v>0.71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6" t="s">
        <v>1580</v>
      </c>
      <c r="B95" s="64">
        <v>2.83</v>
      </c>
      <c r="C95" s="64">
        <v>7.44</v>
      </c>
      <c r="D95" s="64">
        <v>10.18</v>
      </c>
      <c r="E95" s="64">
        <v>1.43</v>
      </c>
      <c r="F95" s="64">
        <v>3.58</v>
      </c>
      <c r="G95" s="64">
        <v>61.92</v>
      </c>
      <c r="H95" s="64">
        <v>21.46</v>
      </c>
      <c r="I95" s="64">
        <v>6.39</v>
      </c>
      <c r="J95" s="64">
        <v>0.15</v>
      </c>
      <c r="K95" s="64">
        <v>347.79</v>
      </c>
      <c r="L95" s="64">
        <v>28.41</v>
      </c>
      <c r="M95" s="64">
        <v>39.200000000000003</v>
      </c>
      <c r="N95" s="64">
        <v>35</v>
      </c>
      <c r="O95" s="64">
        <v>0</v>
      </c>
      <c r="P95" s="64">
        <v>0.73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6" t="s">
        <v>1581</v>
      </c>
      <c r="B96" s="64">
        <v>3</v>
      </c>
      <c r="C96" s="64">
        <v>7.71</v>
      </c>
      <c r="D96" s="64">
        <v>10.61</v>
      </c>
      <c r="E96" s="64">
        <v>1.52</v>
      </c>
      <c r="F96" s="64">
        <v>3.34</v>
      </c>
      <c r="G96" s="64">
        <v>54.37</v>
      </c>
      <c r="H96" s="64">
        <v>19.02</v>
      </c>
      <c r="I96" s="64">
        <v>6.23</v>
      </c>
      <c r="J96" s="64">
        <v>0.1</v>
      </c>
      <c r="K96" s="64">
        <v>359.28</v>
      </c>
      <c r="L96" s="64">
        <v>28.02</v>
      </c>
      <c r="M96" s="64">
        <v>42.06</v>
      </c>
      <c r="N96" s="64">
        <v>35.299999999999997</v>
      </c>
      <c r="O96" s="64">
        <v>0</v>
      </c>
      <c r="P96" s="64">
        <v>0.76</v>
      </c>
      <c r="Q96" s="64">
        <v>9.58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1582</v>
      </c>
      <c r="B97" s="64">
        <v>3.17</v>
      </c>
      <c r="C97" s="64">
        <v>8.2100000000000009</v>
      </c>
      <c r="D97" s="64">
        <v>11.28</v>
      </c>
      <c r="E97" s="64">
        <v>1.63</v>
      </c>
      <c r="F97" s="64">
        <v>3.76</v>
      </c>
      <c r="G97" s="64">
        <v>51.93</v>
      </c>
      <c r="H97" s="64">
        <v>18.239999999999998</v>
      </c>
      <c r="I97" s="64">
        <v>6.29</v>
      </c>
      <c r="J97" s="64">
        <v>7.0000000000000007E-2</v>
      </c>
      <c r="K97" s="64">
        <v>135.4</v>
      </c>
      <c r="L97" s="64">
        <v>27.45</v>
      </c>
      <c r="M97" s="64">
        <v>45.1</v>
      </c>
      <c r="N97" s="64">
        <v>35.4</v>
      </c>
      <c r="O97" s="64">
        <v>0</v>
      </c>
      <c r="P97" s="64">
        <v>0.78</v>
      </c>
      <c r="Q97" s="64">
        <v>9.56</v>
      </c>
      <c r="R97" s="198"/>
      <c r="S97" s="198"/>
      <c r="T97" s="198"/>
      <c r="U97" s="198"/>
    </row>
    <row r="98" spans="1:33" s="12" customFormat="1" x14ac:dyDescent="0.25">
      <c r="A98" s="216" t="s">
        <v>1583</v>
      </c>
      <c r="B98" s="64">
        <v>3.6</v>
      </c>
      <c r="C98" s="64">
        <v>9.64</v>
      </c>
      <c r="D98" s="64">
        <v>13.14</v>
      </c>
      <c r="E98" s="64">
        <v>1.44</v>
      </c>
      <c r="F98" s="64">
        <v>3.95</v>
      </c>
      <c r="G98" s="64">
        <v>51.93</v>
      </c>
      <c r="H98" s="64">
        <v>18.239999999999998</v>
      </c>
      <c r="I98" s="64">
        <v>6.35</v>
      </c>
      <c r="J98" s="64">
        <v>0.09</v>
      </c>
      <c r="K98" s="64">
        <v>195.76</v>
      </c>
      <c r="L98" s="64">
        <v>27</v>
      </c>
      <c r="M98" s="64">
        <v>48.53</v>
      </c>
      <c r="N98" s="64">
        <v>35.1</v>
      </c>
      <c r="O98" s="64">
        <v>0</v>
      </c>
      <c r="P98" s="64">
        <v>0.82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6" t="s">
        <v>1584</v>
      </c>
      <c r="B99" s="64">
        <v>4.29</v>
      </c>
      <c r="C99" s="64">
        <v>10.78</v>
      </c>
      <c r="D99" s="64">
        <v>14.97</v>
      </c>
      <c r="E99" s="64">
        <v>1.94</v>
      </c>
      <c r="F99" s="64">
        <v>3.92</v>
      </c>
      <c r="G99" s="64">
        <v>51.93</v>
      </c>
      <c r="H99" s="64">
        <v>18.239999999999998</v>
      </c>
      <c r="I99" s="64">
        <v>6.73</v>
      </c>
      <c r="J99" s="64">
        <v>0.25</v>
      </c>
      <c r="K99" s="64">
        <v>307.39</v>
      </c>
      <c r="L99" s="64">
        <v>27.2</v>
      </c>
      <c r="M99" s="64">
        <v>46.46</v>
      </c>
      <c r="N99" s="64">
        <v>35</v>
      </c>
      <c r="O99" s="64">
        <v>0</v>
      </c>
      <c r="P99" s="64">
        <v>0.84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6" t="s">
        <v>1585</v>
      </c>
      <c r="B100" s="64">
        <v>4.41</v>
      </c>
      <c r="C100" s="64">
        <v>10.54</v>
      </c>
      <c r="D100" s="64">
        <v>14.84</v>
      </c>
      <c r="E100" s="64">
        <v>2.0499999999999998</v>
      </c>
      <c r="F100" s="64">
        <v>4.4800000000000004</v>
      </c>
      <c r="G100" s="64">
        <v>66.459999999999994</v>
      </c>
      <c r="H100" s="64">
        <v>24.01</v>
      </c>
      <c r="I100" s="64">
        <v>7.09</v>
      </c>
      <c r="J100" s="64">
        <v>0.46</v>
      </c>
      <c r="K100" s="64">
        <v>314.64</v>
      </c>
      <c r="L100" s="64">
        <v>26.72</v>
      </c>
      <c r="M100" s="64">
        <v>46.49</v>
      </c>
      <c r="N100" s="64">
        <v>35</v>
      </c>
      <c r="O100" s="64">
        <v>0</v>
      </c>
      <c r="P100" s="64">
        <v>0.85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1586</v>
      </c>
      <c r="B101" s="64">
        <v>4.29</v>
      </c>
      <c r="C101" s="64">
        <v>10.35</v>
      </c>
      <c r="D101" s="64">
        <v>14.54</v>
      </c>
      <c r="E101" s="64">
        <v>1.72</v>
      </c>
      <c r="F101" s="64">
        <v>3.29</v>
      </c>
      <c r="G101" s="64">
        <v>71.45</v>
      </c>
      <c r="H101" s="64">
        <v>25.88</v>
      </c>
      <c r="I101" s="64">
        <v>7.05</v>
      </c>
      <c r="J101" s="64">
        <v>0.37</v>
      </c>
      <c r="K101" s="64">
        <v>353.51</v>
      </c>
      <c r="L101" s="64">
        <v>26.85</v>
      </c>
      <c r="M101" s="64">
        <v>44.96</v>
      </c>
      <c r="N101" s="64">
        <v>35.299999999999997</v>
      </c>
      <c r="O101" s="64">
        <v>0</v>
      </c>
      <c r="P101" s="64">
        <v>0.83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6" t="s">
        <v>1587</v>
      </c>
      <c r="B102" s="64">
        <v>4.26</v>
      </c>
      <c r="C102" s="64">
        <v>9.73</v>
      </c>
      <c r="D102" s="64">
        <v>13.89</v>
      </c>
      <c r="E102" s="64">
        <v>1.5</v>
      </c>
      <c r="F102" s="64">
        <v>3.57</v>
      </c>
      <c r="G102" s="64">
        <v>71.45</v>
      </c>
      <c r="H102" s="64">
        <v>25.88</v>
      </c>
      <c r="I102" s="64">
        <v>7.09</v>
      </c>
      <c r="J102" s="64">
        <v>0.03</v>
      </c>
      <c r="K102" s="64">
        <v>208.78</v>
      </c>
      <c r="L102" s="64">
        <v>26.86</v>
      </c>
      <c r="M102" s="64">
        <v>41.37</v>
      </c>
      <c r="N102" s="64">
        <v>35.5</v>
      </c>
      <c r="O102" s="64">
        <v>0</v>
      </c>
      <c r="P102" s="64">
        <v>0.82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6" t="s">
        <v>1588</v>
      </c>
      <c r="B103" s="64">
        <v>4.1399999999999997</v>
      </c>
      <c r="C103" s="64">
        <v>9.49</v>
      </c>
      <c r="D103" s="64">
        <v>13.53</v>
      </c>
      <c r="E103" s="64">
        <v>1.62</v>
      </c>
      <c r="F103" s="64">
        <v>3.82</v>
      </c>
      <c r="G103" s="64">
        <v>71.45</v>
      </c>
      <c r="H103" s="64">
        <v>25.88</v>
      </c>
      <c r="I103" s="64">
        <v>6.89</v>
      </c>
      <c r="J103" s="64">
        <v>0.21</v>
      </c>
      <c r="K103" s="64">
        <v>239.12</v>
      </c>
      <c r="L103" s="64">
        <v>26.69</v>
      </c>
      <c r="M103" s="64">
        <v>42.29</v>
      </c>
      <c r="N103" s="64">
        <v>35.4</v>
      </c>
      <c r="O103" s="64">
        <v>0</v>
      </c>
      <c r="P103" s="64">
        <v>0.8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6" t="s">
        <v>1589</v>
      </c>
      <c r="B104" s="64">
        <v>3.9</v>
      </c>
      <c r="C104" s="64">
        <v>8.7899999999999991</v>
      </c>
      <c r="D104" s="64">
        <v>12.59</v>
      </c>
      <c r="E104" s="64">
        <v>0.94</v>
      </c>
      <c r="F104" s="64">
        <v>3.64</v>
      </c>
      <c r="G104" s="64">
        <v>54.38</v>
      </c>
      <c r="H104" s="64">
        <v>23.44</v>
      </c>
      <c r="I104" s="64">
        <v>6.64</v>
      </c>
      <c r="J104" s="64">
        <v>0.11</v>
      </c>
      <c r="K104" s="64">
        <v>294.10000000000002</v>
      </c>
      <c r="L104" s="64">
        <v>26.63</v>
      </c>
      <c r="M104" s="64">
        <v>48.42</v>
      </c>
      <c r="N104" s="64">
        <v>35.700000000000003</v>
      </c>
      <c r="O104" s="64">
        <v>0</v>
      </c>
      <c r="P104" s="64">
        <v>0.78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</v>
      </c>
      <c r="C106" s="67">
        <f>MIN(C9:C104)</f>
        <v>5.36</v>
      </c>
      <c r="D106" s="67">
        <f t="shared" ref="D106:Q106" si="0">MIN(D9:D104)</f>
        <v>6.57</v>
      </c>
      <c r="E106" s="67">
        <f t="shared" si="0"/>
        <v>0.5</v>
      </c>
      <c r="F106" s="67">
        <f t="shared" si="0"/>
        <v>2.92</v>
      </c>
      <c r="G106" s="67">
        <f t="shared" si="0"/>
        <v>39.56</v>
      </c>
      <c r="H106" s="67">
        <f t="shared" si="0"/>
        <v>18.239999999999998</v>
      </c>
      <c r="I106" s="67">
        <f t="shared" si="0"/>
        <v>5.72</v>
      </c>
      <c r="J106" s="67">
        <f t="shared" si="0"/>
        <v>0.02</v>
      </c>
      <c r="K106" s="67">
        <f t="shared" si="0"/>
        <v>15.93</v>
      </c>
      <c r="L106" s="67">
        <f t="shared" si="0"/>
        <v>22.85</v>
      </c>
      <c r="M106" s="67">
        <f t="shared" si="0"/>
        <v>24.29</v>
      </c>
      <c r="N106" s="67">
        <f t="shared" si="0"/>
        <v>19.600000000000001</v>
      </c>
      <c r="O106" s="67">
        <f t="shared" si="0"/>
        <v>0</v>
      </c>
      <c r="P106" s="67">
        <f t="shared" si="0"/>
        <v>0.4</v>
      </c>
      <c r="Q106" s="67">
        <f t="shared" si="0"/>
        <v>9.27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8.93</v>
      </c>
      <c r="C107" s="66">
        <f t="shared" ref="C107:Q107" si="1">MAX(C9:C104)</f>
        <v>13.26</v>
      </c>
      <c r="D107" s="66">
        <f t="shared" si="1"/>
        <v>20.83</v>
      </c>
      <c r="E107" s="66">
        <f t="shared" si="1"/>
        <v>2.1800000000000002</v>
      </c>
      <c r="F107" s="66">
        <f t="shared" si="1"/>
        <v>7.14</v>
      </c>
      <c r="G107" s="66">
        <f t="shared" si="1"/>
        <v>170.29</v>
      </c>
      <c r="H107" s="66">
        <f t="shared" si="1"/>
        <v>48.88</v>
      </c>
      <c r="I107" s="66">
        <f t="shared" si="1"/>
        <v>9.15</v>
      </c>
      <c r="J107" s="66">
        <f t="shared" si="1"/>
        <v>1.76</v>
      </c>
      <c r="K107" s="66">
        <f t="shared" si="1"/>
        <v>359.28</v>
      </c>
      <c r="L107" s="66">
        <f t="shared" si="1"/>
        <v>38.47</v>
      </c>
      <c r="M107" s="66">
        <f t="shared" si="1"/>
        <v>74.31</v>
      </c>
      <c r="N107" s="66">
        <f t="shared" si="1"/>
        <v>915.5</v>
      </c>
      <c r="O107" s="66">
        <f t="shared" si="1"/>
        <v>0</v>
      </c>
      <c r="P107" s="66">
        <f t="shared" si="1"/>
        <v>0.91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4.3418750000000008</v>
      </c>
      <c r="C108" s="67">
        <f t="shared" ref="C108:Q108" si="2">AVERAGE(C9:C104)</f>
        <v>8.8193749999999991</v>
      </c>
      <c r="D108" s="67">
        <f t="shared" si="2"/>
        <v>13.06052083333333</v>
      </c>
      <c r="E108" s="67">
        <f t="shared" si="2"/>
        <v>1.4014583333333333</v>
      </c>
      <c r="F108" s="67">
        <f t="shared" si="2"/>
        <v>4.3962499999999993</v>
      </c>
      <c r="G108" s="67">
        <f t="shared" si="2"/>
        <v>76.420000000000016</v>
      </c>
      <c r="H108" s="67">
        <f t="shared" si="2"/>
        <v>31.208541666666662</v>
      </c>
      <c r="I108" s="67">
        <f t="shared" si="2"/>
        <v>7.3776041666666652</v>
      </c>
      <c r="J108" s="67">
        <f t="shared" si="2"/>
        <v>0.4632291666666668</v>
      </c>
      <c r="K108" s="67">
        <f t="shared" si="2"/>
        <v>260.20302083333326</v>
      </c>
      <c r="L108" s="67">
        <f t="shared" si="2"/>
        <v>30.133958333333339</v>
      </c>
      <c r="M108" s="67">
        <f t="shared" si="2"/>
        <v>43.206979166666684</v>
      </c>
      <c r="N108" s="67">
        <f t="shared" si="2"/>
        <v>257.34895833333337</v>
      </c>
      <c r="O108" s="67">
        <f t="shared" si="2"/>
        <v>0</v>
      </c>
      <c r="P108" s="67">
        <f t="shared" si="2"/>
        <v>0.69885416666666655</v>
      </c>
      <c r="Q108" s="67">
        <f t="shared" si="2"/>
        <v>9.4864583333333368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2.6804132880466121</v>
      </c>
      <c r="C109" s="67">
        <f t="shared" ref="C109:Q109" si="3">STDEV(C9:C104)</f>
        <v>2.0880233979834375</v>
      </c>
      <c r="D109" s="67">
        <f t="shared" si="3"/>
        <v>4.0994154576351889</v>
      </c>
      <c r="E109" s="67">
        <f t="shared" si="3"/>
        <v>0.37588346224991537</v>
      </c>
      <c r="F109" s="67">
        <f t="shared" si="3"/>
        <v>1.1633257678334408</v>
      </c>
      <c r="G109" s="67">
        <f t="shared" si="3"/>
        <v>28.848147035267747</v>
      </c>
      <c r="H109" s="67">
        <f t="shared" si="3"/>
        <v>8.6033177173468669</v>
      </c>
      <c r="I109" s="67">
        <f t="shared" si="3"/>
        <v>0.8041729910668477</v>
      </c>
      <c r="J109" s="67">
        <f t="shared" si="3"/>
        <v>0.36746212061615152</v>
      </c>
      <c r="K109" s="67">
        <f t="shared" si="3"/>
        <v>100.97630657076569</v>
      </c>
      <c r="L109" s="67">
        <f t="shared" si="3"/>
        <v>5.0659171724620444</v>
      </c>
      <c r="M109" s="67">
        <f t="shared" si="3"/>
        <v>15.809774998884379</v>
      </c>
      <c r="N109" s="67">
        <f t="shared" si="3"/>
        <v>315.86004128904005</v>
      </c>
      <c r="O109" s="67">
        <f t="shared" si="3"/>
        <v>0</v>
      </c>
      <c r="P109" s="67">
        <f t="shared" si="3"/>
        <v>0.12398531145317444</v>
      </c>
      <c r="Q109" s="67">
        <f t="shared" si="3"/>
        <v>0.13634305931935597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1590</v>
      </c>
      <c r="B9" s="64">
        <v>3.75</v>
      </c>
      <c r="C9" s="64">
        <v>8.11</v>
      </c>
      <c r="D9" s="64">
        <v>11.76</v>
      </c>
      <c r="E9" s="64">
        <v>0.86</v>
      </c>
      <c r="F9" s="64">
        <v>3.55</v>
      </c>
      <c r="G9" s="64">
        <v>48.52</v>
      </c>
      <c r="H9" s="64">
        <v>22.61</v>
      </c>
      <c r="I9" s="64">
        <v>6.32</v>
      </c>
      <c r="J9" s="64">
        <v>0.09</v>
      </c>
      <c r="K9" s="64">
        <v>220.61</v>
      </c>
      <c r="L9" s="64">
        <v>25.92</v>
      </c>
      <c r="M9" s="64">
        <v>51.23</v>
      </c>
      <c r="N9" s="64">
        <v>35.700000000000003</v>
      </c>
      <c r="O9" s="64">
        <v>0</v>
      </c>
      <c r="P9" s="64">
        <v>0.77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6" t="s">
        <v>1591</v>
      </c>
      <c r="B10" s="64">
        <v>3.65</v>
      </c>
      <c r="C10" s="64">
        <v>7.96</v>
      </c>
      <c r="D10" s="64">
        <v>11.51</v>
      </c>
      <c r="E10" s="64">
        <v>0.88</v>
      </c>
      <c r="F10" s="64">
        <v>3.57</v>
      </c>
      <c r="G10" s="64">
        <v>48.52</v>
      </c>
      <c r="H10" s="64">
        <v>22.61</v>
      </c>
      <c r="I10" s="64">
        <v>6.6</v>
      </c>
      <c r="J10" s="64">
        <v>0.53</v>
      </c>
      <c r="K10" s="64">
        <v>161.9</v>
      </c>
      <c r="L10" s="64">
        <v>26.37</v>
      </c>
      <c r="M10" s="64">
        <v>48.09</v>
      </c>
      <c r="N10" s="64">
        <v>34.6</v>
      </c>
      <c r="O10" s="64">
        <v>0</v>
      </c>
      <c r="P10" s="64">
        <v>0.75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6" t="s">
        <v>1592</v>
      </c>
      <c r="B11" s="64">
        <v>3.41</v>
      </c>
      <c r="C11" s="64">
        <v>7.69</v>
      </c>
      <c r="D11" s="64">
        <v>11</v>
      </c>
      <c r="E11" s="64">
        <v>0.71</v>
      </c>
      <c r="F11" s="64">
        <v>3.53</v>
      </c>
      <c r="G11" s="64">
        <v>48.52</v>
      </c>
      <c r="H11" s="64">
        <v>22.61</v>
      </c>
      <c r="I11" s="64">
        <v>6.57</v>
      </c>
      <c r="J11" s="64">
        <v>0.4</v>
      </c>
      <c r="K11" s="64">
        <v>171.6</v>
      </c>
      <c r="L11" s="64">
        <v>26.66</v>
      </c>
      <c r="M11" s="64">
        <v>46.46</v>
      </c>
      <c r="N11" s="64">
        <v>35.200000000000003</v>
      </c>
      <c r="O11" s="64">
        <v>0</v>
      </c>
      <c r="P11" s="64">
        <v>0.73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6" t="s">
        <v>1593</v>
      </c>
      <c r="B12" s="64">
        <v>3.27</v>
      </c>
      <c r="C12" s="64">
        <v>7.24</v>
      </c>
      <c r="D12" s="64">
        <v>10.42</v>
      </c>
      <c r="E12" s="64">
        <v>1.02</v>
      </c>
      <c r="F12" s="64">
        <v>3.67</v>
      </c>
      <c r="G12" s="64">
        <v>55.31</v>
      </c>
      <c r="H12" s="64">
        <v>22.23</v>
      </c>
      <c r="I12" s="64">
        <v>6.39</v>
      </c>
      <c r="J12" s="64">
        <v>0.24</v>
      </c>
      <c r="K12" s="64">
        <v>316.83999999999997</v>
      </c>
      <c r="L12" s="64">
        <v>26</v>
      </c>
      <c r="M12" s="64">
        <v>52.51</v>
      </c>
      <c r="N12" s="64">
        <v>36.4</v>
      </c>
      <c r="O12" s="64">
        <v>0</v>
      </c>
      <c r="P12" s="64">
        <v>0.71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16" t="s">
        <v>1594</v>
      </c>
      <c r="B13" s="64">
        <v>3.25</v>
      </c>
      <c r="C13" s="64">
        <v>6.75</v>
      </c>
      <c r="D13" s="64">
        <v>9.9</v>
      </c>
      <c r="E13" s="64">
        <v>0.81</v>
      </c>
      <c r="F13" s="64">
        <v>3.7</v>
      </c>
      <c r="G13" s="64">
        <v>57.51</v>
      </c>
      <c r="H13" s="64">
        <v>22.1</v>
      </c>
      <c r="I13" s="64">
        <v>6.2</v>
      </c>
      <c r="J13" s="64">
        <v>0.28000000000000003</v>
      </c>
      <c r="K13" s="64">
        <v>336.72</v>
      </c>
      <c r="L13" s="64">
        <v>25.19</v>
      </c>
      <c r="M13" s="64">
        <v>59.83</v>
      </c>
      <c r="N13" s="64">
        <v>36.299999999999997</v>
      </c>
      <c r="O13" s="64">
        <v>0</v>
      </c>
      <c r="P13" s="64">
        <v>0.68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6" t="s">
        <v>1595</v>
      </c>
      <c r="B14" s="64">
        <v>3.24</v>
      </c>
      <c r="C14" s="64">
        <v>6.42</v>
      </c>
      <c r="D14" s="64">
        <v>9.57</v>
      </c>
      <c r="E14" s="64">
        <v>0.82</v>
      </c>
      <c r="F14" s="64">
        <v>3.36</v>
      </c>
      <c r="G14" s="64">
        <v>57.51</v>
      </c>
      <c r="H14" s="64">
        <v>22.1</v>
      </c>
      <c r="I14" s="64">
        <v>5.61</v>
      </c>
      <c r="J14" s="64">
        <v>0.06</v>
      </c>
      <c r="K14" s="64">
        <v>217.58</v>
      </c>
      <c r="L14" s="64">
        <v>24.82</v>
      </c>
      <c r="M14" s="64">
        <v>54.44</v>
      </c>
      <c r="N14" s="64">
        <v>35.700000000000003</v>
      </c>
      <c r="O14" s="64">
        <v>0</v>
      </c>
      <c r="P14" s="64">
        <v>0.69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6" t="s">
        <v>1596</v>
      </c>
      <c r="B15" s="64">
        <v>3.15</v>
      </c>
      <c r="C15" s="64">
        <v>6.22</v>
      </c>
      <c r="D15" s="64">
        <v>9.27</v>
      </c>
      <c r="E15" s="64">
        <v>0.6</v>
      </c>
      <c r="F15" s="64">
        <v>3.59</v>
      </c>
      <c r="G15" s="64">
        <v>57.51</v>
      </c>
      <c r="H15" s="64">
        <v>22.1</v>
      </c>
      <c r="I15" s="64">
        <v>6.14</v>
      </c>
      <c r="J15" s="64">
        <v>0.14000000000000001</v>
      </c>
      <c r="K15" s="64">
        <v>246.19</v>
      </c>
      <c r="L15" s="64">
        <v>25.2</v>
      </c>
      <c r="M15" s="64">
        <v>53.03</v>
      </c>
      <c r="N15" s="64">
        <v>35.4</v>
      </c>
      <c r="O15" s="64">
        <v>0</v>
      </c>
      <c r="P15" s="64">
        <v>0.66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6" t="s">
        <v>1597</v>
      </c>
      <c r="B16" s="64">
        <v>3.12</v>
      </c>
      <c r="C16" s="64">
        <v>5.92</v>
      </c>
      <c r="D16" s="64">
        <v>8.94</v>
      </c>
      <c r="E16" s="64">
        <v>0.4</v>
      </c>
      <c r="F16" s="64">
        <v>3.16</v>
      </c>
      <c r="G16" s="64">
        <v>54.78</v>
      </c>
      <c r="H16" s="64">
        <v>21.65</v>
      </c>
      <c r="I16" s="64">
        <v>5.84</v>
      </c>
      <c r="J16" s="64">
        <v>0.13</v>
      </c>
      <c r="K16" s="64">
        <v>354.9</v>
      </c>
      <c r="L16" s="64">
        <v>24.84</v>
      </c>
      <c r="M16" s="64">
        <v>61.82</v>
      </c>
      <c r="N16" s="64">
        <v>36</v>
      </c>
      <c r="O16" s="64">
        <v>0</v>
      </c>
      <c r="P16" s="64">
        <v>0.66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6" t="s">
        <v>1598</v>
      </c>
      <c r="B17" s="64">
        <v>3.11</v>
      </c>
      <c r="C17" s="64">
        <v>5.66</v>
      </c>
      <c r="D17" s="64">
        <v>8.67</v>
      </c>
      <c r="E17" s="64">
        <v>0.77</v>
      </c>
      <c r="F17" s="64">
        <v>3.15</v>
      </c>
      <c r="G17" s="64">
        <v>53.84</v>
      </c>
      <c r="H17" s="64">
        <v>21.49</v>
      </c>
      <c r="I17" s="64">
        <v>5.65</v>
      </c>
      <c r="J17" s="64">
        <v>0.03</v>
      </c>
      <c r="K17" s="64">
        <v>213.46</v>
      </c>
      <c r="L17" s="64">
        <v>24.68</v>
      </c>
      <c r="M17" s="64">
        <v>57.63</v>
      </c>
      <c r="N17" s="64">
        <v>35.5</v>
      </c>
      <c r="O17" s="64">
        <v>0</v>
      </c>
      <c r="P17" s="64">
        <v>0.64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6" t="s">
        <v>1599</v>
      </c>
      <c r="B18" s="64">
        <v>3.13</v>
      </c>
      <c r="C18" s="64">
        <v>5.46</v>
      </c>
      <c r="D18" s="64">
        <v>8.49</v>
      </c>
      <c r="E18" s="64">
        <v>0.7</v>
      </c>
      <c r="F18" s="64">
        <v>3.73</v>
      </c>
      <c r="G18" s="64">
        <v>53.84</v>
      </c>
      <c r="H18" s="64">
        <v>21.49</v>
      </c>
      <c r="I18" s="64">
        <v>6.18</v>
      </c>
      <c r="J18" s="64">
        <v>0.05</v>
      </c>
      <c r="K18" s="64">
        <v>111.42</v>
      </c>
      <c r="L18" s="64">
        <v>24.82</v>
      </c>
      <c r="M18" s="64">
        <v>59.08</v>
      </c>
      <c r="N18" s="64">
        <v>35.5</v>
      </c>
      <c r="O18" s="64">
        <v>0</v>
      </c>
      <c r="P18" s="64">
        <v>0.64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6" t="s">
        <v>1600</v>
      </c>
      <c r="B19" s="64">
        <v>3.19</v>
      </c>
      <c r="C19" s="64">
        <v>5.57</v>
      </c>
      <c r="D19" s="64">
        <v>8.65</v>
      </c>
      <c r="E19" s="64">
        <v>0.85</v>
      </c>
      <c r="F19" s="64">
        <v>3.61</v>
      </c>
      <c r="G19" s="64">
        <v>53.84</v>
      </c>
      <c r="H19" s="64">
        <v>21.49</v>
      </c>
      <c r="I19" s="64">
        <v>6.25</v>
      </c>
      <c r="J19" s="64">
        <v>0.04</v>
      </c>
      <c r="K19" s="64">
        <v>233.38</v>
      </c>
      <c r="L19" s="64">
        <v>24.81</v>
      </c>
      <c r="M19" s="64">
        <v>59.05</v>
      </c>
      <c r="N19" s="64">
        <v>35.799999999999997</v>
      </c>
      <c r="O19" s="64">
        <v>0</v>
      </c>
      <c r="P19" s="64">
        <v>0.63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16" t="s">
        <v>1601</v>
      </c>
      <c r="B20" s="64">
        <v>3.19</v>
      </c>
      <c r="C20" s="64">
        <v>5.48</v>
      </c>
      <c r="D20" s="64">
        <v>8.57</v>
      </c>
      <c r="E20" s="64">
        <v>0.95</v>
      </c>
      <c r="F20" s="64">
        <v>3.5</v>
      </c>
      <c r="G20" s="64">
        <v>52.55</v>
      </c>
      <c r="H20" s="64">
        <v>20.61</v>
      </c>
      <c r="I20" s="64">
        <v>6.44</v>
      </c>
      <c r="J20" s="64">
        <v>0.22</v>
      </c>
      <c r="K20" s="64">
        <v>184.65</v>
      </c>
      <c r="L20" s="64">
        <v>24.7</v>
      </c>
      <c r="M20" s="64">
        <v>62.79</v>
      </c>
      <c r="N20" s="64">
        <v>35.700000000000003</v>
      </c>
      <c r="O20" s="64">
        <v>0</v>
      </c>
      <c r="P20" s="64">
        <v>0.62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6" t="s">
        <v>1602</v>
      </c>
      <c r="B21" s="64">
        <v>3.16</v>
      </c>
      <c r="C21" s="64">
        <v>5.6</v>
      </c>
      <c r="D21" s="64">
        <v>8.67</v>
      </c>
      <c r="E21" s="64">
        <v>0.59</v>
      </c>
      <c r="F21" s="64">
        <v>3.46</v>
      </c>
      <c r="G21" s="64">
        <v>52.1</v>
      </c>
      <c r="H21" s="64">
        <v>20.309999999999999</v>
      </c>
      <c r="I21" s="64">
        <v>6.98</v>
      </c>
      <c r="J21" s="64">
        <v>0.25</v>
      </c>
      <c r="K21" s="64">
        <v>150.51</v>
      </c>
      <c r="L21" s="64">
        <v>24.84</v>
      </c>
      <c r="M21" s="64">
        <v>61.5</v>
      </c>
      <c r="N21" s="64">
        <v>35.1</v>
      </c>
      <c r="O21" s="64">
        <v>0</v>
      </c>
      <c r="P21" s="64">
        <v>0.61</v>
      </c>
      <c r="Q21" s="64">
        <v>9.57</v>
      </c>
      <c r="R21" s="198"/>
      <c r="S21" s="198"/>
      <c r="T21" s="198"/>
      <c r="U21" s="198"/>
    </row>
    <row r="22" spans="1:21" s="12" customFormat="1" x14ac:dyDescent="0.25">
      <c r="A22" s="216" t="s">
        <v>1603</v>
      </c>
      <c r="B22" s="64">
        <v>3.08</v>
      </c>
      <c r="C22" s="64">
        <v>5.62</v>
      </c>
      <c r="D22" s="64">
        <v>8.6</v>
      </c>
      <c r="E22" s="64">
        <v>0.94</v>
      </c>
      <c r="F22" s="64">
        <v>3.3</v>
      </c>
      <c r="G22" s="64">
        <v>52.1</v>
      </c>
      <c r="H22" s="64">
        <v>20.309999999999999</v>
      </c>
      <c r="I22" s="64">
        <v>7.25</v>
      </c>
      <c r="J22" s="64">
        <v>0.23</v>
      </c>
      <c r="K22" s="64">
        <v>170.96</v>
      </c>
      <c r="L22" s="64">
        <v>24.7</v>
      </c>
      <c r="M22" s="64">
        <v>61.29</v>
      </c>
      <c r="N22" s="64">
        <v>35.4</v>
      </c>
      <c r="O22" s="64">
        <v>0</v>
      </c>
      <c r="P22" s="64">
        <v>0.59</v>
      </c>
      <c r="Q22" s="64">
        <v>9.5500000000000007</v>
      </c>
      <c r="R22" s="198"/>
      <c r="S22" s="198"/>
      <c r="T22" s="198"/>
      <c r="U22" s="198"/>
    </row>
    <row r="23" spans="1:21" s="12" customFormat="1" x14ac:dyDescent="0.25">
      <c r="A23" s="216" t="s">
        <v>1604</v>
      </c>
      <c r="B23" s="64">
        <v>3.06</v>
      </c>
      <c r="C23" s="64">
        <v>5.45</v>
      </c>
      <c r="D23" s="64">
        <v>8.41</v>
      </c>
      <c r="E23" s="64">
        <v>0.9</v>
      </c>
      <c r="F23" s="64">
        <v>3.77</v>
      </c>
      <c r="G23" s="64">
        <v>52.1</v>
      </c>
      <c r="H23" s="64">
        <v>20.309999999999999</v>
      </c>
      <c r="I23" s="64">
        <v>7.38</v>
      </c>
      <c r="J23" s="64">
        <v>0.11</v>
      </c>
      <c r="K23" s="64">
        <v>218.66</v>
      </c>
      <c r="L23" s="64">
        <v>24.7</v>
      </c>
      <c r="M23" s="64">
        <v>64.77</v>
      </c>
      <c r="N23" s="64">
        <v>35.4</v>
      </c>
      <c r="O23" s="64">
        <v>0</v>
      </c>
      <c r="P23" s="64">
        <v>0.56999999999999995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6" t="s">
        <v>1605</v>
      </c>
      <c r="B24" s="64">
        <v>3.12</v>
      </c>
      <c r="C24" s="64">
        <v>5.31</v>
      </c>
      <c r="D24" s="64">
        <v>8.33</v>
      </c>
      <c r="E24" s="64">
        <v>0.7</v>
      </c>
      <c r="F24" s="64">
        <v>3.5</v>
      </c>
      <c r="G24" s="64">
        <v>54.41</v>
      </c>
      <c r="H24" s="64">
        <v>20.36</v>
      </c>
      <c r="I24" s="64">
        <v>7.07</v>
      </c>
      <c r="J24" s="64">
        <v>0.19</v>
      </c>
      <c r="K24" s="64">
        <v>282.58</v>
      </c>
      <c r="L24" s="64">
        <v>24.7</v>
      </c>
      <c r="M24" s="64">
        <v>62.11</v>
      </c>
      <c r="N24" s="64">
        <v>35.4</v>
      </c>
      <c r="O24" s="64">
        <v>0</v>
      </c>
      <c r="P24" s="64">
        <v>0.56999999999999995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16" t="s">
        <v>1606</v>
      </c>
      <c r="B25" s="64">
        <v>3.28</v>
      </c>
      <c r="C25" s="64">
        <v>5.25</v>
      </c>
      <c r="D25" s="64">
        <v>8.43</v>
      </c>
      <c r="E25" s="64">
        <v>1.3</v>
      </c>
      <c r="F25" s="64">
        <v>3.63</v>
      </c>
      <c r="G25" s="64">
        <v>55.21</v>
      </c>
      <c r="H25" s="64">
        <v>20.37</v>
      </c>
      <c r="I25" s="64">
        <v>6.93</v>
      </c>
      <c r="J25" s="64">
        <v>0.14000000000000001</v>
      </c>
      <c r="K25" s="64">
        <v>340.98</v>
      </c>
      <c r="L25" s="64">
        <v>24.29</v>
      </c>
      <c r="M25" s="64">
        <v>67.97</v>
      </c>
      <c r="N25" s="64">
        <v>35.4</v>
      </c>
      <c r="O25" s="64">
        <v>0</v>
      </c>
      <c r="P25" s="64">
        <v>0.56000000000000005</v>
      </c>
      <c r="Q25" s="64">
        <v>9.51</v>
      </c>
      <c r="R25" s="198"/>
      <c r="S25" s="198"/>
      <c r="T25" s="198"/>
      <c r="U25" s="198"/>
    </row>
    <row r="26" spans="1:21" s="12" customFormat="1" x14ac:dyDescent="0.25">
      <c r="A26" s="216" t="s">
        <v>1607</v>
      </c>
      <c r="B26" s="64">
        <v>3.58</v>
      </c>
      <c r="C26" s="64">
        <v>5.28</v>
      </c>
      <c r="D26" s="64">
        <v>8.76</v>
      </c>
      <c r="E26" s="64">
        <v>1.34</v>
      </c>
      <c r="F26" s="64">
        <v>3.54</v>
      </c>
      <c r="G26" s="64">
        <v>55.21</v>
      </c>
      <c r="H26" s="64">
        <v>20.37</v>
      </c>
      <c r="I26" s="64">
        <v>6.86</v>
      </c>
      <c r="J26" s="64">
        <v>0.31</v>
      </c>
      <c r="K26" s="64">
        <v>226.85</v>
      </c>
      <c r="L26" s="64">
        <v>24.18</v>
      </c>
      <c r="M26" s="64">
        <v>66.55</v>
      </c>
      <c r="N26" s="64">
        <v>34.799999999999997</v>
      </c>
      <c r="O26" s="64">
        <v>0</v>
      </c>
      <c r="P26" s="64">
        <v>0.55000000000000004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16" t="s">
        <v>1608</v>
      </c>
      <c r="B27" s="64">
        <v>3.95</v>
      </c>
      <c r="C27" s="64">
        <v>5.56</v>
      </c>
      <c r="D27" s="64">
        <v>9.4</v>
      </c>
      <c r="E27" s="64">
        <v>1.58</v>
      </c>
      <c r="F27" s="64">
        <v>3.36</v>
      </c>
      <c r="G27" s="64">
        <v>55.21</v>
      </c>
      <c r="H27" s="64">
        <v>20.37</v>
      </c>
      <c r="I27" s="64">
        <v>6.79</v>
      </c>
      <c r="J27" s="64">
        <v>0.21</v>
      </c>
      <c r="K27" s="64">
        <v>199.64</v>
      </c>
      <c r="L27" s="64">
        <v>24.52</v>
      </c>
      <c r="M27" s="64">
        <v>62.46</v>
      </c>
      <c r="N27" s="64">
        <v>34.4</v>
      </c>
      <c r="O27" s="64">
        <v>0</v>
      </c>
      <c r="P27" s="64">
        <v>0.54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16" t="s">
        <v>1609</v>
      </c>
      <c r="B28" s="64">
        <v>4.12</v>
      </c>
      <c r="C28" s="64">
        <v>5.56</v>
      </c>
      <c r="D28" s="64">
        <v>9.58</v>
      </c>
      <c r="E28" s="64">
        <v>1.1499999999999999</v>
      </c>
      <c r="F28" s="64">
        <v>3.83</v>
      </c>
      <c r="G28" s="64">
        <v>50.2</v>
      </c>
      <c r="H28" s="64">
        <v>21.09</v>
      </c>
      <c r="I28" s="64">
        <v>6.75</v>
      </c>
      <c r="J28" s="64">
        <v>0.04</v>
      </c>
      <c r="K28" s="64">
        <v>266.98</v>
      </c>
      <c r="L28" s="64">
        <v>24.37</v>
      </c>
      <c r="M28" s="64">
        <v>61.26</v>
      </c>
      <c r="N28" s="64">
        <v>34.799999999999997</v>
      </c>
      <c r="O28" s="64">
        <v>0</v>
      </c>
      <c r="P28" s="64">
        <v>0.54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16" t="s">
        <v>1610</v>
      </c>
      <c r="B29" s="64">
        <v>4.04</v>
      </c>
      <c r="C29" s="64">
        <v>6.02</v>
      </c>
      <c r="D29" s="64">
        <v>9.9600000000000009</v>
      </c>
      <c r="E29" s="64">
        <v>1.1499999999999999</v>
      </c>
      <c r="F29" s="64">
        <v>3.39</v>
      </c>
      <c r="G29" s="64">
        <v>48.48</v>
      </c>
      <c r="H29" s="64">
        <v>21.34</v>
      </c>
      <c r="I29" s="64">
        <v>6.67</v>
      </c>
      <c r="J29" s="64">
        <v>0.1</v>
      </c>
      <c r="K29" s="64">
        <v>357.51</v>
      </c>
      <c r="L29" s="64">
        <v>24.35</v>
      </c>
      <c r="M29" s="64">
        <v>61.09</v>
      </c>
      <c r="N29" s="64">
        <v>35.200000000000003</v>
      </c>
      <c r="O29" s="64">
        <v>0</v>
      </c>
      <c r="P29" s="64">
        <v>0.54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6" t="s">
        <v>1611</v>
      </c>
      <c r="B30" s="64">
        <v>3.93</v>
      </c>
      <c r="C30" s="64">
        <v>6.13</v>
      </c>
      <c r="D30" s="64">
        <v>9.9600000000000009</v>
      </c>
      <c r="E30" s="64">
        <v>1.35</v>
      </c>
      <c r="F30" s="64">
        <v>3.39</v>
      </c>
      <c r="G30" s="64">
        <v>48.48</v>
      </c>
      <c r="H30" s="64">
        <v>21.34</v>
      </c>
      <c r="I30" s="64">
        <v>6.71</v>
      </c>
      <c r="J30" s="64">
        <v>0.33</v>
      </c>
      <c r="K30" s="64">
        <v>166.32</v>
      </c>
      <c r="L30" s="64">
        <v>24.25</v>
      </c>
      <c r="M30" s="64">
        <v>60.81</v>
      </c>
      <c r="N30" s="64">
        <v>38</v>
      </c>
      <c r="O30" s="64">
        <v>0</v>
      </c>
      <c r="P30" s="64">
        <v>0.54</v>
      </c>
      <c r="Q30" s="64">
        <v>9.59</v>
      </c>
      <c r="R30" s="198"/>
      <c r="S30" s="198"/>
      <c r="T30" s="198"/>
      <c r="U30" s="198"/>
    </row>
    <row r="31" spans="1:21" s="12" customFormat="1" x14ac:dyDescent="0.25">
      <c r="A31" s="216" t="s">
        <v>1612</v>
      </c>
      <c r="B31" s="64">
        <v>3.98</v>
      </c>
      <c r="C31" s="64">
        <v>6.15</v>
      </c>
      <c r="D31" s="64">
        <v>10.029999999999999</v>
      </c>
      <c r="E31" s="64">
        <v>1.55</v>
      </c>
      <c r="F31" s="64">
        <v>3.4</v>
      </c>
      <c r="G31" s="64">
        <v>48.48</v>
      </c>
      <c r="H31" s="64">
        <v>21.34</v>
      </c>
      <c r="I31" s="64">
        <v>6.63</v>
      </c>
      <c r="J31" s="64">
        <v>0.65</v>
      </c>
      <c r="K31" s="64">
        <v>167.31</v>
      </c>
      <c r="L31" s="64">
        <v>24.16</v>
      </c>
      <c r="M31" s="64">
        <v>63.67</v>
      </c>
      <c r="N31" s="64">
        <v>43.3</v>
      </c>
      <c r="O31" s="64">
        <v>0</v>
      </c>
      <c r="P31" s="64">
        <v>0.54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6" t="s">
        <v>1613</v>
      </c>
      <c r="B32" s="64">
        <v>3.99</v>
      </c>
      <c r="C32" s="64">
        <v>6.05</v>
      </c>
      <c r="D32" s="64">
        <v>9.94</v>
      </c>
      <c r="E32" s="64">
        <v>1.35</v>
      </c>
      <c r="F32" s="64">
        <v>3.67</v>
      </c>
      <c r="G32" s="64">
        <v>52.36</v>
      </c>
      <c r="H32" s="64">
        <v>21.42</v>
      </c>
      <c r="I32" s="64">
        <v>6.43</v>
      </c>
      <c r="J32" s="64">
        <v>0.46</v>
      </c>
      <c r="K32" s="64">
        <v>159.66999999999999</v>
      </c>
      <c r="L32" s="64">
        <v>24.03</v>
      </c>
      <c r="M32" s="64">
        <v>65.28</v>
      </c>
      <c r="N32" s="64">
        <v>66.7</v>
      </c>
      <c r="O32" s="64">
        <v>0</v>
      </c>
      <c r="P32" s="64">
        <v>0.54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6" t="s">
        <v>1614</v>
      </c>
      <c r="B33" s="64">
        <v>3.92</v>
      </c>
      <c r="C33" s="64">
        <v>5.79</v>
      </c>
      <c r="D33" s="64">
        <v>9.6199999999999992</v>
      </c>
      <c r="E33" s="64">
        <v>1.51</v>
      </c>
      <c r="F33" s="64">
        <v>3.41</v>
      </c>
      <c r="G33" s="64">
        <v>53.69</v>
      </c>
      <c r="H33" s="64">
        <v>21.44</v>
      </c>
      <c r="I33" s="64">
        <v>6.66</v>
      </c>
      <c r="J33" s="64">
        <v>0.28999999999999998</v>
      </c>
      <c r="K33" s="64">
        <v>197.08</v>
      </c>
      <c r="L33" s="64">
        <v>24.35</v>
      </c>
      <c r="M33" s="64">
        <v>62.74</v>
      </c>
      <c r="N33" s="64">
        <v>103.6</v>
      </c>
      <c r="O33" s="64">
        <v>0</v>
      </c>
      <c r="P33" s="64">
        <v>0.54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6" t="s">
        <v>1615</v>
      </c>
      <c r="B34" s="64">
        <v>3.86</v>
      </c>
      <c r="C34" s="64">
        <v>5.65</v>
      </c>
      <c r="D34" s="64">
        <v>9.41</v>
      </c>
      <c r="E34" s="64">
        <v>1.36</v>
      </c>
      <c r="F34" s="64">
        <v>3.4</v>
      </c>
      <c r="G34" s="64">
        <v>53.69</v>
      </c>
      <c r="H34" s="64">
        <v>21.44</v>
      </c>
      <c r="I34" s="64">
        <v>6.91</v>
      </c>
      <c r="J34" s="64">
        <v>0.36</v>
      </c>
      <c r="K34" s="64">
        <v>185.18</v>
      </c>
      <c r="L34" s="64">
        <v>24.61</v>
      </c>
      <c r="M34" s="64">
        <v>61.38</v>
      </c>
      <c r="N34" s="64">
        <v>138.80000000000001</v>
      </c>
      <c r="O34" s="64">
        <v>0</v>
      </c>
      <c r="P34" s="64">
        <v>0.55000000000000004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6" t="s">
        <v>1616</v>
      </c>
      <c r="B35" s="64">
        <v>3.68</v>
      </c>
      <c r="C35" s="64">
        <v>5.55</v>
      </c>
      <c r="D35" s="64">
        <v>9.14</v>
      </c>
      <c r="E35" s="64">
        <v>1.43</v>
      </c>
      <c r="F35" s="64">
        <v>3.53</v>
      </c>
      <c r="G35" s="64">
        <v>53.69</v>
      </c>
      <c r="H35" s="64">
        <v>21.44</v>
      </c>
      <c r="I35" s="64">
        <v>6.94</v>
      </c>
      <c r="J35" s="64">
        <v>0.08</v>
      </c>
      <c r="K35" s="64">
        <v>202.63</v>
      </c>
      <c r="L35" s="64">
        <v>24.97</v>
      </c>
      <c r="M35" s="64">
        <v>61.48</v>
      </c>
      <c r="N35" s="64">
        <v>163.69999999999999</v>
      </c>
      <c r="O35" s="64">
        <v>0</v>
      </c>
      <c r="P35" s="64">
        <v>0.54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6" t="s">
        <v>1617</v>
      </c>
      <c r="B36" s="64">
        <v>3.61</v>
      </c>
      <c r="C36" s="64">
        <v>5.62</v>
      </c>
      <c r="D36" s="64">
        <v>9.14</v>
      </c>
      <c r="E36" s="64">
        <v>1.51</v>
      </c>
      <c r="F36" s="64">
        <v>3.09</v>
      </c>
      <c r="G36" s="64">
        <v>55</v>
      </c>
      <c r="H36" s="64">
        <v>21.82</v>
      </c>
      <c r="I36" s="64">
        <v>7.1</v>
      </c>
      <c r="J36" s="64">
        <v>0.19</v>
      </c>
      <c r="K36" s="64">
        <v>163.87</v>
      </c>
      <c r="L36" s="64">
        <v>25.52</v>
      </c>
      <c r="M36" s="64">
        <v>57.76</v>
      </c>
      <c r="N36" s="64">
        <v>166.6</v>
      </c>
      <c r="O36" s="64">
        <v>0</v>
      </c>
      <c r="P36" s="64">
        <v>0.55000000000000004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6" t="s">
        <v>1618</v>
      </c>
      <c r="B37" s="64">
        <v>3.53</v>
      </c>
      <c r="C37" s="64">
        <v>5.73</v>
      </c>
      <c r="D37" s="64">
        <v>9.17</v>
      </c>
      <c r="E37" s="64">
        <v>1.1100000000000001</v>
      </c>
      <c r="F37" s="64">
        <v>3.56</v>
      </c>
      <c r="G37" s="64">
        <v>55.46</v>
      </c>
      <c r="H37" s="64">
        <v>21.95</v>
      </c>
      <c r="I37" s="64">
        <v>7.06</v>
      </c>
      <c r="J37" s="64">
        <v>0.26</v>
      </c>
      <c r="K37" s="64">
        <v>190.93</v>
      </c>
      <c r="L37" s="64">
        <v>25.96</v>
      </c>
      <c r="M37" s="64">
        <v>57.36</v>
      </c>
      <c r="N37" s="64">
        <v>186</v>
      </c>
      <c r="O37" s="64">
        <v>0</v>
      </c>
      <c r="P37" s="64">
        <v>0.52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6" t="s">
        <v>1619</v>
      </c>
      <c r="B38" s="64">
        <v>3.51</v>
      </c>
      <c r="C38" s="64">
        <v>5.61</v>
      </c>
      <c r="D38" s="64">
        <v>9.01</v>
      </c>
      <c r="E38" s="64">
        <v>1.02</v>
      </c>
      <c r="F38" s="64">
        <v>4.3</v>
      </c>
      <c r="G38" s="64">
        <v>55.46</v>
      </c>
      <c r="H38" s="64">
        <v>21.95</v>
      </c>
      <c r="I38" s="64">
        <v>7.06</v>
      </c>
      <c r="J38" s="64">
        <v>0.08</v>
      </c>
      <c r="K38" s="64">
        <v>224.55</v>
      </c>
      <c r="L38" s="64">
        <v>25.97</v>
      </c>
      <c r="M38" s="64">
        <v>57.94</v>
      </c>
      <c r="N38" s="64">
        <v>248.6</v>
      </c>
      <c r="O38" s="64">
        <v>0</v>
      </c>
      <c r="P38" s="64">
        <v>0.56000000000000005</v>
      </c>
      <c r="Q38" s="64">
        <v>9.58</v>
      </c>
      <c r="R38" s="198"/>
      <c r="S38" s="198"/>
      <c r="T38" s="198"/>
      <c r="U38" s="198"/>
    </row>
    <row r="39" spans="1:21" s="12" customFormat="1" x14ac:dyDescent="0.25">
      <c r="A39" s="216" t="s">
        <v>1620</v>
      </c>
      <c r="B39" s="64">
        <v>3.32</v>
      </c>
      <c r="C39" s="64">
        <v>6.44</v>
      </c>
      <c r="D39" s="64">
        <v>9.66</v>
      </c>
      <c r="E39" s="64">
        <v>1.5</v>
      </c>
      <c r="F39" s="64">
        <v>4.6500000000000004</v>
      </c>
      <c r="G39" s="64">
        <v>55.46</v>
      </c>
      <c r="H39" s="64">
        <v>21.95</v>
      </c>
      <c r="I39" s="64">
        <v>7.15</v>
      </c>
      <c r="J39" s="64">
        <v>0.14000000000000001</v>
      </c>
      <c r="K39" s="64">
        <v>359.46</v>
      </c>
      <c r="L39" s="64">
        <v>27</v>
      </c>
      <c r="M39" s="64">
        <v>54.77</v>
      </c>
      <c r="N39" s="64">
        <v>263.2</v>
      </c>
      <c r="O39" s="64">
        <v>0</v>
      </c>
      <c r="P39" s="64">
        <v>0.56999999999999995</v>
      </c>
      <c r="Q39" s="64">
        <v>9.5</v>
      </c>
      <c r="R39" s="198"/>
      <c r="S39" s="198"/>
      <c r="T39" s="198"/>
      <c r="U39" s="198"/>
    </row>
    <row r="40" spans="1:21" s="12" customFormat="1" x14ac:dyDescent="0.25">
      <c r="A40" s="216" t="s">
        <v>1621</v>
      </c>
      <c r="B40" s="64">
        <v>3.09</v>
      </c>
      <c r="C40" s="64">
        <v>7.09</v>
      </c>
      <c r="D40" s="64">
        <v>10.08</v>
      </c>
      <c r="E40" s="64">
        <v>1.86</v>
      </c>
      <c r="F40" s="64">
        <v>5</v>
      </c>
      <c r="G40" s="64">
        <v>57.55</v>
      </c>
      <c r="H40" s="64">
        <v>18.93</v>
      </c>
      <c r="I40" s="64">
        <v>7.06</v>
      </c>
      <c r="J40" s="64">
        <v>0.15</v>
      </c>
      <c r="K40" s="64">
        <v>38.340000000000003</v>
      </c>
      <c r="L40" s="64">
        <v>27.59</v>
      </c>
      <c r="M40" s="64">
        <v>52.46</v>
      </c>
      <c r="N40" s="64">
        <v>403.1</v>
      </c>
      <c r="O40" s="64">
        <v>0</v>
      </c>
      <c r="P40" s="64">
        <v>0.59</v>
      </c>
      <c r="Q40" s="64">
        <v>9.3699999999999992</v>
      </c>
      <c r="R40" s="198"/>
      <c r="S40" s="198"/>
      <c r="T40" s="198"/>
      <c r="U40" s="198"/>
    </row>
    <row r="41" spans="1:21" s="12" customFormat="1" x14ac:dyDescent="0.25">
      <c r="A41" s="216" t="s">
        <v>1622</v>
      </c>
      <c r="B41" s="64">
        <v>2.84</v>
      </c>
      <c r="C41" s="64">
        <v>7.36</v>
      </c>
      <c r="D41" s="64">
        <v>10.1</v>
      </c>
      <c r="E41" s="64">
        <v>1.45</v>
      </c>
      <c r="F41" s="64">
        <v>5.98</v>
      </c>
      <c r="G41" s="64">
        <v>58.27</v>
      </c>
      <c r="H41" s="64">
        <v>17.89</v>
      </c>
      <c r="I41" s="64">
        <v>6.93</v>
      </c>
      <c r="J41" s="64">
        <v>0.23</v>
      </c>
      <c r="K41" s="64">
        <v>325.29000000000002</v>
      </c>
      <c r="L41" s="64">
        <v>29.25</v>
      </c>
      <c r="M41" s="64">
        <v>46.57</v>
      </c>
      <c r="N41" s="64">
        <v>466.2</v>
      </c>
      <c r="O41" s="64">
        <v>0</v>
      </c>
      <c r="P41" s="64">
        <v>0.57999999999999996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6" t="s">
        <v>1623</v>
      </c>
      <c r="B42" s="64">
        <v>2.5099999999999998</v>
      </c>
      <c r="C42" s="64">
        <v>7.25</v>
      </c>
      <c r="D42" s="64">
        <v>9.66</v>
      </c>
      <c r="E42" s="64">
        <v>1.81</v>
      </c>
      <c r="F42" s="64">
        <v>4.45</v>
      </c>
      <c r="G42" s="64">
        <v>58.27</v>
      </c>
      <c r="H42" s="64">
        <v>17.89</v>
      </c>
      <c r="I42" s="64">
        <v>6.83</v>
      </c>
      <c r="J42" s="64">
        <v>0.28000000000000003</v>
      </c>
      <c r="K42" s="64">
        <v>318.52</v>
      </c>
      <c r="L42" s="64">
        <v>31.27</v>
      </c>
      <c r="M42" s="64">
        <v>40.619999999999997</v>
      </c>
      <c r="N42" s="64">
        <v>488.5</v>
      </c>
      <c r="O42" s="64">
        <v>0</v>
      </c>
      <c r="P42" s="64">
        <v>0.59</v>
      </c>
      <c r="Q42" s="64">
        <v>9.3000000000000007</v>
      </c>
      <c r="R42" s="198"/>
      <c r="S42" s="198"/>
      <c r="T42" s="198"/>
      <c r="U42" s="198"/>
    </row>
    <row r="43" spans="1:21" s="12" customFormat="1" x14ac:dyDescent="0.25">
      <c r="A43" s="216" t="s">
        <v>1624</v>
      </c>
      <c r="B43" s="64">
        <v>2.31</v>
      </c>
      <c r="C43" s="64">
        <v>7.59</v>
      </c>
      <c r="D43" s="64">
        <v>9.81</v>
      </c>
      <c r="E43" s="64">
        <v>1.6</v>
      </c>
      <c r="F43" s="64">
        <v>5.27</v>
      </c>
      <c r="G43" s="64">
        <v>58.27</v>
      </c>
      <c r="H43" s="64">
        <v>17.89</v>
      </c>
      <c r="I43" s="64">
        <v>6.71</v>
      </c>
      <c r="J43" s="64">
        <v>0.33</v>
      </c>
      <c r="K43" s="64">
        <v>333.78</v>
      </c>
      <c r="L43" s="64">
        <v>32.22</v>
      </c>
      <c r="M43" s="64">
        <v>37.630000000000003</v>
      </c>
      <c r="N43" s="64">
        <v>567</v>
      </c>
      <c r="O43" s="64">
        <v>0</v>
      </c>
      <c r="P43" s="64">
        <v>0.6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16" t="s">
        <v>1625</v>
      </c>
      <c r="B44" s="64">
        <v>2.09</v>
      </c>
      <c r="C44" s="64">
        <v>7.46</v>
      </c>
      <c r="D44" s="64">
        <v>9.4499999999999993</v>
      </c>
      <c r="E44" s="64">
        <v>1.99</v>
      </c>
      <c r="F44" s="64">
        <v>4.28</v>
      </c>
      <c r="G44" s="64">
        <v>55.89</v>
      </c>
      <c r="H44" s="64">
        <v>24.92</v>
      </c>
      <c r="I44" s="64">
        <v>6.57</v>
      </c>
      <c r="J44" s="64">
        <v>0.38</v>
      </c>
      <c r="K44" s="64">
        <v>337.85</v>
      </c>
      <c r="L44" s="64">
        <v>33.049999999999997</v>
      </c>
      <c r="M44" s="64">
        <v>34.56</v>
      </c>
      <c r="N44" s="64">
        <v>600.6</v>
      </c>
      <c r="O44" s="64">
        <v>0</v>
      </c>
      <c r="P44" s="64">
        <v>0.61</v>
      </c>
      <c r="Q44" s="64">
        <v>9.4</v>
      </c>
      <c r="R44" s="198"/>
      <c r="S44" s="198"/>
      <c r="T44" s="198"/>
      <c r="U44" s="198"/>
    </row>
    <row r="45" spans="1:21" s="12" customFormat="1" x14ac:dyDescent="0.25">
      <c r="A45" s="216" t="s">
        <v>1626</v>
      </c>
      <c r="B45" s="64">
        <v>1.9</v>
      </c>
      <c r="C45" s="64">
        <v>7.59</v>
      </c>
      <c r="D45" s="64">
        <v>9.39</v>
      </c>
      <c r="E45" s="64">
        <v>1.7</v>
      </c>
      <c r="F45" s="64">
        <v>4.0199999999999996</v>
      </c>
      <c r="G45" s="64">
        <v>55.08</v>
      </c>
      <c r="H45" s="64">
        <v>27.2</v>
      </c>
      <c r="I45" s="64">
        <v>6.47</v>
      </c>
      <c r="J45" s="64">
        <v>0.54</v>
      </c>
      <c r="K45" s="64">
        <v>335.44</v>
      </c>
      <c r="L45" s="64">
        <v>33.840000000000003</v>
      </c>
      <c r="M45" s="64">
        <v>32.28</v>
      </c>
      <c r="N45" s="64">
        <v>475.3</v>
      </c>
      <c r="O45" s="64">
        <v>0</v>
      </c>
      <c r="P45" s="64">
        <v>0.61</v>
      </c>
      <c r="Q45" s="64">
        <v>9.4499999999999993</v>
      </c>
      <c r="R45" s="198"/>
      <c r="S45" s="198"/>
      <c r="T45" s="198"/>
      <c r="U45" s="198"/>
    </row>
    <row r="46" spans="1:21" s="12" customFormat="1" x14ac:dyDescent="0.25">
      <c r="A46" s="216" t="s">
        <v>1627</v>
      </c>
      <c r="B46" s="64">
        <v>1.77</v>
      </c>
      <c r="C46" s="64">
        <v>7.66</v>
      </c>
      <c r="D46" s="64">
        <v>9.33</v>
      </c>
      <c r="E46" s="64">
        <v>1.42</v>
      </c>
      <c r="F46" s="64">
        <v>3.25</v>
      </c>
      <c r="G46" s="64">
        <v>43.31</v>
      </c>
      <c r="H46" s="64">
        <v>27.2</v>
      </c>
      <c r="I46" s="64">
        <v>6.44</v>
      </c>
      <c r="J46" s="64">
        <v>0.6</v>
      </c>
      <c r="K46" s="64">
        <v>338.18</v>
      </c>
      <c r="L46" s="64">
        <v>34.79</v>
      </c>
      <c r="M46" s="64">
        <v>31.08</v>
      </c>
      <c r="N46" s="64">
        <v>619.6</v>
      </c>
      <c r="O46" s="64">
        <v>0</v>
      </c>
      <c r="P46" s="64">
        <v>0.61</v>
      </c>
      <c r="Q46" s="6" t="s">
        <v>42</v>
      </c>
      <c r="R46" s="198"/>
      <c r="S46" s="198"/>
      <c r="T46" s="198"/>
      <c r="U46" s="198"/>
    </row>
    <row r="47" spans="1:21" s="12" customFormat="1" x14ac:dyDescent="0.25">
      <c r="A47" s="216" t="s">
        <v>1628</v>
      </c>
      <c r="B47" s="211" t="s">
        <v>32</v>
      </c>
      <c r="C47" s="211" t="s">
        <v>32</v>
      </c>
      <c r="D47" s="211" t="s">
        <v>32</v>
      </c>
      <c r="E47" s="211" t="s">
        <v>32</v>
      </c>
      <c r="F47" s="211" t="s">
        <v>32</v>
      </c>
      <c r="G47" s="211" t="s">
        <v>32</v>
      </c>
      <c r="H47" s="211" t="s">
        <v>32</v>
      </c>
      <c r="I47" s="211" t="s">
        <v>32</v>
      </c>
      <c r="J47" s="211" t="s">
        <v>32</v>
      </c>
      <c r="K47" s="211" t="s">
        <v>32</v>
      </c>
      <c r="L47" s="211" t="s">
        <v>32</v>
      </c>
      <c r="M47" s="211" t="s">
        <v>32</v>
      </c>
      <c r="N47" s="211" t="s">
        <v>32</v>
      </c>
      <c r="O47" s="211" t="s">
        <v>32</v>
      </c>
      <c r="P47" s="211" t="s">
        <v>32</v>
      </c>
      <c r="Q47" s="211" t="s">
        <v>32</v>
      </c>
      <c r="R47" s="198"/>
      <c r="S47" s="198"/>
      <c r="T47" s="198"/>
      <c r="U47" s="198"/>
    </row>
    <row r="48" spans="1:21" s="12" customFormat="1" x14ac:dyDescent="0.25">
      <c r="A48" s="216" t="s">
        <v>1629</v>
      </c>
      <c r="B48" s="211" t="s">
        <v>32</v>
      </c>
      <c r="C48" s="211" t="s">
        <v>32</v>
      </c>
      <c r="D48" s="211" t="s">
        <v>32</v>
      </c>
      <c r="E48" s="211" t="s">
        <v>32</v>
      </c>
      <c r="F48" s="211" t="s">
        <v>32</v>
      </c>
      <c r="G48" s="211" t="s">
        <v>32</v>
      </c>
      <c r="H48" s="211" t="s">
        <v>32</v>
      </c>
      <c r="I48" s="211" t="s">
        <v>32</v>
      </c>
      <c r="J48" s="211" t="s">
        <v>32</v>
      </c>
      <c r="K48" s="211" t="s">
        <v>32</v>
      </c>
      <c r="L48" s="211" t="s">
        <v>32</v>
      </c>
      <c r="M48" s="211" t="s">
        <v>32</v>
      </c>
      <c r="N48" s="211" t="s">
        <v>32</v>
      </c>
      <c r="O48" s="211" t="s">
        <v>32</v>
      </c>
      <c r="P48" s="211" t="s">
        <v>32</v>
      </c>
      <c r="Q48" s="211" t="s">
        <v>32</v>
      </c>
      <c r="R48" s="198"/>
      <c r="S48" s="198"/>
      <c r="T48" s="198"/>
      <c r="U48" s="198"/>
    </row>
    <row r="49" spans="1:21" s="12" customFormat="1" x14ac:dyDescent="0.25">
      <c r="A49" s="216" t="s">
        <v>1630</v>
      </c>
      <c r="B49" s="211" t="s">
        <v>32</v>
      </c>
      <c r="C49" s="211" t="s">
        <v>32</v>
      </c>
      <c r="D49" s="211" t="s">
        <v>32</v>
      </c>
      <c r="E49" s="211" t="s">
        <v>32</v>
      </c>
      <c r="F49" s="211" t="s">
        <v>32</v>
      </c>
      <c r="G49" s="211" t="s">
        <v>32</v>
      </c>
      <c r="H49" s="211" t="s">
        <v>32</v>
      </c>
      <c r="I49" s="211" t="s">
        <v>32</v>
      </c>
      <c r="J49" s="211" t="s">
        <v>32</v>
      </c>
      <c r="K49" s="211" t="s">
        <v>32</v>
      </c>
      <c r="L49" s="211" t="s">
        <v>32</v>
      </c>
      <c r="M49" s="211" t="s">
        <v>32</v>
      </c>
      <c r="N49" s="211" t="s">
        <v>32</v>
      </c>
      <c r="O49" s="211" t="s">
        <v>32</v>
      </c>
      <c r="P49" s="211" t="s">
        <v>32</v>
      </c>
      <c r="Q49" s="211" t="s">
        <v>32</v>
      </c>
      <c r="R49" s="198"/>
      <c r="S49" s="198"/>
      <c r="T49" s="198"/>
      <c r="U49" s="198"/>
    </row>
    <row r="50" spans="1:21" s="12" customFormat="1" x14ac:dyDescent="0.25">
      <c r="A50" s="216" t="s">
        <v>1631</v>
      </c>
      <c r="B50" s="211" t="s">
        <v>32</v>
      </c>
      <c r="C50" s="211" t="s">
        <v>32</v>
      </c>
      <c r="D50" s="211" t="s">
        <v>32</v>
      </c>
      <c r="E50" s="211" t="s">
        <v>32</v>
      </c>
      <c r="F50" s="211" t="s">
        <v>32</v>
      </c>
      <c r="G50" s="211" t="s">
        <v>32</v>
      </c>
      <c r="H50" s="211" t="s">
        <v>32</v>
      </c>
      <c r="I50" s="211" t="s">
        <v>32</v>
      </c>
      <c r="J50" s="211" t="s">
        <v>32</v>
      </c>
      <c r="K50" s="211" t="s">
        <v>32</v>
      </c>
      <c r="L50" s="211" t="s">
        <v>32</v>
      </c>
      <c r="M50" s="211" t="s">
        <v>32</v>
      </c>
      <c r="N50" s="211" t="s">
        <v>32</v>
      </c>
      <c r="O50" s="211" t="s">
        <v>32</v>
      </c>
      <c r="P50" s="211" t="s">
        <v>32</v>
      </c>
      <c r="Q50" s="211" t="s">
        <v>32</v>
      </c>
      <c r="R50" s="198"/>
      <c r="S50" s="198"/>
      <c r="T50" s="198"/>
      <c r="U50" s="198"/>
    </row>
    <row r="51" spans="1:21" s="12" customFormat="1" x14ac:dyDescent="0.25">
      <c r="A51" s="216" t="s">
        <v>1632</v>
      </c>
      <c r="B51" s="211" t="s">
        <v>32</v>
      </c>
      <c r="C51" s="211" t="s">
        <v>32</v>
      </c>
      <c r="D51" s="211" t="s">
        <v>32</v>
      </c>
      <c r="E51" s="211" t="s">
        <v>32</v>
      </c>
      <c r="F51" s="211" t="s">
        <v>32</v>
      </c>
      <c r="G51" s="211" t="s">
        <v>32</v>
      </c>
      <c r="H51" s="211" t="s">
        <v>32</v>
      </c>
      <c r="I51" s="211" t="s">
        <v>32</v>
      </c>
      <c r="J51" s="211" t="s">
        <v>32</v>
      </c>
      <c r="K51" s="211" t="s">
        <v>32</v>
      </c>
      <c r="L51" s="211" t="s">
        <v>32</v>
      </c>
      <c r="M51" s="211" t="s">
        <v>32</v>
      </c>
      <c r="N51" s="211" t="s">
        <v>32</v>
      </c>
      <c r="O51" s="211" t="s">
        <v>32</v>
      </c>
      <c r="P51" s="211" t="s">
        <v>32</v>
      </c>
      <c r="Q51" s="211" t="s">
        <v>32</v>
      </c>
      <c r="R51" s="198"/>
      <c r="S51" s="198"/>
      <c r="T51" s="198"/>
      <c r="U51" s="198"/>
    </row>
    <row r="52" spans="1:21" s="12" customFormat="1" x14ac:dyDescent="0.25">
      <c r="A52" s="216" t="s">
        <v>1633</v>
      </c>
      <c r="B52" s="211" t="s">
        <v>32</v>
      </c>
      <c r="C52" s="211" t="s">
        <v>32</v>
      </c>
      <c r="D52" s="211" t="s">
        <v>32</v>
      </c>
      <c r="E52" s="211" t="s">
        <v>32</v>
      </c>
      <c r="F52" s="211" t="s">
        <v>32</v>
      </c>
      <c r="G52" s="211" t="s">
        <v>32</v>
      </c>
      <c r="H52" s="211" t="s">
        <v>32</v>
      </c>
      <c r="I52" s="211" t="s">
        <v>32</v>
      </c>
      <c r="J52" s="211" t="s">
        <v>32</v>
      </c>
      <c r="K52" s="211" t="s">
        <v>32</v>
      </c>
      <c r="L52" s="211" t="s">
        <v>32</v>
      </c>
      <c r="M52" s="211" t="s">
        <v>32</v>
      </c>
      <c r="N52" s="211" t="s">
        <v>32</v>
      </c>
      <c r="O52" s="211" t="s">
        <v>32</v>
      </c>
      <c r="P52" s="211" t="s">
        <v>32</v>
      </c>
      <c r="Q52" s="211" t="s">
        <v>32</v>
      </c>
      <c r="R52" s="198"/>
      <c r="S52" s="198"/>
      <c r="T52" s="198"/>
      <c r="U52" s="198"/>
    </row>
    <row r="53" spans="1:21" s="12" customFormat="1" x14ac:dyDescent="0.25">
      <c r="A53" s="216" t="s">
        <v>1634</v>
      </c>
      <c r="B53" s="211" t="s">
        <v>32</v>
      </c>
      <c r="C53" s="211" t="s">
        <v>32</v>
      </c>
      <c r="D53" s="211" t="s">
        <v>32</v>
      </c>
      <c r="E53" s="211" t="s">
        <v>32</v>
      </c>
      <c r="F53" s="211" t="s">
        <v>32</v>
      </c>
      <c r="G53" s="211" t="s">
        <v>32</v>
      </c>
      <c r="H53" s="211" t="s">
        <v>32</v>
      </c>
      <c r="I53" s="211" t="s">
        <v>32</v>
      </c>
      <c r="J53" s="211" t="s">
        <v>32</v>
      </c>
      <c r="K53" s="211" t="s">
        <v>32</v>
      </c>
      <c r="L53" s="211" t="s">
        <v>32</v>
      </c>
      <c r="M53" s="211" t="s">
        <v>32</v>
      </c>
      <c r="N53" s="211" t="s">
        <v>32</v>
      </c>
      <c r="O53" s="211" t="s">
        <v>32</v>
      </c>
      <c r="P53" s="211" t="s">
        <v>32</v>
      </c>
      <c r="Q53" s="211" t="s">
        <v>32</v>
      </c>
      <c r="R53" s="198"/>
      <c r="S53" s="198"/>
      <c r="T53" s="198"/>
      <c r="U53" s="198"/>
    </row>
    <row r="54" spans="1:21" s="12" customFormat="1" x14ac:dyDescent="0.25">
      <c r="A54" s="216" t="s">
        <v>1635</v>
      </c>
      <c r="B54" s="212" t="s">
        <v>49</v>
      </c>
      <c r="C54" s="212" t="s">
        <v>49</v>
      </c>
      <c r="D54" s="212" t="s">
        <v>49</v>
      </c>
      <c r="E54" s="64">
        <v>4.43</v>
      </c>
      <c r="F54" s="64">
        <v>11.36</v>
      </c>
      <c r="G54" s="64">
        <v>35.270000000000003</v>
      </c>
      <c r="H54" s="64">
        <v>31.08</v>
      </c>
      <c r="I54" s="212" t="s">
        <v>49</v>
      </c>
      <c r="J54" s="64">
        <v>0.66</v>
      </c>
      <c r="K54" s="64">
        <v>111.5</v>
      </c>
      <c r="L54" s="64">
        <v>34.83</v>
      </c>
      <c r="M54" s="64">
        <v>30.64</v>
      </c>
      <c r="N54" s="64">
        <v>833.4</v>
      </c>
      <c r="O54" s="64">
        <v>0</v>
      </c>
      <c r="P54" s="64">
        <v>0.51</v>
      </c>
      <c r="Q54" s="7" t="s">
        <v>49</v>
      </c>
      <c r="R54" s="198"/>
      <c r="S54" s="198"/>
      <c r="T54" s="198"/>
      <c r="U54" s="198"/>
    </row>
    <row r="55" spans="1:21" s="12" customFormat="1" x14ac:dyDescent="0.25">
      <c r="A55" s="216" t="s">
        <v>1636</v>
      </c>
      <c r="B55" s="64">
        <v>1.58</v>
      </c>
      <c r="C55" s="64">
        <v>3.73</v>
      </c>
      <c r="D55" s="64">
        <v>5.2</v>
      </c>
      <c r="E55" s="64">
        <v>0.28999999999999998</v>
      </c>
      <c r="F55" s="64">
        <v>7.99</v>
      </c>
      <c r="G55" s="64">
        <v>30.32</v>
      </c>
      <c r="H55" s="64">
        <v>32.049999999999997</v>
      </c>
      <c r="I55" s="212" t="s">
        <v>49</v>
      </c>
      <c r="J55" s="64">
        <v>0.41</v>
      </c>
      <c r="K55" s="64">
        <v>100.24</v>
      </c>
      <c r="L55" s="64">
        <v>34.979999999999997</v>
      </c>
      <c r="M55" s="64">
        <v>30.61</v>
      </c>
      <c r="N55" s="64">
        <v>829.4</v>
      </c>
      <c r="O55" s="64">
        <v>0</v>
      </c>
      <c r="P55" s="64">
        <v>0.5</v>
      </c>
      <c r="Q55" s="7" t="s">
        <v>49</v>
      </c>
      <c r="R55" s="198"/>
      <c r="S55" s="198"/>
      <c r="T55" s="198"/>
      <c r="U55" s="198"/>
    </row>
    <row r="56" spans="1:21" s="12" customFormat="1" x14ac:dyDescent="0.25">
      <c r="A56" s="216" t="s">
        <v>1637</v>
      </c>
      <c r="B56" s="64">
        <v>1.57</v>
      </c>
      <c r="C56" s="64">
        <v>7.82</v>
      </c>
      <c r="D56" s="64">
        <v>9.2899999999999991</v>
      </c>
      <c r="E56" s="64">
        <v>0.22</v>
      </c>
      <c r="F56" s="64">
        <v>5.62</v>
      </c>
      <c r="G56" s="64">
        <v>167.55</v>
      </c>
      <c r="H56" s="64">
        <v>36.71</v>
      </c>
      <c r="I56" s="64">
        <v>9.61</v>
      </c>
      <c r="J56" s="64">
        <v>0.71</v>
      </c>
      <c r="K56" s="64">
        <v>116.19</v>
      </c>
      <c r="L56" s="64">
        <v>33.78</v>
      </c>
      <c r="M56" s="64">
        <v>31.48</v>
      </c>
      <c r="N56" s="64">
        <v>686.3</v>
      </c>
      <c r="O56" s="64">
        <v>0</v>
      </c>
      <c r="P56" s="64">
        <v>0.45</v>
      </c>
      <c r="Q56" s="64">
        <v>9.9600000000000009</v>
      </c>
      <c r="R56" s="198"/>
      <c r="S56" s="198"/>
      <c r="T56" s="198"/>
      <c r="U56" s="198"/>
    </row>
    <row r="57" spans="1:21" s="12" customFormat="1" x14ac:dyDescent="0.25">
      <c r="A57" s="216" t="s">
        <v>1638</v>
      </c>
      <c r="B57" s="64">
        <v>1.46</v>
      </c>
      <c r="C57" s="64">
        <v>8.59</v>
      </c>
      <c r="D57" s="64">
        <v>9.94</v>
      </c>
      <c r="E57" s="214" t="s">
        <v>42</v>
      </c>
      <c r="F57" s="64">
        <v>5.82</v>
      </c>
      <c r="G57" s="64">
        <v>214.66</v>
      </c>
      <c r="H57" s="64">
        <v>38.299999999999997</v>
      </c>
      <c r="I57" s="64">
        <v>10.31</v>
      </c>
      <c r="J57" s="64">
        <v>1.54</v>
      </c>
      <c r="K57" s="64">
        <v>106.44</v>
      </c>
      <c r="L57" s="64">
        <v>32.99</v>
      </c>
      <c r="M57" s="64">
        <v>32.54</v>
      </c>
      <c r="N57" s="64">
        <v>846.3</v>
      </c>
      <c r="O57" s="64">
        <v>0</v>
      </c>
      <c r="P57" s="64">
        <v>0.42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6" t="s">
        <v>1639</v>
      </c>
      <c r="B58" s="64">
        <v>1.38</v>
      </c>
      <c r="C58" s="64">
        <v>8.15</v>
      </c>
      <c r="D58" s="64">
        <v>9.42</v>
      </c>
      <c r="E58" s="214" t="s">
        <v>42</v>
      </c>
      <c r="F58" s="64">
        <v>6.25</v>
      </c>
      <c r="G58" s="64">
        <v>214.66</v>
      </c>
      <c r="H58" s="64">
        <v>38.299999999999997</v>
      </c>
      <c r="I58" s="64">
        <v>11.16</v>
      </c>
      <c r="J58" s="64">
        <v>0.41</v>
      </c>
      <c r="K58" s="64">
        <v>107.02</v>
      </c>
      <c r="L58" s="64">
        <v>33.93</v>
      </c>
      <c r="M58" s="64">
        <v>31.02</v>
      </c>
      <c r="N58" s="64">
        <v>784.7</v>
      </c>
      <c r="O58" s="64">
        <v>0</v>
      </c>
      <c r="P58" s="64">
        <v>0.4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6" t="s">
        <v>1640</v>
      </c>
      <c r="B59" s="64">
        <v>1.32</v>
      </c>
      <c r="C59" s="64">
        <v>8.06</v>
      </c>
      <c r="D59" s="64">
        <v>9.2899999999999991</v>
      </c>
      <c r="E59" s="214" t="s">
        <v>42</v>
      </c>
      <c r="F59" s="64">
        <v>6.32</v>
      </c>
      <c r="G59" s="64">
        <v>214.66</v>
      </c>
      <c r="H59" s="64">
        <v>38.299999999999997</v>
      </c>
      <c r="I59" s="64">
        <v>12.57</v>
      </c>
      <c r="J59" s="64">
        <v>0.49</v>
      </c>
      <c r="K59" s="64">
        <v>353.35</v>
      </c>
      <c r="L59" s="64">
        <v>36.64</v>
      </c>
      <c r="M59" s="64">
        <v>27.17</v>
      </c>
      <c r="N59" s="64">
        <v>747</v>
      </c>
      <c r="O59" s="64">
        <v>0</v>
      </c>
      <c r="P59" s="64">
        <v>0.4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6" t="s">
        <v>1641</v>
      </c>
      <c r="B60" s="64">
        <v>1.32</v>
      </c>
      <c r="C60" s="64">
        <v>8.5399999999999991</v>
      </c>
      <c r="D60" s="64">
        <v>9.76</v>
      </c>
      <c r="E60" s="214" t="s">
        <v>42</v>
      </c>
      <c r="F60" s="64">
        <v>6.46</v>
      </c>
      <c r="G60" s="64">
        <v>107.1</v>
      </c>
      <c r="H60" s="64">
        <v>35.11</v>
      </c>
      <c r="I60" s="64">
        <v>13.28</v>
      </c>
      <c r="J60" s="64">
        <v>0.18</v>
      </c>
      <c r="K60" s="64">
        <v>323.02</v>
      </c>
      <c r="L60" s="64">
        <v>37.54</v>
      </c>
      <c r="M60" s="64">
        <v>26.07</v>
      </c>
      <c r="N60" s="64">
        <v>729.5</v>
      </c>
      <c r="O60" s="64">
        <v>0</v>
      </c>
      <c r="P60" s="64">
        <v>0.41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16" t="s">
        <v>1642</v>
      </c>
      <c r="B61" s="64">
        <v>1.28</v>
      </c>
      <c r="C61" s="64">
        <v>8.76</v>
      </c>
      <c r="D61" s="64">
        <v>9.93</v>
      </c>
      <c r="E61" s="214" t="s">
        <v>42</v>
      </c>
      <c r="F61" s="64">
        <v>6.76</v>
      </c>
      <c r="G61" s="64">
        <v>70.17</v>
      </c>
      <c r="H61" s="64">
        <v>34.020000000000003</v>
      </c>
      <c r="I61" s="64">
        <v>13.49</v>
      </c>
      <c r="J61" s="64">
        <v>0.52</v>
      </c>
      <c r="K61" s="64">
        <v>123.61</v>
      </c>
      <c r="L61" s="64">
        <v>35.14</v>
      </c>
      <c r="M61" s="64">
        <v>29</v>
      </c>
      <c r="N61" s="64">
        <v>719.1</v>
      </c>
      <c r="O61" s="64">
        <v>0</v>
      </c>
      <c r="P61" s="64">
        <v>0.7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6" t="s">
        <v>1643</v>
      </c>
      <c r="B62" s="64">
        <v>1.26</v>
      </c>
      <c r="C62" s="64">
        <v>8.7100000000000009</v>
      </c>
      <c r="D62" s="64">
        <v>9.8699999999999992</v>
      </c>
      <c r="E62" s="214" t="s">
        <v>42</v>
      </c>
      <c r="F62" s="64">
        <v>7.11</v>
      </c>
      <c r="G62" s="64">
        <v>70.17</v>
      </c>
      <c r="H62" s="64">
        <v>34.020000000000003</v>
      </c>
      <c r="I62" s="64">
        <v>13.55</v>
      </c>
      <c r="J62" s="64">
        <v>0.59</v>
      </c>
      <c r="K62" s="64">
        <v>336.95</v>
      </c>
      <c r="L62" s="64">
        <v>37.54</v>
      </c>
      <c r="M62" s="64">
        <v>25.82</v>
      </c>
      <c r="N62" s="64">
        <v>690.5</v>
      </c>
      <c r="O62" s="64">
        <v>0</v>
      </c>
      <c r="P62" s="64">
        <v>0.75</v>
      </c>
      <c r="Q62" s="64">
        <v>9.4600000000000009</v>
      </c>
      <c r="R62" s="198"/>
      <c r="S62" s="198"/>
      <c r="T62" s="198"/>
      <c r="U62" s="198"/>
    </row>
    <row r="63" spans="1:21" s="12" customFormat="1" x14ac:dyDescent="0.25">
      <c r="A63" s="216" t="s">
        <v>1644</v>
      </c>
      <c r="B63" s="64">
        <v>1.22</v>
      </c>
      <c r="C63" s="64">
        <v>8.26</v>
      </c>
      <c r="D63" s="64">
        <v>9.3800000000000008</v>
      </c>
      <c r="E63" s="214" t="s">
        <v>42</v>
      </c>
      <c r="F63" s="64">
        <v>7.86</v>
      </c>
      <c r="G63" s="64">
        <v>70.17</v>
      </c>
      <c r="H63" s="64">
        <v>34.020000000000003</v>
      </c>
      <c r="I63" s="64">
        <v>13.43</v>
      </c>
      <c r="J63" s="64">
        <v>0.59</v>
      </c>
      <c r="K63" s="64">
        <v>335.85</v>
      </c>
      <c r="L63" s="64">
        <v>38.229999999999997</v>
      </c>
      <c r="M63" s="64">
        <v>24.73</v>
      </c>
      <c r="N63" s="64">
        <v>645.79999999999995</v>
      </c>
      <c r="O63" s="64">
        <v>0</v>
      </c>
      <c r="P63" s="64">
        <v>0.76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6" t="s">
        <v>1645</v>
      </c>
      <c r="B64" s="64">
        <v>1.23</v>
      </c>
      <c r="C64" s="64">
        <v>8.41</v>
      </c>
      <c r="D64" s="64">
        <v>9.5399999999999991</v>
      </c>
      <c r="E64" s="214" t="s">
        <v>42</v>
      </c>
      <c r="F64" s="64">
        <v>8.1</v>
      </c>
      <c r="G64" s="64">
        <v>75.510000000000005</v>
      </c>
      <c r="H64" s="64">
        <v>35.159999999999997</v>
      </c>
      <c r="I64" s="64">
        <v>13.19</v>
      </c>
      <c r="J64" s="64">
        <v>0.63</v>
      </c>
      <c r="K64" s="64">
        <v>342.3</v>
      </c>
      <c r="L64" s="64">
        <v>38.42</v>
      </c>
      <c r="M64" s="64">
        <v>24.26</v>
      </c>
      <c r="N64" s="64">
        <v>610.79999999999995</v>
      </c>
      <c r="O64" s="64">
        <v>0</v>
      </c>
      <c r="P64" s="64">
        <v>0.76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6" t="s">
        <v>1646</v>
      </c>
      <c r="B65" s="64">
        <v>1.25</v>
      </c>
      <c r="C65" s="64">
        <v>9.2799999999999994</v>
      </c>
      <c r="D65" s="64">
        <v>10.43</v>
      </c>
      <c r="E65" s="214" t="s">
        <v>42</v>
      </c>
      <c r="F65" s="64">
        <v>7.39</v>
      </c>
      <c r="G65" s="64">
        <v>77.34</v>
      </c>
      <c r="H65" s="64">
        <v>35.549999999999997</v>
      </c>
      <c r="I65" s="64">
        <v>12.85</v>
      </c>
      <c r="J65" s="64">
        <v>0.35</v>
      </c>
      <c r="K65" s="64">
        <v>341.86</v>
      </c>
      <c r="L65" s="64">
        <v>37.72</v>
      </c>
      <c r="M65" s="64">
        <v>25.37</v>
      </c>
      <c r="N65" s="64">
        <v>529.29999999999995</v>
      </c>
      <c r="O65" s="64">
        <v>0</v>
      </c>
      <c r="P65" s="64">
        <v>0.76</v>
      </c>
      <c r="Q65" s="64">
        <v>9.43</v>
      </c>
      <c r="R65" s="198"/>
      <c r="S65" s="198"/>
      <c r="T65" s="198"/>
      <c r="U65" s="198"/>
    </row>
    <row r="66" spans="1:21" s="12" customFormat="1" x14ac:dyDescent="0.25">
      <c r="A66" s="216" t="s">
        <v>1647</v>
      </c>
      <c r="B66" s="64">
        <v>1.27</v>
      </c>
      <c r="C66" s="64">
        <v>8.58</v>
      </c>
      <c r="D66" s="64">
        <v>9.75</v>
      </c>
      <c r="E66" s="214" t="s">
        <v>42</v>
      </c>
      <c r="F66" s="64">
        <v>7.8</v>
      </c>
      <c r="G66" s="64">
        <v>77.34</v>
      </c>
      <c r="H66" s="64">
        <v>35.549999999999997</v>
      </c>
      <c r="I66" s="64">
        <v>12.75</v>
      </c>
      <c r="J66" s="64">
        <v>0.17</v>
      </c>
      <c r="K66" s="64">
        <v>312.61</v>
      </c>
      <c r="L66" s="64">
        <v>36.25</v>
      </c>
      <c r="M66" s="64">
        <v>29.66</v>
      </c>
      <c r="N66" s="64">
        <v>412.6</v>
      </c>
      <c r="O66" s="64">
        <v>0</v>
      </c>
      <c r="P66" s="64">
        <v>0.76</v>
      </c>
      <c r="Q66" s="64">
        <v>9.5</v>
      </c>
      <c r="R66" s="198"/>
      <c r="S66" s="198"/>
      <c r="T66" s="198"/>
      <c r="U66" s="198"/>
    </row>
    <row r="67" spans="1:21" s="12" customFormat="1" x14ac:dyDescent="0.25">
      <c r="A67" s="216" t="s">
        <v>1648</v>
      </c>
      <c r="B67" s="64">
        <v>1.28</v>
      </c>
      <c r="C67" s="64">
        <v>8.5299999999999994</v>
      </c>
      <c r="D67" s="64">
        <v>9.7200000000000006</v>
      </c>
      <c r="E67" s="214" t="s">
        <v>42</v>
      </c>
      <c r="F67" s="64">
        <v>7.63</v>
      </c>
      <c r="G67" s="64">
        <v>77.34</v>
      </c>
      <c r="H67" s="64">
        <v>35.549999999999997</v>
      </c>
      <c r="I67" s="64">
        <v>12.92</v>
      </c>
      <c r="J67" s="64">
        <v>0.14000000000000001</v>
      </c>
      <c r="K67" s="64">
        <v>157.36000000000001</v>
      </c>
      <c r="L67" s="64">
        <v>35.15</v>
      </c>
      <c r="M67" s="64">
        <v>28.36</v>
      </c>
      <c r="N67" s="64">
        <v>355.4</v>
      </c>
      <c r="O67" s="64">
        <v>0</v>
      </c>
      <c r="P67" s="64">
        <v>0.75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6" t="s">
        <v>1649</v>
      </c>
      <c r="B68" s="64">
        <v>1.3</v>
      </c>
      <c r="C68" s="64">
        <v>8.4600000000000009</v>
      </c>
      <c r="D68" s="64">
        <v>9.65</v>
      </c>
      <c r="E68" s="214" t="s">
        <v>42</v>
      </c>
      <c r="F68" s="64">
        <v>7.55</v>
      </c>
      <c r="G68" s="64">
        <v>72.040000000000006</v>
      </c>
      <c r="H68" s="64">
        <v>36.020000000000003</v>
      </c>
      <c r="I68" s="64">
        <v>13.08</v>
      </c>
      <c r="J68" s="64">
        <v>0.28999999999999998</v>
      </c>
      <c r="K68" s="64">
        <v>336.91</v>
      </c>
      <c r="L68" s="64">
        <v>35.590000000000003</v>
      </c>
      <c r="M68" s="64">
        <v>27.97</v>
      </c>
      <c r="N68" s="64">
        <v>305.60000000000002</v>
      </c>
      <c r="O68" s="64">
        <v>0</v>
      </c>
      <c r="P68" s="64">
        <v>0.75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6" t="s">
        <v>1650</v>
      </c>
      <c r="B69" s="64">
        <v>1.33</v>
      </c>
      <c r="C69" s="64">
        <v>8.5500000000000007</v>
      </c>
      <c r="D69" s="64">
        <v>9.7799999999999994</v>
      </c>
      <c r="E69" s="214" t="s">
        <v>42</v>
      </c>
      <c r="F69" s="64">
        <v>6.91</v>
      </c>
      <c r="G69" s="64">
        <v>70.22</v>
      </c>
      <c r="H69" s="64">
        <v>36.19</v>
      </c>
      <c r="I69" s="64">
        <v>13.17</v>
      </c>
      <c r="J69" s="64">
        <v>0.24</v>
      </c>
      <c r="K69" s="64">
        <v>336.83</v>
      </c>
      <c r="L69" s="64">
        <v>35.99</v>
      </c>
      <c r="M69" s="64">
        <v>27.25</v>
      </c>
      <c r="N69" s="64">
        <v>258.7</v>
      </c>
      <c r="O69" s="64">
        <v>0</v>
      </c>
      <c r="P69" s="64">
        <v>0.74</v>
      </c>
      <c r="Q69" s="64">
        <v>9.67</v>
      </c>
      <c r="R69" s="198"/>
      <c r="S69" s="198"/>
      <c r="T69" s="198"/>
      <c r="U69" s="198"/>
    </row>
    <row r="70" spans="1:21" s="12" customFormat="1" x14ac:dyDescent="0.25">
      <c r="A70" s="216" t="s">
        <v>1651</v>
      </c>
      <c r="B70" s="64">
        <v>1.33</v>
      </c>
      <c r="C70" s="64">
        <v>8.65</v>
      </c>
      <c r="D70" s="64">
        <v>9.8800000000000008</v>
      </c>
      <c r="E70" s="214" t="s">
        <v>42</v>
      </c>
      <c r="F70" s="64">
        <v>7.26</v>
      </c>
      <c r="G70" s="64">
        <v>70.22</v>
      </c>
      <c r="H70" s="64">
        <v>36.19</v>
      </c>
      <c r="I70" s="64">
        <v>13.3</v>
      </c>
      <c r="J70" s="64">
        <v>0.25</v>
      </c>
      <c r="K70" s="64">
        <v>157.97</v>
      </c>
      <c r="L70" s="64">
        <v>35.17</v>
      </c>
      <c r="M70" s="64">
        <v>27.53</v>
      </c>
      <c r="N70" s="64">
        <v>285.2</v>
      </c>
      <c r="O70" s="64">
        <v>0</v>
      </c>
      <c r="P70" s="64">
        <v>0.74</v>
      </c>
      <c r="Q70" s="64">
        <v>9.69</v>
      </c>
      <c r="R70" s="198"/>
      <c r="S70" s="198"/>
      <c r="T70" s="198"/>
      <c r="U70" s="198"/>
    </row>
    <row r="71" spans="1:21" s="12" customFormat="1" x14ac:dyDescent="0.25">
      <c r="A71" s="216" t="s">
        <v>1652</v>
      </c>
      <c r="B71" s="64">
        <v>1.29</v>
      </c>
      <c r="C71" s="64">
        <v>8.42</v>
      </c>
      <c r="D71" s="64">
        <v>9.6199999999999992</v>
      </c>
      <c r="E71" s="214" t="s">
        <v>42</v>
      </c>
      <c r="F71" s="64">
        <v>8.19</v>
      </c>
      <c r="G71" s="64">
        <v>70.22</v>
      </c>
      <c r="H71" s="64">
        <v>36.19</v>
      </c>
      <c r="I71" s="64">
        <v>13.45</v>
      </c>
      <c r="J71" s="64">
        <v>1.24</v>
      </c>
      <c r="K71" s="64">
        <v>137.81</v>
      </c>
      <c r="L71" s="64">
        <v>34.270000000000003</v>
      </c>
      <c r="M71" s="64">
        <v>28.23</v>
      </c>
      <c r="N71" s="64">
        <v>200.1</v>
      </c>
      <c r="O71" s="64">
        <v>0</v>
      </c>
      <c r="P71" s="64">
        <v>0.73</v>
      </c>
      <c r="Q71" s="64">
        <v>9.7200000000000006</v>
      </c>
      <c r="R71" s="198"/>
      <c r="S71" s="198"/>
      <c r="T71" s="198"/>
      <c r="U71" s="198"/>
    </row>
    <row r="72" spans="1:21" s="12" customFormat="1" x14ac:dyDescent="0.25">
      <c r="A72" s="216" t="s">
        <v>1653</v>
      </c>
      <c r="B72" s="64">
        <v>1.3</v>
      </c>
      <c r="C72" s="64">
        <v>8.32</v>
      </c>
      <c r="D72" s="64">
        <v>9.52</v>
      </c>
      <c r="E72" s="64">
        <v>1.3</v>
      </c>
      <c r="F72" s="64">
        <v>7.64</v>
      </c>
      <c r="G72" s="64">
        <v>78.84</v>
      </c>
      <c r="H72" s="64">
        <v>34.619999999999997</v>
      </c>
      <c r="I72" s="64">
        <v>13.36</v>
      </c>
      <c r="J72" s="64">
        <v>0.16</v>
      </c>
      <c r="K72" s="64">
        <v>186.04</v>
      </c>
      <c r="L72" s="64">
        <v>34.549999999999997</v>
      </c>
      <c r="M72" s="64">
        <v>28.73</v>
      </c>
      <c r="N72" s="64">
        <v>178.9</v>
      </c>
      <c r="O72" s="64">
        <v>0</v>
      </c>
      <c r="P72" s="64">
        <v>0.72</v>
      </c>
      <c r="Q72" s="64">
        <v>9.7200000000000006</v>
      </c>
      <c r="R72" s="198"/>
      <c r="S72" s="198"/>
      <c r="T72" s="198"/>
      <c r="U72" s="198"/>
    </row>
    <row r="73" spans="1:21" s="12" customFormat="1" x14ac:dyDescent="0.25">
      <c r="A73" s="216" t="s">
        <v>1654</v>
      </c>
      <c r="B73" s="64">
        <v>1.3</v>
      </c>
      <c r="C73" s="64">
        <v>8.7799999999999994</v>
      </c>
      <c r="D73" s="64">
        <v>9.98</v>
      </c>
      <c r="E73" s="64">
        <v>2.0099999999999998</v>
      </c>
      <c r="F73" s="64">
        <v>8.0299999999999994</v>
      </c>
      <c r="G73" s="64">
        <v>81.8</v>
      </c>
      <c r="H73" s="64">
        <v>34.08</v>
      </c>
      <c r="I73" s="64">
        <v>13.45</v>
      </c>
      <c r="J73" s="64">
        <v>0.56999999999999995</v>
      </c>
      <c r="K73" s="64">
        <v>149.81</v>
      </c>
      <c r="L73" s="64">
        <v>34.42</v>
      </c>
      <c r="M73" s="64">
        <v>28.56</v>
      </c>
      <c r="N73" s="64">
        <v>168</v>
      </c>
      <c r="O73" s="64">
        <v>0</v>
      </c>
      <c r="P73" s="64">
        <v>0.71</v>
      </c>
      <c r="Q73" s="64">
        <v>9.67</v>
      </c>
      <c r="R73" s="198"/>
      <c r="S73" s="198"/>
      <c r="T73" s="198"/>
      <c r="U73" s="198"/>
    </row>
    <row r="74" spans="1:21" s="12" customFormat="1" x14ac:dyDescent="0.25">
      <c r="A74" s="216" t="s">
        <v>1655</v>
      </c>
      <c r="B74" s="64">
        <v>1.28</v>
      </c>
      <c r="C74" s="64">
        <v>8.93</v>
      </c>
      <c r="D74" s="64">
        <v>10.11</v>
      </c>
      <c r="E74" s="64">
        <v>1.8</v>
      </c>
      <c r="F74" s="64">
        <v>7.93</v>
      </c>
      <c r="G74" s="64">
        <v>81.8</v>
      </c>
      <c r="H74" s="64">
        <v>34.08</v>
      </c>
      <c r="I74" s="64">
        <v>13.5</v>
      </c>
      <c r="J74" s="64">
        <v>0.22</v>
      </c>
      <c r="K74" s="64">
        <v>164.62</v>
      </c>
      <c r="L74" s="64">
        <v>34.380000000000003</v>
      </c>
      <c r="M74" s="64">
        <v>29</v>
      </c>
      <c r="N74" s="64">
        <v>148.6</v>
      </c>
      <c r="O74" s="64">
        <v>0</v>
      </c>
      <c r="P74" s="64">
        <v>0.69</v>
      </c>
      <c r="Q74" s="64">
        <v>9.68</v>
      </c>
      <c r="R74" s="198"/>
      <c r="S74" s="198"/>
      <c r="T74" s="198"/>
      <c r="U74" s="198"/>
    </row>
    <row r="75" spans="1:21" s="12" customFormat="1" x14ac:dyDescent="0.25">
      <c r="A75" s="216" t="s">
        <v>1656</v>
      </c>
      <c r="B75" s="64">
        <v>1.3</v>
      </c>
      <c r="C75" s="64">
        <v>9.01</v>
      </c>
      <c r="D75" s="64">
        <v>10.220000000000001</v>
      </c>
      <c r="E75" s="64">
        <v>1.67</v>
      </c>
      <c r="F75" s="64">
        <v>7.99</v>
      </c>
      <c r="G75" s="64">
        <v>81.8</v>
      </c>
      <c r="H75" s="64">
        <v>34.08</v>
      </c>
      <c r="I75" s="64">
        <v>13.22</v>
      </c>
      <c r="J75" s="64">
        <v>0.6</v>
      </c>
      <c r="K75" s="64">
        <v>159.16999999999999</v>
      </c>
      <c r="L75" s="64">
        <v>34.270000000000003</v>
      </c>
      <c r="M75" s="64">
        <v>28.58</v>
      </c>
      <c r="N75" s="64">
        <v>126.6</v>
      </c>
      <c r="O75" s="64">
        <v>0</v>
      </c>
      <c r="P75" s="64">
        <v>0.68</v>
      </c>
      <c r="Q75" s="64">
        <v>9.67</v>
      </c>
      <c r="R75" s="198"/>
      <c r="S75" s="198"/>
      <c r="T75" s="198"/>
      <c r="U75" s="198"/>
    </row>
    <row r="76" spans="1:21" s="12" customFormat="1" x14ac:dyDescent="0.25">
      <c r="A76" s="216" t="s">
        <v>1657</v>
      </c>
      <c r="B76" s="64">
        <v>1.33</v>
      </c>
      <c r="C76" s="64">
        <v>8.7899999999999991</v>
      </c>
      <c r="D76" s="64">
        <v>10.02</v>
      </c>
      <c r="E76" s="64">
        <v>1.65</v>
      </c>
      <c r="F76" s="64">
        <v>8.02</v>
      </c>
      <c r="G76" s="64">
        <v>72.41</v>
      </c>
      <c r="H76" s="64">
        <v>34.25</v>
      </c>
      <c r="I76" s="64">
        <v>12.56</v>
      </c>
      <c r="J76" s="64">
        <v>0.44</v>
      </c>
      <c r="K76" s="64">
        <v>165.63</v>
      </c>
      <c r="L76" s="64">
        <v>33.99</v>
      </c>
      <c r="M76" s="64">
        <v>29.38</v>
      </c>
      <c r="N76" s="64">
        <v>98.8</v>
      </c>
      <c r="O76" s="64">
        <v>0</v>
      </c>
      <c r="P76" s="64">
        <v>0.66</v>
      </c>
      <c r="Q76" s="64">
        <v>9.65</v>
      </c>
      <c r="R76" s="198"/>
      <c r="S76" s="198"/>
      <c r="T76" s="198"/>
      <c r="U76" s="198"/>
    </row>
    <row r="77" spans="1:21" s="12" customFormat="1" x14ac:dyDescent="0.25">
      <c r="A77" s="216" t="s">
        <v>1658</v>
      </c>
      <c r="B77" s="64">
        <v>1.32</v>
      </c>
      <c r="C77" s="64">
        <v>8.7200000000000006</v>
      </c>
      <c r="D77" s="64">
        <v>9.94</v>
      </c>
      <c r="E77" s="64">
        <v>1.59</v>
      </c>
      <c r="F77" s="64">
        <v>7.94</v>
      </c>
      <c r="G77" s="64">
        <v>69.180000000000007</v>
      </c>
      <c r="H77" s="64">
        <v>34.299999999999997</v>
      </c>
      <c r="I77" s="64">
        <v>12.28</v>
      </c>
      <c r="J77" s="64">
        <v>0.39</v>
      </c>
      <c r="K77" s="64">
        <v>155.76</v>
      </c>
      <c r="L77" s="64">
        <v>33.479999999999997</v>
      </c>
      <c r="M77" s="64">
        <v>31.35</v>
      </c>
      <c r="N77" s="64">
        <v>108.6</v>
      </c>
      <c r="O77" s="64">
        <v>0</v>
      </c>
      <c r="P77" s="64">
        <v>0.65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6" t="s">
        <v>1659</v>
      </c>
      <c r="B78" s="64">
        <v>1.32</v>
      </c>
      <c r="C78" s="64">
        <v>8.8000000000000007</v>
      </c>
      <c r="D78" s="64">
        <v>10.02</v>
      </c>
      <c r="E78" s="64">
        <v>1.48</v>
      </c>
      <c r="F78" s="64">
        <v>6.33</v>
      </c>
      <c r="G78" s="64">
        <v>69.180000000000007</v>
      </c>
      <c r="H78" s="64">
        <v>34.299999999999997</v>
      </c>
      <c r="I78" s="64">
        <v>11.95</v>
      </c>
      <c r="J78" s="64">
        <v>0.99</v>
      </c>
      <c r="K78" s="64">
        <v>152.19</v>
      </c>
      <c r="L78" s="64">
        <v>33.47</v>
      </c>
      <c r="M78" s="64">
        <v>29.93</v>
      </c>
      <c r="N78" s="64">
        <v>102.3</v>
      </c>
      <c r="O78" s="64">
        <v>0</v>
      </c>
      <c r="P78" s="64">
        <v>0.63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6" t="s">
        <v>1660</v>
      </c>
      <c r="B79" s="64">
        <v>1.37</v>
      </c>
      <c r="C79" s="64">
        <v>9.2200000000000006</v>
      </c>
      <c r="D79" s="64">
        <v>10.49</v>
      </c>
      <c r="E79" s="64">
        <v>1.42</v>
      </c>
      <c r="F79" s="64">
        <v>6.04</v>
      </c>
      <c r="G79" s="64">
        <v>69.180000000000007</v>
      </c>
      <c r="H79" s="64">
        <v>34.299999999999997</v>
      </c>
      <c r="I79" s="64">
        <v>11.61</v>
      </c>
      <c r="J79" s="64">
        <v>0.56000000000000005</v>
      </c>
      <c r="K79" s="64">
        <v>354.55</v>
      </c>
      <c r="L79" s="64">
        <v>32.549999999999997</v>
      </c>
      <c r="M79" s="64">
        <v>35.200000000000003</v>
      </c>
      <c r="N79" s="64">
        <v>73.5</v>
      </c>
      <c r="O79" s="64">
        <v>0</v>
      </c>
      <c r="P79" s="64">
        <v>0.61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6" t="s">
        <v>1661</v>
      </c>
      <c r="B80" s="64">
        <v>1.47</v>
      </c>
      <c r="C80" s="64">
        <v>9.74</v>
      </c>
      <c r="D80" s="64">
        <v>11.1</v>
      </c>
      <c r="E80" s="64">
        <v>1.34</v>
      </c>
      <c r="F80" s="64">
        <v>5.87</v>
      </c>
      <c r="G80" s="64">
        <v>68.349999999999994</v>
      </c>
      <c r="H80" s="64">
        <v>31.59</v>
      </c>
      <c r="I80" s="64">
        <v>11.14</v>
      </c>
      <c r="J80" s="64">
        <v>0.28000000000000003</v>
      </c>
      <c r="K80" s="64">
        <v>2.36</v>
      </c>
      <c r="L80" s="64">
        <v>30.8</v>
      </c>
      <c r="M80" s="64">
        <v>40.799999999999997</v>
      </c>
      <c r="N80" s="64">
        <v>50.8</v>
      </c>
      <c r="O80" s="64">
        <v>0</v>
      </c>
      <c r="P80" s="64">
        <v>0.61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6" t="s">
        <v>1662</v>
      </c>
      <c r="B81" s="64">
        <v>1.46</v>
      </c>
      <c r="C81" s="64">
        <v>10.09</v>
      </c>
      <c r="D81" s="64">
        <v>11.45</v>
      </c>
      <c r="E81" s="64">
        <v>1.43</v>
      </c>
      <c r="F81" s="64">
        <v>5.62</v>
      </c>
      <c r="G81" s="64">
        <v>68.06</v>
      </c>
      <c r="H81" s="64">
        <v>30.65</v>
      </c>
      <c r="I81" s="64">
        <v>10.84</v>
      </c>
      <c r="J81" s="64">
        <v>0.17</v>
      </c>
      <c r="K81" s="64">
        <v>38.72</v>
      </c>
      <c r="L81" s="64">
        <v>30.46</v>
      </c>
      <c r="M81" s="64">
        <v>41.51</v>
      </c>
      <c r="N81" s="64">
        <v>42.1</v>
      </c>
      <c r="O81" s="64">
        <v>0</v>
      </c>
      <c r="P81" s="64">
        <v>0.61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6" t="s">
        <v>1663</v>
      </c>
      <c r="B82" s="64">
        <v>1.49</v>
      </c>
      <c r="C82" s="64">
        <v>10.44</v>
      </c>
      <c r="D82" s="64">
        <v>11.84</v>
      </c>
      <c r="E82" s="64">
        <v>1.36</v>
      </c>
      <c r="F82" s="64">
        <v>5.17</v>
      </c>
      <c r="G82" s="64">
        <v>68.06</v>
      </c>
      <c r="H82" s="64">
        <v>30.65</v>
      </c>
      <c r="I82" s="64">
        <v>11.02</v>
      </c>
      <c r="J82" s="64">
        <v>0.25</v>
      </c>
      <c r="K82" s="64">
        <v>11.24</v>
      </c>
      <c r="L82" s="64">
        <v>30.36</v>
      </c>
      <c r="M82" s="64">
        <v>42.93</v>
      </c>
      <c r="N82" s="64">
        <v>38.700000000000003</v>
      </c>
      <c r="O82" s="64">
        <v>0</v>
      </c>
      <c r="P82" s="64">
        <v>0.62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6" t="s">
        <v>1664</v>
      </c>
      <c r="B83" s="64">
        <v>1.54</v>
      </c>
      <c r="C83" s="64">
        <v>11.73</v>
      </c>
      <c r="D83" s="64">
        <v>13.17</v>
      </c>
      <c r="E83" s="64">
        <v>1.63</v>
      </c>
      <c r="F83" s="64">
        <v>4.46</v>
      </c>
      <c r="G83" s="64">
        <v>68.06</v>
      </c>
      <c r="H83" s="64">
        <v>30.65</v>
      </c>
      <c r="I83" s="64">
        <v>10.68</v>
      </c>
      <c r="J83" s="64">
        <v>0.33</v>
      </c>
      <c r="K83" s="64">
        <v>72.88</v>
      </c>
      <c r="L83" s="64">
        <v>30.41</v>
      </c>
      <c r="M83" s="64">
        <v>39.83</v>
      </c>
      <c r="N83" s="64">
        <v>37.799999999999997</v>
      </c>
      <c r="O83" s="64">
        <v>0</v>
      </c>
      <c r="P83" s="64">
        <v>0.67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16" t="s">
        <v>1665</v>
      </c>
      <c r="B84" s="64">
        <v>1.57</v>
      </c>
      <c r="C84" s="64">
        <v>11.34</v>
      </c>
      <c r="D84" s="64">
        <v>12.81</v>
      </c>
      <c r="E84" s="64">
        <v>1.23</v>
      </c>
      <c r="F84" s="64">
        <v>4.75</v>
      </c>
      <c r="G84" s="64">
        <v>90.99</v>
      </c>
      <c r="H84" s="64">
        <v>32.880000000000003</v>
      </c>
      <c r="I84" s="64">
        <v>10.119999999999999</v>
      </c>
      <c r="J84" s="64">
        <v>0.84</v>
      </c>
      <c r="K84" s="64">
        <v>111.56</v>
      </c>
      <c r="L84" s="64">
        <v>31.14</v>
      </c>
      <c r="M84" s="64">
        <v>36.49</v>
      </c>
      <c r="N84" s="64">
        <v>37.700000000000003</v>
      </c>
      <c r="O84" s="64">
        <v>0</v>
      </c>
      <c r="P84" s="64">
        <v>0.67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6" t="s">
        <v>1666</v>
      </c>
      <c r="B85" s="64">
        <v>1.59</v>
      </c>
      <c r="C85" s="64">
        <v>10.86</v>
      </c>
      <c r="D85" s="64">
        <v>12.34</v>
      </c>
      <c r="E85" s="64">
        <v>1.6</v>
      </c>
      <c r="F85" s="64">
        <v>4.72</v>
      </c>
      <c r="G85" s="64">
        <v>98.86</v>
      </c>
      <c r="H85" s="64">
        <v>33.65</v>
      </c>
      <c r="I85" s="64">
        <v>9.6</v>
      </c>
      <c r="J85" s="64">
        <v>0.48</v>
      </c>
      <c r="K85" s="64">
        <v>168.72</v>
      </c>
      <c r="L85" s="64">
        <v>31.42</v>
      </c>
      <c r="M85" s="64">
        <v>35.380000000000003</v>
      </c>
      <c r="N85" s="64">
        <v>38.299999999999997</v>
      </c>
      <c r="O85" s="64">
        <v>0</v>
      </c>
      <c r="P85" s="64">
        <v>0.63</v>
      </c>
      <c r="Q85" s="64">
        <v>9.6999999999999993</v>
      </c>
      <c r="R85" s="198"/>
      <c r="S85" s="198"/>
      <c r="T85" s="198"/>
      <c r="U85" s="198"/>
    </row>
    <row r="86" spans="1:26" s="12" customFormat="1" x14ac:dyDescent="0.25">
      <c r="A86" s="216" t="s">
        <v>1667</v>
      </c>
      <c r="B86" s="64">
        <v>1.63</v>
      </c>
      <c r="C86" s="64">
        <v>10.55</v>
      </c>
      <c r="D86" s="64">
        <v>12.08</v>
      </c>
      <c r="E86" s="64">
        <v>1.4</v>
      </c>
      <c r="F86" s="64">
        <v>4.29</v>
      </c>
      <c r="G86" s="64">
        <v>98.86</v>
      </c>
      <c r="H86" s="64">
        <v>33.65</v>
      </c>
      <c r="I86" s="64">
        <v>10.18</v>
      </c>
      <c r="J86" s="64">
        <v>0.36</v>
      </c>
      <c r="K86" s="64">
        <v>137.02000000000001</v>
      </c>
      <c r="L86" s="64">
        <v>31.15</v>
      </c>
      <c r="M86" s="64">
        <v>37.18</v>
      </c>
      <c r="N86" s="64">
        <v>39.299999999999997</v>
      </c>
      <c r="O86" s="64">
        <v>0</v>
      </c>
      <c r="P86" s="64">
        <v>0.64</v>
      </c>
      <c r="Q86" s="64">
        <v>9.75</v>
      </c>
      <c r="R86" s="198"/>
      <c r="S86" s="198"/>
      <c r="T86" s="198"/>
      <c r="U86" s="198"/>
    </row>
    <row r="87" spans="1:26" s="12" customFormat="1" x14ac:dyDescent="0.25">
      <c r="A87" s="216" t="s">
        <v>1668</v>
      </c>
      <c r="B87" s="64">
        <v>1.65</v>
      </c>
      <c r="C87" s="64">
        <v>10.01</v>
      </c>
      <c r="D87" s="64">
        <v>11.56</v>
      </c>
      <c r="E87" s="64">
        <v>1.46</v>
      </c>
      <c r="F87" s="64">
        <v>4.04</v>
      </c>
      <c r="G87" s="64">
        <v>98.86</v>
      </c>
      <c r="H87" s="64">
        <v>33.65</v>
      </c>
      <c r="I87" s="64">
        <v>10.29</v>
      </c>
      <c r="J87" s="64">
        <v>0.35</v>
      </c>
      <c r="K87" s="64">
        <v>166.74</v>
      </c>
      <c r="L87" s="64">
        <v>30.8</v>
      </c>
      <c r="M87" s="64">
        <v>38.729999999999997</v>
      </c>
      <c r="N87" s="64">
        <v>40.1</v>
      </c>
      <c r="O87" s="64">
        <v>0</v>
      </c>
      <c r="P87" s="64">
        <v>0.62</v>
      </c>
      <c r="Q87" s="64">
        <v>9.7799999999999994</v>
      </c>
      <c r="R87" s="198"/>
      <c r="S87" s="198"/>
      <c r="T87" s="198"/>
      <c r="U87" s="198"/>
    </row>
    <row r="88" spans="1:26" s="12" customFormat="1" x14ac:dyDescent="0.25">
      <c r="A88" s="216" t="s">
        <v>1669</v>
      </c>
      <c r="B88" s="64">
        <v>1.7</v>
      </c>
      <c r="C88" s="64">
        <v>9.7899999999999991</v>
      </c>
      <c r="D88" s="64">
        <v>11.39</v>
      </c>
      <c r="E88" s="64">
        <v>0.37</v>
      </c>
      <c r="F88" s="64">
        <v>3.86</v>
      </c>
      <c r="G88" s="64">
        <v>71.69</v>
      </c>
      <c r="H88" s="64">
        <v>32.270000000000003</v>
      </c>
      <c r="I88" s="64">
        <v>8.7899999999999991</v>
      </c>
      <c r="J88" s="64">
        <v>0.22</v>
      </c>
      <c r="K88" s="64">
        <v>165.09</v>
      </c>
      <c r="L88" s="64">
        <v>30.54</v>
      </c>
      <c r="M88" s="64">
        <v>39.89</v>
      </c>
      <c r="N88" s="64">
        <v>40.5</v>
      </c>
      <c r="O88" s="64">
        <v>0</v>
      </c>
      <c r="P88" s="64">
        <v>0.62</v>
      </c>
      <c r="Q88" s="64">
        <v>9.7899999999999991</v>
      </c>
      <c r="R88" s="198"/>
      <c r="S88" s="198"/>
      <c r="T88" s="198"/>
      <c r="U88" s="198"/>
    </row>
    <row r="89" spans="1:26" s="12" customFormat="1" x14ac:dyDescent="0.25">
      <c r="A89" s="216" t="s">
        <v>1670</v>
      </c>
      <c r="B89" s="64">
        <v>1.73</v>
      </c>
      <c r="C89" s="64">
        <v>9.41</v>
      </c>
      <c r="D89" s="64">
        <v>11.04</v>
      </c>
      <c r="E89" s="64">
        <v>0.32</v>
      </c>
      <c r="F89" s="64">
        <v>3.78</v>
      </c>
      <c r="G89" s="64">
        <v>62.37</v>
      </c>
      <c r="H89" s="64">
        <v>31.8</v>
      </c>
      <c r="I89" s="64">
        <v>8.6</v>
      </c>
      <c r="J89" s="64">
        <v>0.09</v>
      </c>
      <c r="K89" s="64">
        <v>48.36</v>
      </c>
      <c r="L89" s="64">
        <v>30.4</v>
      </c>
      <c r="M89" s="64">
        <v>40.659999999999997</v>
      </c>
      <c r="N89" s="64">
        <v>40.700000000000003</v>
      </c>
      <c r="O89" s="64">
        <v>0</v>
      </c>
      <c r="P89" s="64">
        <v>0.62</v>
      </c>
      <c r="Q89" s="64">
        <v>9.8000000000000007</v>
      </c>
      <c r="R89" s="198"/>
      <c r="S89" s="198"/>
      <c r="T89" s="198"/>
      <c r="U89" s="198"/>
    </row>
    <row r="90" spans="1:26" s="12" customFormat="1" x14ac:dyDescent="0.25">
      <c r="A90" s="216" t="s">
        <v>1671</v>
      </c>
      <c r="B90" s="64">
        <v>1.84</v>
      </c>
      <c r="C90" s="64">
        <v>9.31</v>
      </c>
      <c r="D90" s="64">
        <v>11.05</v>
      </c>
      <c r="E90" s="64">
        <v>0.66</v>
      </c>
      <c r="F90" s="64">
        <v>3.91</v>
      </c>
      <c r="G90" s="64">
        <v>62.37</v>
      </c>
      <c r="H90" s="64">
        <v>31.8</v>
      </c>
      <c r="I90" s="64">
        <v>8.93</v>
      </c>
      <c r="J90" s="64">
        <v>2.1</v>
      </c>
      <c r="K90" s="64">
        <v>333.93</v>
      </c>
      <c r="L90" s="64">
        <v>30.15</v>
      </c>
      <c r="M90" s="64">
        <v>41.59</v>
      </c>
      <c r="N90" s="64">
        <v>40.700000000000003</v>
      </c>
      <c r="O90" s="64">
        <v>0</v>
      </c>
      <c r="P90" s="64">
        <v>0.63</v>
      </c>
      <c r="Q90" s="64">
        <v>9.7899999999999991</v>
      </c>
      <c r="R90" s="198"/>
      <c r="S90" s="198"/>
      <c r="T90" s="198"/>
      <c r="U90" s="198"/>
    </row>
    <row r="91" spans="1:26" s="12" customFormat="1" x14ac:dyDescent="0.25">
      <c r="A91" s="216" t="s">
        <v>1672</v>
      </c>
      <c r="B91" s="64">
        <v>1.89</v>
      </c>
      <c r="C91" s="64">
        <v>9.81</v>
      </c>
      <c r="D91" s="64">
        <v>11.6</v>
      </c>
      <c r="E91" s="64">
        <v>1.02</v>
      </c>
      <c r="F91" s="64">
        <v>4.9800000000000004</v>
      </c>
      <c r="G91" s="64">
        <v>62.37</v>
      </c>
      <c r="H91" s="64">
        <v>31.8</v>
      </c>
      <c r="I91" s="64">
        <v>8.98</v>
      </c>
      <c r="J91" s="64">
        <v>2.0299999999999998</v>
      </c>
      <c r="K91" s="64">
        <v>346.09</v>
      </c>
      <c r="L91" s="64">
        <v>29.86</v>
      </c>
      <c r="M91" s="64">
        <v>41.02</v>
      </c>
      <c r="N91" s="64">
        <v>41.7</v>
      </c>
      <c r="O91" s="64">
        <v>0</v>
      </c>
      <c r="P91" s="64">
        <v>0.64</v>
      </c>
      <c r="Q91" s="64">
        <v>9.7899999999999991</v>
      </c>
      <c r="R91" s="198"/>
      <c r="S91" s="198"/>
      <c r="T91" s="198"/>
      <c r="U91" s="198"/>
    </row>
    <row r="92" spans="1:26" s="12" customFormat="1" x14ac:dyDescent="0.25">
      <c r="A92" s="216" t="s">
        <v>1673</v>
      </c>
      <c r="B92" s="64">
        <v>1.95</v>
      </c>
      <c r="C92" s="64">
        <v>10.43</v>
      </c>
      <c r="D92" s="64">
        <v>12.28</v>
      </c>
      <c r="E92" s="64">
        <v>0.87</v>
      </c>
      <c r="F92" s="64">
        <v>4.88</v>
      </c>
      <c r="G92" s="64">
        <v>55.79</v>
      </c>
      <c r="H92" s="64">
        <v>29.44</v>
      </c>
      <c r="I92" s="64">
        <v>9.75</v>
      </c>
      <c r="J92" s="64">
        <v>2.17</v>
      </c>
      <c r="K92" s="64">
        <v>348.71</v>
      </c>
      <c r="L92" s="64">
        <v>29.6</v>
      </c>
      <c r="M92" s="64">
        <v>41.02</v>
      </c>
      <c r="N92" s="64">
        <v>42</v>
      </c>
      <c r="O92" s="64">
        <v>0</v>
      </c>
      <c r="P92" s="64">
        <v>0.65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6" t="s">
        <v>1674</v>
      </c>
      <c r="B93" s="64">
        <v>1.92</v>
      </c>
      <c r="C93" s="64">
        <v>10.91</v>
      </c>
      <c r="D93" s="64">
        <v>12.74</v>
      </c>
      <c r="E93" s="64">
        <v>1.0900000000000001</v>
      </c>
      <c r="F93" s="64">
        <v>5.23</v>
      </c>
      <c r="G93" s="64">
        <v>53.53</v>
      </c>
      <c r="H93" s="64">
        <v>28.63</v>
      </c>
      <c r="I93" s="64">
        <v>9.8800000000000008</v>
      </c>
      <c r="J93" s="64">
        <v>1.84</v>
      </c>
      <c r="K93" s="64">
        <v>349.32</v>
      </c>
      <c r="L93" s="64">
        <v>29.2</v>
      </c>
      <c r="M93" s="64">
        <v>41.47</v>
      </c>
      <c r="N93" s="64">
        <v>42.1</v>
      </c>
      <c r="O93" s="64">
        <v>0</v>
      </c>
      <c r="P93" s="64">
        <v>0.66</v>
      </c>
      <c r="Q93" s="64">
        <v>9.7200000000000006</v>
      </c>
      <c r="R93" s="198"/>
      <c r="S93" s="198"/>
      <c r="T93" s="198"/>
      <c r="U93" s="198"/>
    </row>
    <row r="94" spans="1:26" s="12" customFormat="1" x14ac:dyDescent="0.25">
      <c r="A94" s="216" t="s">
        <v>1675</v>
      </c>
      <c r="B94" s="64">
        <v>1.86</v>
      </c>
      <c r="C94" s="64">
        <v>11.05</v>
      </c>
      <c r="D94" s="64">
        <v>12.81</v>
      </c>
      <c r="E94" s="64">
        <v>1.08</v>
      </c>
      <c r="F94" s="64">
        <v>4.8099999999999996</v>
      </c>
      <c r="G94" s="64">
        <v>53.53</v>
      </c>
      <c r="H94" s="64">
        <v>28.63</v>
      </c>
      <c r="I94" s="64">
        <v>9.2899999999999991</v>
      </c>
      <c r="J94" s="64">
        <v>1.72</v>
      </c>
      <c r="K94" s="64">
        <v>351.83</v>
      </c>
      <c r="L94" s="64">
        <v>28.8</v>
      </c>
      <c r="M94" s="64">
        <v>44.44</v>
      </c>
      <c r="N94" s="64">
        <v>41.9</v>
      </c>
      <c r="O94" s="64">
        <v>0</v>
      </c>
      <c r="P94" s="64">
        <v>0.66</v>
      </c>
      <c r="Q94" s="64">
        <v>9.7200000000000006</v>
      </c>
      <c r="R94" s="198"/>
      <c r="S94" s="198"/>
      <c r="T94" s="198"/>
      <c r="U94" s="198"/>
    </row>
    <row r="95" spans="1:26" s="12" customFormat="1" x14ac:dyDescent="0.25">
      <c r="A95" s="216" t="s">
        <v>1676</v>
      </c>
      <c r="B95" s="64">
        <v>1.8</v>
      </c>
      <c r="C95" s="64">
        <v>11.09</v>
      </c>
      <c r="D95" s="64">
        <v>12.79</v>
      </c>
      <c r="E95" s="64">
        <v>1.05</v>
      </c>
      <c r="F95" s="64">
        <v>5.29</v>
      </c>
      <c r="G95" s="64">
        <v>53.53</v>
      </c>
      <c r="H95" s="64">
        <v>28.63</v>
      </c>
      <c r="I95" s="64">
        <v>8.8800000000000008</v>
      </c>
      <c r="J95" s="64">
        <v>1.54</v>
      </c>
      <c r="K95" s="64">
        <v>339.89</v>
      </c>
      <c r="L95" s="64">
        <v>28.44</v>
      </c>
      <c r="M95" s="64">
        <v>47.54</v>
      </c>
      <c r="N95" s="64">
        <v>41.7</v>
      </c>
      <c r="O95" s="64">
        <v>0</v>
      </c>
      <c r="P95" s="64">
        <v>0.67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16" t="s">
        <v>1677</v>
      </c>
      <c r="B96" s="64">
        <v>1.73</v>
      </c>
      <c r="C96" s="64">
        <v>11.04</v>
      </c>
      <c r="D96" s="64">
        <v>12.67</v>
      </c>
      <c r="E96" s="64">
        <v>0.99</v>
      </c>
      <c r="F96" s="64">
        <v>5.51</v>
      </c>
      <c r="G96" s="64">
        <v>62.35</v>
      </c>
      <c r="H96" s="64">
        <v>27.67</v>
      </c>
      <c r="I96" s="64">
        <v>8.51</v>
      </c>
      <c r="J96" s="64">
        <v>2.12</v>
      </c>
      <c r="K96" s="64">
        <v>332.51</v>
      </c>
      <c r="L96" s="64">
        <v>27.87</v>
      </c>
      <c r="M96" s="64">
        <v>49.84</v>
      </c>
      <c r="N96" s="64">
        <v>42.3</v>
      </c>
      <c r="O96" s="64">
        <v>0</v>
      </c>
      <c r="P96" s="64">
        <v>0.66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1678</v>
      </c>
      <c r="B97" s="64">
        <v>1.62</v>
      </c>
      <c r="C97" s="64">
        <v>10.61</v>
      </c>
      <c r="D97" s="64">
        <v>12.12</v>
      </c>
      <c r="E97" s="64">
        <v>0.93</v>
      </c>
      <c r="F97" s="64">
        <v>5.86</v>
      </c>
      <c r="G97" s="64">
        <v>65.38</v>
      </c>
      <c r="H97" s="64">
        <v>27.34</v>
      </c>
      <c r="I97" s="64">
        <v>8.17</v>
      </c>
      <c r="J97" s="64">
        <v>1.82</v>
      </c>
      <c r="K97" s="64">
        <v>343.51</v>
      </c>
      <c r="L97" s="64">
        <v>27.6</v>
      </c>
      <c r="M97" s="64">
        <v>52</v>
      </c>
      <c r="N97" s="64">
        <v>41.8</v>
      </c>
      <c r="O97" s="64">
        <v>0</v>
      </c>
      <c r="P97" s="64">
        <v>0.64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6" t="s">
        <v>1679</v>
      </c>
      <c r="B98" s="64">
        <v>1.61</v>
      </c>
      <c r="C98" s="64">
        <v>10.42</v>
      </c>
      <c r="D98" s="64">
        <v>11.93</v>
      </c>
      <c r="E98" s="64">
        <v>0.96</v>
      </c>
      <c r="F98" s="64">
        <v>5.81</v>
      </c>
      <c r="G98" s="64">
        <v>65.38</v>
      </c>
      <c r="H98" s="64">
        <v>27.34</v>
      </c>
      <c r="I98" s="64">
        <v>7.75</v>
      </c>
      <c r="J98" s="64">
        <v>2.16</v>
      </c>
      <c r="K98" s="64">
        <v>349.32</v>
      </c>
      <c r="L98" s="64">
        <v>27.46</v>
      </c>
      <c r="M98" s="64">
        <v>53.06</v>
      </c>
      <c r="N98" s="64">
        <v>42</v>
      </c>
      <c r="O98" s="64">
        <v>0</v>
      </c>
      <c r="P98" s="64">
        <v>0.63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6" t="s">
        <v>1680</v>
      </c>
      <c r="B99" s="64">
        <v>1.67</v>
      </c>
      <c r="C99" s="64">
        <v>10.81</v>
      </c>
      <c r="D99" s="64">
        <v>12.38</v>
      </c>
      <c r="E99" s="64">
        <v>0.82</v>
      </c>
      <c r="F99" s="64">
        <v>5.7</v>
      </c>
      <c r="G99" s="64">
        <v>65.38</v>
      </c>
      <c r="H99" s="64">
        <v>27.34</v>
      </c>
      <c r="I99" s="64">
        <v>7.25</v>
      </c>
      <c r="J99" s="64">
        <v>1.74</v>
      </c>
      <c r="K99" s="64">
        <v>347.14</v>
      </c>
      <c r="L99" s="64">
        <v>27.12</v>
      </c>
      <c r="M99" s="64">
        <v>55.45</v>
      </c>
      <c r="N99" s="64">
        <v>42.7</v>
      </c>
      <c r="O99" s="64">
        <v>0</v>
      </c>
      <c r="P99" s="64">
        <v>0.63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6" t="s">
        <v>1681</v>
      </c>
      <c r="B100" s="64">
        <v>1.69</v>
      </c>
      <c r="C100" s="64">
        <v>11.94</v>
      </c>
      <c r="D100" s="64">
        <v>13.53</v>
      </c>
      <c r="E100" s="64">
        <v>1</v>
      </c>
      <c r="F100" s="64">
        <v>4.41</v>
      </c>
      <c r="G100" s="64">
        <v>73.48</v>
      </c>
      <c r="H100" s="64">
        <v>29.72</v>
      </c>
      <c r="I100" s="64">
        <v>6.9</v>
      </c>
      <c r="J100" s="64">
        <v>1.89</v>
      </c>
      <c r="K100" s="64">
        <v>349.36</v>
      </c>
      <c r="L100" s="64">
        <v>26.73</v>
      </c>
      <c r="M100" s="64">
        <v>57.16</v>
      </c>
      <c r="N100" s="64">
        <v>42.6</v>
      </c>
      <c r="O100" s="64">
        <v>0</v>
      </c>
      <c r="P100" s="64">
        <v>0.61</v>
      </c>
      <c r="Q100" s="64">
        <v>9.76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1682</v>
      </c>
      <c r="B101" s="64">
        <v>1.73</v>
      </c>
      <c r="C101" s="64">
        <v>12.08</v>
      </c>
      <c r="D101" s="64">
        <v>13.7</v>
      </c>
      <c r="E101" s="64">
        <v>0.82</v>
      </c>
      <c r="F101" s="64">
        <v>3.55</v>
      </c>
      <c r="G101" s="64">
        <v>76.260000000000005</v>
      </c>
      <c r="H101" s="64">
        <v>30.53</v>
      </c>
      <c r="I101" s="64">
        <v>6.71</v>
      </c>
      <c r="J101" s="64">
        <v>2.0299999999999998</v>
      </c>
      <c r="K101" s="64">
        <v>351.66</v>
      </c>
      <c r="L101" s="64">
        <v>26.43</v>
      </c>
      <c r="M101" s="64">
        <v>58.24</v>
      </c>
      <c r="N101" s="64">
        <v>42.8</v>
      </c>
      <c r="O101" s="64">
        <v>0</v>
      </c>
      <c r="P101" s="64">
        <v>0.6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6" t="s">
        <v>1683</v>
      </c>
      <c r="B102" s="64">
        <v>1.73</v>
      </c>
      <c r="C102" s="64">
        <v>11.55</v>
      </c>
      <c r="D102" s="64">
        <v>13.18</v>
      </c>
      <c r="E102" s="64">
        <v>0.98</v>
      </c>
      <c r="F102" s="64">
        <v>4.78</v>
      </c>
      <c r="G102" s="64">
        <v>76.260000000000005</v>
      </c>
      <c r="H102" s="64">
        <v>30.53</v>
      </c>
      <c r="I102" s="64">
        <v>6.5</v>
      </c>
      <c r="J102" s="64">
        <v>1.94</v>
      </c>
      <c r="K102" s="64">
        <v>352.91</v>
      </c>
      <c r="L102" s="64">
        <v>26.25</v>
      </c>
      <c r="M102" s="64">
        <v>57.36</v>
      </c>
      <c r="N102" s="64">
        <v>42.8</v>
      </c>
      <c r="O102" s="64">
        <v>0</v>
      </c>
      <c r="P102" s="64">
        <v>0.56999999999999995</v>
      </c>
      <c r="Q102" s="64">
        <v>9.7100000000000009</v>
      </c>
      <c r="R102" s="198"/>
      <c r="S102" s="198"/>
      <c r="T102" s="198"/>
      <c r="U102" s="198"/>
    </row>
    <row r="103" spans="1:33" s="12" customFormat="1" x14ac:dyDescent="0.25">
      <c r="A103" s="216" t="s">
        <v>1684</v>
      </c>
      <c r="B103" s="64">
        <v>1.67</v>
      </c>
      <c r="C103" s="64">
        <v>10.11</v>
      </c>
      <c r="D103" s="64">
        <v>11.68</v>
      </c>
      <c r="E103" s="64">
        <v>0.83</v>
      </c>
      <c r="F103" s="64">
        <v>4.75</v>
      </c>
      <c r="G103" s="64">
        <v>76.260000000000005</v>
      </c>
      <c r="H103" s="64">
        <v>30.53</v>
      </c>
      <c r="I103" s="64">
        <v>6.2</v>
      </c>
      <c r="J103" s="64">
        <v>1.18</v>
      </c>
      <c r="K103" s="64">
        <v>350.81</v>
      </c>
      <c r="L103" s="64">
        <v>26.21</v>
      </c>
      <c r="M103" s="64">
        <v>56.32</v>
      </c>
      <c r="N103" s="64">
        <v>42.1</v>
      </c>
      <c r="O103" s="64">
        <v>0</v>
      </c>
      <c r="P103" s="64">
        <v>0.55000000000000004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6" t="s">
        <v>1685</v>
      </c>
      <c r="B104" s="64">
        <v>1.62</v>
      </c>
      <c r="C104" s="64">
        <v>9.4499999999999993</v>
      </c>
      <c r="D104" s="64">
        <v>10.97</v>
      </c>
      <c r="E104" s="64">
        <v>1.65</v>
      </c>
      <c r="F104" s="64">
        <v>4.08</v>
      </c>
      <c r="G104" s="64">
        <v>60.62</v>
      </c>
      <c r="H104" s="64">
        <v>29.04</v>
      </c>
      <c r="I104" s="64">
        <v>6.03</v>
      </c>
      <c r="J104" s="64">
        <v>1.0900000000000001</v>
      </c>
      <c r="K104" s="64">
        <v>349.33</v>
      </c>
      <c r="L104" s="64">
        <v>26.29</v>
      </c>
      <c r="M104" s="64">
        <v>55.7</v>
      </c>
      <c r="N104" s="64">
        <v>42</v>
      </c>
      <c r="O104" s="64">
        <v>0</v>
      </c>
      <c r="P104" s="64">
        <v>0.53</v>
      </c>
      <c r="Q104" s="64">
        <v>9.77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1.22</v>
      </c>
      <c r="C106" s="67">
        <f>MIN(C9:C104)</f>
        <v>3.73</v>
      </c>
      <c r="D106" s="67">
        <f t="shared" ref="D106:Q106" si="0">MIN(D9:D104)</f>
        <v>5.2</v>
      </c>
      <c r="E106" s="67">
        <f t="shared" si="0"/>
        <v>0.22</v>
      </c>
      <c r="F106" s="67">
        <f t="shared" si="0"/>
        <v>3.09</v>
      </c>
      <c r="G106" s="67">
        <f t="shared" si="0"/>
        <v>30.32</v>
      </c>
      <c r="H106" s="67">
        <f t="shared" si="0"/>
        <v>17.89</v>
      </c>
      <c r="I106" s="67">
        <f t="shared" si="0"/>
        <v>5.61</v>
      </c>
      <c r="J106" s="67">
        <f t="shared" si="0"/>
        <v>0.03</v>
      </c>
      <c r="K106" s="67">
        <f t="shared" si="0"/>
        <v>2.36</v>
      </c>
      <c r="L106" s="67">
        <f t="shared" si="0"/>
        <v>24.03</v>
      </c>
      <c r="M106" s="67">
        <f t="shared" si="0"/>
        <v>24.26</v>
      </c>
      <c r="N106" s="67">
        <f t="shared" si="0"/>
        <v>34.4</v>
      </c>
      <c r="O106" s="67">
        <f t="shared" si="0"/>
        <v>0</v>
      </c>
      <c r="P106" s="67">
        <f t="shared" si="0"/>
        <v>0.4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4.12</v>
      </c>
      <c r="C107" s="66">
        <f t="shared" ref="C107:Q107" si="1">MAX(C9:C104)</f>
        <v>12.08</v>
      </c>
      <c r="D107" s="66">
        <f t="shared" si="1"/>
        <v>13.7</v>
      </c>
      <c r="E107" s="66">
        <f t="shared" si="1"/>
        <v>4.43</v>
      </c>
      <c r="F107" s="66">
        <f t="shared" si="1"/>
        <v>11.36</v>
      </c>
      <c r="G107" s="66">
        <f t="shared" si="1"/>
        <v>214.66</v>
      </c>
      <c r="H107" s="66">
        <f t="shared" si="1"/>
        <v>38.299999999999997</v>
      </c>
      <c r="I107" s="66">
        <f t="shared" si="1"/>
        <v>13.55</v>
      </c>
      <c r="J107" s="66">
        <f t="shared" si="1"/>
        <v>2.17</v>
      </c>
      <c r="K107" s="66">
        <f t="shared" si="1"/>
        <v>359.46</v>
      </c>
      <c r="L107" s="66">
        <f t="shared" si="1"/>
        <v>38.42</v>
      </c>
      <c r="M107" s="66">
        <f t="shared" si="1"/>
        <v>67.97</v>
      </c>
      <c r="N107" s="66">
        <f t="shared" si="1"/>
        <v>846.3</v>
      </c>
      <c r="O107" s="66">
        <f t="shared" si="1"/>
        <v>0</v>
      </c>
      <c r="P107" s="66">
        <f t="shared" si="1"/>
        <v>0.77</v>
      </c>
      <c r="Q107" s="66">
        <f t="shared" si="1"/>
        <v>9.9600000000000009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2.273181818181818</v>
      </c>
      <c r="C108" s="67">
        <f t="shared" ref="C108:Q108" si="2">AVERAGE(C9:C104)</f>
        <v>8.1078409090909052</v>
      </c>
      <c r="D108" s="67">
        <f t="shared" si="2"/>
        <v>10.281249999999998</v>
      </c>
      <c r="E108" s="67">
        <f t="shared" si="2"/>
        <v>1.2066216216216215</v>
      </c>
      <c r="F108" s="67">
        <f t="shared" si="2"/>
        <v>5.1119101123595518</v>
      </c>
      <c r="G108" s="67">
        <f t="shared" si="2"/>
        <v>69.454831460674171</v>
      </c>
      <c r="H108" s="67">
        <f t="shared" si="2"/>
        <v>27.962471910112384</v>
      </c>
      <c r="I108" s="67">
        <f t="shared" si="2"/>
        <v>8.9374712643678151</v>
      </c>
      <c r="J108" s="67">
        <f t="shared" si="2"/>
        <v>0.5979775280898878</v>
      </c>
      <c r="K108" s="67">
        <f t="shared" si="2"/>
        <v>233.40359550561803</v>
      </c>
      <c r="L108" s="67">
        <f t="shared" si="2"/>
        <v>29.643258426966298</v>
      </c>
      <c r="M108" s="67">
        <f t="shared" si="2"/>
        <v>45.026966292134823</v>
      </c>
      <c r="N108" s="67">
        <f t="shared" si="2"/>
        <v>205.55842696629202</v>
      </c>
      <c r="O108" s="67">
        <f t="shared" si="2"/>
        <v>0</v>
      </c>
      <c r="P108" s="67">
        <f t="shared" si="2"/>
        <v>0.61988764044943812</v>
      </c>
      <c r="Q108" s="67">
        <f t="shared" si="2"/>
        <v>9.6158139534883702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0.97417049353294305</v>
      </c>
      <c r="C109" s="67">
        <f t="shared" ref="C109:Q109" si="3">STDEV(C9:C104)</f>
        <v>2.0090441765015692</v>
      </c>
      <c r="D109" s="67">
        <f t="shared" si="3"/>
        <v>1.467018880775482</v>
      </c>
      <c r="E109" s="67">
        <f t="shared" si="3"/>
        <v>0.56400543334365971</v>
      </c>
      <c r="F109" s="67">
        <f t="shared" si="3"/>
        <v>1.7391219547940182</v>
      </c>
      <c r="G109" s="67">
        <f t="shared" si="3"/>
        <v>32.388392074390708</v>
      </c>
      <c r="H109" s="67">
        <f t="shared" si="3"/>
        <v>6.1985374522943628</v>
      </c>
      <c r="I109" s="67">
        <f t="shared" si="3"/>
        <v>2.6944672935958391</v>
      </c>
      <c r="J109" s="67">
        <f t="shared" si="3"/>
        <v>0.62113382355334823</v>
      </c>
      <c r="K109" s="67">
        <f t="shared" si="3"/>
        <v>102.66342209825962</v>
      </c>
      <c r="L109" s="67">
        <f t="shared" si="3"/>
        <v>4.4088046656870414</v>
      </c>
      <c r="M109" s="67">
        <f t="shared" si="3"/>
        <v>13.528285721246062</v>
      </c>
      <c r="N109" s="67">
        <f t="shared" si="3"/>
        <v>250.70792169782536</v>
      </c>
      <c r="O109" s="67">
        <f t="shared" si="3"/>
        <v>0</v>
      </c>
      <c r="P109" s="67">
        <f t="shared" si="3"/>
        <v>8.5340153370638466E-2</v>
      </c>
      <c r="Q109" s="67">
        <f t="shared" si="3"/>
        <v>0.12076681581879015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COUNT(B9:B104)+8</f>
        <v>96</v>
      </c>
      <c r="C110" s="66">
        <f>COUNT(C9:C104)+8</f>
        <v>96</v>
      </c>
      <c r="D110" s="66">
        <f>COUNT(D9:D104)+8</f>
        <v>96</v>
      </c>
      <c r="E110" s="66">
        <f>COUNT(E9:E104)+22</f>
        <v>96</v>
      </c>
      <c r="F110" s="66">
        <f>COUNT(F9:F104)+7</f>
        <v>96</v>
      </c>
      <c r="G110" s="66">
        <f>COUNT(G9:G104)+7</f>
        <v>96</v>
      </c>
      <c r="H110" s="66">
        <f>COUNT(H9:H104)+7</f>
        <v>96</v>
      </c>
      <c r="I110" s="66">
        <f>COUNT(I9:I104)+9</f>
        <v>96</v>
      </c>
      <c r="J110" s="66">
        <f>COUNT(J9:J104)+7</f>
        <v>96</v>
      </c>
      <c r="K110" s="66">
        <f t="shared" ref="K110:P110" si="4">COUNT(K9:K104)+7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COUNT(Q9:Q104)+10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1686</v>
      </c>
      <c r="B9" s="64">
        <v>1.61</v>
      </c>
      <c r="C9" s="64">
        <v>8.99</v>
      </c>
      <c r="D9" s="64">
        <v>10.51</v>
      </c>
      <c r="E9" s="64">
        <v>1.3</v>
      </c>
      <c r="F9" s="64">
        <v>3.87</v>
      </c>
      <c r="G9" s="64">
        <v>55.25</v>
      </c>
      <c r="H9" s="64">
        <v>28.55</v>
      </c>
      <c r="I9" s="64">
        <v>5.94</v>
      </c>
      <c r="J9" s="64">
        <v>0.79</v>
      </c>
      <c r="K9" s="64">
        <v>353.59</v>
      </c>
      <c r="L9" s="64">
        <v>26.4</v>
      </c>
      <c r="M9" s="64">
        <v>54.07</v>
      </c>
      <c r="N9" s="64">
        <v>42.4</v>
      </c>
      <c r="O9" s="64">
        <v>0</v>
      </c>
      <c r="P9" s="64">
        <v>0.53</v>
      </c>
      <c r="Q9" s="64">
        <v>9.76</v>
      </c>
      <c r="R9" s="198"/>
      <c r="S9" s="198"/>
      <c r="T9" s="198"/>
      <c r="U9" s="198"/>
    </row>
    <row r="10" spans="1:21" s="12" customFormat="1" x14ac:dyDescent="0.25">
      <c r="A10" s="216" t="s">
        <v>1687</v>
      </c>
      <c r="B10" s="64">
        <v>1.64</v>
      </c>
      <c r="C10" s="64">
        <v>8.86</v>
      </c>
      <c r="D10" s="64">
        <v>10.39</v>
      </c>
      <c r="E10" s="64">
        <v>1.36</v>
      </c>
      <c r="F10" s="64">
        <v>3.48</v>
      </c>
      <c r="G10" s="64">
        <v>55.25</v>
      </c>
      <c r="H10" s="64">
        <v>28.55</v>
      </c>
      <c r="I10" s="64">
        <v>5.95</v>
      </c>
      <c r="J10" s="64">
        <v>0.62</v>
      </c>
      <c r="K10" s="64">
        <v>350.45</v>
      </c>
      <c r="L10" s="64">
        <v>26.53</v>
      </c>
      <c r="M10" s="64">
        <v>52.67</v>
      </c>
      <c r="N10" s="64">
        <v>42.9</v>
      </c>
      <c r="O10" s="64">
        <v>0</v>
      </c>
      <c r="P10" s="64">
        <v>0.53</v>
      </c>
      <c r="Q10" s="64">
        <v>9.7799999999999994</v>
      </c>
      <c r="R10" s="198"/>
      <c r="S10" s="198"/>
      <c r="T10" s="198"/>
      <c r="U10" s="198"/>
    </row>
    <row r="11" spans="1:21" s="12" customFormat="1" x14ac:dyDescent="0.25">
      <c r="A11" s="216" t="s">
        <v>1688</v>
      </c>
      <c r="B11" s="64">
        <v>1.68</v>
      </c>
      <c r="C11" s="64">
        <v>8.5</v>
      </c>
      <c r="D11" s="64">
        <v>10.08</v>
      </c>
      <c r="E11" s="64">
        <v>1.25</v>
      </c>
      <c r="F11" s="64">
        <v>3.66</v>
      </c>
      <c r="G11" s="64">
        <v>55.25</v>
      </c>
      <c r="H11" s="64">
        <v>28.55</v>
      </c>
      <c r="I11" s="64">
        <v>5.98</v>
      </c>
      <c r="J11" s="64">
        <v>0.2</v>
      </c>
      <c r="K11" s="64">
        <v>298.14</v>
      </c>
      <c r="L11" s="64">
        <v>26.33</v>
      </c>
      <c r="M11" s="64">
        <v>54.7</v>
      </c>
      <c r="N11" s="64">
        <v>43.4</v>
      </c>
      <c r="O11" s="64">
        <v>0</v>
      </c>
      <c r="P11" s="64">
        <v>0.52</v>
      </c>
      <c r="Q11" s="64">
        <v>9.77</v>
      </c>
      <c r="R11" s="198"/>
      <c r="S11" s="198"/>
      <c r="T11" s="198"/>
      <c r="U11" s="198"/>
    </row>
    <row r="12" spans="1:21" s="12" customFormat="1" x14ac:dyDescent="0.25">
      <c r="A12" s="216" t="s">
        <v>1689</v>
      </c>
      <c r="B12" s="64">
        <v>1.73</v>
      </c>
      <c r="C12" s="64">
        <v>7.98</v>
      </c>
      <c r="D12" s="64">
        <v>9.61</v>
      </c>
      <c r="E12" s="64">
        <v>1.59</v>
      </c>
      <c r="F12" s="64">
        <v>4.12</v>
      </c>
      <c r="G12" s="64">
        <v>69.22</v>
      </c>
      <c r="H12" s="64">
        <v>27.78</v>
      </c>
      <c r="I12" s="64">
        <v>5.81</v>
      </c>
      <c r="J12" s="64">
        <v>0.19</v>
      </c>
      <c r="K12" s="64">
        <v>220.23</v>
      </c>
      <c r="L12" s="64">
        <v>26.18</v>
      </c>
      <c r="M12" s="64">
        <v>54.51</v>
      </c>
      <c r="N12" s="64">
        <v>43.8</v>
      </c>
      <c r="O12" s="64">
        <v>0</v>
      </c>
      <c r="P12" s="64">
        <v>0.51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6" t="s">
        <v>1690</v>
      </c>
      <c r="B13" s="64">
        <v>1.78</v>
      </c>
      <c r="C13" s="64">
        <v>7.79</v>
      </c>
      <c r="D13" s="64">
        <v>9.48</v>
      </c>
      <c r="E13" s="64">
        <v>1.4</v>
      </c>
      <c r="F13" s="64">
        <v>3.25</v>
      </c>
      <c r="G13" s="64">
        <v>74.010000000000005</v>
      </c>
      <c r="H13" s="64">
        <v>27.51</v>
      </c>
      <c r="I13" s="64">
        <v>5.32</v>
      </c>
      <c r="J13" s="64">
        <v>0.12</v>
      </c>
      <c r="K13" s="64">
        <v>233.99</v>
      </c>
      <c r="L13" s="64">
        <v>26.13</v>
      </c>
      <c r="M13" s="64">
        <v>55.66</v>
      </c>
      <c r="N13" s="64">
        <v>44</v>
      </c>
      <c r="O13" s="64">
        <v>0</v>
      </c>
      <c r="P13" s="64">
        <v>0.54</v>
      </c>
      <c r="Q13" s="64">
        <v>9.74</v>
      </c>
      <c r="R13" s="198"/>
      <c r="S13" s="198"/>
      <c r="T13" s="198"/>
      <c r="U13" s="198"/>
    </row>
    <row r="14" spans="1:21" s="12" customFormat="1" x14ac:dyDescent="0.25">
      <c r="A14" s="216" t="s">
        <v>1691</v>
      </c>
      <c r="B14" s="64">
        <v>1.8</v>
      </c>
      <c r="C14" s="64">
        <v>7.72</v>
      </c>
      <c r="D14" s="64">
        <v>9.42</v>
      </c>
      <c r="E14" s="64">
        <v>1.41</v>
      </c>
      <c r="F14" s="64">
        <v>3.73</v>
      </c>
      <c r="G14" s="64">
        <v>74.010000000000005</v>
      </c>
      <c r="H14" s="64">
        <v>27.51</v>
      </c>
      <c r="I14" s="64">
        <v>5.29</v>
      </c>
      <c r="J14" s="64">
        <v>7.0000000000000007E-2</v>
      </c>
      <c r="K14" s="64">
        <v>175.61</v>
      </c>
      <c r="L14" s="64">
        <v>26.09</v>
      </c>
      <c r="M14" s="64">
        <v>56.29</v>
      </c>
      <c r="N14" s="64">
        <v>43.9</v>
      </c>
      <c r="O14" s="64">
        <v>0</v>
      </c>
      <c r="P14" s="64">
        <v>0.56000000000000005</v>
      </c>
      <c r="Q14" s="64">
        <v>9.7100000000000009</v>
      </c>
      <c r="R14" s="198"/>
      <c r="S14" s="198"/>
      <c r="T14" s="198"/>
      <c r="U14" s="198"/>
    </row>
    <row r="15" spans="1:21" s="12" customFormat="1" x14ac:dyDescent="0.25">
      <c r="A15" s="216" t="s">
        <v>1692</v>
      </c>
      <c r="B15" s="64">
        <v>1.81</v>
      </c>
      <c r="C15" s="64">
        <v>7.97</v>
      </c>
      <c r="D15" s="64">
        <v>9.68</v>
      </c>
      <c r="E15" s="64">
        <v>1.42</v>
      </c>
      <c r="F15" s="64">
        <v>4.25</v>
      </c>
      <c r="G15" s="64">
        <v>74.010000000000005</v>
      </c>
      <c r="H15" s="64">
        <v>27.51</v>
      </c>
      <c r="I15" s="64">
        <v>5.87</v>
      </c>
      <c r="J15" s="64">
        <v>0.27</v>
      </c>
      <c r="K15" s="64">
        <v>174.9</v>
      </c>
      <c r="L15" s="64">
        <v>25.94</v>
      </c>
      <c r="M15" s="64">
        <v>58.18</v>
      </c>
      <c r="N15" s="64">
        <v>44</v>
      </c>
      <c r="O15" s="64">
        <v>0</v>
      </c>
      <c r="P15" s="64">
        <v>0.56000000000000005</v>
      </c>
      <c r="Q15" s="64">
        <v>9.7100000000000009</v>
      </c>
      <c r="R15" s="198"/>
      <c r="S15" s="198"/>
      <c r="T15" s="198"/>
      <c r="U15" s="198"/>
    </row>
    <row r="16" spans="1:21" s="12" customFormat="1" x14ac:dyDescent="0.25">
      <c r="A16" s="216" t="s">
        <v>1693</v>
      </c>
      <c r="B16" s="64">
        <v>1.88</v>
      </c>
      <c r="C16" s="64">
        <v>8.76</v>
      </c>
      <c r="D16" s="64">
        <v>10.54</v>
      </c>
      <c r="E16" s="64">
        <v>1.4</v>
      </c>
      <c r="F16" s="64">
        <v>3.73</v>
      </c>
      <c r="G16" s="64">
        <v>78.25</v>
      </c>
      <c r="H16" s="64">
        <v>29.8</v>
      </c>
      <c r="I16" s="64">
        <v>6.22</v>
      </c>
      <c r="J16" s="64">
        <v>0.14000000000000001</v>
      </c>
      <c r="K16" s="64">
        <v>217.29</v>
      </c>
      <c r="L16" s="64">
        <v>25.82</v>
      </c>
      <c r="M16" s="64">
        <v>60.18</v>
      </c>
      <c r="N16" s="64">
        <v>44.1</v>
      </c>
      <c r="O16" s="64">
        <v>0</v>
      </c>
      <c r="P16" s="64">
        <v>0.56000000000000005</v>
      </c>
      <c r="Q16" s="64">
        <v>9.73</v>
      </c>
      <c r="R16" s="198"/>
      <c r="S16" s="198"/>
      <c r="T16" s="198"/>
      <c r="U16" s="198"/>
    </row>
    <row r="17" spans="1:21" s="12" customFormat="1" x14ac:dyDescent="0.25">
      <c r="A17" s="216" t="s">
        <v>1694</v>
      </c>
      <c r="B17" s="64">
        <v>1.99</v>
      </c>
      <c r="C17" s="64">
        <v>8.9600000000000009</v>
      </c>
      <c r="D17" s="64">
        <v>10.85</v>
      </c>
      <c r="E17" s="64">
        <v>1.29</v>
      </c>
      <c r="F17" s="64">
        <v>3.64</v>
      </c>
      <c r="G17" s="64">
        <v>79.709999999999994</v>
      </c>
      <c r="H17" s="64">
        <v>30.59</v>
      </c>
      <c r="I17" s="64">
        <v>6.38</v>
      </c>
      <c r="J17" s="64">
        <v>0.16</v>
      </c>
      <c r="K17" s="64">
        <v>25.76</v>
      </c>
      <c r="L17" s="64">
        <v>25.42</v>
      </c>
      <c r="M17" s="64">
        <v>64.73</v>
      </c>
      <c r="N17" s="64">
        <v>44.6</v>
      </c>
      <c r="O17" s="64">
        <v>0</v>
      </c>
      <c r="P17" s="64">
        <v>0.55000000000000004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6" t="s">
        <v>1695</v>
      </c>
      <c r="B18" s="64">
        <v>2.06</v>
      </c>
      <c r="C18" s="64">
        <v>8.43</v>
      </c>
      <c r="D18" s="64">
        <v>10.38</v>
      </c>
      <c r="E18" s="64">
        <v>1.36</v>
      </c>
      <c r="F18" s="64">
        <v>4.4400000000000004</v>
      </c>
      <c r="G18" s="64">
        <v>79.709999999999994</v>
      </c>
      <c r="H18" s="64">
        <v>30.59</v>
      </c>
      <c r="I18" s="64">
        <v>6.39</v>
      </c>
      <c r="J18" s="64">
        <v>0.37</v>
      </c>
      <c r="K18" s="64">
        <v>195.04</v>
      </c>
      <c r="L18" s="64">
        <v>25.59</v>
      </c>
      <c r="M18" s="64">
        <v>63.17</v>
      </c>
      <c r="N18" s="64">
        <v>44.1</v>
      </c>
      <c r="O18" s="64">
        <v>0</v>
      </c>
      <c r="P18" s="64">
        <v>0.55000000000000004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6" t="s">
        <v>1696</v>
      </c>
      <c r="B19" s="64">
        <v>2.15</v>
      </c>
      <c r="C19" s="64">
        <v>9.14</v>
      </c>
      <c r="D19" s="64">
        <v>11.18</v>
      </c>
      <c r="E19" s="64">
        <v>1.26</v>
      </c>
      <c r="F19" s="64">
        <v>4.12</v>
      </c>
      <c r="G19" s="64">
        <v>79.709999999999994</v>
      </c>
      <c r="H19" s="64">
        <v>30.59</v>
      </c>
      <c r="I19" s="64">
        <v>6.31</v>
      </c>
      <c r="J19" s="64">
        <v>0.28999999999999998</v>
      </c>
      <c r="K19" s="64">
        <v>173.11</v>
      </c>
      <c r="L19" s="64">
        <v>25.91</v>
      </c>
      <c r="M19" s="64">
        <v>61.89</v>
      </c>
      <c r="N19" s="64">
        <v>45</v>
      </c>
      <c r="O19" s="64">
        <v>0</v>
      </c>
      <c r="P19" s="64">
        <v>0.54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6" t="s">
        <v>1697</v>
      </c>
      <c r="B20" s="64">
        <v>2.2400000000000002</v>
      </c>
      <c r="C20" s="64">
        <v>9.4700000000000006</v>
      </c>
      <c r="D20" s="64">
        <v>11.61</v>
      </c>
      <c r="E20" s="64">
        <v>1.41</v>
      </c>
      <c r="F20" s="64">
        <v>3.8</v>
      </c>
      <c r="G20" s="64">
        <v>80.28</v>
      </c>
      <c r="H20" s="64">
        <v>29.31</v>
      </c>
      <c r="I20" s="64">
        <v>6.2</v>
      </c>
      <c r="J20" s="64">
        <v>0.03</v>
      </c>
      <c r="K20" s="64">
        <v>228.56</v>
      </c>
      <c r="L20" s="64">
        <v>25.9</v>
      </c>
      <c r="M20" s="64">
        <v>60.58</v>
      </c>
      <c r="N20" s="64">
        <v>46.2</v>
      </c>
      <c r="O20" s="64">
        <v>0</v>
      </c>
      <c r="P20" s="64">
        <v>0.54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6" t="s">
        <v>1698</v>
      </c>
      <c r="B21" s="64">
        <v>2.2200000000000002</v>
      </c>
      <c r="C21" s="64">
        <v>9.0399999999999991</v>
      </c>
      <c r="D21" s="64">
        <v>11.17</v>
      </c>
      <c r="E21" s="64">
        <v>1.69</v>
      </c>
      <c r="F21" s="64">
        <v>4.3499999999999996</v>
      </c>
      <c r="G21" s="64">
        <v>80.47</v>
      </c>
      <c r="H21" s="64">
        <v>28.87</v>
      </c>
      <c r="I21" s="64">
        <v>6.18</v>
      </c>
      <c r="J21" s="64">
        <v>0.1</v>
      </c>
      <c r="K21" s="64">
        <v>186.73</v>
      </c>
      <c r="L21" s="64">
        <v>25.68</v>
      </c>
      <c r="M21" s="64">
        <v>59.75</v>
      </c>
      <c r="N21" s="64">
        <v>48.2</v>
      </c>
      <c r="O21" s="64">
        <v>0</v>
      </c>
      <c r="P21" s="64">
        <v>0.53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6" t="s">
        <v>1699</v>
      </c>
      <c r="B22" s="64">
        <v>2.2000000000000002</v>
      </c>
      <c r="C22" s="64">
        <v>9.0500000000000007</v>
      </c>
      <c r="D22" s="64">
        <v>11.15</v>
      </c>
      <c r="E22" s="64">
        <v>1.68</v>
      </c>
      <c r="F22" s="64">
        <v>4.2699999999999996</v>
      </c>
      <c r="G22" s="64">
        <v>80.47</v>
      </c>
      <c r="H22" s="64">
        <v>28.87</v>
      </c>
      <c r="I22" s="64">
        <v>6.2</v>
      </c>
      <c r="J22" s="64">
        <v>0.12</v>
      </c>
      <c r="K22" s="64">
        <v>322.82</v>
      </c>
      <c r="L22" s="64">
        <v>25.55</v>
      </c>
      <c r="M22" s="64">
        <v>62.22</v>
      </c>
      <c r="N22" s="64">
        <v>50.2</v>
      </c>
      <c r="O22" s="64">
        <v>0</v>
      </c>
      <c r="P22" s="64">
        <v>0.52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6" t="s">
        <v>1700</v>
      </c>
      <c r="B23" s="64">
        <v>2.2000000000000002</v>
      </c>
      <c r="C23" s="64">
        <v>8.44</v>
      </c>
      <c r="D23" s="64">
        <v>10.54</v>
      </c>
      <c r="E23" s="64">
        <v>1.47</v>
      </c>
      <c r="F23" s="64">
        <v>4.1399999999999997</v>
      </c>
      <c r="G23" s="64">
        <v>80.47</v>
      </c>
      <c r="H23" s="64">
        <v>28.87</v>
      </c>
      <c r="I23" s="64">
        <v>6.21</v>
      </c>
      <c r="J23" s="64">
        <v>0.14000000000000001</v>
      </c>
      <c r="K23" s="64">
        <v>113.9</v>
      </c>
      <c r="L23" s="64">
        <v>25.3</v>
      </c>
      <c r="M23" s="64">
        <v>62.2</v>
      </c>
      <c r="N23" s="64">
        <v>51.3</v>
      </c>
      <c r="O23" s="64">
        <v>0</v>
      </c>
      <c r="P23" s="64">
        <v>0.52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6" t="s">
        <v>1701</v>
      </c>
      <c r="B24" s="64">
        <v>2.2599999999999998</v>
      </c>
      <c r="C24" s="64">
        <v>7.92</v>
      </c>
      <c r="D24" s="64">
        <v>10.08</v>
      </c>
      <c r="E24" s="64">
        <v>0.62</v>
      </c>
      <c r="F24" s="64">
        <v>3</v>
      </c>
      <c r="G24" s="64">
        <v>64.44</v>
      </c>
      <c r="H24" s="64">
        <v>27.7</v>
      </c>
      <c r="I24" s="64">
        <v>6.19</v>
      </c>
      <c r="J24" s="64">
        <v>0.13</v>
      </c>
      <c r="K24" s="64">
        <v>305.57</v>
      </c>
      <c r="L24" s="64">
        <v>25.38</v>
      </c>
      <c r="M24" s="64">
        <v>67.010000000000005</v>
      </c>
      <c r="N24" s="64">
        <v>52.4</v>
      </c>
      <c r="O24" s="64">
        <v>0</v>
      </c>
      <c r="P24" s="64">
        <v>0.5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6" t="s">
        <v>1702</v>
      </c>
      <c r="B25" s="64">
        <v>2.4300000000000002</v>
      </c>
      <c r="C25" s="64">
        <v>6.23</v>
      </c>
      <c r="D25" s="64">
        <v>8.56</v>
      </c>
      <c r="E25" s="64">
        <v>0.28999999999999998</v>
      </c>
      <c r="F25" s="64">
        <v>3.58</v>
      </c>
      <c r="G25" s="64">
        <v>58.93</v>
      </c>
      <c r="H25" s="64">
        <v>27.29</v>
      </c>
      <c r="I25" s="64">
        <v>5.95</v>
      </c>
      <c r="J25" s="64">
        <v>0.23</v>
      </c>
      <c r="K25" s="64">
        <v>340.72</v>
      </c>
      <c r="L25" s="64">
        <v>25.22</v>
      </c>
      <c r="M25" s="64">
        <v>66.25</v>
      </c>
      <c r="N25" s="64">
        <v>52.8</v>
      </c>
      <c r="O25" s="64">
        <v>0</v>
      </c>
      <c r="P25" s="64">
        <v>0.49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6" t="s">
        <v>1703</v>
      </c>
      <c r="B26" s="64">
        <v>2.59</v>
      </c>
      <c r="C26" s="64">
        <v>5.75</v>
      </c>
      <c r="D26" s="64">
        <v>8.24</v>
      </c>
      <c r="E26" s="64">
        <v>0.2</v>
      </c>
      <c r="F26" s="64">
        <v>3.45</v>
      </c>
      <c r="G26" s="64">
        <v>58.93</v>
      </c>
      <c r="H26" s="64">
        <v>27.29</v>
      </c>
      <c r="I26" s="64">
        <v>5.6</v>
      </c>
      <c r="J26" s="64">
        <v>0.26</v>
      </c>
      <c r="K26" s="64">
        <v>358.11</v>
      </c>
      <c r="L26" s="64">
        <v>25.5</v>
      </c>
      <c r="M26" s="64">
        <v>62.69</v>
      </c>
      <c r="N26" s="64">
        <v>54.7</v>
      </c>
      <c r="O26" s="64">
        <v>0</v>
      </c>
      <c r="P26" s="64">
        <v>0.5</v>
      </c>
      <c r="Q26" s="64">
        <v>9.69</v>
      </c>
      <c r="R26" s="198"/>
      <c r="S26" s="198"/>
      <c r="T26" s="198"/>
      <c r="U26" s="198"/>
    </row>
    <row r="27" spans="1:21" s="12" customFormat="1" x14ac:dyDescent="0.25">
      <c r="A27" s="216" t="s">
        <v>1704</v>
      </c>
      <c r="B27" s="64">
        <v>2.83</v>
      </c>
      <c r="C27" s="64">
        <v>5.87</v>
      </c>
      <c r="D27" s="64">
        <v>8.6</v>
      </c>
      <c r="E27" s="64">
        <v>7.0000000000000007E-2</v>
      </c>
      <c r="F27" s="64">
        <v>3.15</v>
      </c>
      <c r="G27" s="64">
        <v>58.93</v>
      </c>
      <c r="H27" s="64">
        <v>27.29</v>
      </c>
      <c r="I27" s="64">
        <v>5.47</v>
      </c>
      <c r="J27" s="64">
        <v>0.28000000000000003</v>
      </c>
      <c r="K27" s="64">
        <v>55.36</v>
      </c>
      <c r="L27" s="64">
        <v>25.74</v>
      </c>
      <c r="M27" s="64">
        <v>59.86</v>
      </c>
      <c r="N27" s="64">
        <v>58.4</v>
      </c>
      <c r="O27" s="64">
        <v>0</v>
      </c>
      <c r="P27" s="64">
        <v>0.53</v>
      </c>
      <c r="Q27" s="64">
        <v>9.75</v>
      </c>
      <c r="R27" s="198"/>
      <c r="S27" s="198"/>
      <c r="T27" s="198"/>
      <c r="U27" s="198"/>
    </row>
    <row r="28" spans="1:21" s="12" customFormat="1" x14ac:dyDescent="0.25">
      <c r="A28" s="216" t="s">
        <v>1705</v>
      </c>
      <c r="B28" s="64">
        <v>3.13</v>
      </c>
      <c r="C28" s="64">
        <v>6.01</v>
      </c>
      <c r="D28" s="64">
        <v>9.0399999999999991</v>
      </c>
      <c r="E28" s="64">
        <v>0.44</v>
      </c>
      <c r="F28" s="64">
        <v>3.22</v>
      </c>
      <c r="G28" s="64">
        <v>87.84</v>
      </c>
      <c r="H28" s="64">
        <v>35.67</v>
      </c>
      <c r="I28" s="64">
        <v>6.01</v>
      </c>
      <c r="J28" s="64">
        <v>0.13</v>
      </c>
      <c r="K28" s="64">
        <v>69.97</v>
      </c>
      <c r="L28" s="64">
        <v>25.76</v>
      </c>
      <c r="M28" s="64">
        <v>58.46</v>
      </c>
      <c r="N28" s="64">
        <v>63.1</v>
      </c>
      <c r="O28" s="64">
        <v>0</v>
      </c>
      <c r="P28" s="64">
        <v>0.55000000000000004</v>
      </c>
      <c r="Q28" s="64">
        <v>9.81</v>
      </c>
      <c r="R28" s="198"/>
      <c r="S28" s="198"/>
      <c r="T28" s="198"/>
      <c r="U28" s="198"/>
    </row>
    <row r="29" spans="1:21" s="12" customFormat="1" x14ac:dyDescent="0.25">
      <c r="A29" s="216" t="s">
        <v>1706</v>
      </c>
      <c r="B29" s="64">
        <v>3.24</v>
      </c>
      <c r="C29" s="64">
        <v>6.09</v>
      </c>
      <c r="D29" s="64">
        <v>9.23</v>
      </c>
      <c r="E29" s="64">
        <v>0.51</v>
      </c>
      <c r="F29" s="64">
        <v>3.06</v>
      </c>
      <c r="G29" s="64">
        <v>97.76</v>
      </c>
      <c r="H29" s="64">
        <v>38.54</v>
      </c>
      <c r="I29" s="64">
        <v>6.73</v>
      </c>
      <c r="J29" s="64">
        <v>0.14000000000000001</v>
      </c>
      <c r="K29" s="64">
        <v>60.28</v>
      </c>
      <c r="L29" s="64">
        <v>25.65</v>
      </c>
      <c r="M29" s="64">
        <v>57.76</v>
      </c>
      <c r="N29" s="64">
        <v>75.3</v>
      </c>
      <c r="O29" s="64">
        <v>0</v>
      </c>
      <c r="P29" s="64">
        <v>0.56000000000000005</v>
      </c>
      <c r="Q29" s="64">
        <v>9.84</v>
      </c>
      <c r="R29" s="198"/>
      <c r="S29" s="198"/>
      <c r="T29" s="198"/>
      <c r="U29" s="198"/>
    </row>
    <row r="30" spans="1:21" s="12" customFormat="1" x14ac:dyDescent="0.25">
      <c r="A30" s="216" t="s">
        <v>1707</v>
      </c>
      <c r="B30" s="64">
        <v>3.19</v>
      </c>
      <c r="C30" s="64">
        <v>6.18</v>
      </c>
      <c r="D30" s="64">
        <v>9.27</v>
      </c>
      <c r="E30" s="64">
        <v>0.52</v>
      </c>
      <c r="F30" s="64">
        <v>3.1</v>
      </c>
      <c r="G30" s="64">
        <v>97.76</v>
      </c>
      <c r="H30" s="64">
        <v>38.54</v>
      </c>
      <c r="I30" s="64">
        <v>6.82</v>
      </c>
      <c r="J30" s="64">
        <v>0.34</v>
      </c>
      <c r="K30" s="64">
        <v>73.42</v>
      </c>
      <c r="L30" s="64">
        <v>25.59</v>
      </c>
      <c r="M30" s="64">
        <v>56.65</v>
      </c>
      <c r="N30" s="64">
        <v>78.099999999999994</v>
      </c>
      <c r="O30" s="64">
        <v>0</v>
      </c>
      <c r="P30" s="64">
        <v>0.55000000000000004</v>
      </c>
      <c r="Q30" s="64">
        <v>9.84</v>
      </c>
      <c r="R30" s="198"/>
      <c r="S30" s="198"/>
      <c r="T30" s="198"/>
      <c r="U30" s="198"/>
    </row>
    <row r="31" spans="1:21" s="12" customFormat="1" x14ac:dyDescent="0.25">
      <c r="A31" s="216" t="s">
        <v>1708</v>
      </c>
      <c r="B31" s="64">
        <v>3.19</v>
      </c>
      <c r="C31" s="64">
        <v>6.73</v>
      </c>
      <c r="D31" s="64">
        <v>9.82</v>
      </c>
      <c r="E31" s="64">
        <v>0.51</v>
      </c>
      <c r="F31" s="64">
        <v>3.15</v>
      </c>
      <c r="G31" s="64">
        <v>97.76</v>
      </c>
      <c r="H31" s="64">
        <v>38.54</v>
      </c>
      <c r="I31" s="64">
        <v>6.89</v>
      </c>
      <c r="J31" s="64">
        <v>0.61</v>
      </c>
      <c r="K31" s="64">
        <v>357.21</v>
      </c>
      <c r="L31" s="64">
        <v>25.7</v>
      </c>
      <c r="M31" s="64">
        <v>57.38</v>
      </c>
      <c r="N31" s="64">
        <v>65.2</v>
      </c>
      <c r="O31" s="64">
        <v>0</v>
      </c>
      <c r="P31" s="64">
        <v>0.56999999999999995</v>
      </c>
      <c r="Q31" s="64">
        <v>9.84</v>
      </c>
      <c r="R31" s="198"/>
      <c r="S31" s="198"/>
      <c r="T31" s="198"/>
      <c r="U31" s="198"/>
    </row>
    <row r="32" spans="1:21" s="12" customFormat="1" x14ac:dyDescent="0.25">
      <c r="A32" s="216" t="s">
        <v>1709</v>
      </c>
      <c r="B32" s="64">
        <v>3.39</v>
      </c>
      <c r="C32" s="64">
        <v>7.69</v>
      </c>
      <c r="D32" s="64">
        <v>10.98</v>
      </c>
      <c r="E32" s="64">
        <v>0.65</v>
      </c>
      <c r="F32" s="64">
        <v>2.96</v>
      </c>
      <c r="G32" s="64">
        <v>109.41</v>
      </c>
      <c r="H32" s="64">
        <v>41.85</v>
      </c>
      <c r="I32" s="64">
        <v>7.23</v>
      </c>
      <c r="J32" s="64">
        <v>0.4</v>
      </c>
      <c r="K32" s="64">
        <v>16.78</v>
      </c>
      <c r="L32" s="64">
        <v>25.66</v>
      </c>
      <c r="M32" s="64">
        <v>58.7</v>
      </c>
      <c r="N32" s="64">
        <v>62.6</v>
      </c>
      <c r="O32" s="64">
        <v>0</v>
      </c>
      <c r="P32" s="64">
        <v>0.59</v>
      </c>
      <c r="Q32" s="64">
        <v>9.7899999999999991</v>
      </c>
      <c r="R32" s="198"/>
      <c r="S32" s="198"/>
      <c r="T32" s="198"/>
      <c r="U32" s="198"/>
    </row>
    <row r="33" spans="1:21" s="12" customFormat="1" x14ac:dyDescent="0.25">
      <c r="A33" s="216" t="s">
        <v>1710</v>
      </c>
      <c r="B33" s="64">
        <v>3.51</v>
      </c>
      <c r="C33" s="64">
        <v>8.44</v>
      </c>
      <c r="D33" s="64">
        <v>11.85</v>
      </c>
      <c r="E33" s="64">
        <v>0.55000000000000004</v>
      </c>
      <c r="F33" s="64">
        <v>3.35</v>
      </c>
      <c r="G33" s="64">
        <v>113.41</v>
      </c>
      <c r="H33" s="64">
        <v>42.99</v>
      </c>
      <c r="I33" s="64">
        <v>7.72</v>
      </c>
      <c r="J33" s="64">
        <v>0.4</v>
      </c>
      <c r="K33" s="64">
        <v>90.3</v>
      </c>
      <c r="L33" s="64">
        <v>25.52</v>
      </c>
      <c r="M33" s="64">
        <v>59.33</v>
      </c>
      <c r="N33" s="64">
        <v>72.7</v>
      </c>
      <c r="O33" s="64">
        <v>0</v>
      </c>
      <c r="P33" s="64">
        <v>0.61</v>
      </c>
      <c r="Q33" s="64">
        <v>9.84</v>
      </c>
      <c r="R33" s="198"/>
      <c r="S33" s="198"/>
      <c r="T33" s="198"/>
      <c r="U33" s="198"/>
    </row>
    <row r="34" spans="1:21" s="12" customFormat="1" x14ac:dyDescent="0.25">
      <c r="A34" s="216" t="s">
        <v>1711</v>
      </c>
      <c r="B34" s="64">
        <v>3.54</v>
      </c>
      <c r="C34" s="64">
        <v>8.81</v>
      </c>
      <c r="D34" s="64">
        <v>12.25</v>
      </c>
      <c r="E34" s="64">
        <v>0.14000000000000001</v>
      </c>
      <c r="F34" s="64">
        <v>3.68</v>
      </c>
      <c r="G34" s="64">
        <v>113.41</v>
      </c>
      <c r="H34" s="64">
        <v>42.99</v>
      </c>
      <c r="I34" s="64">
        <v>8.1</v>
      </c>
      <c r="J34" s="64">
        <v>0.2</v>
      </c>
      <c r="K34" s="64">
        <v>65.239999999999995</v>
      </c>
      <c r="L34" s="64">
        <v>25.57</v>
      </c>
      <c r="M34" s="64">
        <v>58.37</v>
      </c>
      <c r="N34" s="64">
        <v>87.1</v>
      </c>
      <c r="O34" s="64">
        <v>0</v>
      </c>
      <c r="P34" s="64">
        <v>0.62</v>
      </c>
      <c r="Q34" s="64">
        <v>9.86</v>
      </c>
      <c r="R34" s="198"/>
      <c r="S34" s="198"/>
      <c r="T34" s="198"/>
      <c r="U34" s="198"/>
    </row>
    <row r="35" spans="1:21" s="12" customFormat="1" x14ac:dyDescent="0.25">
      <c r="A35" s="216" t="s">
        <v>1712</v>
      </c>
      <c r="B35" s="64">
        <v>3.46</v>
      </c>
      <c r="C35" s="64">
        <v>8.5</v>
      </c>
      <c r="D35" s="64">
        <v>11.86</v>
      </c>
      <c r="E35" s="64">
        <v>0.37</v>
      </c>
      <c r="F35" s="64">
        <v>3.21</v>
      </c>
      <c r="G35" s="64">
        <v>113.41</v>
      </c>
      <c r="H35" s="64">
        <v>42.99</v>
      </c>
      <c r="I35" s="64">
        <v>7.96</v>
      </c>
      <c r="J35" s="64">
        <v>0.26</v>
      </c>
      <c r="K35" s="64">
        <v>75.97</v>
      </c>
      <c r="L35" s="64">
        <v>25.84</v>
      </c>
      <c r="M35" s="64">
        <v>56.74</v>
      </c>
      <c r="N35" s="64">
        <v>110.3</v>
      </c>
      <c r="O35" s="64">
        <v>0</v>
      </c>
      <c r="P35" s="64">
        <v>0.62</v>
      </c>
      <c r="Q35" s="64">
        <v>9.85</v>
      </c>
      <c r="R35" s="198"/>
      <c r="S35" s="198"/>
      <c r="T35" s="198"/>
      <c r="U35" s="198"/>
    </row>
    <row r="36" spans="1:21" s="12" customFormat="1" x14ac:dyDescent="0.25">
      <c r="A36" s="216" t="s">
        <v>1713</v>
      </c>
      <c r="B36" s="64">
        <v>3.38</v>
      </c>
      <c r="C36" s="64">
        <v>8.01</v>
      </c>
      <c r="D36" s="64">
        <v>11.29</v>
      </c>
      <c r="E36" s="64">
        <v>0.39</v>
      </c>
      <c r="F36" s="64">
        <v>3.43</v>
      </c>
      <c r="G36" s="64">
        <v>116.21</v>
      </c>
      <c r="H36" s="64">
        <v>42.95</v>
      </c>
      <c r="I36" s="64">
        <v>7.94</v>
      </c>
      <c r="J36" s="64">
        <v>0.17</v>
      </c>
      <c r="K36" s="64">
        <v>51.69</v>
      </c>
      <c r="L36" s="64">
        <v>26.29</v>
      </c>
      <c r="M36" s="64">
        <v>55.76</v>
      </c>
      <c r="N36" s="64">
        <v>137.9</v>
      </c>
      <c r="O36" s="64">
        <v>0</v>
      </c>
      <c r="P36" s="64">
        <v>0.63</v>
      </c>
      <c r="Q36" s="64">
        <v>9.8800000000000008</v>
      </c>
      <c r="R36" s="198"/>
      <c r="S36" s="198"/>
      <c r="T36" s="198"/>
      <c r="U36" s="198"/>
    </row>
    <row r="37" spans="1:21" s="12" customFormat="1" x14ac:dyDescent="0.25">
      <c r="A37" s="216" t="s">
        <v>1714</v>
      </c>
      <c r="B37" s="64">
        <v>3.29</v>
      </c>
      <c r="C37" s="64">
        <v>8.0399999999999991</v>
      </c>
      <c r="D37" s="64">
        <v>11.23</v>
      </c>
      <c r="E37" s="64">
        <v>0.33</v>
      </c>
      <c r="F37" s="64">
        <v>3.44</v>
      </c>
      <c r="G37" s="64">
        <v>117.17</v>
      </c>
      <c r="H37" s="64">
        <v>42.93</v>
      </c>
      <c r="I37" s="64">
        <v>7.83</v>
      </c>
      <c r="J37" s="64">
        <v>0.3</v>
      </c>
      <c r="K37" s="64">
        <v>90.1</v>
      </c>
      <c r="L37" s="64">
        <v>26.68</v>
      </c>
      <c r="M37" s="64">
        <v>54.82</v>
      </c>
      <c r="N37" s="64">
        <v>154.5</v>
      </c>
      <c r="O37" s="64">
        <v>0</v>
      </c>
      <c r="P37" s="64">
        <v>0.55000000000000004</v>
      </c>
      <c r="Q37" s="64">
        <v>9.92</v>
      </c>
      <c r="R37" s="198"/>
      <c r="S37" s="198"/>
      <c r="T37" s="198"/>
      <c r="U37" s="198"/>
    </row>
    <row r="38" spans="1:21" s="12" customFormat="1" x14ac:dyDescent="0.25">
      <c r="A38" s="216" t="s">
        <v>1715</v>
      </c>
      <c r="B38" s="64">
        <v>3.09</v>
      </c>
      <c r="C38" s="64">
        <v>7.96</v>
      </c>
      <c r="D38" s="64">
        <v>10.96</v>
      </c>
      <c r="E38" s="64">
        <v>0.56000000000000005</v>
      </c>
      <c r="F38" s="64">
        <v>3.72</v>
      </c>
      <c r="G38" s="64">
        <v>117.17</v>
      </c>
      <c r="H38" s="64">
        <v>42.93</v>
      </c>
      <c r="I38" s="64">
        <v>7.68</v>
      </c>
      <c r="J38" s="64">
        <v>0.8</v>
      </c>
      <c r="K38" s="64">
        <v>92.09</v>
      </c>
      <c r="L38" s="64">
        <v>26.63</v>
      </c>
      <c r="M38" s="64">
        <v>54.1</v>
      </c>
      <c r="N38" s="64">
        <v>204.1</v>
      </c>
      <c r="O38" s="64">
        <v>0</v>
      </c>
      <c r="P38" s="64">
        <v>0.57999999999999996</v>
      </c>
      <c r="Q38" s="64">
        <v>9.91</v>
      </c>
      <c r="R38" s="198"/>
      <c r="S38" s="198"/>
      <c r="T38" s="198"/>
      <c r="U38" s="198"/>
    </row>
    <row r="39" spans="1:21" s="12" customFormat="1" x14ac:dyDescent="0.25">
      <c r="A39" s="216" t="s">
        <v>1716</v>
      </c>
      <c r="B39" s="64">
        <v>2.81</v>
      </c>
      <c r="C39" s="64">
        <v>7.58</v>
      </c>
      <c r="D39" s="64">
        <v>10.29</v>
      </c>
      <c r="E39" s="64">
        <v>0.41</v>
      </c>
      <c r="F39" s="64">
        <v>3.62</v>
      </c>
      <c r="G39" s="64">
        <v>117.17</v>
      </c>
      <c r="H39" s="64">
        <v>42.93</v>
      </c>
      <c r="I39" s="64">
        <v>7.83</v>
      </c>
      <c r="J39" s="64">
        <v>0.56999999999999995</v>
      </c>
      <c r="K39" s="64">
        <v>89.17</v>
      </c>
      <c r="L39" s="64">
        <v>27.04</v>
      </c>
      <c r="M39" s="64">
        <v>54.13</v>
      </c>
      <c r="N39" s="64">
        <v>270.60000000000002</v>
      </c>
      <c r="O39" s="64">
        <v>0</v>
      </c>
      <c r="P39" s="64">
        <v>0.56999999999999995</v>
      </c>
      <c r="Q39" s="64">
        <v>9.85</v>
      </c>
      <c r="R39" s="198"/>
      <c r="S39" s="198"/>
      <c r="T39" s="198"/>
      <c r="U39" s="198"/>
    </row>
    <row r="40" spans="1:21" s="12" customFormat="1" x14ac:dyDescent="0.25">
      <c r="A40" s="216" t="s">
        <v>1717</v>
      </c>
      <c r="B40" s="64">
        <v>2.58</v>
      </c>
      <c r="C40" s="64">
        <v>7.46</v>
      </c>
      <c r="D40" s="64">
        <v>9.93</v>
      </c>
      <c r="E40" s="64">
        <v>0.97</v>
      </c>
      <c r="F40" s="64">
        <v>3.23</v>
      </c>
      <c r="G40" s="64">
        <v>86.84</v>
      </c>
      <c r="H40" s="64">
        <v>39.549999999999997</v>
      </c>
      <c r="I40" s="64">
        <v>7.81</v>
      </c>
      <c r="J40" s="64">
        <v>0.54</v>
      </c>
      <c r="K40" s="64">
        <v>97.86</v>
      </c>
      <c r="L40" s="64">
        <v>27.48</v>
      </c>
      <c r="M40" s="64">
        <v>54.14</v>
      </c>
      <c r="N40" s="64">
        <v>270.39999999999998</v>
      </c>
      <c r="O40" s="64">
        <v>0</v>
      </c>
      <c r="P40" s="64">
        <v>0.56000000000000005</v>
      </c>
      <c r="Q40" s="64">
        <v>9.85</v>
      </c>
      <c r="R40" s="198"/>
      <c r="S40" s="198"/>
      <c r="T40" s="198"/>
      <c r="U40" s="198"/>
    </row>
    <row r="41" spans="1:21" s="12" customFormat="1" x14ac:dyDescent="0.25">
      <c r="A41" s="216" t="s">
        <v>1718</v>
      </c>
      <c r="B41" s="64">
        <v>2.36</v>
      </c>
      <c r="C41" s="64">
        <v>7.06</v>
      </c>
      <c r="D41" s="64">
        <v>9.32</v>
      </c>
      <c r="E41" s="64">
        <v>0.91</v>
      </c>
      <c r="F41" s="64">
        <v>3.9</v>
      </c>
      <c r="G41" s="64">
        <v>76.430000000000007</v>
      </c>
      <c r="H41" s="64">
        <v>38.4</v>
      </c>
      <c r="I41" s="64">
        <v>7.76</v>
      </c>
      <c r="J41" s="64">
        <v>1.02</v>
      </c>
      <c r="K41" s="64">
        <v>97.02</v>
      </c>
      <c r="L41" s="64">
        <v>27.54</v>
      </c>
      <c r="M41" s="64">
        <v>53.26</v>
      </c>
      <c r="N41" s="64">
        <v>263.60000000000002</v>
      </c>
      <c r="O41" s="64">
        <v>0</v>
      </c>
      <c r="P41" s="64">
        <v>0.54</v>
      </c>
      <c r="Q41" s="64">
        <v>9.82</v>
      </c>
      <c r="R41" s="198"/>
      <c r="S41" s="198"/>
      <c r="T41" s="198"/>
      <c r="U41" s="198"/>
    </row>
    <row r="42" spans="1:21" s="12" customFormat="1" x14ac:dyDescent="0.25">
      <c r="A42" s="216" t="s">
        <v>1719</v>
      </c>
      <c r="B42" s="64">
        <v>2.16</v>
      </c>
      <c r="C42" s="64">
        <v>7.11</v>
      </c>
      <c r="D42" s="64">
        <v>9.16</v>
      </c>
      <c r="E42" s="64">
        <v>0.74</v>
      </c>
      <c r="F42" s="64">
        <v>3.85</v>
      </c>
      <c r="G42" s="64">
        <v>76.430000000000007</v>
      </c>
      <c r="H42" s="64">
        <v>38.4</v>
      </c>
      <c r="I42" s="64">
        <v>7.79</v>
      </c>
      <c r="J42" s="64">
        <v>1.1299999999999999</v>
      </c>
      <c r="K42" s="64">
        <v>96.04</v>
      </c>
      <c r="L42" s="64">
        <v>27.73</v>
      </c>
      <c r="M42" s="64">
        <v>52.83</v>
      </c>
      <c r="N42" s="64">
        <v>361.3</v>
      </c>
      <c r="O42" s="64">
        <v>0</v>
      </c>
      <c r="P42" s="64">
        <v>0.54</v>
      </c>
      <c r="Q42" s="64">
        <v>9.83</v>
      </c>
      <c r="R42" s="198"/>
      <c r="S42" s="198"/>
      <c r="T42" s="198"/>
      <c r="U42" s="198"/>
    </row>
    <row r="43" spans="1:21" s="12" customFormat="1" x14ac:dyDescent="0.25">
      <c r="A43" s="216" t="s">
        <v>1720</v>
      </c>
      <c r="B43" s="64">
        <v>2.0099999999999998</v>
      </c>
      <c r="C43" s="64">
        <v>6.73</v>
      </c>
      <c r="D43" s="64">
        <v>8.64</v>
      </c>
      <c r="E43" s="64">
        <v>1.1100000000000001</v>
      </c>
      <c r="F43" s="64">
        <v>3.7</v>
      </c>
      <c r="G43" s="64">
        <v>76.430000000000007</v>
      </c>
      <c r="H43" s="64">
        <v>38.4</v>
      </c>
      <c r="I43" s="64">
        <v>7.86</v>
      </c>
      <c r="J43" s="64">
        <v>1.1200000000000001</v>
      </c>
      <c r="K43" s="64">
        <v>96.27</v>
      </c>
      <c r="L43" s="64">
        <v>28.14</v>
      </c>
      <c r="M43" s="64">
        <v>50.97</v>
      </c>
      <c r="N43" s="64">
        <v>384.6</v>
      </c>
      <c r="O43" s="64">
        <v>0</v>
      </c>
      <c r="P43" s="64">
        <v>0.52</v>
      </c>
      <c r="Q43" s="64">
        <v>9.82</v>
      </c>
      <c r="R43" s="198"/>
      <c r="S43" s="198"/>
      <c r="T43" s="198"/>
      <c r="U43" s="198"/>
    </row>
    <row r="44" spans="1:21" s="12" customFormat="1" x14ac:dyDescent="0.25">
      <c r="A44" s="216" t="s">
        <v>1721</v>
      </c>
      <c r="B44" s="64">
        <v>1.91</v>
      </c>
      <c r="C44" s="64">
        <v>6.55</v>
      </c>
      <c r="D44" s="64">
        <v>8.36</v>
      </c>
      <c r="E44" s="64">
        <v>0.85</v>
      </c>
      <c r="F44" s="64">
        <v>3.43</v>
      </c>
      <c r="G44" s="64">
        <v>68.27</v>
      </c>
      <c r="H44" s="64">
        <v>33.299999999999997</v>
      </c>
      <c r="I44" s="64">
        <v>8.08</v>
      </c>
      <c r="J44" s="64">
        <v>1.4</v>
      </c>
      <c r="K44" s="64">
        <v>98.42</v>
      </c>
      <c r="L44" s="64">
        <v>28.22</v>
      </c>
      <c r="M44" s="64">
        <v>50.15</v>
      </c>
      <c r="N44" s="64">
        <v>373</v>
      </c>
      <c r="O44" s="64">
        <v>0</v>
      </c>
      <c r="P44" s="64">
        <v>0.51</v>
      </c>
      <c r="Q44" s="64">
        <v>9.82</v>
      </c>
      <c r="R44" s="198"/>
      <c r="S44" s="198"/>
      <c r="T44" s="198"/>
      <c r="U44" s="198"/>
    </row>
    <row r="45" spans="1:21" s="12" customFormat="1" x14ac:dyDescent="0.25">
      <c r="A45" s="216" t="s">
        <v>1722</v>
      </c>
      <c r="B45" s="64">
        <v>1.8</v>
      </c>
      <c r="C45" s="64">
        <v>6.25</v>
      </c>
      <c r="D45" s="64">
        <v>7.95</v>
      </c>
      <c r="E45" s="64">
        <v>0.85</v>
      </c>
      <c r="F45" s="64">
        <v>4.04</v>
      </c>
      <c r="G45" s="64">
        <v>65.47</v>
      </c>
      <c r="H45" s="64">
        <v>31.55</v>
      </c>
      <c r="I45" s="64">
        <v>8.43</v>
      </c>
      <c r="J45" s="64">
        <v>0.92</v>
      </c>
      <c r="K45" s="64">
        <v>107.49</v>
      </c>
      <c r="L45" s="64">
        <v>28.77</v>
      </c>
      <c r="M45" s="64">
        <v>50.97</v>
      </c>
      <c r="N45" s="64">
        <v>395.8</v>
      </c>
      <c r="O45" s="64">
        <v>0</v>
      </c>
      <c r="P45" s="64">
        <v>0.49</v>
      </c>
      <c r="Q45" s="64">
        <v>9.8000000000000007</v>
      </c>
      <c r="R45" s="198"/>
      <c r="S45" s="198"/>
      <c r="T45" s="198"/>
      <c r="U45" s="198"/>
    </row>
    <row r="46" spans="1:21" s="12" customFormat="1" x14ac:dyDescent="0.25">
      <c r="A46" s="216" t="s">
        <v>1723</v>
      </c>
      <c r="B46" s="64">
        <v>1.72</v>
      </c>
      <c r="C46" s="64">
        <v>6.03</v>
      </c>
      <c r="D46" s="64">
        <v>7.64</v>
      </c>
      <c r="E46" s="64">
        <v>0.78</v>
      </c>
      <c r="F46" s="64">
        <v>4.33</v>
      </c>
      <c r="G46" s="64">
        <v>65.47</v>
      </c>
      <c r="H46" s="64">
        <v>31.55</v>
      </c>
      <c r="I46" s="64">
        <v>8.77</v>
      </c>
      <c r="J46" s="64">
        <v>0.53</v>
      </c>
      <c r="K46" s="64">
        <v>97.77</v>
      </c>
      <c r="L46" s="64">
        <v>29.69</v>
      </c>
      <c r="M46" s="64">
        <v>47.83</v>
      </c>
      <c r="N46" s="64">
        <v>480.8</v>
      </c>
      <c r="O46" s="64">
        <v>0</v>
      </c>
      <c r="P46" s="64">
        <v>0.48</v>
      </c>
      <c r="Q46" s="64">
        <v>9.77</v>
      </c>
      <c r="R46" s="198"/>
      <c r="S46" s="198"/>
      <c r="T46" s="198"/>
      <c r="U46" s="198"/>
    </row>
    <row r="47" spans="1:21" s="12" customFormat="1" x14ac:dyDescent="0.25">
      <c r="A47" s="216" t="s">
        <v>1724</v>
      </c>
      <c r="B47" s="64">
        <v>1.68</v>
      </c>
      <c r="C47" s="64">
        <v>5.67</v>
      </c>
      <c r="D47" s="64">
        <v>7.24</v>
      </c>
      <c r="E47" s="64">
        <v>1.01</v>
      </c>
      <c r="F47" s="64">
        <v>4.25</v>
      </c>
      <c r="G47" s="64">
        <v>65.47</v>
      </c>
      <c r="H47" s="64">
        <v>31.55</v>
      </c>
      <c r="I47" s="64">
        <v>8.82</v>
      </c>
      <c r="J47" s="64">
        <v>0.39</v>
      </c>
      <c r="K47" s="64">
        <v>98.06</v>
      </c>
      <c r="L47" s="64">
        <v>30.71</v>
      </c>
      <c r="M47" s="64">
        <v>44.58</v>
      </c>
      <c r="N47" s="64">
        <v>553</v>
      </c>
      <c r="O47" s="64">
        <v>0</v>
      </c>
      <c r="P47" s="64">
        <v>0.48</v>
      </c>
      <c r="Q47" s="64">
        <v>9.74</v>
      </c>
      <c r="R47" s="198"/>
      <c r="S47" s="198"/>
      <c r="T47" s="198"/>
      <c r="U47" s="198"/>
    </row>
    <row r="48" spans="1:21" s="12" customFormat="1" x14ac:dyDescent="0.25">
      <c r="A48" s="216" t="s">
        <v>1725</v>
      </c>
      <c r="B48" s="64">
        <v>1.62</v>
      </c>
      <c r="C48" s="64">
        <v>5.7</v>
      </c>
      <c r="D48" s="64">
        <v>7.22</v>
      </c>
      <c r="E48" s="64">
        <v>1.05</v>
      </c>
      <c r="F48" s="64">
        <v>4.09</v>
      </c>
      <c r="G48" s="64">
        <v>58.16</v>
      </c>
      <c r="H48" s="64">
        <v>30.37</v>
      </c>
      <c r="I48" s="64">
        <v>8.64</v>
      </c>
      <c r="J48" s="64">
        <v>0.48</v>
      </c>
      <c r="K48" s="64">
        <v>99.65</v>
      </c>
      <c r="L48" s="64">
        <v>31.59</v>
      </c>
      <c r="M48" s="64">
        <v>41.64</v>
      </c>
      <c r="N48" s="64">
        <v>771.8</v>
      </c>
      <c r="O48" s="64">
        <v>0</v>
      </c>
      <c r="P48" s="64">
        <v>0.47</v>
      </c>
      <c r="Q48" s="64">
        <v>9.74</v>
      </c>
      <c r="R48" s="198"/>
      <c r="S48" s="198"/>
      <c r="T48" s="198"/>
      <c r="U48" s="198"/>
    </row>
    <row r="49" spans="1:21" s="12" customFormat="1" x14ac:dyDescent="0.25">
      <c r="A49" s="216" t="s">
        <v>1726</v>
      </c>
      <c r="B49" s="64">
        <v>1.59</v>
      </c>
      <c r="C49" s="64">
        <v>5.67</v>
      </c>
      <c r="D49" s="64">
        <v>7.16</v>
      </c>
      <c r="E49" s="64">
        <v>1.1599999999999999</v>
      </c>
      <c r="F49" s="64">
        <v>4.12</v>
      </c>
      <c r="G49" s="64">
        <v>55.66</v>
      </c>
      <c r="H49" s="64">
        <v>29.96</v>
      </c>
      <c r="I49" s="64">
        <v>8.51</v>
      </c>
      <c r="J49" s="64">
        <v>0.49</v>
      </c>
      <c r="K49" s="64">
        <v>127.05</v>
      </c>
      <c r="L49" s="64">
        <v>32.479999999999997</v>
      </c>
      <c r="M49" s="64">
        <v>39.86</v>
      </c>
      <c r="N49" s="64">
        <v>782.7</v>
      </c>
      <c r="O49" s="64">
        <v>0</v>
      </c>
      <c r="P49" s="64">
        <v>0.47</v>
      </c>
      <c r="Q49" s="64">
        <v>9.7200000000000006</v>
      </c>
      <c r="R49" s="198"/>
      <c r="S49" s="198"/>
      <c r="T49" s="198"/>
      <c r="U49" s="198"/>
    </row>
    <row r="50" spans="1:21" s="12" customFormat="1" x14ac:dyDescent="0.25">
      <c r="A50" s="216" t="s">
        <v>1727</v>
      </c>
      <c r="B50" s="64">
        <v>1.54</v>
      </c>
      <c r="C50" s="64">
        <v>6</v>
      </c>
      <c r="D50" s="64">
        <v>7.44</v>
      </c>
      <c r="E50" s="64">
        <v>1.1399999999999999</v>
      </c>
      <c r="F50" s="64">
        <v>5.54</v>
      </c>
      <c r="G50" s="64">
        <v>55.66</v>
      </c>
      <c r="H50" s="64">
        <v>29.96</v>
      </c>
      <c r="I50" s="64">
        <v>8.61</v>
      </c>
      <c r="J50" s="64">
        <v>0.27</v>
      </c>
      <c r="K50" s="64">
        <v>145.36000000000001</v>
      </c>
      <c r="L50" s="64">
        <v>33.049999999999997</v>
      </c>
      <c r="M50" s="64">
        <v>38.89</v>
      </c>
      <c r="N50" s="64">
        <v>707.9</v>
      </c>
      <c r="O50" s="64">
        <v>0</v>
      </c>
      <c r="P50" s="64">
        <v>0.46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6" t="s">
        <v>1728</v>
      </c>
      <c r="B51" s="64">
        <v>1.34</v>
      </c>
      <c r="C51" s="64">
        <v>7.08</v>
      </c>
      <c r="D51" s="64">
        <v>8.33</v>
      </c>
      <c r="E51" s="64">
        <v>1.64</v>
      </c>
      <c r="F51" s="64">
        <v>13.43</v>
      </c>
      <c r="G51" s="64">
        <v>55.66</v>
      </c>
      <c r="H51" s="64">
        <v>29.96</v>
      </c>
      <c r="I51" s="64">
        <v>8.69</v>
      </c>
      <c r="J51" s="64">
        <v>0.11</v>
      </c>
      <c r="K51" s="64">
        <v>154.99</v>
      </c>
      <c r="L51" s="64">
        <v>33.82</v>
      </c>
      <c r="M51" s="64">
        <v>37.200000000000003</v>
      </c>
      <c r="N51" s="64">
        <v>858.9</v>
      </c>
      <c r="O51" s="64">
        <v>0</v>
      </c>
      <c r="P51" s="64">
        <v>0.49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6" t="s">
        <v>1729</v>
      </c>
      <c r="B52" s="64">
        <v>1.2</v>
      </c>
      <c r="C52" s="64">
        <v>7.35</v>
      </c>
      <c r="D52" s="64">
        <v>8.4499999999999993</v>
      </c>
      <c r="E52" s="64">
        <v>1.51</v>
      </c>
      <c r="F52" s="64">
        <v>11.52</v>
      </c>
      <c r="G52" s="64">
        <v>35.950000000000003</v>
      </c>
      <c r="H52" s="64">
        <v>26.7</v>
      </c>
      <c r="I52" s="64">
        <v>8.07</v>
      </c>
      <c r="J52" s="64">
        <v>0.02</v>
      </c>
      <c r="K52" s="64">
        <v>263.31</v>
      </c>
      <c r="L52" s="64">
        <v>35.43</v>
      </c>
      <c r="M52" s="64">
        <v>35.07</v>
      </c>
      <c r="N52" s="64">
        <v>866.3</v>
      </c>
      <c r="O52" s="64">
        <v>0</v>
      </c>
      <c r="P52" s="64">
        <v>0.46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6" t="s">
        <v>1730</v>
      </c>
      <c r="B53" s="64">
        <v>1.26</v>
      </c>
      <c r="C53" s="64">
        <v>7.74</v>
      </c>
      <c r="D53" s="64">
        <v>8.9</v>
      </c>
      <c r="E53" s="64">
        <v>1.28</v>
      </c>
      <c r="F53" s="64">
        <v>7.93</v>
      </c>
      <c r="G53" s="64">
        <v>29.18</v>
      </c>
      <c r="H53" s="64">
        <v>25.59</v>
      </c>
      <c r="I53" s="64">
        <v>6.89</v>
      </c>
      <c r="J53" s="64">
        <v>0.31</v>
      </c>
      <c r="K53" s="64">
        <v>181.44</v>
      </c>
      <c r="L53" s="64">
        <v>34.64</v>
      </c>
      <c r="M53" s="64">
        <v>35.76</v>
      </c>
      <c r="N53" s="64">
        <v>907.9</v>
      </c>
      <c r="O53" s="64">
        <v>0</v>
      </c>
      <c r="P53" s="64">
        <v>0.45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6" t="s">
        <v>1731</v>
      </c>
      <c r="B54" s="64">
        <v>1.3</v>
      </c>
      <c r="C54" s="64">
        <v>7.25</v>
      </c>
      <c r="D54" s="64">
        <v>8.4499999999999993</v>
      </c>
      <c r="E54" s="64">
        <v>1.1100000000000001</v>
      </c>
      <c r="F54" s="64">
        <v>6.38</v>
      </c>
      <c r="G54" s="64">
        <v>29.18</v>
      </c>
      <c r="H54" s="64">
        <v>25.59</v>
      </c>
      <c r="I54" s="64">
        <v>6.02</v>
      </c>
      <c r="J54" s="64">
        <v>0.35</v>
      </c>
      <c r="K54" s="64">
        <v>169.53</v>
      </c>
      <c r="L54" s="64">
        <v>34.26</v>
      </c>
      <c r="M54" s="64">
        <v>35.119999999999997</v>
      </c>
      <c r="N54" s="64">
        <v>799.5</v>
      </c>
      <c r="O54" s="64">
        <v>0</v>
      </c>
      <c r="P54" s="64">
        <v>0.44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6" t="s">
        <v>1732</v>
      </c>
      <c r="B55" s="64">
        <v>1.36</v>
      </c>
      <c r="C55" s="64">
        <v>7.15</v>
      </c>
      <c r="D55" s="64">
        <v>8.42</v>
      </c>
      <c r="E55" s="64">
        <v>0.9</v>
      </c>
      <c r="F55" s="64">
        <v>5.38</v>
      </c>
      <c r="G55" s="64">
        <v>29.18</v>
      </c>
      <c r="H55" s="64">
        <v>25.59</v>
      </c>
      <c r="I55" s="64">
        <v>5.68</v>
      </c>
      <c r="J55" s="64">
        <v>0.16</v>
      </c>
      <c r="K55" s="64">
        <v>146.99</v>
      </c>
      <c r="L55" s="64">
        <v>34.270000000000003</v>
      </c>
      <c r="M55" s="64">
        <v>35.18</v>
      </c>
      <c r="N55" s="64">
        <v>725.9</v>
      </c>
      <c r="O55" s="64">
        <v>0</v>
      </c>
      <c r="P55" s="64">
        <v>0.42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6" t="s">
        <v>1733</v>
      </c>
      <c r="B56" s="64">
        <v>1.4</v>
      </c>
      <c r="C56" s="64">
        <v>7.05</v>
      </c>
      <c r="D56" s="64">
        <v>8.35</v>
      </c>
      <c r="E56" s="64">
        <v>1.07</v>
      </c>
      <c r="F56" s="64">
        <v>5.18</v>
      </c>
      <c r="G56" s="64">
        <v>50.94</v>
      </c>
      <c r="H56" s="64">
        <v>24.01</v>
      </c>
      <c r="I56" s="64">
        <v>5.65</v>
      </c>
      <c r="J56" s="64">
        <v>0.08</v>
      </c>
      <c r="K56" s="64">
        <v>339.53</v>
      </c>
      <c r="L56" s="64">
        <v>34.840000000000003</v>
      </c>
      <c r="M56" s="64">
        <v>35.1</v>
      </c>
      <c r="N56" s="64">
        <v>838.8</v>
      </c>
      <c r="O56" s="64">
        <v>0</v>
      </c>
      <c r="P56" s="64">
        <v>0.41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6" t="s">
        <v>1734</v>
      </c>
      <c r="B57" s="64">
        <v>1.45</v>
      </c>
      <c r="C57" s="64">
        <v>7.04</v>
      </c>
      <c r="D57" s="64">
        <v>8.39</v>
      </c>
      <c r="E57" s="64">
        <v>1.05</v>
      </c>
      <c r="F57" s="64">
        <v>4.51</v>
      </c>
      <c r="G57" s="64">
        <v>58.41</v>
      </c>
      <c r="H57" s="64">
        <v>23.47</v>
      </c>
      <c r="I57" s="64">
        <v>5.48</v>
      </c>
      <c r="J57" s="64">
        <v>0.49</v>
      </c>
      <c r="K57" s="64">
        <v>7.01</v>
      </c>
      <c r="L57" s="64">
        <v>35.49</v>
      </c>
      <c r="M57" s="64">
        <v>33.46</v>
      </c>
      <c r="N57" s="64">
        <v>561.79999999999995</v>
      </c>
      <c r="O57" s="64">
        <v>0</v>
      </c>
      <c r="P57" s="64">
        <v>0.4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6" t="s">
        <v>1735</v>
      </c>
      <c r="B58" s="64">
        <v>1.52</v>
      </c>
      <c r="C58" s="64">
        <v>7.14</v>
      </c>
      <c r="D58" s="64">
        <v>8.56</v>
      </c>
      <c r="E58" s="64">
        <v>1.18</v>
      </c>
      <c r="F58" s="64">
        <v>5.47</v>
      </c>
      <c r="G58" s="64">
        <v>58.41</v>
      </c>
      <c r="H58" s="64">
        <v>23.47</v>
      </c>
      <c r="I58" s="64">
        <v>5.37</v>
      </c>
      <c r="J58" s="64">
        <v>0.28999999999999998</v>
      </c>
      <c r="K58" s="64">
        <v>51.02</v>
      </c>
      <c r="L58" s="64">
        <v>35.07</v>
      </c>
      <c r="M58" s="64">
        <v>33.880000000000003</v>
      </c>
      <c r="N58" s="64">
        <v>643.9</v>
      </c>
      <c r="O58" s="64">
        <v>0</v>
      </c>
      <c r="P58" s="64">
        <v>0.4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6" t="s">
        <v>1736</v>
      </c>
      <c r="B59" s="64">
        <v>1.39</v>
      </c>
      <c r="C59" s="64">
        <v>7.3</v>
      </c>
      <c r="D59" s="64">
        <v>8.59</v>
      </c>
      <c r="E59" s="64">
        <v>1.23</v>
      </c>
      <c r="F59" s="64">
        <v>12.54</v>
      </c>
      <c r="G59" s="64">
        <v>58.41</v>
      </c>
      <c r="H59" s="64">
        <v>23.47</v>
      </c>
      <c r="I59" s="64">
        <v>5.54</v>
      </c>
      <c r="J59" s="64">
        <v>0.2</v>
      </c>
      <c r="K59" s="64">
        <v>1</v>
      </c>
      <c r="L59" s="64">
        <v>35.020000000000003</v>
      </c>
      <c r="M59" s="64">
        <v>33.44</v>
      </c>
      <c r="N59" s="64">
        <v>665.9</v>
      </c>
      <c r="O59" s="64">
        <v>0</v>
      </c>
      <c r="P59" s="64">
        <v>0.38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6" t="s">
        <v>1737</v>
      </c>
      <c r="B60" s="64">
        <v>1.29</v>
      </c>
      <c r="C60" s="64">
        <v>7.65</v>
      </c>
      <c r="D60" s="64">
        <v>8.84</v>
      </c>
      <c r="E60" s="64">
        <v>0.84</v>
      </c>
      <c r="F60" s="64">
        <v>12.86</v>
      </c>
      <c r="G60" s="64">
        <v>42.77</v>
      </c>
      <c r="H60" s="64">
        <v>21.35</v>
      </c>
      <c r="I60" s="64">
        <v>5.52</v>
      </c>
      <c r="J60" s="64">
        <v>1.08</v>
      </c>
      <c r="K60" s="64">
        <v>338.43</v>
      </c>
      <c r="L60" s="64">
        <v>37.15</v>
      </c>
      <c r="M60" s="64">
        <v>30.53</v>
      </c>
      <c r="N60" s="64">
        <v>659.7</v>
      </c>
      <c r="O60" s="64">
        <v>0</v>
      </c>
      <c r="P60" s="64">
        <v>0.39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6" t="s">
        <v>1738</v>
      </c>
      <c r="B61" s="64">
        <v>1.35</v>
      </c>
      <c r="C61" s="64">
        <v>9.2100000000000009</v>
      </c>
      <c r="D61" s="64">
        <v>10.47</v>
      </c>
      <c r="E61" s="64">
        <v>0.96</v>
      </c>
      <c r="F61" s="64">
        <v>9.61</v>
      </c>
      <c r="G61" s="64">
        <v>37.409999999999997</v>
      </c>
      <c r="H61" s="64">
        <v>20.62</v>
      </c>
      <c r="I61" s="64">
        <v>5.01</v>
      </c>
      <c r="J61" s="64">
        <v>1.28</v>
      </c>
      <c r="K61" s="64">
        <v>341.77</v>
      </c>
      <c r="L61" s="64">
        <v>38.4</v>
      </c>
      <c r="M61" s="64">
        <v>28.11</v>
      </c>
      <c r="N61" s="64">
        <v>731</v>
      </c>
      <c r="O61" s="64">
        <v>0</v>
      </c>
      <c r="P61" s="64">
        <v>0.39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6" t="s">
        <v>1739</v>
      </c>
      <c r="B62" s="64">
        <v>1.53</v>
      </c>
      <c r="C62" s="64">
        <v>10.29</v>
      </c>
      <c r="D62" s="64">
        <v>11.71</v>
      </c>
      <c r="E62" s="64">
        <v>1.0900000000000001</v>
      </c>
      <c r="F62" s="64">
        <v>14.27</v>
      </c>
      <c r="G62" s="64">
        <v>37.409999999999997</v>
      </c>
      <c r="H62" s="64">
        <v>20.62</v>
      </c>
      <c r="I62" s="64">
        <v>4.55</v>
      </c>
      <c r="J62" s="64">
        <v>1.1200000000000001</v>
      </c>
      <c r="K62" s="64">
        <v>345.78</v>
      </c>
      <c r="L62" s="64">
        <v>39.450000000000003</v>
      </c>
      <c r="M62" s="64">
        <v>26.3</v>
      </c>
      <c r="N62" s="64">
        <v>782.2</v>
      </c>
      <c r="O62" s="64">
        <v>0</v>
      </c>
      <c r="P62" s="64">
        <v>0.43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16" t="s">
        <v>1740</v>
      </c>
      <c r="B63" s="64">
        <v>1.36</v>
      </c>
      <c r="C63" s="64">
        <v>14.59</v>
      </c>
      <c r="D63" s="64">
        <v>15.85</v>
      </c>
      <c r="E63" s="64">
        <v>2.1</v>
      </c>
      <c r="F63" s="64">
        <v>13.68</v>
      </c>
      <c r="G63" s="64">
        <v>37.409999999999997</v>
      </c>
      <c r="H63" s="64">
        <v>20.62</v>
      </c>
      <c r="I63" s="64">
        <v>4.5199999999999996</v>
      </c>
      <c r="J63" s="64">
        <v>0.15</v>
      </c>
      <c r="K63" s="64">
        <v>282.76</v>
      </c>
      <c r="L63" s="64">
        <v>38.11</v>
      </c>
      <c r="M63" s="64">
        <v>27.03</v>
      </c>
      <c r="N63" s="64">
        <v>766.4</v>
      </c>
      <c r="O63" s="64">
        <v>0</v>
      </c>
      <c r="P63" s="64">
        <v>0.45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6" t="s">
        <v>1741</v>
      </c>
      <c r="B64" s="64">
        <v>1.25</v>
      </c>
      <c r="C64" s="64">
        <v>13.21</v>
      </c>
      <c r="D64" s="64">
        <v>14.36</v>
      </c>
      <c r="E64" s="64">
        <v>1.1299999999999999</v>
      </c>
      <c r="F64" s="64">
        <v>9.49</v>
      </c>
      <c r="G64" s="64">
        <v>39.78</v>
      </c>
      <c r="H64" s="64">
        <v>21.14</v>
      </c>
      <c r="I64" s="64">
        <v>4.1100000000000003</v>
      </c>
      <c r="J64" s="64">
        <v>0.78</v>
      </c>
      <c r="K64" s="64">
        <v>132.63999999999999</v>
      </c>
      <c r="L64" s="64">
        <v>35.69</v>
      </c>
      <c r="M64" s="64">
        <v>31.34</v>
      </c>
      <c r="N64" s="64">
        <v>703.1</v>
      </c>
      <c r="O64" s="64">
        <v>0</v>
      </c>
      <c r="P64" s="64">
        <v>0.42</v>
      </c>
      <c r="Q64" s="64">
        <v>9.7200000000000006</v>
      </c>
      <c r="R64" s="198"/>
      <c r="S64" s="198"/>
      <c r="T64" s="198"/>
      <c r="U64" s="198"/>
    </row>
    <row r="65" spans="1:21" s="12" customFormat="1" x14ac:dyDescent="0.25">
      <c r="A65" s="216" t="s">
        <v>1742</v>
      </c>
      <c r="B65" s="64">
        <v>1.25</v>
      </c>
      <c r="C65" s="64">
        <v>10.74</v>
      </c>
      <c r="D65" s="64">
        <v>11.89</v>
      </c>
      <c r="E65" s="64">
        <v>0.99</v>
      </c>
      <c r="F65" s="64">
        <v>7.45</v>
      </c>
      <c r="G65" s="64">
        <v>40.6</v>
      </c>
      <c r="H65" s="64">
        <v>21.32</v>
      </c>
      <c r="I65" s="64">
        <v>3.76</v>
      </c>
      <c r="J65" s="64">
        <v>0.4</v>
      </c>
      <c r="K65" s="64">
        <v>47.62</v>
      </c>
      <c r="L65" s="64">
        <v>35.01</v>
      </c>
      <c r="M65" s="64">
        <v>31.31</v>
      </c>
      <c r="N65" s="64">
        <v>554.6</v>
      </c>
      <c r="O65" s="64">
        <v>0</v>
      </c>
      <c r="P65" s="64">
        <v>0.4</v>
      </c>
      <c r="Q65" s="64">
        <v>9.66</v>
      </c>
      <c r="R65" s="198"/>
      <c r="S65" s="198"/>
      <c r="T65" s="198"/>
      <c r="U65" s="198"/>
    </row>
    <row r="66" spans="1:21" s="12" customFormat="1" x14ac:dyDescent="0.25">
      <c r="A66" s="216" t="s">
        <v>1743</v>
      </c>
      <c r="B66" s="64">
        <v>1.31</v>
      </c>
      <c r="C66" s="64">
        <v>9.08</v>
      </c>
      <c r="D66" s="64">
        <v>10.29</v>
      </c>
      <c r="E66" s="64">
        <v>0.79</v>
      </c>
      <c r="F66" s="64">
        <v>7.37</v>
      </c>
      <c r="G66" s="64">
        <v>40.6</v>
      </c>
      <c r="H66" s="64">
        <v>21.32</v>
      </c>
      <c r="I66" s="64">
        <v>4.1100000000000003</v>
      </c>
      <c r="J66" s="64">
        <v>0.38</v>
      </c>
      <c r="K66" s="64">
        <v>140.47</v>
      </c>
      <c r="L66" s="64">
        <v>35.67</v>
      </c>
      <c r="M66" s="64">
        <v>29.27</v>
      </c>
      <c r="N66" s="64">
        <v>448</v>
      </c>
      <c r="O66" s="64">
        <v>0</v>
      </c>
      <c r="P66" s="64">
        <v>0.4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6" t="s">
        <v>1744</v>
      </c>
      <c r="B67" s="64">
        <v>1.29</v>
      </c>
      <c r="C67" s="64">
        <v>7.67</v>
      </c>
      <c r="D67" s="64">
        <v>8.86</v>
      </c>
      <c r="E67" s="64">
        <v>1</v>
      </c>
      <c r="F67" s="64">
        <v>8.09</v>
      </c>
      <c r="G67" s="64">
        <v>40.6</v>
      </c>
      <c r="H67" s="64">
        <v>21.32</v>
      </c>
      <c r="I67" s="64">
        <v>4.9000000000000004</v>
      </c>
      <c r="J67" s="64">
        <v>0.66</v>
      </c>
      <c r="K67" s="64">
        <v>114.75</v>
      </c>
      <c r="L67" s="64">
        <v>34.78</v>
      </c>
      <c r="M67" s="64">
        <v>30.87</v>
      </c>
      <c r="N67" s="64">
        <v>385.9</v>
      </c>
      <c r="O67" s="64">
        <v>0</v>
      </c>
      <c r="P67" s="64">
        <v>0.38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6" t="s">
        <v>1745</v>
      </c>
      <c r="B68" s="64">
        <v>1.27</v>
      </c>
      <c r="C68" s="64">
        <v>7.3</v>
      </c>
      <c r="D68" s="64">
        <v>8.4700000000000006</v>
      </c>
      <c r="E68" s="64">
        <v>0.69</v>
      </c>
      <c r="F68" s="64">
        <v>8.6999999999999993</v>
      </c>
      <c r="G68" s="64">
        <v>36.340000000000003</v>
      </c>
      <c r="H68" s="64">
        <v>20.079999999999998</v>
      </c>
      <c r="I68" s="64">
        <v>5.28</v>
      </c>
      <c r="J68" s="64">
        <v>0.93</v>
      </c>
      <c r="K68" s="64">
        <v>99.39</v>
      </c>
      <c r="L68" s="64">
        <v>34.35</v>
      </c>
      <c r="M68" s="64">
        <v>32.83</v>
      </c>
      <c r="N68" s="64">
        <v>315.89999999999998</v>
      </c>
      <c r="O68" s="64">
        <v>0</v>
      </c>
      <c r="P68" s="64">
        <v>0.36</v>
      </c>
      <c r="Q68" s="64">
        <v>9.5399999999999991</v>
      </c>
      <c r="R68" s="198"/>
      <c r="S68" s="198"/>
      <c r="T68" s="198"/>
      <c r="U68" s="198"/>
    </row>
    <row r="69" spans="1:21" s="12" customFormat="1" x14ac:dyDescent="0.25">
      <c r="A69" s="216" t="s">
        <v>1746</v>
      </c>
      <c r="B69" s="64">
        <v>1.28</v>
      </c>
      <c r="C69" s="64">
        <v>7.44</v>
      </c>
      <c r="D69" s="64">
        <v>8.61</v>
      </c>
      <c r="E69" s="64">
        <v>0.8</v>
      </c>
      <c r="F69" s="64">
        <v>8.2799999999999994</v>
      </c>
      <c r="G69" s="64">
        <v>34.880000000000003</v>
      </c>
      <c r="H69" s="64">
        <v>19.649999999999999</v>
      </c>
      <c r="I69" s="64">
        <v>5.72</v>
      </c>
      <c r="J69" s="64">
        <v>0.75</v>
      </c>
      <c r="K69" s="64">
        <v>151.51</v>
      </c>
      <c r="L69" s="64">
        <v>34.369999999999997</v>
      </c>
      <c r="M69" s="64">
        <v>31.25</v>
      </c>
      <c r="N69" s="64">
        <v>274.60000000000002</v>
      </c>
      <c r="O69" s="64">
        <v>0</v>
      </c>
      <c r="P69" s="64">
        <v>0.35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16" t="s">
        <v>1747</v>
      </c>
      <c r="B70" s="64">
        <v>1.33</v>
      </c>
      <c r="C70" s="64">
        <v>7.09</v>
      </c>
      <c r="D70" s="64">
        <v>8.32</v>
      </c>
      <c r="E70" s="64">
        <v>0.73</v>
      </c>
      <c r="F70" s="64">
        <v>6.28</v>
      </c>
      <c r="G70" s="64">
        <v>34.880000000000003</v>
      </c>
      <c r="H70" s="64">
        <v>19.649999999999999</v>
      </c>
      <c r="I70" s="64">
        <v>6.08</v>
      </c>
      <c r="J70" s="64">
        <v>0.94</v>
      </c>
      <c r="K70" s="64">
        <v>107.73</v>
      </c>
      <c r="L70" s="64">
        <v>34.340000000000003</v>
      </c>
      <c r="M70" s="64">
        <v>31.52</v>
      </c>
      <c r="N70" s="64">
        <v>267.60000000000002</v>
      </c>
      <c r="O70" s="64">
        <v>0</v>
      </c>
      <c r="P70" s="64">
        <v>0.34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6" t="s">
        <v>1748</v>
      </c>
      <c r="B71" s="64">
        <v>1.35</v>
      </c>
      <c r="C71" s="64">
        <v>7.02</v>
      </c>
      <c r="D71" s="64">
        <v>8.27</v>
      </c>
      <c r="E71" s="64">
        <v>0.94</v>
      </c>
      <c r="F71" s="64">
        <v>6.39</v>
      </c>
      <c r="G71" s="64">
        <v>34.880000000000003</v>
      </c>
      <c r="H71" s="64">
        <v>19.649999999999999</v>
      </c>
      <c r="I71" s="64">
        <v>6.08</v>
      </c>
      <c r="J71" s="64">
        <v>0.65</v>
      </c>
      <c r="K71" s="64">
        <v>357.66</v>
      </c>
      <c r="L71" s="64">
        <v>34.42</v>
      </c>
      <c r="M71" s="64">
        <v>32.06</v>
      </c>
      <c r="N71" s="64">
        <v>189.8</v>
      </c>
      <c r="O71" s="64">
        <v>0</v>
      </c>
      <c r="P71" s="64">
        <v>0.33</v>
      </c>
      <c r="Q71" s="64">
        <v>9.5500000000000007</v>
      </c>
      <c r="R71" s="198"/>
      <c r="S71" s="198"/>
      <c r="T71" s="198"/>
      <c r="U71" s="198"/>
    </row>
    <row r="72" spans="1:21" s="12" customFormat="1" x14ac:dyDescent="0.25">
      <c r="A72" s="216" t="s">
        <v>1749</v>
      </c>
      <c r="B72" s="64">
        <v>1.42</v>
      </c>
      <c r="C72" s="64">
        <v>7.67</v>
      </c>
      <c r="D72" s="64">
        <v>8.98</v>
      </c>
      <c r="E72" s="64">
        <v>1.19</v>
      </c>
      <c r="F72" s="64">
        <v>238.28</v>
      </c>
      <c r="G72" s="64">
        <v>19.63</v>
      </c>
      <c r="H72" s="64">
        <v>17.48</v>
      </c>
      <c r="I72" s="64">
        <v>6.17</v>
      </c>
      <c r="J72" s="64">
        <v>1.89</v>
      </c>
      <c r="K72" s="64">
        <v>351.35</v>
      </c>
      <c r="L72" s="64">
        <v>34.700000000000003</v>
      </c>
      <c r="M72" s="64">
        <v>32.54</v>
      </c>
      <c r="N72" s="64">
        <v>155.4</v>
      </c>
      <c r="O72" s="64">
        <v>0</v>
      </c>
      <c r="P72" s="64">
        <v>0.35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6" t="s">
        <v>1750</v>
      </c>
      <c r="B73" s="64">
        <v>1.56</v>
      </c>
      <c r="C73" s="64">
        <v>8.0399999999999991</v>
      </c>
      <c r="D73" s="64">
        <v>9.5</v>
      </c>
      <c r="E73" s="64">
        <v>0.41</v>
      </c>
      <c r="F73" s="64">
        <v>3.37</v>
      </c>
      <c r="G73" s="64">
        <v>14.39</v>
      </c>
      <c r="H73" s="64">
        <v>16.73</v>
      </c>
      <c r="I73" s="64">
        <v>6.09</v>
      </c>
      <c r="J73" s="64">
        <v>1.29</v>
      </c>
      <c r="K73" s="64">
        <v>348.5</v>
      </c>
      <c r="L73" s="64">
        <v>33.880000000000003</v>
      </c>
      <c r="M73" s="64">
        <v>34.92</v>
      </c>
      <c r="N73" s="64">
        <v>169</v>
      </c>
      <c r="O73" s="64">
        <v>0</v>
      </c>
      <c r="P73" s="64">
        <v>0.36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6" t="s">
        <v>1751</v>
      </c>
      <c r="B74" s="64">
        <v>1.76</v>
      </c>
      <c r="C74" s="64">
        <v>8.6199999999999992</v>
      </c>
      <c r="D74" s="64">
        <v>5.97</v>
      </c>
      <c r="E74" s="64">
        <v>0.73</v>
      </c>
      <c r="F74" s="64">
        <v>6.68</v>
      </c>
      <c r="G74" s="64">
        <v>14.39</v>
      </c>
      <c r="H74" s="64">
        <v>16.73</v>
      </c>
      <c r="I74" s="64">
        <v>5.92</v>
      </c>
      <c r="J74" s="64">
        <v>1.19</v>
      </c>
      <c r="K74" s="64">
        <v>353.36</v>
      </c>
      <c r="L74" s="64">
        <v>34.020000000000003</v>
      </c>
      <c r="M74" s="64">
        <v>34.14</v>
      </c>
      <c r="N74" s="64">
        <v>156.30000000000001</v>
      </c>
      <c r="O74" s="64">
        <v>0</v>
      </c>
      <c r="P74" s="64">
        <v>0.38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6" t="s">
        <v>1752</v>
      </c>
      <c r="B75" s="64">
        <v>1.63</v>
      </c>
      <c r="C75" s="64">
        <v>10.75</v>
      </c>
      <c r="D75" s="64">
        <v>6.84</v>
      </c>
      <c r="E75" s="64">
        <v>0.92</v>
      </c>
      <c r="F75" s="64">
        <v>9.94</v>
      </c>
      <c r="G75" s="64">
        <v>14.39</v>
      </c>
      <c r="H75" s="64">
        <v>16.73</v>
      </c>
      <c r="I75" s="64">
        <v>6.06</v>
      </c>
      <c r="J75" s="64">
        <v>1.28</v>
      </c>
      <c r="K75" s="64">
        <v>350.62</v>
      </c>
      <c r="L75" s="64">
        <v>33.89</v>
      </c>
      <c r="M75" s="64">
        <v>34.04</v>
      </c>
      <c r="N75" s="64">
        <v>128</v>
      </c>
      <c r="O75" s="64">
        <v>0</v>
      </c>
      <c r="P75" s="64">
        <v>0.4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6" t="s">
        <v>1753</v>
      </c>
      <c r="B76" s="64">
        <v>1.65</v>
      </c>
      <c r="C76" s="64">
        <v>12.8</v>
      </c>
      <c r="D76" s="64">
        <v>7.93</v>
      </c>
      <c r="E76" s="64">
        <v>0.92</v>
      </c>
      <c r="F76" s="64">
        <v>7.07</v>
      </c>
      <c r="G76" s="64">
        <v>44.74</v>
      </c>
      <c r="H76" s="64">
        <v>18.79</v>
      </c>
      <c r="I76" s="64">
        <v>5.93</v>
      </c>
      <c r="J76" s="64">
        <v>0.68</v>
      </c>
      <c r="K76" s="64">
        <v>352.68</v>
      </c>
      <c r="L76" s="64">
        <v>33.92</v>
      </c>
      <c r="M76" s="64">
        <v>33.68</v>
      </c>
      <c r="N76" s="64">
        <v>120.7</v>
      </c>
      <c r="O76" s="64">
        <v>0</v>
      </c>
      <c r="P76" s="64">
        <v>0.48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6" t="s">
        <v>1754</v>
      </c>
      <c r="B77" s="64">
        <v>1.57</v>
      </c>
      <c r="C77" s="64">
        <v>15.64</v>
      </c>
      <c r="D77" s="64">
        <v>9.35</v>
      </c>
      <c r="E77" s="64">
        <v>0.95</v>
      </c>
      <c r="F77" s="64">
        <v>7.71</v>
      </c>
      <c r="G77" s="64">
        <v>55.15</v>
      </c>
      <c r="H77" s="64">
        <v>19.489999999999998</v>
      </c>
      <c r="I77" s="64">
        <v>5.56</v>
      </c>
      <c r="J77" s="64">
        <v>0.21</v>
      </c>
      <c r="K77" s="64">
        <v>348</v>
      </c>
      <c r="L77" s="64">
        <v>33.07</v>
      </c>
      <c r="M77" s="64">
        <v>36.49</v>
      </c>
      <c r="N77" s="64">
        <v>99.7</v>
      </c>
      <c r="O77" s="64">
        <v>0</v>
      </c>
      <c r="P77" s="64">
        <v>0.55000000000000004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6" t="s">
        <v>1755</v>
      </c>
      <c r="B78" s="64">
        <v>1.48</v>
      </c>
      <c r="C78" s="64">
        <v>15.64</v>
      </c>
      <c r="D78" s="64">
        <v>9.27</v>
      </c>
      <c r="E78" s="64">
        <v>0.28999999999999998</v>
      </c>
      <c r="F78" s="64">
        <v>5.49</v>
      </c>
      <c r="G78" s="64">
        <v>55.15</v>
      </c>
      <c r="H78" s="64">
        <v>19.489999999999998</v>
      </c>
      <c r="I78" s="64">
        <v>5.38</v>
      </c>
      <c r="J78" s="64">
        <v>0.53</v>
      </c>
      <c r="K78" s="64">
        <v>338.22</v>
      </c>
      <c r="L78" s="64">
        <v>31.64</v>
      </c>
      <c r="M78" s="64">
        <v>41.73</v>
      </c>
      <c r="N78" s="64">
        <v>91.2</v>
      </c>
      <c r="O78" s="64">
        <v>0</v>
      </c>
      <c r="P78" s="64">
        <v>0.56999999999999995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6" t="s">
        <v>1756</v>
      </c>
      <c r="B79" s="64">
        <v>1.59</v>
      </c>
      <c r="C79" s="64">
        <v>14.7</v>
      </c>
      <c r="D79" s="64">
        <v>8.8800000000000008</v>
      </c>
      <c r="E79" s="64">
        <v>0.4</v>
      </c>
      <c r="F79" s="64">
        <v>4.08</v>
      </c>
      <c r="G79" s="64">
        <v>55.15</v>
      </c>
      <c r="H79" s="64">
        <v>19.489999999999998</v>
      </c>
      <c r="I79" s="64">
        <v>5.54</v>
      </c>
      <c r="J79" s="64">
        <v>0.67</v>
      </c>
      <c r="K79" s="64">
        <v>341.69</v>
      </c>
      <c r="L79" s="64">
        <v>31.44</v>
      </c>
      <c r="M79" s="64">
        <v>42.41</v>
      </c>
      <c r="N79" s="64">
        <v>84.4</v>
      </c>
      <c r="O79" s="64">
        <v>0</v>
      </c>
      <c r="P79" s="64">
        <v>0.61</v>
      </c>
      <c r="Q79" s="64">
        <v>9.66</v>
      </c>
      <c r="R79" s="198"/>
      <c r="S79" s="198"/>
      <c r="T79" s="198"/>
      <c r="U79" s="198"/>
    </row>
    <row r="80" spans="1:21" s="12" customFormat="1" x14ac:dyDescent="0.25">
      <c r="A80" s="216" t="s">
        <v>1757</v>
      </c>
      <c r="B80" s="64">
        <v>1.75</v>
      </c>
      <c r="C80" s="64">
        <v>13.52</v>
      </c>
      <c r="D80" s="64">
        <v>8.3800000000000008</v>
      </c>
      <c r="E80" s="64">
        <v>0.26</v>
      </c>
      <c r="F80" s="64">
        <v>3.85</v>
      </c>
      <c r="G80" s="64">
        <v>48.74</v>
      </c>
      <c r="H80" s="64">
        <v>21.06</v>
      </c>
      <c r="I80" s="64">
        <v>5.95</v>
      </c>
      <c r="J80" s="64">
        <v>0.35</v>
      </c>
      <c r="K80" s="64">
        <v>346.49</v>
      </c>
      <c r="L80" s="64">
        <v>31.31</v>
      </c>
      <c r="M80" s="64">
        <v>40.36</v>
      </c>
      <c r="N80" s="64">
        <v>67.099999999999994</v>
      </c>
      <c r="O80" s="64">
        <v>0</v>
      </c>
      <c r="P80" s="64">
        <v>0.62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6" t="s">
        <v>1758</v>
      </c>
      <c r="B81" s="64">
        <v>1.84</v>
      </c>
      <c r="C81" s="64">
        <v>12.08</v>
      </c>
      <c r="D81" s="64">
        <v>7.71</v>
      </c>
      <c r="E81" s="64">
        <v>0.23</v>
      </c>
      <c r="F81" s="64">
        <v>3.89</v>
      </c>
      <c r="G81" s="64">
        <v>46.53</v>
      </c>
      <c r="H81" s="64">
        <v>21.59</v>
      </c>
      <c r="I81" s="64">
        <v>6.15</v>
      </c>
      <c r="J81" s="64">
        <v>0.18</v>
      </c>
      <c r="K81" s="64">
        <v>345</v>
      </c>
      <c r="L81" s="64">
        <v>31.15</v>
      </c>
      <c r="M81" s="64">
        <v>39.31</v>
      </c>
      <c r="N81" s="64">
        <v>48.3</v>
      </c>
      <c r="O81" s="64">
        <v>0</v>
      </c>
      <c r="P81" s="64">
        <v>0.64</v>
      </c>
      <c r="Q81" s="64">
        <v>9.67</v>
      </c>
      <c r="R81" s="198"/>
      <c r="S81" s="198"/>
      <c r="T81" s="198"/>
      <c r="U81" s="198"/>
    </row>
    <row r="82" spans="1:26" s="12" customFormat="1" x14ac:dyDescent="0.25">
      <c r="A82" s="216" t="s">
        <v>1759</v>
      </c>
      <c r="B82" s="64">
        <v>1.95</v>
      </c>
      <c r="C82" s="64">
        <v>11.11</v>
      </c>
      <c r="D82" s="64">
        <v>7.29</v>
      </c>
      <c r="E82" s="64">
        <v>0.12</v>
      </c>
      <c r="F82" s="64">
        <v>3.62</v>
      </c>
      <c r="G82" s="64">
        <v>46.53</v>
      </c>
      <c r="H82" s="64">
        <v>21.59</v>
      </c>
      <c r="I82" s="64">
        <v>6.3</v>
      </c>
      <c r="J82" s="64">
        <v>0.26</v>
      </c>
      <c r="K82" s="64">
        <v>340.54</v>
      </c>
      <c r="L82" s="64">
        <v>30.85</v>
      </c>
      <c r="M82" s="64">
        <v>39.65</v>
      </c>
      <c r="N82" s="64">
        <v>40.1</v>
      </c>
      <c r="O82" s="64">
        <v>0</v>
      </c>
      <c r="P82" s="64">
        <v>0.66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6" t="s">
        <v>1760</v>
      </c>
      <c r="B83" s="64">
        <v>1.99</v>
      </c>
      <c r="C83" s="64">
        <v>10.49</v>
      </c>
      <c r="D83" s="64">
        <v>6.99</v>
      </c>
      <c r="E83" s="64">
        <v>0</v>
      </c>
      <c r="F83" s="64">
        <v>3.84</v>
      </c>
      <c r="G83" s="64">
        <v>46.53</v>
      </c>
      <c r="H83" s="64">
        <v>21.59</v>
      </c>
      <c r="I83" s="64">
        <v>6.38</v>
      </c>
      <c r="J83" s="64">
        <v>0.16</v>
      </c>
      <c r="K83" s="64">
        <v>353.71</v>
      </c>
      <c r="L83" s="64">
        <v>30.98</v>
      </c>
      <c r="M83" s="64">
        <v>37.880000000000003</v>
      </c>
      <c r="N83" s="64">
        <v>39</v>
      </c>
      <c r="O83" s="64">
        <v>0</v>
      </c>
      <c r="P83" s="64">
        <v>0.66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6" t="s">
        <v>1761</v>
      </c>
      <c r="B84" s="64">
        <v>1.88</v>
      </c>
      <c r="C84" s="64">
        <v>9.6</v>
      </c>
      <c r="D84" s="64">
        <v>6.44</v>
      </c>
      <c r="E84" s="64">
        <v>0.17</v>
      </c>
      <c r="F84" s="64">
        <v>3.85</v>
      </c>
      <c r="G84" s="64">
        <v>51.27</v>
      </c>
      <c r="H84" s="64">
        <v>22.17</v>
      </c>
      <c r="I84" s="64">
        <v>6.45</v>
      </c>
      <c r="J84" s="64">
        <v>0.21</v>
      </c>
      <c r="K84" s="64">
        <v>206.07</v>
      </c>
      <c r="L84" s="64">
        <v>31.48</v>
      </c>
      <c r="M84" s="64">
        <v>39.01</v>
      </c>
      <c r="N84" s="64">
        <v>38.9</v>
      </c>
      <c r="O84" s="64">
        <v>0</v>
      </c>
      <c r="P84" s="64">
        <v>0.65</v>
      </c>
      <c r="Q84" s="64">
        <v>9.69</v>
      </c>
      <c r="R84" s="198"/>
      <c r="S84" s="198"/>
      <c r="T84" s="198"/>
      <c r="U84" s="198"/>
    </row>
    <row r="85" spans="1:26" s="12" customFormat="1" x14ac:dyDescent="0.25">
      <c r="A85" s="216" t="s">
        <v>1762</v>
      </c>
      <c r="B85" s="64">
        <v>1.77</v>
      </c>
      <c r="C85" s="64">
        <v>8.7100000000000009</v>
      </c>
      <c r="D85" s="64">
        <v>5.89</v>
      </c>
      <c r="E85" s="64">
        <v>0.19</v>
      </c>
      <c r="F85" s="64">
        <v>3.82</v>
      </c>
      <c r="G85" s="64">
        <v>52.89</v>
      </c>
      <c r="H85" s="64">
        <v>22.37</v>
      </c>
      <c r="I85" s="64">
        <v>6.63</v>
      </c>
      <c r="J85" s="64">
        <v>7.0000000000000007E-2</v>
      </c>
      <c r="K85" s="64">
        <v>208.01</v>
      </c>
      <c r="L85" s="64">
        <v>31.05</v>
      </c>
      <c r="M85" s="64">
        <v>40.799999999999997</v>
      </c>
      <c r="N85" s="64">
        <v>39.200000000000003</v>
      </c>
      <c r="O85" s="64">
        <v>0</v>
      </c>
      <c r="P85" s="64">
        <v>0.61</v>
      </c>
      <c r="Q85" s="64">
        <v>9.7100000000000009</v>
      </c>
      <c r="R85" s="198"/>
      <c r="S85" s="198"/>
      <c r="T85" s="198"/>
      <c r="U85" s="198"/>
    </row>
    <row r="86" spans="1:26" s="12" customFormat="1" x14ac:dyDescent="0.25">
      <c r="A86" s="216" t="s">
        <v>1763</v>
      </c>
      <c r="B86" s="64">
        <v>1.76</v>
      </c>
      <c r="C86" s="64">
        <v>8.01</v>
      </c>
      <c r="D86" s="64">
        <v>5.51</v>
      </c>
      <c r="E86" s="64">
        <v>7.0000000000000007E-2</v>
      </c>
      <c r="F86" s="64">
        <v>3.61</v>
      </c>
      <c r="G86" s="64">
        <v>52.89</v>
      </c>
      <c r="H86" s="64">
        <v>22.37</v>
      </c>
      <c r="I86" s="64">
        <v>6.73</v>
      </c>
      <c r="J86" s="64">
        <v>0.15</v>
      </c>
      <c r="K86" s="64">
        <v>317.60000000000002</v>
      </c>
      <c r="L86" s="64">
        <v>30.76</v>
      </c>
      <c r="M86" s="64">
        <v>42.18</v>
      </c>
      <c r="N86" s="64">
        <v>39.700000000000003</v>
      </c>
      <c r="O86" s="64">
        <v>0</v>
      </c>
      <c r="P86" s="64">
        <v>0.67</v>
      </c>
      <c r="Q86" s="64">
        <v>9.68</v>
      </c>
      <c r="R86" s="198"/>
      <c r="S86" s="198"/>
      <c r="T86" s="198"/>
      <c r="U86" s="198"/>
    </row>
    <row r="87" spans="1:26" s="12" customFormat="1" x14ac:dyDescent="0.25">
      <c r="A87" s="216" t="s">
        <v>1764</v>
      </c>
      <c r="B87" s="64">
        <v>1.97</v>
      </c>
      <c r="C87" s="64">
        <v>8.3000000000000007</v>
      </c>
      <c r="D87" s="64">
        <v>5.84</v>
      </c>
      <c r="E87" s="64">
        <v>0.48</v>
      </c>
      <c r="F87" s="64">
        <v>3.78</v>
      </c>
      <c r="G87" s="64">
        <v>52.89</v>
      </c>
      <c r="H87" s="64">
        <v>22.37</v>
      </c>
      <c r="I87" s="64">
        <v>6.18</v>
      </c>
      <c r="J87" s="64">
        <v>0.02</v>
      </c>
      <c r="K87" s="64">
        <v>294.43</v>
      </c>
      <c r="L87" s="64">
        <v>30.55</v>
      </c>
      <c r="M87" s="64">
        <v>42.36</v>
      </c>
      <c r="N87" s="64">
        <v>40.200000000000003</v>
      </c>
      <c r="O87" s="64">
        <v>0</v>
      </c>
      <c r="P87" s="64">
        <v>0.69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6" t="s">
        <v>1765</v>
      </c>
      <c r="B88" s="64">
        <v>2.02</v>
      </c>
      <c r="C88" s="64">
        <v>9.17</v>
      </c>
      <c r="D88" s="64">
        <v>6.32</v>
      </c>
      <c r="E88" s="64">
        <v>1.54</v>
      </c>
      <c r="F88" s="64">
        <v>3.98</v>
      </c>
      <c r="G88" s="64">
        <v>54.02</v>
      </c>
      <c r="H88" s="64">
        <v>22.5</v>
      </c>
      <c r="I88" s="64">
        <v>6.46</v>
      </c>
      <c r="J88" s="64">
        <v>0.15</v>
      </c>
      <c r="K88" s="64">
        <v>189.73</v>
      </c>
      <c r="L88" s="64">
        <v>30.54</v>
      </c>
      <c r="M88" s="64">
        <v>42.25</v>
      </c>
      <c r="N88" s="64">
        <v>40.5</v>
      </c>
      <c r="O88" s="64">
        <v>0</v>
      </c>
      <c r="P88" s="64">
        <v>0.66</v>
      </c>
      <c r="Q88" s="64">
        <v>9.75</v>
      </c>
      <c r="R88" s="198"/>
      <c r="S88" s="198"/>
      <c r="T88" s="198"/>
      <c r="U88" s="198"/>
    </row>
    <row r="89" spans="1:26" s="12" customFormat="1" x14ac:dyDescent="0.25">
      <c r="A89" s="216" t="s">
        <v>1766</v>
      </c>
      <c r="B89" s="64">
        <v>1.96</v>
      </c>
      <c r="C89" s="64">
        <v>9.3699999999999992</v>
      </c>
      <c r="D89" s="64">
        <v>6.38</v>
      </c>
      <c r="E89" s="64">
        <v>2.16</v>
      </c>
      <c r="F89" s="64">
        <v>3.58</v>
      </c>
      <c r="G89" s="64">
        <v>54.39</v>
      </c>
      <c r="H89" s="64">
        <v>22.54</v>
      </c>
      <c r="I89" s="64">
        <v>6.73</v>
      </c>
      <c r="J89" s="64">
        <v>0.3</v>
      </c>
      <c r="K89" s="64">
        <v>190.47</v>
      </c>
      <c r="L89" s="64">
        <v>30.43</v>
      </c>
      <c r="M89" s="64">
        <v>43.01</v>
      </c>
      <c r="N89" s="64">
        <v>41.1</v>
      </c>
      <c r="O89" s="64">
        <v>0</v>
      </c>
      <c r="P89" s="64">
        <v>0.66</v>
      </c>
      <c r="Q89" s="64">
        <v>9.7799999999999994</v>
      </c>
      <c r="R89" s="198"/>
      <c r="S89" s="198"/>
      <c r="T89" s="198"/>
      <c r="U89" s="198"/>
    </row>
    <row r="90" spans="1:26" s="12" customFormat="1" x14ac:dyDescent="0.25">
      <c r="A90" s="216" t="s">
        <v>1767</v>
      </c>
      <c r="B90" s="64">
        <v>1.92</v>
      </c>
      <c r="C90" s="64">
        <v>8.8699999999999992</v>
      </c>
      <c r="D90" s="64">
        <v>6.09</v>
      </c>
      <c r="E90" s="64">
        <v>2.57</v>
      </c>
      <c r="F90" s="64">
        <v>3.56</v>
      </c>
      <c r="G90" s="64">
        <v>54.39</v>
      </c>
      <c r="H90" s="64">
        <v>22.54</v>
      </c>
      <c r="I90" s="64">
        <v>6.69</v>
      </c>
      <c r="J90" s="64">
        <v>0.06</v>
      </c>
      <c r="K90" s="64">
        <v>228.26</v>
      </c>
      <c r="L90" s="64">
        <v>30.31</v>
      </c>
      <c r="M90" s="64">
        <v>43.67</v>
      </c>
      <c r="N90" s="64">
        <v>43.1</v>
      </c>
      <c r="O90" s="64">
        <v>0</v>
      </c>
      <c r="P90" s="64">
        <v>0.66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16" t="s">
        <v>1768</v>
      </c>
      <c r="B91" s="64">
        <v>1.98</v>
      </c>
      <c r="C91" s="64">
        <v>8.56</v>
      </c>
      <c r="D91" s="64">
        <v>5.98</v>
      </c>
      <c r="E91" s="64">
        <v>2.1800000000000002</v>
      </c>
      <c r="F91" s="64">
        <v>3.41</v>
      </c>
      <c r="G91" s="64">
        <v>54.39</v>
      </c>
      <c r="H91" s="64">
        <v>22.54</v>
      </c>
      <c r="I91" s="64">
        <v>6.58</v>
      </c>
      <c r="J91" s="64">
        <v>0.16</v>
      </c>
      <c r="K91" s="64">
        <v>199.04</v>
      </c>
      <c r="L91" s="64">
        <v>30.15</v>
      </c>
      <c r="M91" s="64">
        <v>44.55</v>
      </c>
      <c r="N91" s="64">
        <v>44.6</v>
      </c>
      <c r="O91" s="64">
        <v>0</v>
      </c>
      <c r="P91" s="64">
        <v>0.66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6" t="s">
        <v>1769</v>
      </c>
      <c r="B92" s="64">
        <v>2.0499999999999998</v>
      </c>
      <c r="C92" s="64">
        <v>8.49</v>
      </c>
      <c r="D92" s="64">
        <v>6</v>
      </c>
      <c r="E92" s="64">
        <v>2.4500000000000002</v>
      </c>
      <c r="F92" s="64">
        <v>2.98</v>
      </c>
      <c r="G92" s="64">
        <v>56.73</v>
      </c>
      <c r="H92" s="64">
        <v>20.78</v>
      </c>
      <c r="I92" s="64">
        <v>6.53</v>
      </c>
      <c r="J92" s="64">
        <v>7.0000000000000007E-2</v>
      </c>
      <c r="K92" s="64">
        <v>272.3</v>
      </c>
      <c r="L92" s="64">
        <v>29.95</v>
      </c>
      <c r="M92" s="64">
        <v>45.75</v>
      </c>
      <c r="N92" s="64">
        <v>46.3</v>
      </c>
      <c r="O92" s="64">
        <v>0</v>
      </c>
      <c r="P92" s="64">
        <v>0.67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6" t="s">
        <v>1770</v>
      </c>
      <c r="B93" s="64">
        <v>2.13</v>
      </c>
      <c r="C93" s="64">
        <v>8.2100000000000009</v>
      </c>
      <c r="D93" s="64">
        <v>5.92</v>
      </c>
      <c r="E93" s="64">
        <v>2.37</v>
      </c>
      <c r="F93" s="64">
        <v>3.18</v>
      </c>
      <c r="G93" s="64">
        <v>57.54</v>
      </c>
      <c r="H93" s="64">
        <v>20.21</v>
      </c>
      <c r="I93" s="64">
        <v>6.52</v>
      </c>
      <c r="J93" s="64">
        <v>0.3</v>
      </c>
      <c r="K93" s="64">
        <v>189.46</v>
      </c>
      <c r="L93" s="64">
        <v>29.91</v>
      </c>
      <c r="M93" s="64">
        <v>46.03</v>
      </c>
      <c r="N93" s="64">
        <v>47.3</v>
      </c>
      <c r="O93" s="64">
        <v>0</v>
      </c>
      <c r="P93" s="64">
        <v>0.68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6" t="s">
        <v>1771</v>
      </c>
      <c r="B94" s="64">
        <v>2.2200000000000002</v>
      </c>
      <c r="C94" s="64">
        <v>8.3800000000000008</v>
      </c>
      <c r="D94" s="64">
        <v>6.07</v>
      </c>
      <c r="E94" s="64">
        <v>2.31</v>
      </c>
      <c r="F94" s="64">
        <v>3.23</v>
      </c>
      <c r="G94" s="64">
        <v>57.54</v>
      </c>
      <c r="H94" s="64">
        <v>20.21</v>
      </c>
      <c r="I94" s="64">
        <v>6.43</v>
      </c>
      <c r="J94" s="64">
        <v>0.11</v>
      </c>
      <c r="K94" s="64">
        <v>214.13</v>
      </c>
      <c r="L94" s="64">
        <v>29.82</v>
      </c>
      <c r="M94" s="64">
        <v>46.06</v>
      </c>
      <c r="N94" s="64">
        <v>49.6</v>
      </c>
      <c r="O94" s="64">
        <v>0</v>
      </c>
      <c r="P94" s="64">
        <v>0.68</v>
      </c>
      <c r="Q94" s="64">
        <v>9.59</v>
      </c>
      <c r="R94" s="198"/>
      <c r="S94" s="198"/>
      <c r="T94" s="198"/>
      <c r="U94" s="198"/>
    </row>
    <row r="95" spans="1:26" s="12" customFormat="1" x14ac:dyDescent="0.25">
      <c r="A95" s="216" t="s">
        <v>1772</v>
      </c>
      <c r="B95" s="64">
        <v>2.27</v>
      </c>
      <c r="C95" s="64">
        <v>8.4499999999999993</v>
      </c>
      <c r="D95" s="64">
        <v>6.15</v>
      </c>
      <c r="E95" s="64">
        <v>2.1800000000000002</v>
      </c>
      <c r="F95" s="64">
        <v>3.19</v>
      </c>
      <c r="G95" s="64">
        <v>57.54</v>
      </c>
      <c r="H95" s="64">
        <v>20.21</v>
      </c>
      <c r="I95" s="64">
        <v>6.3</v>
      </c>
      <c r="J95" s="64">
        <v>0.14000000000000001</v>
      </c>
      <c r="K95" s="64">
        <v>222.45</v>
      </c>
      <c r="L95" s="64">
        <v>29.6</v>
      </c>
      <c r="M95" s="64">
        <v>46.23</v>
      </c>
      <c r="N95" s="64">
        <v>50.6</v>
      </c>
      <c r="O95" s="64">
        <v>0</v>
      </c>
      <c r="P95" s="64">
        <v>0.69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6" t="s">
        <v>1773</v>
      </c>
      <c r="B96" s="64">
        <v>2.25</v>
      </c>
      <c r="C96" s="64">
        <v>8.16</v>
      </c>
      <c r="D96" s="64">
        <v>5.99</v>
      </c>
      <c r="E96" s="64">
        <v>2.0099999999999998</v>
      </c>
      <c r="F96" s="64">
        <v>3.36</v>
      </c>
      <c r="G96" s="64">
        <v>61.32</v>
      </c>
      <c r="H96" s="64">
        <v>21.77</v>
      </c>
      <c r="I96" s="64">
        <v>6.25</v>
      </c>
      <c r="J96" s="64">
        <v>0.18</v>
      </c>
      <c r="K96" s="64">
        <v>221.92</v>
      </c>
      <c r="L96" s="64">
        <v>29.53</v>
      </c>
      <c r="M96" s="64">
        <v>46.59</v>
      </c>
      <c r="N96" s="64">
        <v>52.4</v>
      </c>
      <c r="O96" s="64">
        <v>0</v>
      </c>
      <c r="P96" s="64">
        <v>0.68</v>
      </c>
      <c r="Q96" s="64">
        <v>9.59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1774</v>
      </c>
      <c r="B97" s="64">
        <v>2.3199999999999998</v>
      </c>
      <c r="C97" s="64">
        <v>8.26</v>
      </c>
      <c r="D97" s="64">
        <v>6.1</v>
      </c>
      <c r="E97" s="64">
        <v>2.16</v>
      </c>
      <c r="F97" s="64">
        <v>3.41</v>
      </c>
      <c r="G97" s="64">
        <v>62.62</v>
      </c>
      <c r="H97" s="64">
        <v>22.28</v>
      </c>
      <c r="I97" s="64">
        <v>6.16</v>
      </c>
      <c r="J97" s="64">
        <v>0.26</v>
      </c>
      <c r="K97" s="64">
        <v>310.08</v>
      </c>
      <c r="L97" s="64">
        <v>29.2</v>
      </c>
      <c r="M97" s="64">
        <v>51.87</v>
      </c>
      <c r="N97" s="64">
        <v>55.3</v>
      </c>
      <c r="O97" s="64">
        <v>0</v>
      </c>
      <c r="P97" s="64">
        <v>0.7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6" t="s">
        <v>1775</v>
      </c>
      <c r="B98" s="64">
        <v>2.62</v>
      </c>
      <c r="C98" s="64">
        <v>7.66</v>
      </c>
      <c r="D98" s="64">
        <v>6.02</v>
      </c>
      <c r="E98" s="64">
        <v>2.25</v>
      </c>
      <c r="F98" s="64">
        <v>3.15</v>
      </c>
      <c r="G98" s="64">
        <v>62.62</v>
      </c>
      <c r="H98" s="64">
        <v>22.28</v>
      </c>
      <c r="I98" s="64">
        <v>6.14</v>
      </c>
      <c r="J98" s="64">
        <v>0.23</v>
      </c>
      <c r="K98" s="64">
        <v>320.95</v>
      </c>
      <c r="L98" s="64">
        <v>28.85</v>
      </c>
      <c r="M98" s="64">
        <v>49.7</v>
      </c>
      <c r="N98" s="64">
        <v>60.3</v>
      </c>
      <c r="O98" s="64">
        <v>0</v>
      </c>
      <c r="P98" s="64">
        <v>0.72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16" t="s">
        <v>1776</v>
      </c>
      <c r="B99" s="64">
        <v>2.82</v>
      </c>
      <c r="C99" s="64">
        <v>7.13</v>
      </c>
      <c r="D99" s="64">
        <v>5.91</v>
      </c>
      <c r="E99" s="64">
        <v>2.08</v>
      </c>
      <c r="F99" s="64">
        <v>3.43</v>
      </c>
      <c r="G99" s="64">
        <v>62.62</v>
      </c>
      <c r="H99" s="64">
        <v>22.28</v>
      </c>
      <c r="I99" s="64">
        <v>6.11</v>
      </c>
      <c r="J99" s="64">
        <v>0.2</v>
      </c>
      <c r="K99" s="64">
        <v>151.57</v>
      </c>
      <c r="L99" s="64">
        <v>28.87</v>
      </c>
      <c r="M99" s="64">
        <v>48.47</v>
      </c>
      <c r="N99" s="64">
        <v>65.3</v>
      </c>
      <c r="O99" s="64">
        <v>0</v>
      </c>
      <c r="P99" s="64">
        <v>0.71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6" t="s">
        <v>1777</v>
      </c>
      <c r="B100" s="64">
        <v>2.85</v>
      </c>
      <c r="C100" s="64">
        <v>6.9</v>
      </c>
      <c r="D100" s="64">
        <v>5.81</v>
      </c>
      <c r="E100" s="64">
        <v>2.06</v>
      </c>
      <c r="F100" s="64">
        <v>3.39</v>
      </c>
      <c r="G100" s="64">
        <v>61.56</v>
      </c>
      <c r="H100" s="64">
        <v>23.55</v>
      </c>
      <c r="I100" s="64">
        <v>5.87</v>
      </c>
      <c r="J100" s="64">
        <v>0.48</v>
      </c>
      <c r="K100" s="64">
        <v>145.91</v>
      </c>
      <c r="L100" s="64">
        <v>29.63</v>
      </c>
      <c r="M100" s="64">
        <v>44.87</v>
      </c>
      <c r="N100" s="64">
        <v>85.8</v>
      </c>
      <c r="O100" s="64">
        <v>0</v>
      </c>
      <c r="P100" s="64">
        <v>0.7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1778</v>
      </c>
      <c r="B101" s="64">
        <v>2.75</v>
      </c>
      <c r="C101" s="64">
        <v>6.75</v>
      </c>
      <c r="D101" s="64">
        <v>5.65</v>
      </c>
      <c r="E101" s="64">
        <v>1.92</v>
      </c>
      <c r="F101" s="64">
        <v>3.55</v>
      </c>
      <c r="G101" s="64">
        <v>61.2</v>
      </c>
      <c r="H101" s="64">
        <v>23.99</v>
      </c>
      <c r="I101" s="64">
        <v>6.06</v>
      </c>
      <c r="J101" s="64">
        <v>0.28999999999999998</v>
      </c>
      <c r="K101" s="64">
        <v>158.85</v>
      </c>
      <c r="L101" s="64">
        <v>29.52</v>
      </c>
      <c r="M101" s="64">
        <v>46.14</v>
      </c>
      <c r="N101" s="64">
        <v>72.5</v>
      </c>
      <c r="O101" s="64">
        <v>0</v>
      </c>
      <c r="P101" s="64">
        <v>0.67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6" t="s">
        <v>1779</v>
      </c>
      <c r="B102" s="64">
        <v>2.65</v>
      </c>
      <c r="C102" s="64">
        <v>6.7</v>
      </c>
      <c r="D102" s="64">
        <v>5.54</v>
      </c>
      <c r="E102" s="64">
        <v>2.16</v>
      </c>
      <c r="F102" s="64">
        <v>3.48</v>
      </c>
      <c r="G102" s="64">
        <v>61.2</v>
      </c>
      <c r="H102" s="64">
        <v>23.99</v>
      </c>
      <c r="I102" s="64">
        <v>5.94</v>
      </c>
      <c r="J102" s="64">
        <v>0.1</v>
      </c>
      <c r="K102" s="64">
        <v>43.42</v>
      </c>
      <c r="L102" s="64">
        <v>29.32</v>
      </c>
      <c r="M102" s="64">
        <v>47.29</v>
      </c>
      <c r="N102" s="64">
        <v>75.2</v>
      </c>
      <c r="O102" s="64">
        <v>0</v>
      </c>
      <c r="P102" s="64">
        <v>0.67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6" t="s">
        <v>1780</v>
      </c>
      <c r="B103" s="64">
        <v>2.5299999999999998</v>
      </c>
      <c r="C103" s="64">
        <v>6.48</v>
      </c>
      <c r="D103" s="64">
        <v>5.33</v>
      </c>
      <c r="E103" s="64">
        <v>1.61</v>
      </c>
      <c r="F103" s="64">
        <v>3.45</v>
      </c>
      <c r="G103" s="64">
        <v>61.2</v>
      </c>
      <c r="H103" s="64">
        <v>23.99</v>
      </c>
      <c r="I103" s="64">
        <v>5.92</v>
      </c>
      <c r="J103" s="64">
        <v>0.17</v>
      </c>
      <c r="K103" s="64">
        <v>198.27</v>
      </c>
      <c r="L103" s="64">
        <v>28.86</v>
      </c>
      <c r="M103" s="64">
        <v>50.28</v>
      </c>
      <c r="N103" s="64">
        <v>59.3</v>
      </c>
      <c r="O103" s="64">
        <v>0</v>
      </c>
      <c r="P103" s="64">
        <v>0.65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6" t="s">
        <v>1781</v>
      </c>
      <c r="B104" s="64">
        <v>2.48</v>
      </c>
      <c r="C104" s="64">
        <v>6.41</v>
      </c>
      <c r="D104" s="64">
        <v>5.26</v>
      </c>
      <c r="E104" s="64">
        <v>1.48</v>
      </c>
      <c r="F104" s="64">
        <v>3.47</v>
      </c>
      <c r="G104" s="64">
        <v>57.53</v>
      </c>
      <c r="H104" s="64">
        <v>23.03</v>
      </c>
      <c r="I104" s="64">
        <v>6.22</v>
      </c>
      <c r="J104" s="64">
        <v>0.19</v>
      </c>
      <c r="K104" s="64">
        <v>193.1</v>
      </c>
      <c r="L104" s="64">
        <v>28.73</v>
      </c>
      <c r="M104" s="64">
        <v>50.58</v>
      </c>
      <c r="N104" s="64">
        <v>73.5</v>
      </c>
      <c r="O104" s="64">
        <v>0</v>
      </c>
      <c r="P104" s="64">
        <v>0.64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</v>
      </c>
      <c r="C106" s="67">
        <f>MIN(C9:C104)</f>
        <v>5.67</v>
      </c>
      <c r="D106" s="67">
        <f t="shared" ref="D106:Q106" si="0">MIN(D9:D104)</f>
        <v>5.26</v>
      </c>
      <c r="E106" s="67">
        <f t="shared" si="0"/>
        <v>0</v>
      </c>
      <c r="F106" s="67">
        <f t="shared" si="0"/>
        <v>2.96</v>
      </c>
      <c r="G106" s="67">
        <f t="shared" si="0"/>
        <v>14.39</v>
      </c>
      <c r="H106" s="67">
        <f t="shared" si="0"/>
        <v>16.73</v>
      </c>
      <c r="I106" s="67">
        <f t="shared" si="0"/>
        <v>3.76</v>
      </c>
      <c r="J106" s="67">
        <f t="shared" si="0"/>
        <v>0.02</v>
      </c>
      <c r="K106" s="67">
        <f t="shared" si="0"/>
        <v>1</v>
      </c>
      <c r="L106" s="67">
        <f t="shared" si="0"/>
        <v>25.22</v>
      </c>
      <c r="M106" s="67">
        <f t="shared" si="0"/>
        <v>26.3</v>
      </c>
      <c r="N106" s="67">
        <f t="shared" si="0"/>
        <v>38.9</v>
      </c>
      <c r="O106" s="67">
        <f t="shared" si="0"/>
        <v>0</v>
      </c>
      <c r="P106" s="67">
        <f t="shared" si="0"/>
        <v>0.33</v>
      </c>
      <c r="Q106" s="67">
        <f t="shared" si="0"/>
        <v>9.41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3.54</v>
      </c>
      <c r="C107" s="66">
        <f t="shared" ref="C107:Q107" si="1">MAX(C9:C104)</f>
        <v>15.64</v>
      </c>
      <c r="D107" s="66">
        <f t="shared" si="1"/>
        <v>15.85</v>
      </c>
      <c r="E107" s="66">
        <f t="shared" si="1"/>
        <v>2.57</v>
      </c>
      <c r="F107" s="66">
        <f t="shared" si="1"/>
        <v>238.28</v>
      </c>
      <c r="G107" s="66">
        <f t="shared" si="1"/>
        <v>117.17</v>
      </c>
      <c r="H107" s="66">
        <f t="shared" si="1"/>
        <v>42.99</v>
      </c>
      <c r="I107" s="66">
        <f t="shared" si="1"/>
        <v>8.82</v>
      </c>
      <c r="J107" s="66">
        <f t="shared" si="1"/>
        <v>1.89</v>
      </c>
      <c r="K107" s="66">
        <f t="shared" si="1"/>
        <v>358.11</v>
      </c>
      <c r="L107" s="66">
        <f t="shared" si="1"/>
        <v>39.450000000000003</v>
      </c>
      <c r="M107" s="66">
        <f t="shared" si="1"/>
        <v>67.010000000000005</v>
      </c>
      <c r="N107" s="66">
        <f t="shared" si="1"/>
        <v>907.9</v>
      </c>
      <c r="O107" s="66">
        <f t="shared" si="1"/>
        <v>0</v>
      </c>
      <c r="P107" s="66">
        <f t="shared" si="1"/>
        <v>0.72</v>
      </c>
      <c r="Q107" s="66">
        <f t="shared" si="1"/>
        <v>9.92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2.0287500000000001</v>
      </c>
      <c r="C108" s="67">
        <f t="shared" ref="C108:Q108" si="2">AVERAGE(C9:C104)</f>
        <v>8.3454166666666669</v>
      </c>
      <c r="D108" s="67">
        <f t="shared" si="2"/>
        <v>8.6861458333333363</v>
      </c>
      <c r="E108" s="67">
        <f t="shared" si="2"/>
        <v>1.0861458333333336</v>
      </c>
      <c r="F108" s="67">
        <f t="shared" si="2"/>
        <v>7.4160416666666684</v>
      </c>
      <c r="G108" s="67">
        <f t="shared" si="2"/>
        <v>61.652291666666649</v>
      </c>
      <c r="H108" s="67">
        <f t="shared" si="2"/>
        <v>26.914375000000003</v>
      </c>
      <c r="I108" s="67">
        <f t="shared" si="2"/>
        <v>6.402499999999999</v>
      </c>
      <c r="J108" s="67">
        <f t="shared" si="2"/>
        <v>0.42479166666666646</v>
      </c>
      <c r="K108" s="67">
        <f t="shared" si="2"/>
        <v>198.38124999999999</v>
      </c>
      <c r="L108" s="67">
        <f t="shared" si="2"/>
        <v>30.108645833333338</v>
      </c>
      <c r="M108" s="67">
        <f t="shared" si="2"/>
        <v>46.097916666666684</v>
      </c>
      <c r="N108" s="67">
        <f t="shared" si="2"/>
        <v>238.44166666666658</v>
      </c>
      <c r="O108" s="67">
        <f t="shared" si="2"/>
        <v>0</v>
      </c>
      <c r="P108" s="67">
        <f t="shared" si="2"/>
        <v>0.53635416666666635</v>
      </c>
      <c r="Q108" s="67">
        <f t="shared" si="2"/>
        <v>9.6734375000000004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0.62984918829827885</v>
      </c>
      <c r="C109" s="67">
        <f t="shared" ref="C109:Q109" si="3">STDEV(C9:C104)</f>
        <v>2.1178946431062737</v>
      </c>
      <c r="D109" s="67">
        <f t="shared" si="3"/>
        <v>2.1019226135244766</v>
      </c>
      <c r="E109" s="67">
        <f t="shared" si="3"/>
        <v>0.6418023466714512</v>
      </c>
      <c r="F109" s="67">
        <f t="shared" si="3"/>
        <v>23.958746847079798</v>
      </c>
      <c r="G109" s="67">
        <f t="shared" si="3"/>
        <v>23.628194152400066</v>
      </c>
      <c r="H109" s="67">
        <f t="shared" si="3"/>
        <v>7.2862978560698517</v>
      </c>
      <c r="I109" s="67">
        <f t="shared" si="3"/>
        <v>1.0822977506456677</v>
      </c>
      <c r="J109" s="67">
        <f t="shared" si="3"/>
        <v>0.37767983981609199</v>
      </c>
      <c r="K109" s="67">
        <f t="shared" si="3"/>
        <v>109.33507888235383</v>
      </c>
      <c r="L109" s="67">
        <f t="shared" si="3"/>
        <v>3.7837346128677627</v>
      </c>
      <c r="M109" s="67">
        <f t="shared" si="3"/>
        <v>10.848775426084389</v>
      </c>
      <c r="N109" s="67">
        <f t="shared" si="3"/>
        <v>269.90777905236905</v>
      </c>
      <c r="O109" s="67">
        <f t="shared" si="3"/>
        <v>0</v>
      </c>
      <c r="P109" s="67">
        <f t="shared" si="3"/>
        <v>0.10450001049274055</v>
      </c>
      <c r="Q109" s="67">
        <f t="shared" si="3"/>
        <v>0.11184414084834872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1782</v>
      </c>
      <c r="B9" s="64">
        <v>2.46</v>
      </c>
      <c r="C9" s="64">
        <v>6.78</v>
      </c>
      <c r="D9" s="64">
        <v>5.44</v>
      </c>
      <c r="E9" s="64">
        <v>1.1100000000000001</v>
      </c>
      <c r="F9" s="64">
        <v>3.46</v>
      </c>
      <c r="G9" s="64">
        <v>56.27</v>
      </c>
      <c r="H9" s="64">
        <v>22.7</v>
      </c>
      <c r="I9" s="64">
        <v>6.15</v>
      </c>
      <c r="J9" s="64">
        <v>0.34</v>
      </c>
      <c r="K9" s="64">
        <v>154.99</v>
      </c>
      <c r="L9" s="64">
        <v>28.48</v>
      </c>
      <c r="M9" s="64">
        <v>51.5</v>
      </c>
      <c r="N9" s="64">
        <v>77.900000000000006</v>
      </c>
      <c r="O9" s="64">
        <v>0</v>
      </c>
      <c r="P9" s="64">
        <v>0.62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6" t="s">
        <v>1783</v>
      </c>
      <c r="B10" s="64">
        <v>2.38</v>
      </c>
      <c r="C10" s="64">
        <v>7</v>
      </c>
      <c r="D10" s="64">
        <v>5.48</v>
      </c>
      <c r="E10" s="64">
        <v>1.57</v>
      </c>
      <c r="F10" s="64">
        <v>3.43</v>
      </c>
      <c r="G10" s="64">
        <v>56.27</v>
      </c>
      <c r="H10" s="64">
        <v>22.7</v>
      </c>
      <c r="I10" s="64">
        <v>6.03</v>
      </c>
      <c r="J10" s="64">
        <v>0.25</v>
      </c>
      <c r="K10" s="64">
        <v>164.91</v>
      </c>
      <c r="L10" s="64">
        <v>28.41</v>
      </c>
      <c r="M10" s="64">
        <v>51.67</v>
      </c>
      <c r="N10" s="64">
        <v>81.8</v>
      </c>
      <c r="O10" s="64">
        <v>0</v>
      </c>
      <c r="P10" s="64">
        <v>0.61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6" t="s">
        <v>1784</v>
      </c>
      <c r="B11" s="64">
        <v>2.31</v>
      </c>
      <c r="C11" s="64">
        <v>7.09</v>
      </c>
      <c r="D11" s="64">
        <v>5.48</v>
      </c>
      <c r="E11" s="64">
        <v>1.67</v>
      </c>
      <c r="F11" s="64">
        <v>3.86</v>
      </c>
      <c r="G11" s="64">
        <v>56.27</v>
      </c>
      <c r="H11" s="64">
        <v>22.7</v>
      </c>
      <c r="I11" s="64">
        <v>6.14</v>
      </c>
      <c r="J11" s="64">
        <v>0.71</v>
      </c>
      <c r="K11" s="64">
        <v>148.68</v>
      </c>
      <c r="L11" s="64">
        <v>28.36</v>
      </c>
      <c r="M11" s="64">
        <v>51.51</v>
      </c>
      <c r="N11" s="64">
        <v>77.2</v>
      </c>
      <c r="O11" s="64">
        <v>0</v>
      </c>
      <c r="P11" s="64">
        <v>0.59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6" t="s">
        <v>1785</v>
      </c>
      <c r="B12" s="64">
        <v>2.23</v>
      </c>
      <c r="C12" s="64">
        <v>6.93</v>
      </c>
      <c r="D12" s="64">
        <v>5.33</v>
      </c>
      <c r="E12" s="64">
        <v>1.48</v>
      </c>
      <c r="F12" s="64">
        <v>3.89</v>
      </c>
      <c r="G12" s="64">
        <v>50.09</v>
      </c>
      <c r="H12" s="64">
        <v>20.36</v>
      </c>
      <c r="I12" s="64">
        <v>6.27</v>
      </c>
      <c r="J12" s="64">
        <v>1.1399999999999999</v>
      </c>
      <c r="K12" s="64">
        <v>146.34</v>
      </c>
      <c r="L12" s="64">
        <v>28.44</v>
      </c>
      <c r="M12" s="64">
        <v>51.03</v>
      </c>
      <c r="N12" s="64">
        <v>81.5</v>
      </c>
      <c r="O12" s="64">
        <v>0</v>
      </c>
      <c r="P12" s="64">
        <v>0.57999999999999996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6" t="s">
        <v>1786</v>
      </c>
      <c r="B13" s="64">
        <v>2.11</v>
      </c>
      <c r="C13" s="64">
        <v>6.77</v>
      </c>
      <c r="D13" s="64">
        <v>5.15</v>
      </c>
      <c r="E13" s="64">
        <v>1.58</v>
      </c>
      <c r="F13" s="64">
        <v>4.22</v>
      </c>
      <c r="G13" s="64">
        <v>48.09</v>
      </c>
      <c r="H13" s="64">
        <v>19.600000000000001</v>
      </c>
      <c r="I13" s="64">
        <v>6.3</v>
      </c>
      <c r="J13" s="64">
        <v>1.45</v>
      </c>
      <c r="K13" s="64">
        <v>147.91999999999999</v>
      </c>
      <c r="L13" s="64">
        <v>28.46</v>
      </c>
      <c r="M13" s="64">
        <v>50.66</v>
      </c>
      <c r="N13" s="64">
        <v>68.099999999999994</v>
      </c>
      <c r="O13" s="64">
        <v>0</v>
      </c>
      <c r="P13" s="64">
        <v>0.54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6" t="s">
        <v>1787</v>
      </c>
      <c r="B14" s="64">
        <v>2.0499999999999998</v>
      </c>
      <c r="C14" s="64">
        <v>8.35</v>
      </c>
      <c r="D14" s="64">
        <v>5.92</v>
      </c>
      <c r="E14" s="64">
        <v>1.5</v>
      </c>
      <c r="F14" s="64">
        <v>3.98</v>
      </c>
      <c r="G14" s="64">
        <v>48.09</v>
      </c>
      <c r="H14" s="64">
        <v>19.600000000000001</v>
      </c>
      <c r="I14" s="64">
        <v>6.52</v>
      </c>
      <c r="J14" s="64">
        <v>1.25</v>
      </c>
      <c r="K14" s="64">
        <v>148.85</v>
      </c>
      <c r="L14" s="64">
        <v>28.43</v>
      </c>
      <c r="M14" s="64">
        <v>50.59</v>
      </c>
      <c r="N14" s="64">
        <v>74</v>
      </c>
      <c r="O14" s="64">
        <v>0</v>
      </c>
      <c r="P14" s="64">
        <v>0.55000000000000004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6" t="s">
        <v>1788</v>
      </c>
      <c r="B15" s="64">
        <v>2.04</v>
      </c>
      <c r="C15" s="64">
        <v>8.94</v>
      </c>
      <c r="D15" s="64">
        <v>6.23</v>
      </c>
      <c r="E15" s="64">
        <v>1.46</v>
      </c>
      <c r="F15" s="64">
        <v>4.43</v>
      </c>
      <c r="G15" s="64">
        <v>48.09</v>
      </c>
      <c r="H15" s="64">
        <v>19.600000000000001</v>
      </c>
      <c r="I15" s="64">
        <v>6.66</v>
      </c>
      <c r="J15" s="64">
        <v>0.92</v>
      </c>
      <c r="K15" s="64">
        <v>144.41999999999999</v>
      </c>
      <c r="L15" s="64">
        <v>28.34</v>
      </c>
      <c r="M15" s="64">
        <v>51.03</v>
      </c>
      <c r="N15" s="64">
        <v>65</v>
      </c>
      <c r="O15" s="64">
        <v>0</v>
      </c>
      <c r="P15" s="64">
        <v>0.54</v>
      </c>
      <c r="Q15" s="64">
        <v>9.58</v>
      </c>
      <c r="R15" s="198"/>
      <c r="S15" s="198"/>
      <c r="T15" s="198"/>
      <c r="U15" s="198"/>
    </row>
    <row r="16" spans="1:21" s="12" customFormat="1" x14ac:dyDescent="0.25">
      <c r="A16" s="216" t="s">
        <v>1789</v>
      </c>
      <c r="B16" s="64">
        <v>2.02</v>
      </c>
      <c r="C16" s="64">
        <v>8.68</v>
      </c>
      <c r="D16" s="64">
        <v>6.07</v>
      </c>
      <c r="E16" s="64">
        <v>1.69</v>
      </c>
      <c r="F16" s="64">
        <v>4.03</v>
      </c>
      <c r="G16" s="64">
        <v>45.77</v>
      </c>
      <c r="H16" s="64">
        <v>19.690000000000001</v>
      </c>
      <c r="I16" s="64">
        <v>6.58</v>
      </c>
      <c r="J16" s="64">
        <v>1.26</v>
      </c>
      <c r="K16" s="64">
        <v>148.72999999999999</v>
      </c>
      <c r="L16" s="64">
        <v>28.13</v>
      </c>
      <c r="M16" s="64">
        <v>51.84</v>
      </c>
      <c r="N16" s="64">
        <v>60.7</v>
      </c>
      <c r="O16" s="64">
        <v>0</v>
      </c>
      <c r="P16" s="64">
        <v>0.53</v>
      </c>
      <c r="Q16" s="64">
        <v>9.5399999999999991</v>
      </c>
      <c r="R16" s="198"/>
      <c r="S16" s="198"/>
      <c r="T16" s="198"/>
      <c r="U16" s="198"/>
    </row>
    <row r="17" spans="1:21" s="12" customFormat="1" x14ac:dyDescent="0.25">
      <c r="A17" s="216" t="s">
        <v>1790</v>
      </c>
      <c r="B17" s="64">
        <v>1.98</v>
      </c>
      <c r="C17" s="64">
        <v>7.65</v>
      </c>
      <c r="D17" s="64">
        <v>5.5</v>
      </c>
      <c r="E17" s="64">
        <v>1.51</v>
      </c>
      <c r="F17" s="64">
        <v>3.89</v>
      </c>
      <c r="G17" s="64">
        <v>44.97</v>
      </c>
      <c r="H17" s="64">
        <v>19.73</v>
      </c>
      <c r="I17" s="64">
        <v>6.45</v>
      </c>
      <c r="J17" s="64">
        <v>0.89</v>
      </c>
      <c r="K17" s="64">
        <v>152.44999999999999</v>
      </c>
      <c r="L17" s="64">
        <v>28.01</v>
      </c>
      <c r="M17" s="64">
        <v>52.53</v>
      </c>
      <c r="N17" s="64">
        <v>71.599999999999994</v>
      </c>
      <c r="O17" s="64">
        <v>0</v>
      </c>
      <c r="P17" s="64">
        <v>0.51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16" t="s">
        <v>1791</v>
      </c>
      <c r="B18" s="64">
        <v>1.98</v>
      </c>
      <c r="C18" s="64">
        <v>6.99</v>
      </c>
      <c r="D18" s="64">
        <v>5.16</v>
      </c>
      <c r="E18" s="64">
        <v>1.74</v>
      </c>
      <c r="F18" s="64">
        <v>3.99</v>
      </c>
      <c r="G18" s="64">
        <v>44.97</v>
      </c>
      <c r="H18" s="64">
        <v>19.73</v>
      </c>
      <c r="I18" s="64">
        <v>6.28</v>
      </c>
      <c r="J18" s="64">
        <v>0.69</v>
      </c>
      <c r="K18" s="64">
        <v>152.26</v>
      </c>
      <c r="L18" s="64">
        <v>27.88</v>
      </c>
      <c r="M18" s="64">
        <v>53.17</v>
      </c>
      <c r="N18" s="64">
        <v>53.6</v>
      </c>
      <c r="O18" s="64">
        <v>0</v>
      </c>
      <c r="P18" s="64">
        <v>0.5</v>
      </c>
      <c r="Q18" s="64">
        <v>9.5</v>
      </c>
      <c r="R18" s="198"/>
      <c r="S18" s="198"/>
      <c r="T18" s="198"/>
      <c r="U18" s="198"/>
    </row>
    <row r="19" spans="1:21" s="12" customFormat="1" x14ac:dyDescent="0.25">
      <c r="A19" s="216" t="s">
        <v>1792</v>
      </c>
      <c r="B19" s="64">
        <v>2</v>
      </c>
      <c r="C19" s="64">
        <v>6.42</v>
      </c>
      <c r="D19" s="64">
        <v>4.88</v>
      </c>
      <c r="E19" s="64">
        <v>1.39</v>
      </c>
      <c r="F19" s="64">
        <v>3.46</v>
      </c>
      <c r="G19" s="64">
        <v>44.97</v>
      </c>
      <c r="H19" s="64">
        <v>19.73</v>
      </c>
      <c r="I19" s="64">
        <v>6.16</v>
      </c>
      <c r="J19" s="64">
        <v>0.17</v>
      </c>
      <c r="K19" s="64">
        <v>188.94</v>
      </c>
      <c r="L19" s="64">
        <v>27.76</v>
      </c>
      <c r="M19" s="64">
        <v>53.54</v>
      </c>
      <c r="N19" s="64">
        <v>60.7</v>
      </c>
      <c r="O19" s="64">
        <v>0</v>
      </c>
      <c r="P19" s="64">
        <v>0.48</v>
      </c>
      <c r="Q19" s="64">
        <v>9.4700000000000006</v>
      </c>
      <c r="R19" s="198"/>
      <c r="S19" s="198"/>
      <c r="T19" s="198"/>
      <c r="U19" s="198"/>
    </row>
    <row r="20" spans="1:21" s="12" customFormat="1" x14ac:dyDescent="0.25">
      <c r="A20" s="216" t="s">
        <v>1793</v>
      </c>
      <c r="B20" s="64">
        <v>1.99</v>
      </c>
      <c r="C20" s="64">
        <v>6.51</v>
      </c>
      <c r="D20" s="64">
        <v>4.91</v>
      </c>
      <c r="E20" s="64">
        <v>1.54</v>
      </c>
      <c r="F20" s="64">
        <v>2.57</v>
      </c>
      <c r="G20" s="64">
        <v>37.229999999999997</v>
      </c>
      <c r="H20" s="64">
        <v>17.329999999999998</v>
      </c>
      <c r="I20" s="64">
        <v>6.03</v>
      </c>
      <c r="J20" s="64">
        <v>0.05</v>
      </c>
      <c r="K20" s="64">
        <v>22.27</v>
      </c>
      <c r="L20" s="64">
        <v>27.62</v>
      </c>
      <c r="M20" s="64">
        <v>54.29</v>
      </c>
      <c r="N20" s="64">
        <v>56.7</v>
      </c>
      <c r="O20" s="64">
        <v>0</v>
      </c>
      <c r="P20" s="64">
        <v>0.46</v>
      </c>
      <c r="Q20" s="64">
        <v>9.49</v>
      </c>
      <c r="R20" s="198"/>
      <c r="S20" s="198"/>
      <c r="T20" s="198"/>
      <c r="U20" s="198"/>
    </row>
    <row r="21" spans="1:21" s="12" customFormat="1" x14ac:dyDescent="0.25">
      <c r="A21" s="216" t="s">
        <v>1794</v>
      </c>
      <c r="B21" s="64">
        <v>1.94</v>
      </c>
      <c r="C21" s="64">
        <v>5.51</v>
      </c>
      <c r="D21" s="64">
        <v>4.3600000000000003</v>
      </c>
      <c r="E21" s="64">
        <v>1.3</v>
      </c>
      <c r="F21" s="64">
        <v>3.76</v>
      </c>
      <c r="G21" s="64">
        <v>34.58</v>
      </c>
      <c r="H21" s="64">
        <v>16.510000000000002</v>
      </c>
      <c r="I21" s="64">
        <v>5.77</v>
      </c>
      <c r="J21" s="64">
        <v>0.63</v>
      </c>
      <c r="K21" s="64">
        <v>154.26</v>
      </c>
      <c r="L21" s="64">
        <v>27.33</v>
      </c>
      <c r="M21" s="64">
        <v>55.85</v>
      </c>
      <c r="N21" s="64">
        <v>54.5</v>
      </c>
      <c r="O21" s="64">
        <v>0</v>
      </c>
      <c r="P21" s="64">
        <v>0.45</v>
      </c>
      <c r="Q21" s="64">
        <v>9.4499999999999993</v>
      </c>
      <c r="R21" s="198"/>
      <c r="S21" s="198"/>
      <c r="T21" s="198"/>
      <c r="U21" s="198"/>
    </row>
    <row r="22" spans="1:21" s="12" customFormat="1" x14ac:dyDescent="0.25">
      <c r="A22" s="216" t="s">
        <v>1795</v>
      </c>
      <c r="B22" s="64">
        <v>1.94</v>
      </c>
      <c r="C22" s="64">
        <v>5.28</v>
      </c>
      <c r="D22" s="64">
        <v>4.2300000000000004</v>
      </c>
      <c r="E22" s="64">
        <v>0.99</v>
      </c>
      <c r="F22" s="64">
        <v>3.63</v>
      </c>
      <c r="G22" s="64">
        <v>34.58</v>
      </c>
      <c r="H22" s="64">
        <v>16.510000000000002</v>
      </c>
      <c r="I22" s="64">
        <v>5.64</v>
      </c>
      <c r="J22" s="64">
        <v>0.5</v>
      </c>
      <c r="K22" s="64">
        <v>168.72</v>
      </c>
      <c r="L22" s="64">
        <v>27.07</v>
      </c>
      <c r="M22" s="64">
        <v>57.03</v>
      </c>
      <c r="N22" s="64">
        <v>54.6</v>
      </c>
      <c r="O22" s="64">
        <v>0</v>
      </c>
      <c r="P22" s="64">
        <v>0.45</v>
      </c>
      <c r="Q22" s="64">
        <v>9.4600000000000009</v>
      </c>
      <c r="R22" s="198"/>
      <c r="S22" s="198"/>
      <c r="T22" s="198"/>
      <c r="U22" s="198"/>
    </row>
    <row r="23" spans="1:21" s="12" customFormat="1" x14ac:dyDescent="0.25">
      <c r="A23" s="216" t="s">
        <v>1796</v>
      </c>
      <c r="B23" s="64">
        <v>1.99</v>
      </c>
      <c r="C23" s="64">
        <v>5.17</v>
      </c>
      <c r="D23" s="64">
        <v>4.21</v>
      </c>
      <c r="E23" s="64">
        <v>1.3</v>
      </c>
      <c r="F23" s="64">
        <v>3.31</v>
      </c>
      <c r="G23" s="64">
        <v>34.58</v>
      </c>
      <c r="H23" s="64">
        <v>16.510000000000002</v>
      </c>
      <c r="I23" s="64">
        <v>5.44</v>
      </c>
      <c r="J23" s="64">
        <v>0.4</v>
      </c>
      <c r="K23" s="64">
        <v>174.29</v>
      </c>
      <c r="L23" s="64">
        <v>26.99</v>
      </c>
      <c r="M23" s="64">
        <v>56.69</v>
      </c>
      <c r="N23" s="64">
        <v>54.4</v>
      </c>
      <c r="O23" s="64">
        <v>0</v>
      </c>
      <c r="P23" s="64">
        <v>0.44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6" t="s">
        <v>1797</v>
      </c>
      <c r="B24" s="64">
        <v>2.02</v>
      </c>
      <c r="C24" s="64">
        <v>5.15</v>
      </c>
      <c r="D24" s="64">
        <v>4.2300000000000004</v>
      </c>
      <c r="E24" s="64">
        <v>1.54</v>
      </c>
      <c r="F24" s="64">
        <v>3.51</v>
      </c>
      <c r="G24" s="64">
        <v>36.11</v>
      </c>
      <c r="H24" s="64">
        <v>14.99</v>
      </c>
      <c r="I24" s="64">
        <v>5.39</v>
      </c>
      <c r="J24" s="64">
        <v>0.04</v>
      </c>
      <c r="K24" s="64">
        <v>305.88</v>
      </c>
      <c r="L24" s="64">
        <v>27.04</v>
      </c>
      <c r="M24" s="64">
        <v>55.53</v>
      </c>
      <c r="N24" s="64">
        <v>53.5</v>
      </c>
      <c r="O24" s="64">
        <v>0</v>
      </c>
      <c r="P24" s="64">
        <v>0.44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16" t="s">
        <v>1798</v>
      </c>
      <c r="B25" s="64">
        <v>2.04</v>
      </c>
      <c r="C25" s="64">
        <v>5.28</v>
      </c>
      <c r="D25" s="64">
        <v>4.3099999999999996</v>
      </c>
      <c r="E25" s="64">
        <v>1.43</v>
      </c>
      <c r="F25" s="64">
        <v>3.98</v>
      </c>
      <c r="G25" s="64">
        <v>36.64</v>
      </c>
      <c r="H25" s="64">
        <v>14.46</v>
      </c>
      <c r="I25" s="64">
        <v>5.62</v>
      </c>
      <c r="J25" s="64">
        <v>0.18</v>
      </c>
      <c r="K25" s="64">
        <v>7.2</v>
      </c>
      <c r="L25" s="64">
        <v>27.12</v>
      </c>
      <c r="M25" s="64">
        <v>55.07</v>
      </c>
      <c r="N25" s="64">
        <v>54.5</v>
      </c>
      <c r="O25" s="64">
        <v>0</v>
      </c>
      <c r="P25" s="64">
        <v>0.43</v>
      </c>
      <c r="Q25" s="64">
        <v>9.5299999999999994</v>
      </c>
      <c r="R25" s="198"/>
      <c r="S25" s="198"/>
      <c r="T25" s="198"/>
      <c r="U25" s="198"/>
    </row>
    <row r="26" spans="1:21" s="12" customFormat="1" x14ac:dyDescent="0.25">
      <c r="A26" s="216" t="s">
        <v>1799</v>
      </c>
      <c r="B26" s="64">
        <v>1.99</v>
      </c>
      <c r="C26" s="64">
        <v>5.25</v>
      </c>
      <c r="D26" s="64">
        <v>4.26</v>
      </c>
      <c r="E26" s="64">
        <v>1.25</v>
      </c>
      <c r="F26" s="64">
        <v>3.75</v>
      </c>
      <c r="G26" s="64">
        <v>36.64</v>
      </c>
      <c r="H26" s="64">
        <v>14.46</v>
      </c>
      <c r="I26" s="64">
        <v>5.78</v>
      </c>
      <c r="J26" s="64">
        <v>0.12</v>
      </c>
      <c r="K26" s="64">
        <v>5.66</v>
      </c>
      <c r="L26" s="64">
        <v>27.07</v>
      </c>
      <c r="M26" s="64">
        <v>55.97</v>
      </c>
      <c r="N26" s="64">
        <v>53</v>
      </c>
      <c r="O26" s="64">
        <v>0</v>
      </c>
      <c r="P26" s="64">
        <v>0.42</v>
      </c>
      <c r="Q26" s="64">
        <v>9.5399999999999991</v>
      </c>
      <c r="R26" s="198"/>
      <c r="S26" s="198"/>
      <c r="T26" s="198"/>
      <c r="U26" s="198"/>
    </row>
    <row r="27" spans="1:21" s="12" customFormat="1" x14ac:dyDescent="0.25">
      <c r="A27" s="216" t="s">
        <v>1800</v>
      </c>
      <c r="B27" s="64">
        <v>2.0299999999999998</v>
      </c>
      <c r="C27" s="64">
        <v>5.45</v>
      </c>
      <c r="D27" s="64">
        <v>4.3899999999999997</v>
      </c>
      <c r="E27" s="64">
        <v>1.61</v>
      </c>
      <c r="F27" s="64">
        <v>4.16</v>
      </c>
      <c r="G27" s="64">
        <v>36.64</v>
      </c>
      <c r="H27" s="64">
        <v>14.46</v>
      </c>
      <c r="I27" s="64">
        <v>5.58</v>
      </c>
      <c r="J27" s="64">
        <v>0.14000000000000001</v>
      </c>
      <c r="K27" s="64">
        <v>15.79</v>
      </c>
      <c r="L27" s="64">
        <v>27.02</v>
      </c>
      <c r="M27" s="64">
        <v>57.44</v>
      </c>
      <c r="N27" s="64">
        <v>51.9</v>
      </c>
      <c r="O27" s="64">
        <v>0</v>
      </c>
      <c r="P27" s="64">
        <v>0.41</v>
      </c>
      <c r="Q27" s="64">
        <v>9.5500000000000007</v>
      </c>
      <c r="R27" s="198"/>
      <c r="S27" s="198"/>
      <c r="T27" s="198"/>
      <c r="U27" s="198"/>
    </row>
    <row r="28" spans="1:21" s="12" customFormat="1" x14ac:dyDescent="0.25">
      <c r="A28" s="216" t="s">
        <v>1801</v>
      </c>
      <c r="B28" s="64">
        <v>2.0099999999999998</v>
      </c>
      <c r="C28" s="64">
        <v>5.93</v>
      </c>
      <c r="D28" s="64">
        <v>4.63</v>
      </c>
      <c r="E28" s="64">
        <v>1.54</v>
      </c>
      <c r="F28" s="64">
        <v>4.1100000000000003</v>
      </c>
      <c r="G28" s="64">
        <v>32.700000000000003</v>
      </c>
      <c r="H28" s="64">
        <v>13.87</v>
      </c>
      <c r="I28" s="64">
        <v>5.5</v>
      </c>
      <c r="J28" s="64">
        <v>0.1</v>
      </c>
      <c r="K28" s="64">
        <v>2.29</v>
      </c>
      <c r="L28" s="64">
        <v>26.88</v>
      </c>
      <c r="M28" s="64">
        <v>58.57</v>
      </c>
      <c r="N28" s="64">
        <v>50.9</v>
      </c>
      <c r="O28" s="64">
        <v>0</v>
      </c>
      <c r="P28" s="64">
        <v>0.39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6" t="s">
        <v>1802</v>
      </c>
      <c r="B29" s="64">
        <v>1.98</v>
      </c>
      <c r="C29" s="64">
        <v>5.91</v>
      </c>
      <c r="D29" s="64">
        <v>4.5999999999999996</v>
      </c>
      <c r="E29" s="64">
        <v>1.52</v>
      </c>
      <c r="F29" s="64">
        <v>3.88</v>
      </c>
      <c r="G29" s="64">
        <v>31.35</v>
      </c>
      <c r="H29" s="64">
        <v>13.66</v>
      </c>
      <c r="I29" s="64">
        <v>5.44</v>
      </c>
      <c r="J29" s="64">
        <v>0.03</v>
      </c>
      <c r="K29" s="64">
        <v>0.9</v>
      </c>
      <c r="L29" s="64">
        <v>26.82</v>
      </c>
      <c r="M29" s="64">
        <v>58.99</v>
      </c>
      <c r="N29" s="64">
        <v>50.7</v>
      </c>
      <c r="O29" s="64">
        <v>0</v>
      </c>
      <c r="P29" s="64">
        <v>0.38</v>
      </c>
      <c r="Q29" s="64">
        <v>9.48</v>
      </c>
      <c r="R29" s="198"/>
      <c r="S29" s="198"/>
      <c r="T29" s="198"/>
      <c r="U29" s="198"/>
    </row>
    <row r="30" spans="1:21" s="12" customFormat="1" x14ac:dyDescent="0.25">
      <c r="A30" s="216" t="s">
        <v>1803</v>
      </c>
      <c r="B30" s="64">
        <v>1.94</v>
      </c>
      <c r="C30" s="64">
        <v>5.98</v>
      </c>
      <c r="D30" s="64">
        <v>4.5999999999999996</v>
      </c>
      <c r="E30" s="64">
        <v>1.35</v>
      </c>
      <c r="F30" s="64">
        <v>4.07</v>
      </c>
      <c r="G30" s="64">
        <v>31.35</v>
      </c>
      <c r="H30" s="64">
        <v>13.66</v>
      </c>
      <c r="I30" s="64">
        <v>5.27</v>
      </c>
      <c r="J30" s="64">
        <v>0.08</v>
      </c>
      <c r="K30" s="64">
        <v>343.79</v>
      </c>
      <c r="L30" s="64">
        <v>26.6</v>
      </c>
      <c r="M30" s="64">
        <v>60.51</v>
      </c>
      <c r="N30" s="64">
        <v>52.9</v>
      </c>
      <c r="O30" s="64">
        <v>0</v>
      </c>
      <c r="P30" s="64">
        <v>0.36</v>
      </c>
      <c r="Q30" s="64">
        <v>9.4700000000000006</v>
      </c>
      <c r="R30" s="198"/>
      <c r="S30" s="198"/>
      <c r="T30" s="198"/>
      <c r="U30" s="198"/>
    </row>
    <row r="31" spans="1:21" s="12" customFormat="1" x14ac:dyDescent="0.25">
      <c r="A31" s="216" t="s">
        <v>1804</v>
      </c>
      <c r="B31" s="64">
        <v>1.89</v>
      </c>
      <c r="C31" s="64">
        <v>5.96</v>
      </c>
      <c r="D31" s="64">
        <v>4.55</v>
      </c>
      <c r="E31" s="64">
        <v>1.64</v>
      </c>
      <c r="F31" s="64">
        <v>4</v>
      </c>
      <c r="G31" s="64">
        <v>31.35</v>
      </c>
      <c r="H31" s="64">
        <v>13.66</v>
      </c>
      <c r="I31" s="64">
        <v>5.0199999999999996</v>
      </c>
      <c r="J31" s="64">
        <v>0.19</v>
      </c>
      <c r="K31" s="64">
        <v>21.01</v>
      </c>
      <c r="L31" s="64">
        <v>26.53</v>
      </c>
      <c r="M31" s="64">
        <v>61.81</v>
      </c>
      <c r="N31" s="64">
        <v>64.599999999999994</v>
      </c>
      <c r="O31" s="64">
        <v>0</v>
      </c>
      <c r="P31" s="64">
        <v>0.35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6" t="s">
        <v>1805</v>
      </c>
      <c r="B32" s="64">
        <v>1.85</v>
      </c>
      <c r="C32" s="64">
        <v>5.92</v>
      </c>
      <c r="D32" s="64">
        <v>4.5</v>
      </c>
      <c r="E32" s="64">
        <v>1.51</v>
      </c>
      <c r="F32" s="64">
        <v>4.21</v>
      </c>
      <c r="G32" s="64">
        <v>29.8</v>
      </c>
      <c r="H32" s="64">
        <v>14.39</v>
      </c>
      <c r="I32" s="64">
        <v>4.7300000000000004</v>
      </c>
      <c r="J32" s="64">
        <v>0.14000000000000001</v>
      </c>
      <c r="K32" s="64">
        <v>13.18</v>
      </c>
      <c r="L32" s="64">
        <v>26.47</v>
      </c>
      <c r="M32" s="64">
        <v>62.42</v>
      </c>
      <c r="N32" s="64">
        <v>66.099999999999994</v>
      </c>
      <c r="O32" s="64">
        <v>0</v>
      </c>
      <c r="P32" s="64">
        <v>0.34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6" t="s">
        <v>1806</v>
      </c>
      <c r="B33" s="64">
        <v>1.84</v>
      </c>
      <c r="C33" s="64">
        <v>5.9</v>
      </c>
      <c r="D33" s="64">
        <v>4.4800000000000004</v>
      </c>
      <c r="E33" s="64">
        <v>1.22</v>
      </c>
      <c r="F33" s="64">
        <v>4.3899999999999997</v>
      </c>
      <c r="G33" s="64">
        <v>29.27</v>
      </c>
      <c r="H33" s="64">
        <v>14.64</v>
      </c>
      <c r="I33" s="64">
        <v>4.54</v>
      </c>
      <c r="J33" s="64">
        <v>0.22</v>
      </c>
      <c r="K33" s="64">
        <v>30.34</v>
      </c>
      <c r="L33" s="64">
        <v>26.45</v>
      </c>
      <c r="M33" s="64">
        <v>62.8</v>
      </c>
      <c r="N33" s="64">
        <v>72.400000000000006</v>
      </c>
      <c r="O33" s="64">
        <v>0</v>
      </c>
      <c r="P33" s="64">
        <v>0.34</v>
      </c>
      <c r="Q33" s="64">
        <v>9.43</v>
      </c>
      <c r="R33" s="198"/>
      <c r="S33" s="198"/>
      <c r="T33" s="198"/>
      <c r="U33" s="198"/>
    </row>
    <row r="34" spans="1:21" s="12" customFormat="1" x14ac:dyDescent="0.25">
      <c r="A34" s="216" t="s">
        <v>1807</v>
      </c>
      <c r="B34" s="64">
        <v>1.87</v>
      </c>
      <c r="C34" s="64">
        <v>6.18</v>
      </c>
      <c r="D34" s="64">
        <v>4.6500000000000004</v>
      </c>
      <c r="E34" s="64">
        <v>1.1499999999999999</v>
      </c>
      <c r="F34" s="64">
        <v>4.3099999999999996</v>
      </c>
      <c r="G34" s="64">
        <v>29.27</v>
      </c>
      <c r="H34" s="64">
        <v>14.64</v>
      </c>
      <c r="I34" s="64">
        <v>4.33</v>
      </c>
      <c r="J34" s="64">
        <v>0.21</v>
      </c>
      <c r="K34" s="64">
        <v>23.48</v>
      </c>
      <c r="L34" s="64">
        <v>26.47</v>
      </c>
      <c r="M34" s="64">
        <v>62.83</v>
      </c>
      <c r="N34" s="64">
        <v>84.3</v>
      </c>
      <c r="O34" s="64">
        <v>0</v>
      </c>
      <c r="P34" s="64">
        <v>0.34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6" t="s">
        <v>1808</v>
      </c>
      <c r="B35" s="64">
        <v>1.87</v>
      </c>
      <c r="C35" s="64">
        <v>6.3</v>
      </c>
      <c r="D35" s="64">
        <v>4.71</v>
      </c>
      <c r="E35" s="64">
        <v>1.59</v>
      </c>
      <c r="F35" s="64">
        <v>4.13</v>
      </c>
      <c r="G35" s="64">
        <v>29.27</v>
      </c>
      <c r="H35" s="64">
        <v>14.64</v>
      </c>
      <c r="I35" s="64">
        <v>4.12</v>
      </c>
      <c r="J35" s="64">
        <v>0.22</v>
      </c>
      <c r="K35" s="64">
        <v>346.05</v>
      </c>
      <c r="L35" s="64">
        <v>26.61</v>
      </c>
      <c r="M35" s="64">
        <v>62.75</v>
      </c>
      <c r="N35" s="64">
        <v>102.7</v>
      </c>
      <c r="O35" s="64">
        <v>0</v>
      </c>
      <c r="P35" s="64">
        <v>0.34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6" t="s">
        <v>1809</v>
      </c>
      <c r="B36" s="64">
        <v>1.92</v>
      </c>
      <c r="C36" s="64">
        <v>6.14</v>
      </c>
      <c r="D36" s="64">
        <v>4.67</v>
      </c>
      <c r="E36" s="64">
        <v>1.56</v>
      </c>
      <c r="F36" s="64">
        <v>3.87</v>
      </c>
      <c r="G36" s="64">
        <v>30.03</v>
      </c>
      <c r="H36" s="64">
        <v>14.78</v>
      </c>
      <c r="I36" s="64">
        <v>3.95</v>
      </c>
      <c r="J36" s="64">
        <v>0.28999999999999998</v>
      </c>
      <c r="K36" s="64">
        <v>328.36</v>
      </c>
      <c r="L36" s="64">
        <v>26.81</v>
      </c>
      <c r="M36" s="64">
        <v>62.23</v>
      </c>
      <c r="N36" s="64">
        <v>108.1</v>
      </c>
      <c r="O36" s="64">
        <v>0</v>
      </c>
      <c r="P36" s="64">
        <v>0.33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6" t="s">
        <v>1810</v>
      </c>
      <c r="B37" s="64">
        <v>1.94</v>
      </c>
      <c r="C37" s="64">
        <v>6.13</v>
      </c>
      <c r="D37" s="64">
        <v>4.68</v>
      </c>
      <c r="E37" s="64">
        <v>1.23</v>
      </c>
      <c r="F37" s="64">
        <v>4.1100000000000003</v>
      </c>
      <c r="G37" s="64">
        <v>30.36</v>
      </c>
      <c r="H37" s="64">
        <v>14.83</v>
      </c>
      <c r="I37" s="64">
        <v>3.8</v>
      </c>
      <c r="J37" s="64">
        <v>0.32</v>
      </c>
      <c r="K37" s="64">
        <v>344.61</v>
      </c>
      <c r="L37" s="64">
        <v>26.68</v>
      </c>
      <c r="M37" s="64">
        <v>62.06</v>
      </c>
      <c r="N37" s="64">
        <v>123.1</v>
      </c>
      <c r="O37" s="64">
        <v>0</v>
      </c>
      <c r="P37" s="64">
        <v>0.36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6" t="s">
        <v>1811</v>
      </c>
      <c r="B38" s="64">
        <v>1.87</v>
      </c>
      <c r="C38" s="64">
        <v>6.32</v>
      </c>
      <c r="D38" s="64">
        <v>4.72</v>
      </c>
      <c r="E38" s="64">
        <v>1.82</v>
      </c>
      <c r="F38" s="64">
        <v>4.78</v>
      </c>
      <c r="G38" s="64">
        <v>30.36</v>
      </c>
      <c r="H38" s="64">
        <v>14.83</v>
      </c>
      <c r="I38" s="64">
        <v>3.68</v>
      </c>
      <c r="J38" s="64">
        <v>0.27</v>
      </c>
      <c r="K38" s="64">
        <v>349.05</v>
      </c>
      <c r="L38" s="64">
        <v>26.91</v>
      </c>
      <c r="M38" s="64">
        <v>61.62</v>
      </c>
      <c r="N38" s="64">
        <v>153.5</v>
      </c>
      <c r="O38" s="64">
        <v>0</v>
      </c>
      <c r="P38" s="64">
        <v>0.37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6" t="s">
        <v>1812</v>
      </c>
      <c r="B39" s="64">
        <v>1.84</v>
      </c>
      <c r="C39" s="64">
        <v>6.6</v>
      </c>
      <c r="D39" s="64">
        <v>4.84</v>
      </c>
      <c r="E39" s="64">
        <v>1.49</v>
      </c>
      <c r="F39" s="64">
        <v>4.5599999999999996</v>
      </c>
      <c r="G39" s="64">
        <v>30.36</v>
      </c>
      <c r="H39" s="64">
        <v>14.83</v>
      </c>
      <c r="I39" s="64">
        <v>3.47</v>
      </c>
      <c r="J39" s="64">
        <v>0.39</v>
      </c>
      <c r="K39" s="64">
        <v>315.2</v>
      </c>
      <c r="L39" s="64">
        <v>27.32</v>
      </c>
      <c r="M39" s="64">
        <v>61.13</v>
      </c>
      <c r="N39" s="64">
        <v>174.4</v>
      </c>
      <c r="O39" s="64">
        <v>0</v>
      </c>
      <c r="P39" s="64">
        <v>0.36</v>
      </c>
      <c r="Q39" s="64">
        <v>9.42</v>
      </c>
      <c r="R39" s="198"/>
      <c r="S39" s="198"/>
      <c r="T39" s="198"/>
      <c r="U39" s="198"/>
    </row>
    <row r="40" spans="1:21" s="12" customFormat="1" x14ac:dyDescent="0.25">
      <c r="A40" s="216" t="s">
        <v>1813</v>
      </c>
      <c r="B40" s="64">
        <v>1.84</v>
      </c>
      <c r="C40" s="64">
        <v>6.45</v>
      </c>
      <c r="D40" s="64">
        <v>4.7699999999999996</v>
      </c>
      <c r="E40" s="64">
        <v>0.96</v>
      </c>
      <c r="F40" s="64">
        <v>4.93</v>
      </c>
      <c r="G40" s="64">
        <v>22.45</v>
      </c>
      <c r="H40" s="64">
        <v>12.56</v>
      </c>
      <c r="I40" s="64">
        <v>3.07</v>
      </c>
      <c r="J40" s="64">
        <v>0.23</v>
      </c>
      <c r="K40" s="64">
        <v>321.49</v>
      </c>
      <c r="L40" s="64">
        <v>27.49</v>
      </c>
      <c r="M40" s="64">
        <v>60.33</v>
      </c>
      <c r="N40" s="64">
        <v>185.3</v>
      </c>
      <c r="O40" s="64">
        <v>0</v>
      </c>
      <c r="P40" s="64">
        <v>0.37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6" t="s">
        <v>1814</v>
      </c>
      <c r="B41" s="64">
        <v>1.88</v>
      </c>
      <c r="C41" s="64">
        <v>6.43</v>
      </c>
      <c r="D41" s="64">
        <v>4.78</v>
      </c>
      <c r="E41" s="64">
        <v>0.91</v>
      </c>
      <c r="F41" s="64">
        <v>3.81</v>
      </c>
      <c r="G41" s="64">
        <v>19.739999999999998</v>
      </c>
      <c r="H41" s="64">
        <v>11.79</v>
      </c>
      <c r="I41" s="64">
        <v>2.96</v>
      </c>
      <c r="J41" s="64">
        <v>0.05</v>
      </c>
      <c r="K41" s="64">
        <v>348.95</v>
      </c>
      <c r="L41" s="64">
        <v>27.1</v>
      </c>
      <c r="M41" s="64">
        <v>62</v>
      </c>
      <c r="N41" s="64">
        <v>131.80000000000001</v>
      </c>
      <c r="O41" s="64">
        <v>0</v>
      </c>
      <c r="P41" s="64">
        <v>0.38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6" t="s">
        <v>1815</v>
      </c>
      <c r="B42" s="64">
        <v>1.91</v>
      </c>
      <c r="C42" s="64">
        <v>6.24</v>
      </c>
      <c r="D42" s="64">
        <v>4.71</v>
      </c>
      <c r="E42" s="64">
        <v>0.91</v>
      </c>
      <c r="F42" s="64">
        <v>3.78</v>
      </c>
      <c r="G42" s="64">
        <v>19.739999999999998</v>
      </c>
      <c r="H42" s="64">
        <v>11.79</v>
      </c>
      <c r="I42" s="64">
        <v>3.07</v>
      </c>
      <c r="J42" s="64">
        <v>0.03</v>
      </c>
      <c r="K42" s="64">
        <v>328.12</v>
      </c>
      <c r="L42" s="64">
        <v>26.55</v>
      </c>
      <c r="M42" s="64">
        <v>67.17</v>
      </c>
      <c r="N42" s="64">
        <v>199.9</v>
      </c>
      <c r="O42" s="64">
        <v>0</v>
      </c>
      <c r="P42" s="64">
        <v>0.38</v>
      </c>
      <c r="Q42" s="64">
        <v>9.4600000000000009</v>
      </c>
      <c r="R42" s="198"/>
      <c r="S42" s="198"/>
      <c r="T42" s="198"/>
      <c r="U42" s="198"/>
    </row>
    <row r="43" spans="1:21" s="12" customFormat="1" x14ac:dyDescent="0.25">
      <c r="A43" s="216" t="s">
        <v>1816</v>
      </c>
      <c r="B43" s="64">
        <v>1.92</v>
      </c>
      <c r="C43" s="64">
        <v>6.17</v>
      </c>
      <c r="D43" s="64">
        <v>4.68</v>
      </c>
      <c r="E43" s="64">
        <v>0.98</v>
      </c>
      <c r="F43" s="64">
        <v>3.92</v>
      </c>
      <c r="G43" s="64">
        <v>19.739999999999998</v>
      </c>
      <c r="H43" s="64">
        <v>11.79</v>
      </c>
      <c r="I43" s="64">
        <v>3.2</v>
      </c>
      <c r="J43" s="64">
        <v>0.23</v>
      </c>
      <c r="K43" s="64">
        <v>352.33</v>
      </c>
      <c r="L43" s="64">
        <v>26.77</v>
      </c>
      <c r="M43" s="64">
        <v>68.56</v>
      </c>
      <c r="N43" s="64">
        <v>253.7</v>
      </c>
      <c r="O43" s="64">
        <v>0</v>
      </c>
      <c r="P43" s="64">
        <v>0.4</v>
      </c>
      <c r="Q43" s="64">
        <v>9.4499999999999993</v>
      </c>
      <c r="R43" s="198"/>
      <c r="S43" s="198"/>
      <c r="T43" s="198"/>
      <c r="U43" s="198"/>
    </row>
    <row r="44" spans="1:21" s="12" customFormat="1" x14ac:dyDescent="0.25">
      <c r="A44" s="216" t="s">
        <v>1817</v>
      </c>
      <c r="B44" s="64">
        <v>1.98</v>
      </c>
      <c r="C44" s="64">
        <v>6.09</v>
      </c>
      <c r="D44" s="64">
        <v>4.6900000000000004</v>
      </c>
      <c r="E44" s="64">
        <v>0.95</v>
      </c>
      <c r="F44" s="64">
        <v>3.82</v>
      </c>
      <c r="G44" s="64">
        <v>14.59</v>
      </c>
      <c r="H44" s="64">
        <v>12.93</v>
      </c>
      <c r="I44" s="64">
        <v>3.31</v>
      </c>
      <c r="J44" s="64">
        <v>0.24</v>
      </c>
      <c r="K44" s="64">
        <v>343.59</v>
      </c>
      <c r="L44" s="64">
        <v>27.46</v>
      </c>
      <c r="M44" s="64">
        <v>65.239999999999995</v>
      </c>
      <c r="N44" s="64">
        <v>272.5</v>
      </c>
      <c r="O44" s="64">
        <v>0</v>
      </c>
      <c r="P44" s="64">
        <v>0.41</v>
      </c>
      <c r="Q44" s="64">
        <v>9.4600000000000009</v>
      </c>
      <c r="R44" s="198"/>
      <c r="S44" s="198"/>
      <c r="T44" s="198"/>
      <c r="U44" s="198"/>
    </row>
    <row r="45" spans="1:21" s="12" customFormat="1" x14ac:dyDescent="0.25">
      <c r="A45" s="216" t="s">
        <v>1818</v>
      </c>
      <c r="B45" s="64">
        <v>2.09</v>
      </c>
      <c r="C45" s="64">
        <v>6.23</v>
      </c>
      <c r="D45" s="64">
        <v>4.8499999999999996</v>
      </c>
      <c r="E45" s="64">
        <v>1.17</v>
      </c>
      <c r="F45" s="64">
        <v>3.86</v>
      </c>
      <c r="G45" s="214" t="s">
        <v>42</v>
      </c>
      <c r="H45" s="64">
        <v>13.33</v>
      </c>
      <c r="I45" s="64">
        <v>3.3</v>
      </c>
      <c r="J45" s="64">
        <v>0.52</v>
      </c>
      <c r="K45" s="64">
        <v>308.04000000000002</v>
      </c>
      <c r="L45" s="64">
        <v>28.24</v>
      </c>
      <c r="M45" s="64">
        <v>63.56</v>
      </c>
      <c r="N45" s="64">
        <v>308.60000000000002</v>
      </c>
      <c r="O45" s="64">
        <v>0</v>
      </c>
      <c r="P45" s="64">
        <v>0.43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6" t="s">
        <v>1819</v>
      </c>
      <c r="B46" s="64">
        <v>2.25</v>
      </c>
      <c r="C46" s="64">
        <v>6.28</v>
      </c>
      <c r="D46" s="64">
        <v>5.01</v>
      </c>
      <c r="E46" s="64">
        <v>1.25</v>
      </c>
      <c r="F46" s="64">
        <v>3.74</v>
      </c>
      <c r="G46" s="214" t="s">
        <v>42</v>
      </c>
      <c r="H46" s="64">
        <v>13.33</v>
      </c>
      <c r="I46" s="64">
        <v>3.28</v>
      </c>
      <c r="J46" s="64">
        <v>0.78</v>
      </c>
      <c r="K46" s="64">
        <v>317.81</v>
      </c>
      <c r="L46" s="64">
        <v>28.69</v>
      </c>
      <c r="M46" s="64">
        <v>62.48</v>
      </c>
      <c r="N46" s="64">
        <v>284.8</v>
      </c>
      <c r="O46" s="64">
        <v>0</v>
      </c>
      <c r="P46" s="64">
        <v>0.47</v>
      </c>
      <c r="Q46" s="64">
        <v>9.4700000000000006</v>
      </c>
      <c r="R46" s="198"/>
      <c r="S46" s="198"/>
      <c r="T46" s="198"/>
      <c r="U46" s="198"/>
    </row>
    <row r="47" spans="1:21" s="12" customFormat="1" x14ac:dyDescent="0.25">
      <c r="A47" s="216" t="s">
        <v>1820</v>
      </c>
      <c r="B47" s="64">
        <v>2.39</v>
      </c>
      <c r="C47" s="64">
        <v>6.42</v>
      </c>
      <c r="D47" s="64">
        <v>5.19</v>
      </c>
      <c r="E47" s="64">
        <v>1.35</v>
      </c>
      <c r="F47" s="64">
        <v>3.95</v>
      </c>
      <c r="G47" s="214" t="s">
        <v>42</v>
      </c>
      <c r="H47" s="64">
        <v>13.33</v>
      </c>
      <c r="I47" s="64">
        <v>3.42</v>
      </c>
      <c r="J47" s="64">
        <v>0.71</v>
      </c>
      <c r="K47" s="64">
        <v>321.06</v>
      </c>
      <c r="L47" s="64">
        <v>28.98</v>
      </c>
      <c r="M47" s="64">
        <v>60.33</v>
      </c>
      <c r="N47" s="64">
        <v>298.3</v>
      </c>
      <c r="O47" s="64">
        <v>0</v>
      </c>
      <c r="P47" s="64">
        <v>0.52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16" t="s">
        <v>1821</v>
      </c>
      <c r="B48" s="64">
        <v>2.4500000000000002</v>
      </c>
      <c r="C48" s="64">
        <v>6.44</v>
      </c>
      <c r="D48" s="64">
        <v>5.25</v>
      </c>
      <c r="E48" s="64">
        <v>1.22</v>
      </c>
      <c r="F48" s="64">
        <v>3.56</v>
      </c>
      <c r="G48" s="214" t="s">
        <v>42</v>
      </c>
      <c r="H48" s="64">
        <v>15.09</v>
      </c>
      <c r="I48" s="64">
        <v>3.62</v>
      </c>
      <c r="J48" s="64">
        <v>0.68</v>
      </c>
      <c r="K48" s="64">
        <v>309.48</v>
      </c>
      <c r="L48" s="64">
        <v>29.39</v>
      </c>
      <c r="M48" s="64">
        <v>58.88</v>
      </c>
      <c r="N48" s="64">
        <v>321.2</v>
      </c>
      <c r="O48" s="64">
        <v>0</v>
      </c>
      <c r="P48" s="64">
        <v>0.53</v>
      </c>
      <c r="Q48" s="64">
        <v>9.41</v>
      </c>
      <c r="R48" s="198"/>
      <c r="S48" s="198"/>
      <c r="T48" s="198"/>
      <c r="U48" s="198"/>
    </row>
    <row r="49" spans="1:21" s="12" customFormat="1" x14ac:dyDescent="0.25">
      <c r="A49" s="216" t="s">
        <v>1822</v>
      </c>
      <c r="B49" s="64">
        <v>2.56</v>
      </c>
      <c r="C49" s="64">
        <v>6.96</v>
      </c>
      <c r="D49" s="64">
        <v>5.61</v>
      </c>
      <c r="E49" s="64">
        <v>0.82</v>
      </c>
      <c r="F49" s="64">
        <v>3.31</v>
      </c>
      <c r="G49" s="214" t="s">
        <v>42</v>
      </c>
      <c r="H49" s="64">
        <v>15.69</v>
      </c>
      <c r="I49" s="64">
        <v>3.77</v>
      </c>
      <c r="J49" s="64">
        <v>0.95</v>
      </c>
      <c r="K49" s="64">
        <v>329.71</v>
      </c>
      <c r="L49" s="64">
        <v>29.9</v>
      </c>
      <c r="M49" s="64">
        <v>54.58</v>
      </c>
      <c r="N49" s="64">
        <v>319.5</v>
      </c>
      <c r="O49" s="64">
        <v>0</v>
      </c>
      <c r="P49" s="64">
        <v>0.54</v>
      </c>
      <c r="Q49" s="64">
        <v>9.43</v>
      </c>
      <c r="R49" s="198"/>
      <c r="S49" s="198"/>
      <c r="T49" s="198"/>
      <c r="U49" s="198"/>
    </row>
    <row r="50" spans="1:21" s="12" customFormat="1" x14ac:dyDescent="0.25">
      <c r="A50" s="216" t="s">
        <v>1823</v>
      </c>
      <c r="B50" s="64">
        <v>2.63</v>
      </c>
      <c r="C50" s="64">
        <v>7.23</v>
      </c>
      <c r="D50" s="64">
        <v>5.8</v>
      </c>
      <c r="E50" s="64">
        <v>0.98</v>
      </c>
      <c r="F50" s="64">
        <v>3.64</v>
      </c>
      <c r="G50" s="214" t="s">
        <v>42</v>
      </c>
      <c r="H50" s="64">
        <v>15.69</v>
      </c>
      <c r="I50" s="64">
        <v>3.84</v>
      </c>
      <c r="J50" s="64">
        <v>0.57999999999999996</v>
      </c>
      <c r="K50" s="64">
        <v>318.08</v>
      </c>
      <c r="L50" s="64">
        <v>30.02</v>
      </c>
      <c r="M50" s="64">
        <v>53.19</v>
      </c>
      <c r="N50" s="64">
        <v>272.10000000000002</v>
      </c>
      <c r="O50" s="64">
        <v>0</v>
      </c>
      <c r="P50" s="64">
        <v>0.56000000000000005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6" t="s">
        <v>1824</v>
      </c>
      <c r="B51" s="64">
        <v>2.76</v>
      </c>
      <c r="C51" s="64">
        <v>7.44</v>
      </c>
      <c r="D51" s="64">
        <v>6.02</v>
      </c>
      <c r="E51" s="64">
        <v>1.25</v>
      </c>
      <c r="F51" s="64">
        <v>3.72</v>
      </c>
      <c r="G51" s="214" t="s">
        <v>42</v>
      </c>
      <c r="H51" s="64">
        <v>15.69</v>
      </c>
      <c r="I51" s="64">
        <v>3.91</v>
      </c>
      <c r="J51" s="64">
        <v>0.34</v>
      </c>
      <c r="K51" s="64">
        <v>312.87</v>
      </c>
      <c r="L51" s="64">
        <v>30.51</v>
      </c>
      <c r="M51" s="64">
        <v>48.63</v>
      </c>
      <c r="N51" s="64">
        <v>270.7</v>
      </c>
      <c r="O51" s="64">
        <v>0</v>
      </c>
      <c r="P51" s="64">
        <v>0.56999999999999995</v>
      </c>
      <c r="Q51" s="64">
        <v>9.43</v>
      </c>
      <c r="R51" s="198"/>
      <c r="S51" s="198"/>
      <c r="T51" s="198"/>
      <c r="U51" s="198"/>
    </row>
    <row r="52" spans="1:21" s="12" customFormat="1" x14ac:dyDescent="0.25">
      <c r="A52" s="216" t="s">
        <v>1825</v>
      </c>
      <c r="B52" s="64">
        <v>2.85</v>
      </c>
      <c r="C52" s="64">
        <v>7.83</v>
      </c>
      <c r="D52" s="64">
        <v>6.29</v>
      </c>
      <c r="E52" s="64">
        <v>1.05</v>
      </c>
      <c r="F52" s="64">
        <v>3.53</v>
      </c>
      <c r="G52" s="214" t="s">
        <v>42</v>
      </c>
      <c r="H52" s="64">
        <v>13.56</v>
      </c>
      <c r="I52" s="64">
        <v>3.99</v>
      </c>
      <c r="J52" s="64">
        <v>0.33</v>
      </c>
      <c r="K52" s="64">
        <v>321.68</v>
      </c>
      <c r="L52" s="64">
        <v>30.31</v>
      </c>
      <c r="M52" s="64">
        <v>48.75</v>
      </c>
      <c r="N52" s="64">
        <v>232.5</v>
      </c>
      <c r="O52" s="64">
        <v>0</v>
      </c>
      <c r="P52" s="64">
        <v>0.56999999999999995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6" t="s">
        <v>1826</v>
      </c>
      <c r="B53" s="64">
        <v>2.76</v>
      </c>
      <c r="C53" s="64">
        <v>8.1300000000000008</v>
      </c>
      <c r="D53" s="64">
        <v>6.38</v>
      </c>
      <c r="E53" s="64">
        <v>1.46</v>
      </c>
      <c r="F53" s="64">
        <v>3.65</v>
      </c>
      <c r="G53" s="214" t="s">
        <v>42</v>
      </c>
      <c r="H53" s="64">
        <v>12.82</v>
      </c>
      <c r="I53" s="64">
        <v>3.99</v>
      </c>
      <c r="J53" s="64">
        <v>0.17</v>
      </c>
      <c r="K53" s="64">
        <v>20.83</v>
      </c>
      <c r="L53" s="64">
        <v>29.84</v>
      </c>
      <c r="M53" s="64">
        <v>49.74</v>
      </c>
      <c r="N53" s="64">
        <v>238</v>
      </c>
      <c r="O53" s="64">
        <v>0</v>
      </c>
      <c r="P53" s="64">
        <v>0.56999999999999995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16" t="s">
        <v>1827</v>
      </c>
      <c r="B54" s="64">
        <v>2.6</v>
      </c>
      <c r="C54" s="64">
        <v>8.66</v>
      </c>
      <c r="D54" s="64">
        <v>6.53</v>
      </c>
      <c r="E54" s="64">
        <v>1.57</v>
      </c>
      <c r="F54" s="64">
        <v>3.85</v>
      </c>
      <c r="G54" s="214" t="s">
        <v>42</v>
      </c>
      <c r="H54" s="64">
        <v>12.82</v>
      </c>
      <c r="I54" s="64">
        <v>3.97</v>
      </c>
      <c r="J54" s="64">
        <v>0.15</v>
      </c>
      <c r="K54" s="64">
        <v>0.7</v>
      </c>
      <c r="L54" s="64">
        <v>29.28</v>
      </c>
      <c r="M54" s="64">
        <v>51.73</v>
      </c>
      <c r="N54" s="64">
        <v>244.1</v>
      </c>
      <c r="O54" s="64">
        <v>0</v>
      </c>
      <c r="P54" s="64">
        <v>0.6</v>
      </c>
      <c r="Q54" s="64">
        <v>9.4600000000000009</v>
      </c>
      <c r="R54" s="198"/>
      <c r="S54" s="198"/>
      <c r="T54" s="198"/>
      <c r="U54" s="198"/>
    </row>
    <row r="55" spans="1:21" s="12" customFormat="1" x14ac:dyDescent="0.25">
      <c r="A55" s="216" t="s">
        <v>1828</v>
      </c>
      <c r="B55" s="64">
        <v>2.27</v>
      </c>
      <c r="C55" s="64">
        <v>8.58</v>
      </c>
      <c r="D55" s="64">
        <v>6.22</v>
      </c>
      <c r="E55" s="64">
        <v>1.26</v>
      </c>
      <c r="F55" s="64">
        <v>4.2699999999999996</v>
      </c>
      <c r="G55" s="214" t="s">
        <v>42</v>
      </c>
      <c r="H55" s="64">
        <v>12.82</v>
      </c>
      <c r="I55" s="64">
        <v>3.96</v>
      </c>
      <c r="J55" s="64">
        <v>0.18</v>
      </c>
      <c r="K55" s="64">
        <v>228.72</v>
      </c>
      <c r="L55" s="64">
        <v>28.81</v>
      </c>
      <c r="M55" s="64">
        <v>53.05</v>
      </c>
      <c r="N55" s="64">
        <v>194.3</v>
      </c>
      <c r="O55" s="64">
        <v>0</v>
      </c>
      <c r="P55" s="64">
        <v>0.6</v>
      </c>
      <c r="Q55" s="64">
        <v>9.4600000000000009</v>
      </c>
      <c r="R55" s="198"/>
      <c r="S55" s="198"/>
      <c r="T55" s="198"/>
      <c r="U55" s="198"/>
    </row>
    <row r="56" spans="1:21" s="12" customFormat="1" x14ac:dyDescent="0.25">
      <c r="A56" s="216" t="s">
        <v>1829</v>
      </c>
      <c r="B56" s="64">
        <v>2.06</v>
      </c>
      <c r="C56" s="64">
        <v>8.3000000000000007</v>
      </c>
      <c r="D56" s="64">
        <v>5.91</v>
      </c>
      <c r="E56" s="64">
        <v>1.4</v>
      </c>
      <c r="F56" s="64">
        <v>4.17</v>
      </c>
      <c r="G56" s="214" t="s">
        <v>42</v>
      </c>
      <c r="H56" s="64">
        <v>11.94</v>
      </c>
      <c r="I56" s="64">
        <v>3.96</v>
      </c>
      <c r="J56" s="64">
        <v>7.0000000000000007E-2</v>
      </c>
      <c r="K56" s="64">
        <v>312.93</v>
      </c>
      <c r="L56" s="64">
        <v>29.05</v>
      </c>
      <c r="M56" s="64">
        <v>54.34</v>
      </c>
      <c r="N56" s="64">
        <v>229.7</v>
      </c>
      <c r="O56" s="64">
        <v>0</v>
      </c>
      <c r="P56" s="64">
        <v>0.63</v>
      </c>
      <c r="Q56" s="64">
        <v>9.4600000000000009</v>
      </c>
      <c r="R56" s="198"/>
      <c r="S56" s="198"/>
      <c r="T56" s="198"/>
      <c r="U56" s="198"/>
    </row>
    <row r="57" spans="1:21" s="12" customFormat="1" x14ac:dyDescent="0.25">
      <c r="A57" s="216" t="s">
        <v>1830</v>
      </c>
      <c r="B57" s="64">
        <v>1.92</v>
      </c>
      <c r="C57" s="64">
        <v>8.5</v>
      </c>
      <c r="D57" s="64">
        <v>5.91</v>
      </c>
      <c r="E57" s="64">
        <v>1.76</v>
      </c>
      <c r="F57" s="64">
        <v>4.26</v>
      </c>
      <c r="G57" s="214" t="s">
        <v>42</v>
      </c>
      <c r="H57" s="64">
        <v>11.63</v>
      </c>
      <c r="I57" s="64">
        <v>4.12</v>
      </c>
      <c r="J57" s="64">
        <v>0.05</v>
      </c>
      <c r="K57" s="64">
        <v>258.87</v>
      </c>
      <c r="L57" s="64">
        <v>28.93</v>
      </c>
      <c r="M57" s="64">
        <v>53.42</v>
      </c>
      <c r="N57" s="64">
        <v>341.9</v>
      </c>
      <c r="O57" s="64">
        <v>0</v>
      </c>
      <c r="P57" s="64">
        <v>0.62</v>
      </c>
      <c r="Q57" s="64">
        <v>9.44</v>
      </c>
      <c r="R57" s="198"/>
      <c r="S57" s="198"/>
      <c r="T57" s="198"/>
      <c r="U57" s="198"/>
    </row>
    <row r="58" spans="1:21" s="12" customFormat="1" x14ac:dyDescent="0.25">
      <c r="A58" s="216" t="s">
        <v>1831</v>
      </c>
      <c r="B58" s="64">
        <v>1.77</v>
      </c>
      <c r="C58" s="64">
        <v>7.58</v>
      </c>
      <c r="D58" s="64">
        <v>5.3</v>
      </c>
      <c r="E58" s="64">
        <v>1.73</v>
      </c>
      <c r="F58" s="64">
        <v>4.43</v>
      </c>
      <c r="G58" s="214" t="s">
        <v>42</v>
      </c>
      <c r="H58" s="64">
        <v>11.63</v>
      </c>
      <c r="I58" s="64">
        <v>4.41</v>
      </c>
      <c r="J58" s="64">
        <v>0.09</v>
      </c>
      <c r="K58" s="64">
        <v>138.80000000000001</v>
      </c>
      <c r="L58" s="64">
        <v>29.68</v>
      </c>
      <c r="M58" s="64">
        <v>51</v>
      </c>
      <c r="N58" s="64">
        <v>416.9</v>
      </c>
      <c r="O58" s="64">
        <v>0</v>
      </c>
      <c r="P58" s="64">
        <v>0.62</v>
      </c>
      <c r="Q58" s="64">
        <v>9.41</v>
      </c>
      <c r="R58" s="198"/>
      <c r="S58" s="198"/>
      <c r="T58" s="198"/>
      <c r="U58" s="198"/>
    </row>
    <row r="59" spans="1:21" s="12" customFormat="1" x14ac:dyDescent="0.25">
      <c r="A59" s="216" t="s">
        <v>1832</v>
      </c>
      <c r="B59" s="64">
        <v>1.63</v>
      </c>
      <c r="C59" s="64">
        <v>6.97</v>
      </c>
      <c r="D59" s="64">
        <v>4.8600000000000003</v>
      </c>
      <c r="E59" s="64">
        <v>1.6</v>
      </c>
      <c r="F59" s="64">
        <v>4.6500000000000004</v>
      </c>
      <c r="G59" s="214" t="s">
        <v>42</v>
      </c>
      <c r="H59" s="64">
        <v>11.63</v>
      </c>
      <c r="I59" s="64">
        <v>4.66</v>
      </c>
      <c r="J59" s="64">
        <v>0.22</v>
      </c>
      <c r="K59" s="64">
        <v>161.9</v>
      </c>
      <c r="L59" s="64">
        <v>29.79</v>
      </c>
      <c r="M59" s="64">
        <v>49.87</v>
      </c>
      <c r="N59" s="64">
        <v>460.8</v>
      </c>
      <c r="O59" s="64">
        <v>0</v>
      </c>
      <c r="P59" s="64">
        <v>0.62</v>
      </c>
      <c r="Q59" s="64">
        <v>9.3800000000000008</v>
      </c>
      <c r="R59" s="198"/>
      <c r="S59" s="198"/>
      <c r="T59" s="198"/>
      <c r="U59" s="198"/>
    </row>
    <row r="60" spans="1:21" s="12" customFormat="1" x14ac:dyDescent="0.25">
      <c r="A60" s="216" t="s">
        <v>1833</v>
      </c>
      <c r="B60" s="64">
        <v>1.52</v>
      </c>
      <c r="C60" s="64">
        <v>6.42</v>
      </c>
      <c r="D60" s="64">
        <v>4.49</v>
      </c>
      <c r="E60" s="64">
        <v>1.75</v>
      </c>
      <c r="F60" s="64">
        <v>4.8899999999999997</v>
      </c>
      <c r="G60" s="214" t="s">
        <v>42</v>
      </c>
      <c r="H60" s="64">
        <v>14.11</v>
      </c>
      <c r="I60" s="64">
        <v>4.8899999999999997</v>
      </c>
      <c r="J60" s="64">
        <v>0.95</v>
      </c>
      <c r="K60" s="64">
        <v>148.09</v>
      </c>
      <c r="L60" s="64">
        <v>30.01</v>
      </c>
      <c r="M60" s="64">
        <v>49.04</v>
      </c>
      <c r="N60" s="64">
        <v>434.3</v>
      </c>
      <c r="O60" s="64">
        <v>0</v>
      </c>
      <c r="P60" s="64">
        <v>0.6</v>
      </c>
      <c r="Q60" s="64">
        <v>9.4</v>
      </c>
      <c r="R60" s="198"/>
      <c r="S60" s="198"/>
      <c r="T60" s="198"/>
      <c r="U60" s="198"/>
    </row>
    <row r="61" spans="1:21" s="12" customFormat="1" x14ac:dyDescent="0.25">
      <c r="A61" s="216" t="s">
        <v>1834</v>
      </c>
      <c r="B61" s="64">
        <v>1.48</v>
      </c>
      <c r="C61" s="64">
        <v>6.01</v>
      </c>
      <c r="D61" s="64">
        <v>4.24</v>
      </c>
      <c r="E61" s="64">
        <v>1.64</v>
      </c>
      <c r="F61" s="64">
        <v>4.9000000000000004</v>
      </c>
      <c r="G61" s="214" t="s">
        <v>42</v>
      </c>
      <c r="H61" s="64">
        <v>14.96</v>
      </c>
      <c r="I61" s="64">
        <v>5.09</v>
      </c>
      <c r="J61" s="64">
        <v>0.31</v>
      </c>
      <c r="K61" s="64">
        <v>169.57</v>
      </c>
      <c r="L61" s="64">
        <v>30.23</v>
      </c>
      <c r="M61" s="64">
        <v>47.86</v>
      </c>
      <c r="N61" s="64">
        <v>393.3</v>
      </c>
      <c r="O61" s="64">
        <v>0</v>
      </c>
      <c r="P61" s="64">
        <v>0.52</v>
      </c>
      <c r="Q61" s="64">
        <v>9.4</v>
      </c>
      <c r="R61" s="198"/>
      <c r="S61" s="198"/>
      <c r="T61" s="198"/>
      <c r="U61" s="198"/>
    </row>
    <row r="62" spans="1:21" s="12" customFormat="1" x14ac:dyDescent="0.25">
      <c r="A62" s="216" t="s">
        <v>1835</v>
      </c>
      <c r="B62" s="64">
        <v>1.47</v>
      </c>
      <c r="C62" s="64">
        <v>5.56</v>
      </c>
      <c r="D62" s="64">
        <v>4</v>
      </c>
      <c r="E62" s="64">
        <v>1.79</v>
      </c>
      <c r="F62" s="64">
        <v>4.2</v>
      </c>
      <c r="G62" s="214" t="s">
        <v>42</v>
      </c>
      <c r="H62" s="64">
        <v>14.96</v>
      </c>
      <c r="I62" s="64">
        <v>5.47</v>
      </c>
      <c r="J62" s="64">
        <v>0.23</v>
      </c>
      <c r="K62" s="64">
        <v>159.74</v>
      </c>
      <c r="L62" s="64">
        <v>30.88</v>
      </c>
      <c r="M62" s="64">
        <v>45.72</v>
      </c>
      <c r="N62" s="64">
        <v>512.4</v>
      </c>
      <c r="O62" s="64">
        <v>0</v>
      </c>
      <c r="P62" s="64">
        <v>0.53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6" t="s">
        <v>1836</v>
      </c>
      <c r="B63" s="64">
        <v>1.47</v>
      </c>
      <c r="C63" s="64">
        <v>5.26</v>
      </c>
      <c r="D63" s="64">
        <v>3.85</v>
      </c>
      <c r="E63" s="64">
        <v>1.81</v>
      </c>
      <c r="F63" s="64">
        <v>4.5</v>
      </c>
      <c r="G63" s="214" t="s">
        <v>42</v>
      </c>
      <c r="H63" s="64">
        <v>14.96</v>
      </c>
      <c r="I63" s="64">
        <v>5.72</v>
      </c>
      <c r="J63" s="64">
        <v>0.34</v>
      </c>
      <c r="K63" s="64">
        <v>160.47</v>
      </c>
      <c r="L63" s="64">
        <v>31.1</v>
      </c>
      <c r="M63" s="64">
        <v>43.94</v>
      </c>
      <c r="N63" s="64">
        <v>444.4</v>
      </c>
      <c r="O63" s="64">
        <v>0</v>
      </c>
      <c r="P63" s="64">
        <v>0.52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6" t="s">
        <v>1837</v>
      </c>
      <c r="B64" s="64">
        <v>1.51</v>
      </c>
      <c r="C64" s="64">
        <v>5.0199999999999996</v>
      </c>
      <c r="D64" s="64">
        <v>3.76</v>
      </c>
      <c r="E64" s="64">
        <v>1.9</v>
      </c>
      <c r="F64" s="64">
        <v>4.1399999999999997</v>
      </c>
      <c r="G64" s="214" t="s">
        <v>42</v>
      </c>
      <c r="H64" s="64">
        <v>14.9</v>
      </c>
      <c r="I64" s="64">
        <v>5.81</v>
      </c>
      <c r="J64" s="64">
        <v>0.09</v>
      </c>
      <c r="K64" s="64">
        <v>11.13</v>
      </c>
      <c r="L64" s="64">
        <v>31.53</v>
      </c>
      <c r="M64" s="64">
        <v>41.8</v>
      </c>
      <c r="N64" s="64">
        <v>340.6</v>
      </c>
      <c r="O64" s="64">
        <v>0</v>
      </c>
      <c r="P64" s="64">
        <v>0.51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6" t="s">
        <v>1838</v>
      </c>
      <c r="B65" s="64">
        <v>1.57</v>
      </c>
      <c r="C65" s="64">
        <v>5.18</v>
      </c>
      <c r="D65" s="64">
        <v>3.88</v>
      </c>
      <c r="E65" s="64">
        <v>1.39</v>
      </c>
      <c r="F65" s="64">
        <v>4.01</v>
      </c>
      <c r="G65" s="214" t="s">
        <v>42</v>
      </c>
      <c r="H65" s="64">
        <v>14.87</v>
      </c>
      <c r="I65" s="64">
        <v>5.77</v>
      </c>
      <c r="J65" s="64">
        <v>1</v>
      </c>
      <c r="K65" s="64">
        <v>344.71</v>
      </c>
      <c r="L65" s="64">
        <v>31.36</v>
      </c>
      <c r="M65" s="64">
        <v>47.63</v>
      </c>
      <c r="N65" s="64">
        <v>331.8</v>
      </c>
      <c r="O65" s="64">
        <v>0</v>
      </c>
      <c r="P65" s="64">
        <v>0.52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6" t="s">
        <v>1839</v>
      </c>
      <c r="B66" s="64">
        <v>1.69</v>
      </c>
      <c r="C66" s="64">
        <v>6.16</v>
      </c>
      <c r="D66" s="64">
        <v>4.49</v>
      </c>
      <c r="E66" s="64">
        <v>1.82</v>
      </c>
      <c r="F66" s="64">
        <v>4.88</v>
      </c>
      <c r="G66" s="214" t="s">
        <v>42</v>
      </c>
      <c r="H66" s="64">
        <v>14.87</v>
      </c>
      <c r="I66" s="64">
        <v>5.85</v>
      </c>
      <c r="J66" s="64">
        <v>0.28999999999999998</v>
      </c>
      <c r="K66" s="64">
        <v>330</v>
      </c>
      <c r="L66" s="64">
        <v>30.27</v>
      </c>
      <c r="M66" s="64">
        <v>50.27</v>
      </c>
      <c r="N66" s="64">
        <v>228.2</v>
      </c>
      <c r="O66" s="64">
        <v>0</v>
      </c>
      <c r="P66" s="64">
        <v>0.52</v>
      </c>
      <c r="Q66" s="64">
        <v>9.39</v>
      </c>
      <c r="R66" s="198"/>
      <c r="S66" s="198"/>
      <c r="T66" s="198"/>
      <c r="U66" s="198"/>
    </row>
    <row r="67" spans="1:21" s="12" customFormat="1" x14ac:dyDescent="0.25">
      <c r="A67" s="216" t="s">
        <v>1840</v>
      </c>
      <c r="B67" s="64">
        <v>1.72</v>
      </c>
      <c r="C67" s="64">
        <v>6.69</v>
      </c>
      <c r="D67" s="64">
        <v>4.79</v>
      </c>
      <c r="E67" s="64">
        <v>2</v>
      </c>
      <c r="F67" s="64">
        <v>3.92</v>
      </c>
      <c r="G67" s="214" t="s">
        <v>42</v>
      </c>
      <c r="H67" s="64">
        <v>14.87</v>
      </c>
      <c r="I67" s="64">
        <v>5.94</v>
      </c>
      <c r="J67" s="64">
        <v>0.01</v>
      </c>
      <c r="K67" s="64">
        <v>184.54</v>
      </c>
      <c r="L67" s="64">
        <v>29.91</v>
      </c>
      <c r="M67" s="64">
        <v>47.78</v>
      </c>
      <c r="N67" s="64">
        <v>146.80000000000001</v>
      </c>
      <c r="O67" s="64">
        <v>0</v>
      </c>
      <c r="P67" s="64">
        <v>0.52</v>
      </c>
      <c r="Q67" s="64">
        <v>9.33</v>
      </c>
      <c r="R67" s="198"/>
      <c r="S67" s="198"/>
      <c r="T67" s="198"/>
      <c r="U67" s="198"/>
    </row>
    <row r="68" spans="1:21" s="12" customFormat="1" x14ac:dyDescent="0.25">
      <c r="A68" s="216" t="s">
        <v>1841</v>
      </c>
      <c r="B68" s="64">
        <v>1.68</v>
      </c>
      <c r="C68" s="64">
        <v>6.5</v>
      </c>
      <c r="D68" s="64">
        <v>4.66</v>
      </c>
      <c r="E68" s="64">
        <v>1.81</v>
      </c>
      <c r="F68" s="64">
        <v>3.52</v>
      </c>
      <c r="G68" s="214" t="s">
        <v>42</v>
      </c>
      <c r="H68" s="64">
        <v>12.92</v>
      </c>
      <c r="I68" s="64">
        <v>5.9</v>
      </c>
      <c r="J68" s="64">
        <v>0.26</v>
      </c>
      <c r="K68" s="64">
        <v>179.84</v>
      </c>
      <c r="L68" s="64">
        <v>30.3</v>
      </c>
      <c r="M68" s="64">
        <v>43.18</v>
      </c>
      <c r="N68" s="64">
        <v>171.9</v>
      </c>
      <c r="O68" s="64">
        <v>0</v>
      </c>
      <c r="P68" s="64">
        <v>0.52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6" t="s">
        <v>1842</v>
      </c>
      <c r="B69" s="64">
        <v>1.62</v>
      </c>
      <c r="C69" s="64">
        <v>6.17</v>
      </c>
      <c r="D69" s="64">
        <v>4.4400000000000004</v>
      </c>
      <c r="E69" s="64">
        <v>2</v>
      </c>
      <c r="F69" s="64">
        <v>4.18</v>
      </c>
      <c r="G69" s="214" t="s">
        <v>42</v>
      </c>
      <c r="H69" s="64">
        <v>12.29</v>
      </c>
      <c r="I69" s="64">
        <v>5.9</v>
      </c>
      <c r="J69" s="64">
        <v>0.22</v>
      </c>
      <c r="K69" s="64">
        <v>179.48</v>
      </c>
      <c r="L69" s="64">
        <v>30.51</v>
      </c>
      <c r="M69" s="64">
        <v>41.27</v>
      </c>
      <c r="N69" s="64">
        <v>165.6</v>
      </c>
      <c r="O69" s="64">
        <v>0</v>
      </c>
      <c r="P69" s="64">
        <v>0.5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6" t="s">
        <v>1843</v>
      </c>
      <c r="B70" s="64">
        <v>1.55</v>
      </c>
      <c r="C70" s="64">
        <v>5.62</v>
      </c>
      <c r="D70" s="64">
        <v>4.0999999999999996</v>
      </c>
      <c r="E70" s="64">
        <v>1.89</v>
      </c>
      <c r="F70" s="64">
        <v>4.29</v>
      </c>
      <c r="G70" s="214" t="s">
        <v>42</v>
      </c>
      <c r="H70" s="64">
        <v>12.29</v>
      </c>
      <c r="I70" s="64">
        <v>5.91</v>
      </c>
      <c r="J70" s="64">
        <v>1.1100000000000001</v>
      </c>
      <c r="K70" s="64">
        <v>152.15</v>
      </c>
      <c r="L70" s="64">
        <v>30.4</v>
      </c>
      <c r="M70" s="64">
        <v>40.9</v>
      </c>
      <c r="N70" s="64">
        <v>172.8</v>
      </c>
      <c r="O70" s="64">
        <v>0</v>
      </c>
      <c r="P70" s="64">
        <v>0.49</v>
      </c>
      <c r="Q70" s="64">
        <v>9.32</v>
      </c>
      <c r="R70" s="198"/>
      <c r="S70" s="198"/>
      <c r="T70" s="198"/>
      <c r="U70" s="198"/>
    </row>
    <row r="71" spans="1:21" s="12" customFormat="1" x14ac:dyDescent="0.25">
      <c r="A71" s="216" t="s">
        <v>1844</v>
      </c>
      <c r="B71" s="64">
        <v>1.52</v>
      </c>
      <c r="C71" s="64">
        <v>5.8</v>
      </c>
      <c r="D71" s="64">
        <v>4.17</v>
      </c>
      <c r="E71" s="64">
        <v>1.82</v>
      </c>
      <c r="F71" s="64">
        <v>3.72</v>
      </c>
      <c r="G71" s="214" t="s">
        <v>42</v>
      </c>
      <c r="H71" s="64">
        <v>12.29</v>
      </c>
      <c r="I71" s="64">
        <v>5.9</v>
      </c>
      <c r="J71" s="64">
        <v>0.75</v>
      </c>
      <c r="K71" s="64">
        <v>158.63999999999999</v>
      </c>
      <c r="L71" s="64">
        <v>30.18</v>
      </c>
      <c r="M71" s="64">
        <v>42.49</v>
      </c>
      <c r="N71" s="64">
        <v>130.1</v>
      </c>
      <c r="O71" s="64">
        <v>0</v>
      </c>
      <c r="P71" s="64">
        <v>0.47</v>
      </c>
      <c r="Q71" s="64">
        <v>9.3000000000000007</v>
      </c>
      <c r="R71" s="198"/>
      <c r="S71" s="198"/>
      <c r="T71" s="198"/>
      <c r="U71" s="198"/>
    </row>
    <row r="72" spans="1:21" s="12" customFormat="1" x14ac:dyDescent="0.25">
      <c r="A72" s="216" t="s">
        <v>1845</v>
      </c>
      <c r="B72" s="64">
        <v>1.49</v>
      </c>
      <c r="C72" s="64">
        <v>5.61</v>
      </c>
      <c r="D72" s="64">
        <v>4.04</v>
      </c>
      <c r="E72" s="64">
        <v>1.1499999999999999</v>
      </c>
      <c r="F72" s="64">
        <v>4.3099999999999996</v>
      </c>
      <c r="G72" s="214" t="s">
        <v>42</v>
      </c>
      <c r="H72" s="64">
        <v>10.18</v>
      </c>
      <c r="I72" s="64">
        <v>5.81</v>
      </c>
      <c r="J72" s="64">
        <v>0.14000000000000001</v>
      </c>
      <c r="K72" s="64">
        <v>172.22</v>
      </c>
      <c r="L72" s="64">
        <v>30.1</v>
      </c>
      <c r="M72" s="64">
        <v>43.03</v>
      </c>
      <c r="N72" s="64">
        <v>102.8</v>
      </c>
      <c r="O72" s="64">
        <v>0</v>
      </c>
      <c r="P72" s="64">
        <v>0.46</v>
      </c>
      <c r="Q72" s="64">
        <v>9.2799999999999994</v>
      </c>
      <c r="R72" s="198"/>
      <c r="S72" s="198"/>
      <c r="T72" s="198"/>
      <c r="U72" s="198"/>
    </row>
    <row r="73" spans="1:21" s="12" customFormat="1" x14ac:dyDescent="0.25">
      <c r="A73" s="216" t="s">
        <v>1846</v>
      </c>
      <c r="B73" s="64">
        <v>1.53</v>
      </c>
      <c r="C73" s="64">
        <v>5.7</v>
      </c>
      <c r="D73" s="64">
        <v>4.12</v>
      </c>
      <c r="E73" s="64">
        <v>1.64</v>
      </c>
      <c r="F73" s="64">
        <v>4.01</v>
      </c>
      <c r="G73" s="214" t="s">
        <v>42</v>
      </c>
      <c r="H73" s="64">
        <v>9.5</v>
      </c>
      <c r="I73" s="64">
        <v>5.72</v>
      </c>
      <c r="J73" s="64">
        <v>0.03</v>
      </c>
      <c r="K73" s="64">
        <v>242.71</v>
      </c>
      <c r="L73" s="64">
        <v>30.32</v>
      </c>
      <c r="M73" s="64">
        <v>44.54</v>
      </c>
      <c r="N73" s="64">
        <v>110.1</v>
      </c>
      <c r="O73" s="64">
        <v>0</v>
      </c>
      <c r="P73" s="64">
        <v>0.46</v>
      </c>
      <c r="Q73" s="64">
        <v>9.2899999999999991</v>
      </c>
      <c r="R73" s="198"/>
      <c r="S73" s="198"/>
      <c r="T73" s="198"/>
      <c r="U73" s="198"/>
    </row>
    <row r="74" spans="1:21" s="12" customFormat="1" x14ac:dyDescent="0.25">
      <c r="A74" s="216" t="s">
        <v>1847</v>
      </c>
      <c r="B74" s="64">
        <v>1.58</v>
      </c>
      <c r="C74" s="64">
        <v>5.78</v>
      </c>
      <c r="D74" s="64">
        <v>4.2</v>
      </c>
      <c r="E74" s="64">
        <v>1.48</v>
      </c>
      <c r="F74" s="64">
        <v>3.69</v>
      </c>
      <c r="G74" s="214" t="s">
        <v>42</v>
      </c>
      <c r="H74" s="64">
        <v>9.5</v>
      </c>
      <c r="I74" s="64">
        <v>5.67</v>
      </c>
      <c r="J74" s="64">
        <v>0.22</v>
      </c>
      <c r="K74" s="64">
        <v>1.31</v>
      </c>
      <c r="L74" s="64">
        <v>30.32</v>
      </c>
      <c r="M74" s="64">
        <v>46.24</v>
      </c>
      <c r="N74" s="64">
        <v>87.9</v>
      </c>
      <c r="O74" s="64">
        <v>0</v>
      </c>
      <c r="P74" s="64">
        <v>0.45</v>
      </c>
      <c r="Q74" s="64">
        <v>9.34</v>
      </c>
      <c r="R74" s="198"/>
      <c r="S74" s="198"/>
      <c r="T74" s="198"/>
      <c r="U74" s="198"/>
    </row>
    <row r="75" spans="1:21" s="12" customFormat="1" x14ac:dyDescent="0.25">
      <c r="A75" s="216" t="s">
        <v>1848</v>
      </c>
      <c r="B75" s="64">
        <v>1.79</v>
      </c>
      <c r="C75" s="64">
        <v>6.36</v>
      </c>
      <c r="D75" s="64">
        <v>4.67</v>
      </c>
      <c r="E75" s="64">
        <v>1.89</v>
      </c>
      <c r="F75" s="64">
        <v>3.73</v>
      </c>
      <c r="G75" s="214" t="s">
        <v>42</v>
      </c>
      <c r="H75" s="64">
        <v>9.5</v>
      </c>
      <c r="I75" s="64">
        <v>5.58</v>
      </c>
      <c r="J75" s="64">
        <v>0.39</v>
      </c>
      <c r="K75" s="64">
        <v>350.59</v>
      </c>
      <c r="L75" s="64">
        <v>30.21</v>
      </c>
      <c r="M75" s="64">
        <v>48.72</v>
      </c>
      <c r="N75" s="64">
        <v>83.3</v>
      </c>
      <c r="O75" s="64">
        <v>0</v>
      </c>
      <c r="P75" s="64">
        <v>0.49</v>
      </c>
      <c r="Q75" s="64">
        <v>9.2799999999999994</v>
      </c>
      <c r="R75" s="198"/>
      <c r="S75" s="198"/>
      <c r="T75" s="198"/>
      <c r="U75" s="198"/>
    </row>
    <row r="76" spans="1:21" s="12" customFormat="1" x14ac:dyDescent="0.25">
      <c r="A76" s="216" t="s">
        <v>1849</v>
      </c>
      <c r="B76" s="64">
        <v>2.0699999999999998</v>
      </c>
      <c r="C76" s="64">
        <v>6.03</v>
      </c>
      <c r="D76" s="64">
        <v>4.7300000000000004</v>
      </c>
      <c r="E76" s="64">
        <v>1.27</v>
      </c>
      <c r="F76" s="64">
        <v>3.67</v>
      </c>
      <c r="G76" s="214" t="s">
        <v>42</v>
      </c>
      <c r="H76" s="64">
        <v>10.53</v>
      </c>
      <c r="I76" s="64">
        <v>5.35</v>
      </c>
      <c r="J76" s="64">
        <v>0.39</v>
      </c>
      <c r="K76" s="64">
        <v>351.35</v>
      </c>
      <c r="L76" s="64">
        <v>30.23</v>
      </c>
      <c r="M76" s="64">
        <v>51.1</v>
      </c>
      <c r="N76" s="64">
        <v>90.4</v>
      </c>
      <c r="O76" s="64">
        <v>0</v>
      </c>
      <c r="P76" s="64">
        <v>0.52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6" t="s">
        <v>1850</v>
      </c>
      <c r="B77" s="64">
        <v>2.46</v>
      </c>
      <c r="C77" s="64">
        <v>6.38</v>
      </c>
      <c r="D77" s="64">
        <v>5.23</v>
      </c>
      <c r="E77" s="64">
        <v>1.29</v>
      </c>
      <c r="F77" s="64">
        <v>3.63</v>
      </c>
      <c r="G77" s="214" t="s">
        <v>42</v>
      </c>
      <c r="H77" s="64">
        <v>10.86</v>
      </c>
      <c r="I77" s="64">
        <v>5.18</v>
      </c>
      <c r="J77" s="64">
        <v>7.0000000000000007E-2</v>
      </c>
      <c r="K77" s="64">
        <v>349.91</v>
      </c>
      <c r="L77" s="64">
        <v>30.04</v>
      </c>
      <c r="M77" s="64">
        <v>47.4</v>
      </c>
      <c r="N77" s="64">
        <v>84.7</v>
      </c>
      <c r="O77" s="64">
        <v>0</v>
      </c>
      <c r="P77" s="64">
        <v>0.56000000000000005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6" t="s">
        <v>1851</v>
      </c>
      <c r="B78" s="64">
        <v>2.61</v>
      </c>
      <c r="C78" s="64">
        <v>6.7</v>
      </c>
      <c r="D78" s="64">
        <v>5.52</v>
      </c>
      <c r="E78" s="64">
        <v>1.39</v>
      </c>
      <c r="F78" s="64">
        <v>3.79</v>
      </c>
      <c r="G78" s="214" t="s">
        <v>42</v>
      </c>
      <c r="H78" s="64">
        <v>10.86</v>
      </c>
      <c r="I78" s="64">
        <v>5.37</v>
      </c>
      <c r="J78" s="64">
        <v>0.9</v>
      </c>
      <c r="K78" s="64">
        <v>152.51</v>
      </c>
      <c r="L78" s="64">
        <v>29.87</v>
      </c>
      <c r="M78" s="64">
        <v>43.87</v>
      </c>
      <c r="N78" s="64">
        <v>75.599999999999994</v>
      </c>
      <c r="O78" s="64">
        <v>0</v>
      </c>
      <c r="P78" s="64">
        <v>0.52</v>
      </c>
      <c r="Q78" s="64">
        <v>9.44</v>
      </c>
      <c r="R78" s="198"/>
      <c r="S78" s="198"/>
      <c r="T78" s="198"/>
      <c r="U78" s="198"/>
    </row>
    <row r="79" spans="1:21" s="12" customFormat="1" x14ac:dyDescent="0.25">
      <c r="A79" s="216" t="s">
        <v>1852</v>
      </c>
      <c r="B79" s="64">
        <v>2.4900000000000002</v>
      </c>
      <c r="C79" s="64">
        <v>6.66</v>
      </c>
      <c r="D79" s="64">
        <v>5.4</v>
      </c>
      <c r="E79" s="64">
        <v>1.67</v>
      </c>
      <c r="F79" s="64">
        <v>3.45</v>
      </c>
      <c r="G79" s="214" t="s">
        <v>42</v>
      </c>
      <c r="H79" s="64">
        <v>10.86</v>
      </c>
      <c r="I79" s="64">
        <v>5.55</v>
      </c>
      <c r="J79" s="64">
        <v>0.17</v>
      </c>
      <c r="K79" s="64">
        <v>186.73</v>
      </c>
      <c r="L79" s="64">
        <v>29.88</v>
      </c>
      <c r="M79" s="64">
        <v>43.2</v>
      </c>
      <c r="N79" s="64">
        <v>64.900000000000006</v>
      </c>
      <c r="O79" s="64">
        <v>0</v>
      </c>
      <c r="P79" s="64">
        <v>0.51</v>
      </c>
      <c r="Q79" s="64">
        <v>9.49</v>
      </c>
      <c r="R79" s="198"/>
      <c r="S79" s="198"/>
      <c r="T79" s="198"/>
      <c r="U79" s="198"/>
    </row>
    <row r="80" spans="1:21" s="12" customFormat="1" x14ac:dyDescent="0.25">
      <c r="A80" s="216" t="s">
        <v>1853</v>
      </c>
      <c r="B80" s="64">
        <v>2.34</v>
      </c>
      <c r="C80" s="64">
        <v>6.4</v>
      </c>
      <c r="D80" s="64">
        <v>5.13</v>
      </c>
      <c r="E80" s="64">
        <v>1.27</v>
      </c>
      <c r="F80" s="64">
        <v>3.22</v>
      </c>
      <c r="G80" s="214" t="s">
        <v>42</v>
      </c>
      <c r="H80" s="64">
        <v>12.42</v>
      </c>
      <c r="I80" s="64">
        <v>5.38</v>
      </c>
      <c r="J80" s="64">
        <v>0.12</v>
      </c>
      <c r="K80" s="64">
        <v>215.25</v>
      </c>
      <c r="L80" s="64">
        <v>29.72</v>
      </c>
      <c r="M80" s="64">
        <v>44.32</v>
      </c>
      <c r="N80" s="64">
        <v>55.6</v>
      </c>
      <c r="O80" s="64">
        <v>0</v>
      </c>
      <c r="P80" s="64">
        <v>0.51</v>
      </c>
      <c r="Q80" s="64">
        <v>9.51</v>
      </c>
      <c r="R80" s="198"/>
      <c r="S80" s="198"/>
      <c r="T80" s="198"/>
      <c r="U80" s="198"/>
    </row>
    <row r="81" spans="1:26" s="12" customFormat="1" x14ac:dyDescent="0.25">
      <c r="A81" s="216" t="s">
        <v>1854</v>
      </c>
      <c r="B81" s="64">
        <v>2.21</v>
      </c>
      <c r="C81" s="64">
        <v>6.18</v>
      </c>
      <c r="D81" s="64">
        <v>4.92</v>
      </c>
      <c r="E81" s="64">
        <v>1.75</v>
      </c>
      <c r="F81" s="64">
        <v>3.56</v>
      </c>
      <c r="G81" s="214" t="s">
        <v>42</v>
      </c>
      <c r="H81" s="64">
        <v>12.93</v>
      </c>
      <c r="I81" s="64">
        <v>5.42</v>
      </c>
      <c r="J81" s="64">
        <v>0.13</v>
      </c>
      <c r="K81" s="64">
        <v>192.85</v>
      </c>
      <c r="L81" s="64">
        <v>29.43</v>
      </c>
      <c r="M81" s="64">
        <v>46.82</v>
      </c>
      <c r="N81" s="64">
        <v>43.5</v>
      </c>
      <c r="O81" s="64">
        <v>0</v>
      </c>
      <c r="P81" s="64">
        <v>0.51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6" t="s">
        <v>1855</v>
      </c>
      <c r="B82" s="64">
        <v>2.14</v>
      </c>
      <c r="C82" s="64">
        <v>6.23</v>
      </c>
      <c r="D82" s="64">
        <v>4.8899999999999997</v>
      </c>
      <c r="E82" s="64">
        <v>1.59</v>
      </c>
      <c r="F82" s="64">
        <v>3.67</v>
      </c>
      <c r="G82" s="214" t="s">
        <v>42</v>
      </c>
      <c r="H82" s="64">
        <v>12.93</v>
      </c>
      <c r="I82" s="64">
        <v>5.61</v>
      </c>
      <c r="J82" s="64">
        <v>0.41</v>
      </c>
      <c r="K82" s="64">
        <v>126.66</v>
      </c>
      <c r="L82" s="64">
        <v>28.82</v>
      </c>
      <c r="M82" s="64">
        <v>51.43</v>
      </c>
      <c r="N82" s="64">
        <v>36.9</v>
      </c>
      <c r="O82" s="64">
        <v>0</v>
      </c>
      <c r="P82" s="64">
        <v>0.51</v>
      </c>
      <c r="Q82" s="64">
        <v>9.51</v>
      </c>
      <c r="R82" s="198"/>
      <c r="S82" s="198"/>
      <c r="T82" s="198"/>
      <c r="U82" s="198"/>
    </row>
    <row r="83" spans="1:26" s="12" customFormat="1" x14ac:dyDescent="0.25">
      <c r="A83" s="216" t="s">
        <v>1856</v>
      </c>
      <c r="B83" s="64">
        <v>2.04</v>
      </c>
      <c r="C83" s="64">
        <v>5.98</v>
      </c>
      <c r="D83" s="64">
        <v>4.68</v>
      </c>
      <c r="E83" s="64">
        <v>1.63</v>
      </c>
      <c r="F83" s="64">
        <v>3.87</v>
      </c>
      <c r="G83" s="214" t="s">
        <v>42</v>
      </c>
      <c r="H83" s="64">
        <v>12.93</v>
      </c>
      <c r="I83" s="64">
        <v>5.81</v>
      </c>
      <c r="J83" s="64">
        <v>1.46</v>
      </c>
      <c r="K83" s="64">
        <v>155.41</v>
      </c>
      <c r="L83" s="64">
        <v>28.06</v>
      </c>
      <c r="M83" s="64">
        <v>55.66</v>
      </c>
      <c r="N83" s="64">
        <v>35.1</v>
      </c>
      <c r="O83" s="64">
        <v>0</v>
      </c>
      <c r="P83" s="64">
        <v>0.51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6" t="s">
        <v>1857</v>
      </c>
      <c r="B84" s="64">
        <v>1.87</v>
      </c>
      <c r="C84" s="64">
        <v>5.76</v>
      </c>
      <c r="D84" s="64">
        <v>4.43</v>
      </c>
      <c r="E84" s="64">
        <v>1.74</v>
      </c>
      <c r="F84" s="64">
        <v>4.21</v>
      </c>
      <c r="G84" s="214" t="s">
        <v>42</v>
      </c>
      <c r="H84" s="64">
        <v>15.05</v>
      </c>
      <c r="I84" s="64">
        <v>6.24</v>
      </c>
      <c r="J84" s="64">
        <v>0.82</v>
      </c>
      <c r="K84" s="64">
        <v>162.01</v>
      </c>
      <c r="L84" s="64">
        <v>27.66</v>
      </c>
      <c r="M84" s="64">
        <v>57.04</v>
      </c>
      <c r="N84" s="64">
        <v>34.1</v>
      </c>
      <c r="O84" s="64">
        <v>0</v>
      </c>
      <c r="P84" s="64">
        <v>0.5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6" t="s">
        <v>1858</v>
      </c>
      <c r="B85" s="64">
        <v>1.69</v>
      </c>
      <c r="C85" s="64">
        <v>5.54</v>
      </c>
      <c r="D85" s="64">
        <v>4.17</v>
      </c>
      <c r="E85" s="64">
        <v>1.73</v>
      </c>
      <c r="F85" s="64">
        <v>3.98</v>
      </c>
      <c r="G85" s="214" t="s">
        <v>42</v>
      </c>
      <c r="H85" s="64">
        <v>15.77</v>
      </c>
      <c r="I85" s="64">
        <v>6.62</v>
      </c>
      <c r="J85" s="64">
        <v>1.06</v>
      </c>
      <c r="K85" s="64">
        <v>153.88999999999999</v>
      </c>
      <c r="L85" s="64">
        <v>27.48</v>
      </c>
      <c r="M85" s="64">
        <v>58.13</v>
      </c>
      <c r="N85" s="64">
        <v>34</v>
      </c>
      <c r="O85" s="64">
        <v>0</v>
      </c>
      <c r="P85" s="64">
        <v>0.48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6" t="s">
        <v>1859</v>
      </c>
      <c r="B86" s="64">
        <v>1.59</v>
      </c>
      <c r="C86" s="64">
        <v>5.32</v>
      </c>
      <c r="D86" s="64">
        <v>3.98</v>
      </c>
      <c r="E86" s="64">
        <v>1.92</v>
      </c>
      <c r="F86" s="64">
        <v>4.0999999999999996</v>
      </c>
      <c r="G86" s="214" t="s">
        <v>42</v>
      </c>
      <c r="H86" s="64">
        <v>15.77</v>
      </c>
      <c r="I86" s="64">
        <v>6.62</v>
      </c>
      <c r="J86" s="64">
        <v>0.31</v>
      </c>
      <c r="K86" s="64">
        <v>182.62</v>
      </c>
      <c r="L86" s="64">
        <v>27.41</v>
      </c>
      <c r="M86" s="64">
        <v>59.21</v>
      </c>
      <c r="N86" s="64">
        <v>34.1</v>
      </c>
      <c r="O86" s="64">
        <v>0</v>
      </c>
      <c r="P86" s="64">
        <v>0.49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6" t="s">
        <v>1860</v>
      </c>
      <c r="B87" s="64">
        <v>1.51</v>
      </c>
      <c r="C87" s="64">
        <v>5.09</v>
      </c>
      <c r="D87" s="64">
        <v>3.8</v>
      </c>
      <c r="E87" s="64">
        <v>1.94</v>
      </c>
      <c r="F87" s="64">
        <v>4.63</v>
      </c>
      <c r="G87" s="214" t="s">
        <v>42</v>
      </c>
      <c r="H87" s="64">
        <v>15.77</v>
      </c>
      <c r="I87" s="64">
        <v>6.43</v>
      </c>
      <c r="J87" s="64">
        <v>0.41</v>
      </c>
      <c r="K87" s="64">
        <v>191.32</v>
      </c>
      <c r="L87" s="64">
        <v>27.07</v>
      </c>
      <c r="M87" s="64">
        <v>61.81</v>
      </c>
      <c r="N87" s="64">
        <v>34.4</v>
      </c>
      <c r="O87" s="64">
        <v>0</v>
      </c>
      <c r="P87" s="64">
        <v>0.49</v>
      </c>
      <c r="Q87" s="64">
        <v>9.4600000000000009</v>
      </c>
      <c r="R87" s="198"/>
      <c r="S87" s="198"/>
      <c r="T87" s="198"/>
      <c r="U87" s="198"/>
    </row>
    <row r="88" spans="1:26" s="12" customFormat="1" x14ac:dyDescent="0.25">
      <c r="A88" s="216" t="s">
        <v>1861</v>
      </c>
      <c r="B88" s="64">
        <v>1.45</v>
      </c>
      <c r="C88" s="64">
        <v>4.75</v>
      </c>
      <c r="D88" s="64">
        <v>3.57</v>
      </c>
      <c r="E88" s="64">
        <v>0.31</v>
      </c>
      <c r="F88" s="64">
        <v>3.96</v>
      </c>
      <c r="G88" s="214" t="s">
        <v>42</v>
      </c>
      <c r="H88" s="64">
        <v>15.74</v>
      </c>
      <c r="I88" s="64">
        <v>6.26</v>
      </c>
      <c r="J88" s="64">
        <v>0.28000000000000003</v>
      </c>
      <c r="K88" s="64">
        <v>191.68</v>
      </c>
      <c r="L88" s="64">
        <v>26.75</v>
      </c>
      <c r="M88" s="64">
        <v>63.81</v>
      </c>
      <c r="N88" s="64">
        <v>34.5</v>
      </c>
      <c r="O88" s="64">
        <v>0</v>
      </c>
      <c r="P88" s="64">
        <v>0.48</v>
      </c>
      <c r="Q88" s="64">
        <v>9.43</v>
      </c>
      <c r="R88" s="198"/>
      <c r="S88" s="198"/>
      <c r="T88" s="198"/>
      <c r="U88" s="198"/>
    </row>
    <row r="89" spans="1:26" s="12" customFormat="1" x14ac:dyDescent="0.25">
      <c r="A89" s="216" t="s">
        <v>1862</v>
      </c>
      <c r="B89" s="64">
        <v>1.46</v>
      </c>
      <c r="C89" s="64">
        <v>4.74</v>
      </c>
      <c r="D89" s="64">
        <v>3.56</v>
      </c>
      <c r="E89" s="64">
        <v>0.41</v>
      </c>
      <c r="F89" s="64">
        <v>3.98</v>
      </c>
      <c r="G89" s="214" t="s">
        <v>42</v>
      </c>
      <c r="H89" s="64">
        <v>15.73</v>
      </c>
      <c r="I89" s="64">
        <v>6.07</v>
      </c>
      <c r="J89" s="64">
        <v>0.96</v>
      </c>
      <c r="K89" s="64">
        <v>156.22999999999999</v>
      </c>
      <c r="L89" s="64">
        <v>26.59</v>
      </c>
      <c r="M89" s="64">
        <v>64.209999999999994</v>
      </c>
      <c r="N89" s="64">
        <v>34.299999999999997</v>
      </c>
      <c r="O89" s="64">
        <v>0</v>
      </c>
      <c r="P89" s="64">
        <v>0.48</v>
      </c>
      <c r="Q89" s="64">
        <v>9.39</v>
      </c>
      <c r="R89" s="198"/>
      <c r="S89" s="198"/>
      <c r="T89" s="198"/>
      <c r="U89" s="198"/>
    </row>
    <row r="90" spans="1:26" s="12" customFormat="1" x14ac:dyDescent="0.25">
      <c r="A90" s="216" t="s">
        <v>1863</v>
      </c>
      <c r="B90" s="64">
        <v>1.45</v>
      </c>
      <c r="C90" s="64">
        <v>4.59</v>
      </c>
      <c r="D90" s="64">
        <v>3.48</v>
      </c>
      <c r="E90" s="64">
        <v>0.6</v>
      </c>
      <c r="F90" s="64">
        <v>4.0199999999999996</v>
      </c>
      <c r="G90" s="214" t="s">
        <v>42</v>
      </c>
      <c r="H90" s="64">
        <v>15.73</v>
      </c>
      <c r="I90" s="64">
        <v>5.9</v>
      </c>
      <c r="J90" s="64">
        <v>0.57999999999999996</v>
      </c>
      <c r="K90" s="64">
        <v>164.11</v>
      </c>
      <c r="L90" s="64">
        <v>26.47</v>
      </c>
      <c r="M90" s="64">
        <v>64.19</v>
      </c>
      <c r="N90" s="64">
        <v>34.299999999999997</v>
      </c>
      <c r="O90" s="64">
        <v>0</v>
      </c>
      <c r="P90" s="64">
        <v>0.48</v>
      </c>
      <c r="Q90" s="64">
        <v>9.39</v>
      </c>
      <c r="R90" s="198"/>
      <c r="S90" s="198"/>
      <c r="T90" s="198"/>
      <c r="U90" s="198"/>
    </row>
    <row r="91" spans="1:26" s="12" customFormat="1" x14ac:dyDescent="0.25">
      <c r="A91" s="216" t="s">
        <v>1864</v>
      </c>
      <c r="B91" s="64">
        <v>1.46</v>
      </c>
      <c r="C91" s="64">
        <v>4.6399999999999997</v>
      </c>
      <c r="D91" s="64">
        <v>3.52</v>
      </c>
      <c r="E91" s="64">
        <v>0.59</v>
      </c>
      <c r="F91" s="64">
        <v>3.62</v>
      </c>
      <c r="G91" s="214" t="s">
        <v>42</v>
      </c>
      <c r="H91" s="64">
        <v>15.73</v>
      </c>
      <c r="I91" s="64">
        <v>5.75</v>
      </c>
      <c r="J91" s="64">
        <v>0.21</v>
      </c>
      <c r="K91" s="64">
        <v>189.06</v>
      </c>
      <c r="L91" s="64">
        <v>26.58</v>
      </c>
      <c r="M91" s="64">
        <v>62.88</v>
      </c>
      <c r="N91" s="64">
        <v>34.4</v>
      </c>
      <c r="O91" s="64">
        <v>0</v>
      </c>
      <c r="P91" s="64">
        <v>0.48</v>
      </c>
      <c r="Q91" s="64">
        <v>9.4</v>
      </c>
      <c r="R91" s="198"/>
      <c r="S91" s="198"/>
      <c r="T91" s="198"/>
      <c r="U91" s="198"/>
    </row>
    <row r="92" spans="1:26" s="12" customFormat="1" x14ac:dyDescent="0.25">
      <c r="A92" s="216" t="s">
        <v>1865</v>
      </c>
      <c r="B92" s="64">
        <v>1.48</v>
      </c>
      <c r="C92" s="64">
        <v>5.26</v>
      </c>
      <c r="D92" s="64">
        <v>3.86</v>
      </c>
      <c r="E92" s="64">
        <v>0.63</v>
      </c>
      <c r="F92" s="64">
        <v>3.15</v>
      </c>
      <c r="G92" s="214" t="s">
        <v>42</v>
      </c>
      <c r="H92" s="64">
        <v>15.19</v>
      </c>
      <c r="I92" s="64">
        <v>5.69</v>
      </c>
      <c r="J92" s="64">
        <v>0.2</v>
      </c>
      <c r="K92" s="64">
        <v>193.6</v>
      </c>
      <c r="L92" s="64">
        <v>26.45</v>
      </c>
      <c r="M92" s="64">
        <v>64.61</v>
      </c>
      <c r="N92" s="64">
        <v>34.700000000000003</v>
      </c>
      <c r="O92" s="64">
        <v>0</v>
      </c>
      <c r="P92" s="64">
        <v>0.48</v>
      </c>
      <c r="Q92" s="64">
        <v>9.42</v>
      </c>
      <c r="R92" s="198"/>
      <c r="S92" s="198"/>
      <c r="T92" s="198"/>
      <c r="U92" s="198"/>
    </row>
    <row r="93" spans="1:26" s="12" customFormat="1" x14ac:dyDescent="0.25">
      <c r="A93" s="216" t="s">
        <v>1866</v>
      </c>
      <c r="B93" s="64">
        <v>1.48</v>
      </c>
      <c r="C93" s="64">
        <v>5.25</v>
      </c>
      <c r="D93" s="64">
        <v>3.85</v>
      </c>
      <c r="E93" s="64">
        <v>0.82</v>
      </c>
      <c r="F93" s="64">
        <v>3.4</v>
      </c>
      <c r="G93" s="214" t="s">
        <v>42</v>
      </c>
      <c r="H93" s="64">
        <v>15</v>
      </c>
      <c r="I93" s="64">
        <v>5.61</v>
      </c>
      <c r="J93" s="64">
        <v>0.03</v>
      </c>
      <c r="K93" s="64">
        <v>17.43</v>
      </c>
      <c r="L93" s="64">
        <v>26.23</v>
      </c>
      <c r="M93" s="64">
        <v>65.14</v>
      </c>
      <c r="N93" s="64">
        <v>35</v>
      </c>
      <c r="O93" s="64">
        <v>0</v>
      </c>
      <c r="P93" s="64">
        <v>0.48</v>
      </c>
      <c r="Q93" s="64">
        <v>9.36</v>
      </c>
      <c r="R93" s="198"/>
      <c r="S93" s="198"/>
      <c r="T93" s="198"/>
      <c r="U93" s="198"/>
    </row>
    <row r="94" spans="1:26" s="12" customFormat="1" x14ac:dyDescent="0.25">
      <c r="A94" s="216" t="s">
        <v>1867</v>
      </c>
      <c r="B94" s="64">
        <v>1.5</v>
      </c>
      <c r="C94" s="64">
        <v>4.6500000000000004</v>
      </c>
      <c r="D94" s="64">
        <v>3.55</v>
      </c>
      <c r="E94" s="64">
        <v>0.44</v>
      </c>
      <c r="F94" s="64">
        <v>3.73</v>
      </c>
      <c r="G94" s="214" t="s">
        <v>42</v>
      </c>
      <c r="H94" s="64">
        <v>15</v>
      </c>
      <c r="I94" s="64">
        <v>5.49</v>
      </c>
      <c r="J94" s="64">
        <v>0.26</v>
      </c>
      <c r="K94" s="64">
        <v>198.15</v>
      </c>
      <c r="L94" s="64">
        <v>26</v>
      </c>
      <c r="M94" s="64">
        <v>65.849999999999994</v>
      </c>
      <c r="N94" s="64">
        <v>35.1</v>
      </c>
      <c r="O94" s="64">
        <v>0</v>
      </c>
      <c r="P94" s="64">
        <v>0.47</v>
      </c>
      <c r="Q94" s="64">
        <v>9.31</v>
      </c>
      <c r="R94" s="198"/>
      <c r="S94" s="198"/>
      <c r="T94" s="198"/>
      <c r="U94" s="198"/>
    </row>
    <row r="95" spans="1:26" s="12" customFormat="1" x14ac:dyDescent="0.25">
      <c r="A95" s="216" t="s">
        <v>1868</v>
      </c>
      <c r="B95" s="64">
        <v>1.49</v>
      </c>
      <c r="C95" s="64">
        <v>3.76</v>
      </c>
      <c r="D95" s="64">
        <v>3.08</v>
      </c>
      <c r="E95" s="64">
        <v>0.38</v>
      </c>
      <c r="F95" s="64">
        <v>3.43</v>
      </c>
      <c r="G95" s="214" t="s">
        <v>42</v>
      </c>
      <c r="H95" s="64">
        <v>15</v>
      </c>
      <c r="I95" s="64">
        <v>5.36</v>
      </c>
      <c r="J95" s="64">
        <v>0.28999999999999998</v>
      </c>
      <c r="K95" s="64">
        <v>186.86</v>
      </c>
      <c r="L95" s="64">
        <v>25.82</v>
      </c>
      <c r="M95" s="64">
        <v>66.260000000000005</v>
      </c>
      <c r="N95" s="64">
        <v>35.299999999999997</v>
      </c>
      <c r="O95" s="64">
        <v>0</v>
      </c>
      <c r="P95" s="64">
        <v>0.47</v>
      </c>
      <c r="Q95" s="64">
        <v>9.33</v>
      </c>
      <c r="R95" s="198"/>
      <c r="S95" s="198"/>
      <c r="T95" s="198"/>
      <c r="U95" s="198"/>
    </row>
    <row r="96" spans="1:26" s="12" customFormat="1" x14ac:dyDescent="0.25">
      <c r="A96" s="216" t="s">
        <v>1869</v>
      </c>
      <c r="B96" s="64">
        <v>1.54</v>
      </c>
      <c r="C96" s="64">
        <v>3.65</v>
      </c>
      <c r="D96" s="64">
        <v>3.06</v>
      </c>
      <c r="E96" s="64">
        <v>0.31</v>
      </c>
      <c r="F96" s="64">
        <v>3.35</v>
      </c>
      <c r="G96" s="214" t="s">
        <v>42</v>
      </c>
      <c r="H96" s="64">
        <v>14.7</v>
      </c>
      <c r="I96" s="64">
        <v>5.27</v>
      </c>
      <c r="J96" s="64">
        <v>0.51</v>
      </c>
      <c r="K96" s="64">
        <v>177.32</v>
      </c>
      <c r="L96" s="64">
        <v>25.65</v>
      </c>
      <c r="M96" s="64">
        <v>67.42</v>
      </c>
      <c r="N96" s="64">
        <v>35.4</v>
      </c>
      <c r="O96" s="64">
        <v>0</v>
      </c>
      <c r="P96" s="64">
        <v>0.46</v>
      </c>
      <c r="Q96" s="64">
        <v>9.36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1870</v>
      </c>
      <c r="B97" s="64">
        <v>1.59</v>
      </c>
      <c r="C97" s="64">
        <v>3.65</v>
      </c>
      <c r="D97" s="64">
        <v>3.1</v>
      </c>
      <c r="E97" s="64">
        <v>0.49</v>
      </c>
      <c r="F97" s="64">
        <v>3.89</v>
      </c>
      <c r="G97" s="214" t="s">
        <v>42</v>
      </c>
      <c r="H97" s="64">
        <v>14.59</v>
      </c>
      <c r="I97" s="64">
        <v>5.19</v>
      </c>
      <c r="J97" s="64">
        <v>0.78</v>
      </c>
      <c r="K97" s="64">
        <v>162.47</v>
      </c>
      <c r="L97" s="64">
        <v>25.56</v>
      </c>
      <c r="M97" s="64">
        <v>68.569999999999993</v>
      </c>
      <c r="N97" s="64">
        <v>35.4</v>
      </c>
      <c r="O97" s="64">
        <v>0</v>
      </c>
      <c r="P97" s="64">
        <v>0.45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6" t="s">
        <v>1871</v>
      </c>
      <c r="B98" s="64">
        <v>1.65</v>
      </c>
      <c r="C98" s="64">
        <v>3.65</v>
      </c>
      <c r="D98" s="64">
        <v>3.15</v>
      </c>
      <c r="E98" s="64">
        <v>0.54</v>
      </c>
      <c r="F98" s="64">
        <v>3.65</v>
      </c>
      <c r="G98" s="214" t="s">
        <v>42</v>
      </c>
      <c r="H98" s="64">
        <v>14.59</v>
      </c>
      <c r="I98" s="64">
        <v>5.27</v>
      </c>
      <c r="J98" s="64">
        <v>0.77</v>
      </c>
      <c r="K98" s="64">
        <v>153.41</v>
      </c>
      <c r="L98" s="64">
        <v>25.42</v>
      </c>
      <c r="M98" s="64">
        <v>70.67</v>
      </c>
      <c r="N98" s="64">
        <v>35.6</v>
      </c>
      <c r="O98" s="64">
        <v>0</v>
      </c>
      <c r="P98" s="64">
        <v>0.45</v>
      </c>
      <c r="Q98" s="64">
        <v>9.4</v>
      </c>
      <c r="R98" s="198"/>
      <c r="S98" s="198"/>
      <c r="T98" s="198"/>
      <c r="U98" s="198"/>
    </row>
    <row r="99" spans="1:33" s="12" customFormat="1" x14ac:dyDescent="0.25">
      <c r="A99" s="216" t="s">
        <v>1872</v>
      </c>
      <c r="B99" s="64">
        <v>1.7</v>
      </c>
      <c r="C99" s="64">
        <v>3.56</v>
      </c>
      <c r="D99" s="64">
        <v>3.14</v>
      </c>
      <c r="E99" s="64">
        <v>0.31</v>
      </c>
      <c r="F99" s="64">
        <v>3.62</v>
      </c>
      <c r="G99" s="214" t="s">
        <v>42</v>
      </c>
      <c r="H99" s="64">
        <v>14.59</v>
      </c>
      <c r="I99" s="64">
        <v>5.48</v>
      </c>
      <c r="J99" s="64">
        <v>0.1</v>
      </c>
      <c r="K99" s="64">
        <v>169.15</v>
      </c>
      <c r="L99" s="64">
        <v>25.34</v>
      </c>
      <c r="M99" s="64">
        <v>71.02</v>
      </c>
      <c r="N99" s="64">
        <v>35.5</v>
      </c>
      <c r="O99" s="64">
        <v>0</v>
      </c>
      <c r="P99" s="64">
        <v>0.45</v>
      </c>
      <c r="Q99" s="64">
        <v>9.41</v>
      </c>
      <c r="R99" s="198"/>
      <c r="S99" s="198"/>
      <c r="T99" s="198"/>
      <c r="U99" s="198"/>
    </row>
    <row r="100" spans="1:33" s="12" customFormat="1" x14ac:dyDescent="0.25">
      <c r="A100" s="216" t="s">
        <v>1873</v>
      </c>
      <c r="B100" s="64">
        <v>1.71</v>
      </c>
      <c r="C100" s="64">
        <v>3.5</v>
      </c>
      <c r="D100" s="64">
        <v>3.12</v>
      </c>
      <c r="E100" s="64">
        <v>0.46</v>
      </c>
      <c r="F100" s="64">
        <v>3.24</v>
      </c>
      <c r="G100" s="214" t="s">
        <v>42</v>
      </c>
      <c r="H100" s="64">
        <v>14.65</v>
      </c>
      <c r="I100" s="64">
        <v>5.56</v>
      </c>
      <c r="J100" s="64">
        <v>0.18</v>
      </c>
      <c r="K100" s="64">
        <v>8</v>
      </c>
      <c r="L100" s="64">
        <v>25.28</v>
      </c>
      <c r="M100" s="64">
        <v>71.67</v>
      </c>
      <c r="N100" s="64">
        <v>35.6</v>
      </c>
      <c r="O100" s="64">
        <v>0</v>
      </c>
      <c r="P100" s="64">
        <v>0.44</v>
      </c>
      <c r="Q100" s="64">
        <v>9.43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1874</v>
      </c>
      <c r="B101" s="64">
        <v>1.72</v>
      </c>
      <c r="C101" s="64">
        <v>3.66</v>
      </c>
      <c r="D101" s="64">
        <v>3.21</v>
      </c>
      <c r="E101" s="64">
        <v>0.55000000000000004</v>
      </c>
      <c r="F101" s="64">
        <v>3.48</v>
      </c>
      <c r="G101" s="214" t="s">
        <v>42</v>
      </c>
      <c r="H101" s="64">
        <v>14.67</v>
      </c>
      <c r="I101" s="64">
        <v>5.69</v>
      </c>
      <c r="J101" s="64">
        <v>0.32</v>
      </c>
      <c r="K101" s="64">
        <v>340.28</v>
      </c>
      <c r="L101" s="64">
        <v>25.28</v>
      </c>
      <c r="M101" s="64">
        <v>72.150000000000006</v>
      </c>
      <c r="N101" s="64">
        <v>35.5</v>
      </c>
      <c r="O101" s="64">
        <v>0</v>
      </c>
      <c r="P101" s="64">
        <v>0.43</v>
      </c>
      <c r="Q101" s="64">
        <v>9.44</v>
      </c>
      <c r="R101" s="198"/>
      <c r="S101" s="198"/>
      <c r="T101" s="198"/>
      <c r="U101" s="198"/>
    </row>
    <row r="102" spans="1:33" s="12" customFormat="1" x14ac:dyDescent="0.25">
      <c r="A102" s="216" t="s">
        <v>1875</v>
      </c>
      <c r="B102" s="64">
        <v>1.79</v>
      </c>
      <c r="C102" s="64">
        <v>3.77</v>
      </c>
      <c r="D102" s="64">
        <v>3.33</v>
      </c>
      <c r="E102" s="64">
        <v>0.54</v>
      </c>
      <c r="F102" s="64">
        <v>3.52</v>
      </c>
      <c r="G102" s="214" t="s">
        <v>42</v>
      </c>
      <c r="H102" s="64">
        <v>14.67</v>
      </c>
      <c r="I102" s="64">
        <v>5.73</v>
      </c>
      <c r="J102" s="64">
        <v>0.28000000000000003</v>
      </c>
      <c r="K102" s="64">
        <v>332.58</v>
      </c>
      <c r="L102" s="64">
        <v>25.39</v>
      </c>
      <c r="M102" s="64">
        <v>69.94</v>
      </c>
      <c r="N102" s="64">
        <v>35.299999999999997</v>
      </c>
      <c r="O102" s="64">
        <v>0</v>
      </c>
      <c r="P102" s="64">
        <v>0.43</v>
      </c>
      <c r="Q102" s="64">
        <v>9.42</v>
      </c>
      <c r="R102" s="198"/>
      <c r="S102" s="198"/>
      <c r="T102" s="198"/>
      <c r="U102" s="198"/>
    </row>
    <row r="103" spans="1:33" s="12" customFormat="1" x14ac:dyDescent="0.25">
      <c r="A103" s="216" t="s">
        <v>1876</v>
      </c>
      <c r="B103" s="64">
        <v>1.86</v>
      </c>
      <c r="C103" s="64">
        <v>3.92</v>
      </c>
      <c r="D103" s="64">
        <v>3.46</v>
      </c>
      <c r="E103" s="64">
        <v>0.63</v>
      </c>
      <c r="F103" s="64">
        <v>3.11</v>
      </c>
      <c r="G103" s="214" t="s">
        <v>42</v>
      </c>
      <c r="H103" s="64">
        <v>14.67</v>
      </c>
      <c r="I103" s="64">
        <v>5.57</v>
      </c>
      <c r="J103" s="64">
        <v>0.21</v>
      </c>
      <c r="K103" s="64">
        <v>356.16</v>
      </c>
      <c r="L103" s="64">
        <v>25.47</v>
      </c>
      <c r="M103" s="64">
        <v>68.94</v>
      </c>
      <c r="N103" s="64">
        <v>35.299999999999997</v>
      </c>
      <c r="O103" s="64">
        <v>0</v>
      </c>
      <c r="P103" s="64">
        <v>0.43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16" t="s">
        <v>1877</v>
      </c>
      <c r="B104" s="64">
        <v>1.91</v>
      </c>
      <c r="C104" s="64">
        <v>3.88</v>
      </c>
      <c r="D104" s="64">
        <v>3.48</v>
      </c>
      <c r="E104" s="64">
        <v>1.29</v>
      </c>
      <c r="F104" s="64">
        <v>3.66</v>
      </c>
      <c r="G104" s="214" t="s">
        <v>42</v>
      </c>
      <c r="H104" s="64">
        <v>12.72</v>
      </c>
      <c r="I104" s="64">
        <v>5.36</v>
      </c>
      <c r="J104" s="64">
        <v>0.05</v>
      </c>
      <c r="K104" s="64">
        <v>36.51</v>
      </c>
      <c r="L104" s="64">
        <v>25.61</v>
      </c>
      <c r="M104" s="64">
        <v>66.709999999999994</v>
      </c>
      <c r="N104" s="64">
        <v>35.200000000000003</v>
      </c>
      <c r="O104" s="64">
        <v>0</v>
      </c>
      <c r="P104" s="64">
        <v>0.41</v>
      </c>
      <c r="Q104" s="64">
        <v>9.41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1.45</v>
      </c>
      <c r="C106" s="67">
        <f>MIN(C9:C104)</f>
        <v>3.5</v>
      </c>
      <c r="D106" s="67">
        <f t="shared" ref="D106:Q106" si="0">MIN(D9:D104)</f>
        <v>3.06</v>
      </c>
      <c r="E106" s="67">
        <f t="shared" si="0"/>
        <v>0.31</v>
      </c>
      <c r="F106" s="67">
        <f t="shared" si="0"/>
        <v>2.57</v>
      </c>
      <c r="G106" s="67">
        <f t="shared" si="0"/>
        <v>14.59</v>
      </c>
      <c r="H106" s="67">
        <f t="shared" si="0"/>
        <v>9.5</v>
      </c>
      <c r="I106" s="67">
        <f t="shared" si="0"/>
        <v>2.96</v>
      </c>
      <c r="J106" s="67">
        <f t="shared" si="0"/>
        <v>0.01</v>
      </c>
      <c r="K106" s="67">
        <f t="shared" si="0"/>
        <v>0.7</v>
      </c>
      <c r="L106" s="67">
        <f t="shared" si="0"/>
        <v>25.28</v>
      </c>
      <c r="M106" s="67">
        <f t="shared" si="0"/>
        <v>40.9</v>
      </c>
      <c r="N106" s="67">
        <f t="shared" si="0"/>
        <v>34</v>
      </c>
      <c r="O106" s="67">
        <f t="shared" si="0"/>
        <v>0</v>
      </c>
      <c r="P106" s="67">
        <f t="shared" si="0"/>
        <v>0.33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2.85</v>
      </c>
      <c r="C107" s="66">
        <f t="shared" ref="C107:Q107" si="1">MAX(C9:C104)</f>
        <v>8.94</v>
      </c>
      <c r="D107" s="66">
        <f t="shared" si="1"/>
        <v>6.53</v>
      </c>
      <c r="E107" s="66">
        <f t="shared" si="1"/>
        <v>2</v>
      </c>
      <c r="F107" s="66">
        <f t="shared" si="1"/>
        <v>4.93</v>
      </c>
      <c r="G107" s="66">
        <f t="shared" si="1"/>
        <v>56.27</v>
      </c>
      <c r="H107" s="66">
        <f t="shared" si="1"/>
        <v>22.7</v>
      </c>
      <c r="I107" s="66">
        <f t="shared" si="1"/>
        <v>6.66</v>
      </c>
      <c r="J107" s="66">
        <f t="shared" si="1"/>
        <v>1.46</v>
      </c>
      <c r="K107" s="66">
        <f t="shared" si="1"/>
        <v>356.16</v>
      </c>
      <c r="L107" s="66">
        <f t="shared" si="1"/>
        <v>31.53</v>
      </c>
      <c r="M107" s="66">
        <f t="shared" si="1"/>
        <v>72.150000000000006</v>
      </c>
      <c r="N107" s="66">
        <f t="shared" si="1"/>
        <v>512.4</v>
      </c>
      <c r="O107" s="66">
        <f t="shared" si="1"/>
        <v>0</v>
      </c>
      <c r="P107" s="66">
        <f t="shared" si="1"/>
        <v>0.63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1.9196874999999995</v>
      </c>
      <c r="C108" s="67">
        <f t="shared" ref="C108:Q108" si="2">AVERAGE(C9:C104)</f>
        <v>6.0248958333333311</v>
      </c>
      <c r="D108" s="67">
        <f t="shared" si="2"/>
        <v>4.6065625000000026</v>
      </c>
      <c r="E108" s="67">
        <f t="shared" si="2"/>
        <v>1.3138541666666665</v>
      </c>
      <c r="F108" s="67">
        <f t="shared" si="2"/>
        <v>3.8964583333333334</v>
      </c>
      <c r="G108" s="67">
        <f t="shared" si="2"/>
        <v>35.905000000000001</v>
      </c>
      <c r="H108" s="67">
        <f t="shared" si="2"/>
        <v>14.607083333333335</v>
      </c>
      <c r="I108" s="67">
        <f t="shared" si="2"/>
        <v>5.1896875000000016</v>
      </c>
      <c r="J108" s="67">
        <f t="shared" si="2"/>
        <v>0.40406249999999999</v>
      </c>
      <c r="K108" s="67">
        <f t="shared" si="2"/>
        <v>191.93208333333334</v>
      </c>
      <c r="L108" s="67">
        <f t="shared" si="2"/>
        <v>28.109270833333337</v>
      </c>
      <c r="M108" s="67">
        <f t="shared" si="2"/>
        <v>56.041145833333331</v>
      </c>
      <c r="N108" s="67">
        <f t="shared" si="2"/>
        <v>133.97395833333329</v>
      </c>
      <c r="O108" s="67">
        <f t="shared" si="2"/>
        <v>0</v>
      </c>
      <c r="P108" s="67">
        <f t="shared" si="2"/>
        <v>0.48083333333333317</v>
      </c>
      <c r="Q108" s="67">
        <f t="shared" si="2"/>
        <v>9.4409374999999951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0.34648445890567614</v>
      </c>
      <c r="C109" s="67">
        <f t="shared" ref="C109:Q109" si="3">STDEV(C9:C104)</f>
        <v>1.2386971039567747</v>
      </c>
      <c r="D109" s="67">
        <f t="shared" si="3"/>
        <v>0.84029547199965637</v>
      </c>
      <c r="E109" s="67">
        <f t="shared" si="3"/>
        <v>0.45451274034987382</v>
      </c>
      <c r="F109" s="67">
        <f t="shared" si="3"/>
        <v>0.42625413513453819</v>
      </c>
      <c r="G109" s="67">
        <f t="shared" si="3"/>
        <v>10.732146769668905</v>
      </c>
      <c r="H109" s="67">
        <f t="shared" si="3"/>
        <v>2.7493757824245009</v>
      </c>
      <c r="I109" s="67">
        <f t="shared" si="3"/>
        <v>0.99575145189316938</v>
      </c>
      <c r="J109" s="67">
        <f t="shared" si="3"/>
        <v>0.35411439758776736</v>
      </c>
      <c r="K109" s="67">
        <f t="shared" si="3"/>
        <v>111.1019504771387</v>
      </c>
      <c r="L109" s="67">
        <f t="shared" si="3"/>
        <v>1.6994526950519391</v>
      </c>
      <c r="M109" s="67">
        <f t="shared" si="3"/>
        <v>8.2055640775720349</v>
      </c>
      <c r="N109" s="67">
        <f t="shared" si="3"/>
        <v>120.97347185908301</v>
      </c>
      <c r="O109" s="67">
        <f t="shared" si="3"/>
        <v>0</v>
      </c>
      <c r="P109" s="67">
        <f t="shared" si="3"/>
        <v>7.5277265270909138E-2</v>
      </c>
      <c r="Q109" s="67">
        <f t="shared" si="3"/>
        <v>7.8433050565769935E-2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COUNT(G9:G104)+60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1878</v>
      </c>
      <c r="B9" s="64">
        <v>1.84</v>
      </c>
      <c r="C9" s="64">
        <v>3.47</v>
      </c>
      <c r="D9" s="64">
        <v>3.21</v>
      </c>
      <c r="E9" s="64">
        <v>1.57</v>
      </c>
      <c r="F9" s="64">
        <v>3.82</v>
      </c>
      <c r="G9" s="214" t="s">
        <v>42</v>
      </c>
      <c r="H9" s="64">
        <v>12.05</v>
      </c>
      <c r="I9" s="64">
        <v>5.16</v>
      </c>
      <c r="J9" s="64">
        <v>0.44</v>
      </c>
      <c r="K9" s="64">
        <v>194.33</v>
      </c>
      <c r="L9" s="64">
        <v>25.57</v>
      </c>
      <c r="M9" s="64">
        <v>65.959999999999994</v>
      </c>
      <c r="N9" s="64">
        <v>35.4</v>
      </c>
      <c r="O9" s="64">
        <v>0</v>
      </c>
      <c r="P9" s="64">
        <v>0.4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6" t="s">
        <v>1879</v>
      </c>
      <c r="B10" s="64">
        <v>1.77</v>
      </c>
      <c r="C10" s="64">
        <v>3.25</v>
      </c>
      <c r="D10" s="64">
        <v>3.04</v>
      </c>
      <c r="E10" s="64">
        <v>1.33</v>
      </c>
      <c r="F10" s="64">
        <v>3.64</v>
      </c>
      <c r="G10" s="214" t="s">
        <v>42</v>
      </c>
      <c r="H10" s="64">
        <v>12.05</v>
      </c>
      <c r="I10" s="64">
        <v>4.97</v>
      </c>
      <c r="J10" s="64">
        <v>0.77</v>
      </c>
      <c r="K10" s="64">
        <v>168.31</v>
      </c>
      <c r="L10" s="64">
        <v>25.22</v>
      </c>
      <c r="M10" s="64">
        <v>68.78</v>
      </c>
      <c r="N10" s="64">
        <v>35.799999999999997</v>
      </c>
      <c r="O10" s="64">
        <v>0</v>
      </c>
      <c r="P10" s="64">
        <v>0.39</v>
      </c>
      <c r="Q10" s="64">
        <v>9.36</v>
      </c>
      <c r="R10" s="198"/>
      <c r="S10" s="198"/>
      <c r="T10" s="198"/>
      <c r="U10" s="198"/>
    </row>
    <row r="11" spans="1:21" s="12" customFormat="1" x14ac:dyDescent="0.25">
      <c r="A11" s="216" t="s">
        <v>1880</v>
      </c>
      <c r="B11" s="64">
        <v>1.71</v>
      </c>
      <c r="C11" s="64">
        <v>3.21</v>
      </c>
      <c r="D11" s="64">
        <v>2.97</v>
      </c>
      <c r="E11" s="64">
        <v>1.31</v>
      </c>
      <c r="F11" s="64">
        <v>3.67</v>
      </c>
      <c r="G11" s="214" t="s">
        <v>42</v>
      </c>
      <c r="H11" s="64">
        <v>12.05</v>
      </c>
      <c r="I11" s="64">
        <v>4.82</v>
      </c>
      <c r="J11" s="64">
        <v>1.02</v>
      </c>
      <c r="K11" s="64">
        <v>170.73</v>
      </c>
      <c r="L11" s="64">
        <v>25.1</v>
      </c>
      <c r="M11" s="64">
        <v>68.02</v>
      </c>
      <c r="N11" s="64">
        <v>35.6</v>
      </c>
      <c r="O11" s="64">
        <v>0</v>
      </c>
      <c r="P11" s="64">
        <v>0.37</v>
      </c>
      <c r="Q11" s="64">
        <v>9.3699999999999992</v>
      </c>
      <c r="R11" s="198"/>
      <c r="S11" s="198"/>
      <c r="T11" s="198"/>
      <c r="U11" s="198"/>
    </row>
    <row r="12" spans="1:21" s="12" customFormat="1" x14ac:dyDescent="0.25">
      <c r="A12" s="216" t="s">
        <v>1881</v>
      </c>
      <c r="B12" s="64">
        <v>1.65</v>
      </c>
      <c r="C12" s="64">
        <v>3.04</v>
      </c>
      <c r="D12" s="64">
        <v>2.83</v>
      </c>
      <c r="E12" s="64">
        <v>1.46</v>
      </c>
      <c r="F12" s="64">
        <v>3.23</v>
      </c>
      <c r="G12" s="214" t="s">
        <v>42</v>
      </c>
      <c r="H12" s="64">
        <v>9.59</v>
      </c>
      <c r="I12" s="64">
        <v>4.76</v>
      </c>
      <c r="J12" s="64">
        <v>0.37</v>
      </c>
      <c r="K12" s="64">
        <v>177.51</v>
      </c>
      <c r="L12" s="64">
        <v>24.96</v>
      </c>
      <c r="M12" s="64">
        <v>67.42</v>
      </c>
      <c r="N12" s="64">
        <v>35.700000000000003</v>
      </c>
      <c r="O12" s="64">
        <v>0</v>
      </c>
      <c r="P12" s="64">
        <v>0.36</v>
      </c>
      <c r="Q12" s="64">
        <v>9.34</v>
      </c>
      <c r="R12" s="198"/>
      <c r="S12" s="198"/>
      <c r="T12" s="198"/>
      <c r="U12" s="198"/>
    </row>
    <row r="13" spans="1:21" s="12" customFormat="1" x14ac:dyDescent="0.25">
      <c r="A13" s="216" t="s">
        <v>1882</v>
      </c>
      <c r="B13" s="64">
        <v>1.6</v>
      </c>
      <c r="C13" s="64">
        <v>2.9</v>
      </c>
      <c r="D13" s="64">
        <v>2.72</v>
      </c>
      <c r="E13" s="64">
        <v>1.1399999999999999</v>
      </c>
      <c r="F13" s="64">
        <v>3.27</v>
      </c>
      <c r="G13" s="214" t="s">
        <v>42</v>
      </c>
      <c r="H13" s="64">
        <v>8.7899999999999991</v>
      </c>
      <c r="I13" s="64">
        <v>4.66</v>
      </c>
      <c r="J13" s="64">
        <v>0.49</v>
      </c>
      <c r="K13" s="64">
        <v>188.27</v>
      </c>
      <c r="L13" s="64">
        <v>24.67</v>
      </c>
      <c r="M13" s="64">
        <v>68.98</v>
      </c>
      <c r="N13" s="64">
        <v>35.799999999999997</v>
      </c>
      <c r="O13" s="64">
        <v>0</v>
      </c>
      <c r="P13" s="64">
        <v>0.32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16" t="s">
        <v>1883</v>
      </c>
      <c r="B14" s="64">
        <v>1.58</v>
      </c>
      <c r="C14" s="64">
        <v>2.76</v>
      </c>
      <c r="D14" s="64">
        <v>2.63</v>
      </c>
      <c r="E14" s="64">
        <v>1.44</v>
      </c>
      <c r="F14" s="64">
        <v>3.64</v>
      </c>
      <c r="G14" s="214" t="s">
        <v>42</v>
      </c>
      <c r="H14" s="64">
        <v>8.7899999999999991</v>
      </c>
      <c r="I14" s="64">
        <v>4.5</v>
      </c>
      <c r="J14" s="64">
        <v>0.03</v>
      </c>
      <c r="K14" s="64">
        <v>213.34</v>
      </c>
      <c r="L14" s="64">
        <v>24.51</v>
      </c>
      <c r="M14" s="64">
        <v>70.23</v>
      </c>
      <c r="N14" s="64">
        <v>35.700000000000003</v>
      </c>
      <c r="O14" s="64">
        <v>0</v>
      </c>
      <c r="P14" s="64">
        <v>0.32</v>
      </c>
      <c r="Q14" s="64">
        <v>9.35</v>
      </c>
      <c r="R14" s="198"/>
      <c r="S14" s="198"/>
      <c r="T14" s="198"/>
      <c r="U14" s="198"/>
    </row>
    <row r="15" spans="1:21" s="12" customFormat="1" x14ac:dyDescent="0.25">
      <c r="A15" s="216" t="s">
        <v>1884</v>
      </c>
      <c r="B15" s="64">
        <v>1.55</v>
      </c>
      <c r="C15" s="64">
        <v>2.5299999999999998</v>
      </c>
      <c r="D15" s="64">
        <v>2.48</v>
      </c>
      <c r="E15" s="64">
        <v>1.5</v>
      </c>
      <c r="F15" s="64">
        <v>3.74</v>
      </c>
      <c r="G15" s="214" t="s">
        <v>42</v>
      </c>
      <c r="H15" s="64">
        <v>8.7899999999999991</v>
      </c>
      <c r="I15" s="64">
        <v>4.3099999999999996</v>
      </c>
      <c r="J15" s="64">
        <v>0.19</v>
      </c>
      <c r="K15" s="64">
        <v>212.62</v>
      </c>
      <c r="L15" s="64">
        <v>24.38</v>
      </c>
      <c r="M15" s="64">
        <v>71.069999999999993</v>
      </c>
      <c r="N15" s="64">
        <v>35.6</v>
      </c>
      <c r="O15" s="64">
        <v>0</v>
      </c>
      <c r="P15" s="64">
        <v>0.32</v>
      </c>
      <c r="Q15" s="64">
        <v>9.33</v>
      </c>
      <c r="R15" s="198"/>
      <c r="S15" s="198"/>
      <c r="T15" s="198"/>
      <c r="U15" s="198"/>
    </row>
    <row r="16" spans="1:21" s="12" customFormat="1" x14ac:dyDescent="0.25">
      <c r="A16" s="216" t="s">
        <v>1885</v>
      </c>
      <c r="B16" s="64">
        <v>1.49</v>
      </c>
      <c r="C16" s="64">
        <v>2.82</v>
      </c>
      <c r="D16" s="64">
        <v>2.59</v>
      </c>
      <c r="E16" s="64">
        <v>1.53</v>
      </c>
      <c r="F16" s="64">
        <v>3.76</v>
      </c>
      <c r="G16" s="214" t="s">
        <v>42</v>
      </c>
      <c r="H16" s="64">
        <v>8.6300000000000008</v>
      </c>
      <c r="I16" s="64">
        <v>4.13</v>
      </c>
      <c r="J16" s="64">
        <v>0.6</v>
      </c>
      <c r="K16" s="64">
        <v>198.92</v>
      </c>
      <c r="L16" s="64">
        <v>24.21</v>
      </c>
      <c r="M16" s="64">
        <v>71.459999999999994</v>
      </c>
      <c r="N16" s="64">
        <v>35.6</v>
      </c>
      <c r="O16" s="64">
        <v>0</v>
      </c>
      <c r="P16" s="64">
        <v>0.28999999999999998</v>
      </c>
      <c r="Q16" s="64">
        <v>9.32</v>
      </c>
      <c r="R16" s="198"/>
      <c r="S16" s="198"/>
      <c r="T16" s="198"/>
      <c r="U16" s="198"/>
    </row>
    <row r="17" spans="1:21" s="12" customFormat="1" x14ac:dyDescent="0.25">
      <c r="A17" s="216" t="s">
        <v>1886</v>
      </c>
      <c r="B17" s="64">
        <v>1.47</v>
      </c>
      <c r="C17" s="64">
        <v>2.85</v>
      </c>
      <c r="D17" s="64">
        <v>2.59</v>
      </c>
      <c r="E17" s="64">
        <v>1.42</v>
      </c>
      <c r="F17" s="64">
        <v>3.81</v>
      </c>
      <c r="G17" s="214" t="s">
        <v>42</v>
      </c>
      <c r="H17" s="64">
        <v>8.58</v>
      </c>
      <c r="I17" s="64">
        <v>3.74</v>
      </c>
      <c r="J17" s="64">
        <v>0.5</v>
      </c>
      <c r="K17" s="64">
        <v>207.38</v>
      </c>
      <c r="L17" s="64">
        <v>24.1</v>
      </c>
      <c r="M17" s="64">
        <v>72.08</v>
      </c>
      <c r="N17" s="64">
        <v>35.4</v>
      </c>
      <c r="O17" s="64">
        <v>0</v>
      </c>
      <c r="P17" s="64">
        <v>0.28000000000000003</v>
      </c>
      <c r="Q17" s="64">
        <v>9.35</v>
      </c>
      <c r="R17" s="198"/>
      <c r="S17" s="198"/>
      <c r="T17" s="198"/>
      <c r="U17" s="198"/>
    </row>
    <row r="18" spans="1:21" s="12" customFormat="1" x14ac:dyDescent="0.25">
      <c r="A18" s="216" t="s">
        <v>1887</v>
      </c>
      <c r="B18" s="64">
        <v>1.47</v>
      </c>
      <c r="C18" s="64">
        <v>2.72</v>
      </c>
      <c r="D18" s="64">
        <v>2.52</v>
      </c>
      <c r="E18" s="64">
        <v>1.1599999999999999</v>
      </c>
      <c r="F18" s="64">
        <v>3.6</v>
      </c>
      <c r="G18" s="214" t="s">
        <v>42</v>
      </c>
      <c r="H18" s="64">
        <v>8.58</v>
      </c>
      <c r="I18" s="64">
        <v>3.44</v>
      </c>
      <c r="J18" s="64">
        <v>0.21</v>
      </c>
      <c r="K18" s="64">
        <v>194.41</v>
      </c>
      <c r="L18" s="64">
        <v>24.06</v>
      </c>
      <c r="M18" s="64">
        <v>72.239999999999995</v>
      </c>
      <c r="N18" s="64">
        <v>35.4</v>
      </c>
      <c r="O18" s="64">
        <v>0</v>
      </c>
      <c r="P18" s="64">
        <v>0.28000000000000003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6" t="s">
        <v>1888</v>
      </c>
      <c r="B19" s="64">
        <v>1.52</v>
      </c>
      <c r="C19" s="64">
        <v>2.64</v>
      </c>
      <c r="D19" s="64">
        <v>2.52</v>
      </c>
      <c r="E19" s="64">
        <v>1.34</v>
      </c>
      <c r="F19" s="64">
        <v>3.46</v>
      </c>
      <c r="G19" s="214" t="s">
        <v>42</v>
      </c>
      <c r="H19" s="64">
        <v>8.58</v>
      </c>
      <c r="I19" s="64">
        <v>3.32</v>
      </c>
      <c r="J19" s="64">
        <v>0.32</v>
      </c>
      <c r="K19" s="64">
        <v>187.86</v>
      </c>
      <c r="L19" s="64">
        <v>24.01</v>
      </c>
      <c r="M19" s="64">
        <v>72.08</v>
      </c>
      <c r="N19" s="64">
        <v>35.299999999999997</v>
      </c>
      <c r="O19" s="64">
        <v>0</v>
      </c>
      <c r="P19" s="64">
        <v>0.27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16" t="s">
        <v>1889</v>
      </c>
      <c r="B20" s="64">
        <v>1.58</v>
      </c>
      <c r="C20" s="64">
        <v>2.66</v>
      </c>
      <c r="D20" s="64">
        <v>2.58</v>
      </c>
      <c r="E20" s="64">
        <v>1.49</v>
      </c>
      <c r="F20" s="64">
        <v>3.39</v>
      </c>
      <c r="G20" s="214" t="s">
        <v>42</v>
      </c>
      <c r="H20" s="64">
        <v>6.96</v>
      </c>
      <c r="I20" s="64">
        <v>3.28</v>
      </c>
      <c r="J20" s="64">
        <v>0.02</v>
      </c>
      <c r="K20" s="64">
        <v>259.64999999999998</v>
      </c>
      <c r="L20" s="64">
        <v>24.07</v>
      </c>
      <c r="M20" s="64">
        <v>71.45</v>
      </c>
      <c r="N20" s="64">
        <v>34.9</v>
      </c>
      <c r="O20" s="64">
        <v>0</v>
      </c>
      <c r="P20" s="64">
        <v>0.27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6" t="s">
        <v>1890</v>
      </c>
      <c r="B21" s="64">
        <v>1.62</v>
      </c>
      <c r="C21" s="64">
        <v>2.6</v>
      </c>
      <c r="D21" s="64">
        <v>2.58</v>
      </c>
      <c r="E21" s="64">
        <v>1.39</v>
      </c>
      <c r="F21" s="64">
        <v>3.23</v>
      </c>
      <c r="G21" s="214" t="s">
        <v>42</v>
      </c>
      <c r="H21" s="64">
        <v>6.4</v>
      </c>
      <c r="I21" s="64">
        <v>3.43</v>
      </c>
      <c r="J21" s="64">
        <v>0.24</v>
      </c>
      <c r="K21" s="64">
        <v>319.68</v>
      </c>
      <c r="L21" s="64">
        <v>24.16</v>
      </c>
      <c r="M21" s="64">
        <v>71.66</v>
      </c>
      <c r="N21" s="64">
        <v>35</v>
      </c>
      <c r="O21" s="64">
        <v>0</v>
      </c>
      <c r="P21" s="64">
        <v>0.26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6" t="s">
        <v>1891</v>
      </c>
      <c r="B22" s="64">
        <v>1.65</v>
      </c>
      <c r="C22" s="64">
        <v>2.4900000000000002</v>
      </c>
      <c r="D22" s="64">
        <v>2.5499999999999998</v>
      </c>
      <c r="E22" s="64">
        <v>1.53</v>
      </c>
      <c r="F22" s="64">
        <v>3.21</v>
      </c>
      <c r="G22" s="214" t="s">
        <v>42</v>
      </c>
      <c r="H22" s="64">
        <v>6.4</v>
      </c>
      <c r="I22" s="64">
        <v>3.6</v>
      </c>
      <c r="J22" s="64">
        <v>0.2</v>
      </c>
      <c r="K22" s="64">
        <v>330.31</v>
      </c>
      <c r="L22" s="64">
        <v>24.23</v>
      </c>
      <c r="M22" s="64">
        <v>70.8</v>
      </c>
      <c r="N22" s="64">
        <v>34.9</v>
      </c>
      <c r="O22" s="64">
        <v>0</v>
      </c>
      <c r="P22" s="64">
        <v>0.25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6" t="s">
        <v>1892</v>
      </c>
      <c r="B23" s="64">
        <v>1.69</v>
      </c>
      <c r="C23" s="64">
        <v>2.52</v>
      </c>
      <c r="D23" s="64">
        <v>2.59</v>
      </c>
      <c r="E23" s="64">
        <v>1.26</v>
      </c>
      <c r="F23" s="64">
        <v>3.46</v>
      </c>
      <c r="G23" s="214" t="s">
        <v>42</v>
      </c>
      <c r="H23" s="64">
        <v>6.4</v>
      </c>
      <c r="I23" s="64">
        <v>3.74</v>
      </c>
      <c r="J23" s="64">
        <v>0.47</v>
      </c>
      <c r="K23" s="64">
        <v>306.32</v>
      </c>
      <c r="L23" s="64">
        <v>24.3</v>
      </c>
      <c r="M23" s="64">
        <v>71.11</v>
      </c>
      <c r="N23" s="64">
        <v>35</v>
      </c>
      <c r="O23" s="64">
        <v>0</v>
      </c>
      <c r="P23" s="64">
        <v>0.25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16" t="s">
        <v>1893</v>
      </c>
      <c r="B24" s="64">
        <v>1.76</v>
      </c>
      <c r="C24" s="64">
        <v>2.46</v>
      </c>
      <c r="D24" s="64">
        <v>2.62</v>
      </c>
      <c r="E24" s="64">
        <v>1.17</v>
      </c>
      <c r="F24" s="64">
        <v>3.65</v>
      </c>
      <c r="G24" s="214" t="s">
        <v>42</v>
      </c>
      <c r="H24" s="64">
        <v>5.04</v>
      </c>
      <c r="I24" s="64">
        <v>3.78</v>
      </c>
      <c r="J24" s="64">
        <v>0.19</v>
      </c>
      <c r="K24" s="64">
        <v>349.71</v>
      </c>
      <c r="L24" s="64">
        <v>24.31</v>
      </c>
      <c r="M24" s="64">
        <v>71.400000000000006</v>
      </c>
      <c r="N24" s="64">
        <v>35.200000000000003</v>
      </c>
      <c r="O24" s="64">
        <v>0</v>
      </c>
      <c r="P24" s="64">
        <v>0.24</v>
      </c>
      <c r="Q24" s="64">
        <v>9.35</v>
      </c>
      <c r="R24" s="198"/>
      <c r="S24" s="198"/>
      <c r="T24" s="198"/>
      <c r="U24" s="198"/>
    </row>
    <row r="25" spans="1:21" s="12" customFormat="1" x14ac:dyDescent="0.25">
      <c r="A25" s="216" t="s">
        <v>1894</v>
      </c>
      <c r="B25" s="64">
        <v>1.8</v>
      </c>
      <c r="C25" s="64">
        <v>2.37</v>
      </c>
      <c r="D25" s="64">
        <v>2.6</v>
      </c>
      <c r="E25" s="64">
        <v>1.18</v>
      </c>
      <c r="F25" s="64">
        <v>3.61</v>
      </c>
      <c r="G25" s="214" t="s">
        <v>42</v>
      </c>
      <c r="H25" s="64">
        <v>4.57</v>
      </c>
      <c r="I25" s="64">
        <v>3.75</v>
      </c>
      <c r="J25" s="64">
        <v>0.02</v>
      </c>
      <c r="K25" s="64">
        <v>266.83999999999997</v>
      </c>
      <c r="L25" s="64">
        <v>24.32</v>
      </c>
      <c r="M25" s="64">
        <v>71.37</v>
      </c>
      <c r="N25" s="64">
        <v>35.1</v>
      </c>
      <c r="O25" s="64">
        <v>0</v>
      </c>
      <c r="P25" s="64">
        <v>0.23</v>
      </c>
      <c r="Q25" s="64">
        <v>9.35</v>
      </c>
      <c r="R25" s="198"/>
      <c r="S25" s="198"/>
      <c r="T25" s="198"/>
      <c r="U25" s="198"/>
    </row>
    <row r="26" spans="1:21" s="12" customFormat="1" x14ac:dyDescent="0.25">
      <c r="A26" s="216" t="s">
        <v>1895</v>
      </c>
      <c r="B26" s="64">
        <v>1.81</v>
      </c>
      <c r="C26" s="64">
        <v>2.31</v>
      </c>
      <c r="D26" s="64">
        <v>2.58</v>
      </c>
      <c r="E26" s="64">
        <v>1.43</v>
      </c>
      <c r="F26" s="64">
        <v>3.61</v>
      </c>
      <c r="G26" s="214" t="s">
        <v>42</v>
      </c>
      <c r="H26" s="64">
        <v>4.57</v>
      </c>
      <c r="I26" s="64">
        <v>3.71</v>
      </c>
      <c r="J26" s="64">
        <v>0.05</v>
      </c>
      <c r="K26" s="64">
        <v>22.96</v>
      </c>
      <c r="L26" s="64">
        <v>24.32</v>
      </c>
      <c r="M26" s="64">
        <v>71.58</v>
      </c>
      <c r="N26" s="64">
        <v>35.200000000000003</v>
      </c>
      <c r="O26" s="64">
        <v>0</v>
      </c>
      <c r="P26" s="64">
        <v>0.23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6" t="s">
        <v>1896</v>
      </c>
      <c r="B27" s="64">
        <v>1.81</v>
      </c>
      <c r="C27" s="64">
        <v>2.67</v>
      </c>
      <c r="D27" s="64">
        <v>2.77</v>
      </c>
      <c r="E27" s="64">
        <v>1.46</v>
      </c>
      <c r="F27" s="64">
        <v>4.28</v>
      </c>
      <c r="G27" s="214" t="s">
        <v>42</v>
      </c>
      <c r="H27" s="64">
        <v>4.57</v>
      </c>
      <c r="I27" s="64">
        <v>3.84</v>
      </c>
      <c r="J27" s="64">
        <v>0.31</v>
      </c>
      <c r="K27" s="64">
        <v>182.37</v>
      </c>
      <c r="L27" s="64">
        <v>24.29</v>
      </c>
      <c r="M27" s="64">
        <v>72.39</v>
      </c>
      <c r="N27" s="64">
        <v>35.200000000000003</v>
      </c>
      <c r="O27" s="64">
        <v>0</v>
      </c>
      <c r="P27" s="64">
        <v>0.23</v>
      </c>
      <c r="Q27" s="64">
        <v>9.35</v>
      </c>
      <c r="R27" s="198"/>
      <c r="S27" s="198"/>
      <c r="T27" s="198"/>
      <c r="U27" s="198"/>
    </row>
    <row r="28" spans="1:21" s="12" customFormat="1" x14ac:dyDescent="0.25">
      <c r="A28" s="216" t="s">
        <v>1897</v>
      </c>
      <c r="B28" s="64">
        <v>1.87</v>
      </c>
      <c r="C28" s="64">
        <v>3.31</v>
      </c>
      <c r="D28" s="64">
        <v>3.14</v>
      </c>
      <c r="E28" s="64">
        <v>1.43</v>
      </c>
      <c r="F28" s="64">
        <v>3.63</v>
      </c>
      <c r="G28" s="214" t="s">
        <v>42</v>
      </c>
      <c r="H28" s="64">
        <v>3.65</v>
      </c>
      <c r="I28" s="64">
        <v>3.89</v>
      </c>
      <c r="J28" s="64">
        <v>0.26</v>
      </c>
      <c r="K28" s="64">
        <v>183.56</v>
      </c>
      <c r="L28" s="64">
        <v>24.1</v>
      </c>
      <c r="M28" s="64">
        <v>73.77</v>
      </c>
      <c r="N28" s="64">
        <v>35.4</v>
      </c>
      <c r="O28" s="64">
        <v>0</v>
      </c>
      <c r="P28" s="64">
        <v>0.23</v>
      </c>
      <c r="Q28" s="64">
        <v>9.31</v>
      </c>
      <c r="R28" s="198"/>
      <c r="S28" s="198"/>
      <c r="T28" s="198"/>
      <c r="U28" s="198"/>
    </row>
    <row r="29" spans="1:21" s="12" customFormat="1" x14ac:dyDescent="0.25">
      <c r="A29" s="216" t="s">
        <v>1898</v>
      </c>
      <c r="B29" s="64">
        <v>2</v>
      </c>
      <c r="C29" s="64">
        <v>3.64</v>
      </c>
      <c r="D29" s="64">
        <v>3.42</v>
      </c>
      <c r="E29" s="64">
        <v>1.37</v>
      </c>
      <c r="F29" s="64">
        <v>4.4800000000000004</v>
      </c>
      <c r="G29" s="214" t="s">
        <v>42</v>
      </c>
      <c r="H29" s="64">
        <v>3.34</v>
      </c>
      <c r="I29" s="64">
        <v>3.68</v>
      </c>
      <c r="J29" s="64">
        <v>0.35</v>
      </c>
      <c r="K29" s="64">
        <v>346.84</v>
      </c>
      <c r="L29" s="64">
        <v>24.07</v>
      </c>
      <c r="M29" s="64">
        <v>75.06</v>
      </c>
      <c r="N29" s="64">
        <v>35.799999999999997</v>
      </c>
      <c r="O29" s="64">
        <v>0</v>
      </c>
      <c r="P29" s="64">
        <v>0.24</v>
      </c>
      <c r="Q29" s="64">
        <v>9.23</v>
      </c>
      <c r="R29" s="198"/>
      <c r="S29" s="198"/>
      <c r="T29" s="198"/>
      <c r="U29" s="198"/>
    </row>
    <row r="30" spans="1:21" s="12" customFormat="1" x14ac:dyDescent="0.25">
      <c r="A30" s="216" t="s">
        <v>1899</v>
      </c>
      <c r="B30" s="64">
        <v>2.19</v>
      </c>
      <c r="C30" s="64">
        <v>3.81</v>
      </c>
      <c r="D30" s="64">
        <v>3.66</v>
      </c>
      <c r="E30" s="64">
        <v>1.68</v>
      </c>
      <c r="F30" s="64">
        <v>3.42</v>
      </c>
      <c r="G30" s="214" t="s">
        <v>42</v>
      </c>
      <c r="H30" s="64">
        <v>3.34</v>
      </c>
      <c r="I30" s="64">
        <v>3.56</v>
      </c>
      <c r="J30" s="64">
        <v>0.59</v>
      </c>
      <c r="K30" s="64">
        <v>145.97999999999999</v>
      </c>
      <c r="L30" s="64">
        <v>24</v>
      </c>
      <c r="M30" s="64">
        <v>74.459999999999994</v>
      </c>
      <c r="N30" s="64">
        <v>36.9</v>
      </c>
      <c r="O30" s="64">
        <v>0</v>
      </c>
      <c r="P30" s="64">
        <v>0.25</v>
      </c>
      <c r="Q30" s="64">
        <v>9.1999999999999993</v>
      </c>
      <c r="R30" s="198"/>
      <c r="S30" s="198"/>
      <c r="T30" s="198"/>
      <c r="U30" s="198"/>
    </row>
    <row r="31" spans="1:21" s="12" customFormat="1" x14ac:dyDescent="0.25">
      <c r="A31" s="216" t="s">
        <v>1900</v>
      </c>
      <c r="B31" s="64">
        <v>2.34</v>
      </c>
      <c r="C31" s="64">
        <v>3.83</v>
      </c>
      <c r="D31" s="64">
        <v>3.8</v>
      </c>
      <c r="E31" s="64">
        <v>1.85</v>
      </c>
      <c r="F31" s="64">
        <v>3.13</v>
      </c>
      <c r="G31" s="214" t="s">
        <v>42</v>
      </c>
      <c r="H31" s="64">
        <v>3.34</v>
      </c>
      <c r="I31" s="64">
        <v>3.79</v>
      </c>
      <c r="J31" s="64">
        <v>0.26</v>
      </c>
      <c r="K31" s="64">
        <v>56.18</v>
      </c>
      <c r="L31" s="64">
        <v>24.17</v>
      </c>
      <c r="M31" s="64">
        <v>73.989999999999995</v>
      </c>
      <c r="N31" s="64">
        <v>46.9</v>
      </c>
      <c r="O31" s="64">
        <v>0</v>
      </c>
      <c r="P31" s="64">
        <v>0.24</v>
      </c>
      <c r="Q31" s="64">
        <v>9.2200000000000006</v>
      </c>
      <c r="R31" s="198"/>
      <c r="S31" s="198"/>
      <c r="T31" s="198"/>
      <c r="U31" s="198"/>
    </row>
    <row r="32" spans="1:21" s="12" customFormat="1" x14ac:dyDescent="0.25">
      <c r="A32" s="216" t="s">
        <v>1901</v>
      </c>
      <c r="B32" s="64">
        <v>2.48</v>
      </c>
      <c r="C32" s="64">
        <v>3.75</v>
      </c>
      <c r="D32" s="64">
        <v>3.87</v>
      </c>
      <c r="E32" s="64">
        <v>1.43</v>
      </c>
      <c r="F32" s="64">
        <v>3.67</v>
      </c>
      <c r="G32" s="214" t="s">
        <v>42</v>
      </c>
      <c r="H32" s="64">
        <v>4.32</v>
      </c>
      <c r="I32" s="64">
        <v>3.79</v>
      </c>
      <c r="J32" s="64">
        <v>0.7</v>
      </c>
      <c r="K32" s="64">
        <v>111.56</v>
      </c>
      <c r="L32" s="64">
        <v>24.27</v>
      </c>
      <c r="M32" s="64">
        <v>73.16</v>
      </c>
      <c r="N32" s="64">
        <v>62.7</v>
      </c>
      <c r="O32" s="64">
        <v>0</v>
      </c>
      <c r="P32" s="64">
        <v>0.24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16" t="s">
        <v>1902</v>
      </c>
      <c r="B33" s="64">
        <v>2.5</v>
      </c>
      <c r="C33" s="64">
        <v>3.95</v>
      </c>
      <c r="D33" s="64">
        <v>3.99</v>
      </c>
      <c r="E33" s="64">
        <v>1.19</v>
      </c>
      <c r="F33" s="64">
        <v>3.07</v>
      </c>
      <c r="G33" s="214" t="s">
        <v>42</v>
      </c>
      <c r="H33" s="64">
        <v>4.66</v>
      </c>
      <c r="I33" s="64">
        <v>3.7</v>
      </c>
      <c r="J33" s="64">
        <v>0.52</v>
      </c>
      <c r="K33" s="64">
        <v>130.86000000000001</v>
      </c>
      <c r="L33" s="64">
        <v>24.48</v>
      </c>
      <c r="M33" s="64">
        <v>71.81</v>
      </c>
      <c r="N33" s="64">
        <v>59.4</v>
      </c>
      <c r="O33" s="64">
        <v>0</v>
      </c>
      <c r="P33" s="64">
        <v>0.24</v>
      </c>
      <c r="Q33" s="64">
        <v>9.33</v>
      </c>
      <c r="R33" s="198"/>
      <c r="S33" s="198"/>
      <c r="T33" s="198"/>
      <c r="U33" s="198"/>
    </row>
    <row r="34" spans="1:21" s="12" customFormat="1" x14ac:dyDescent="0.25">
      <c r="A34" s="216" t="s">
        <v>1903</v>
      </c>
      <c r="B34" s="64">
        <v>2.5499999999999998</v>
      </c>
      <c r="C34" s="64">
        <v>4.16</v>
      </c>
      <c r="D34" s="64">
        <v>4.1399999999999997</v>
      </c>
      <c r="E34" s="64">
        <v>1.67</v>
      </c>
      <c r="F34" s="64">
        <v>2.81</v>
      </c>
      <c r="G34" s="214" t="s">
        <v>42</v>
      </c>
      <c r="H34" s="64">
        <v>4.66</v>
      </c>
      <c r="I34" s="64">
        <v>3.85</v>
      </c>
      <c r="J34" s="64">
        <v>0.8</v>
      </c>
      <c r="K34" s="64">
        <v>166.75</v>
      </c>
      <c r="L34" s="64">
        <v>24.49</v>
      </c>
      <c r="M34" s="64">
        <v>71.98</v>
      </c>
      <c r="N34" s="64">
        <v>56.8</v>
      </c>
      <c r="O34" s="64">
        <v>0</v>
      </c>
      <c r="P34" s="64">
        <v>0.23</v>
      </c>
      <c r="Q34" s="64">
        <v>9.35</v>
      </c>
      <c r="R34" s="198"/>
      <c r="S34" s="198"/>
      <c r="T34" s="198"/>
      <c r="U34" s="198"/>
    </row>
    <row r="35" spans="1:21" s="12" customFormat="1" x14ac:dyDescent="0.25">
      <c r="A35" s="216" t="s">
        <v>1904</v>
      </c>
      <c r="B35" s="64">
        <v>2.57</v>
      </c>
      <c r="C35" s="64">
        <v>3.4</v>
      </c>
      <c r="D35" s="64">
        <v>3.76</v>
      </c>
      <c r="E35" s="64">
        <v>1.84</v>
      </c>
      <c r="F35" s="64">
        <v>3.14</v>
      </c>
      <c r="G35" s="214" t="s">
        <v>42</v>
      </c>
      <c r="H35" s="64">
        <v>4.66</v>
      </c>
      <c r="I35" s="64">
        <v>3.97</v>
      </c>
      <c r="J35" s="64">
        <v>0.94</v>
      </c>
      <c r="K35" s="64">
        <v>156.07</v>
      </c>
      <c r="L35" s="64">
        <v>24.45</v>
      </c>
      <c r="M35" s="64">
        <v>72.53</v>
      </c>
      <c r="N35" s="64">
        <v>74.5</v>
      </c>
      <c r="O35" s="64">
        <v>0</v>
      </c>
      <c r="P35" s="64">
        <v>0.22</v>
      </c>
      <c r="Q35" s="64">
        <v>9.31</v>
      </c>
      <c r="R35" s="198"/>
      <c r="S35" s="198"/>
      <c r="T35" s="198"/>
      <c r="U35" s="198"/>
    </row>
    <row r="36" spans="1:21" s="12" customFormat="1" x14ac:dyDescent="0.25">
      <c r="A36" s="216" t="s">
        <v>1905</v>
      </c>
      <c r="B36" s="64">
        <v>2.64</v>
      </c>
      <c r="C36" s="64">
        <v>3.09</v>
      </c>
      <c r="D36" s="64">
        <v>3.65</v>
      </c>
      <c r="E36" s="64">
        <v>1.37</v>
      </c>
      <c r="F36" s="64">
        <v>3.33</v>
      </c>
      <c r="G36" s="214" t="s">
        <v>42</v>
      </c>
      <c r="H36" s="64">
        <v>3.77</v>
      </c>
      <c r="I36" s="64">
        <v>4.21</v>
      </c>
      <c r="J36" s="64">
        <v>0.9</v>
      </c>
      <c r="K36" s="64">
        <v>154.97999999999999</v>
      </c>
      <c r="L36" s="64">
        <v>24.51</v>
      </c>
      <c r="M36" s="64">
        <v>72.209999999999994</v>
      </c>
      <c r="N36" s="64">
        <v>104.6</v>
      </c>
      <c r="O36" s="64">
        <v>0</v>
      </c>
      <c r="P36" s="64">
        <v>0.22</v>
      </c>
      <c r="Q36" s="64">
        <v>9.3800000000000008</v>
      </c>
      <c r="R36" s="198"/>
      <c r="S36" s="198"/>
      <c r="T36" s="198"/>
      <c r="U36" s="198"/>
    </row>
    <row r="37" spans="1:21" s="12" customFormat="1" x14ac:dyDescent="0.25">
      <c r="A37" s="216" t="s">
        <v>1906</v>
      </c>
      <c r="B37" s="64">
        <v>2.71</v>
      </c>
      <c r="C37" s="64">
        <v>3.27</v>
      </c>
      <c r="D37" s="64">
        <v>3.8</v>
      </c>
      <c r="E37" s="64">
        <v>1.45</v>
      </c>
      <c r="F37" s="64">
        <v>3.4</v>
      </c>
      <c r="G37" s="214" t="s">
        <v>42</v>
      </c>
      <c r="H37" s="64">
        <v>3.47</v>
      </c>
      <c r="I37" s="64">
        <v>4.33</v>
      </c>
      <c r="J37" s="64">
        <v>1.1000000000000001</v>
      </c>
      <c r="K37" s="64">
        <v>154.41</v>
      </c>
      <c r="L37" s="64">
        <v>24.66</v>
      </c>
      <c r="M37" s="64">
        <v>72.069999999999993</v>
      </c>
      <c r="N37" s="64">
        <v>124</v>
      </c>
      <c r="O37" s="64">
        <v>0</v>
      </c>
      <c r="P37" s="64">
        <v>0.23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16" t="s">
        <v>1907</v>
      </c>
      <c r="B38" s="64">
        <v>2.73</v>
      </c>
      <c r="C38" s="64">
        <v>3.35</v>
      </c>
      <c r="D38" s="64">
        <v>3.86</v>
      </c>
      <c r="E38" s="64">
        <v>1.38</v>
      </c>
      <c r="F38" s="64">
        <v>3.33</v>
      </c>
      <c r="G38" s="214" t="s">
        <v>42</v>
      </c>
      <c r="H38" s="64">
        <v>3.47</v>
      </c>
      <c r="I38" s="64">
        <v>4.43</v>
      </c>
      <c r="J38" s="64">
        <v>0.9</v>
      </c>
      <c r="K38" s="64">
        <v>158.22</v>
      </c>
      <c r="L38" s="64">
        <v>24.78</v>
      </c>
      <c r="M38" s="64">
        <v>72.03</v>
      </c>
      <c r="N38" s="64">
        <v>158.6</v>
      </c>
      <c r="O38" s="64">
        <v>0</v>
      </c>
      <c r="P38" s="64">
        <v>0.25</v>
      </c>
      <c r="Q38" s="64">
        <v>9.4700000000000006</v>
      </c>
      <c r="R38" s="198"/>
      <c r="S38" s="198"/>
      <c r="T38" s="198"/>
      <c r="U38" s="198"/>
    </row>
    <row r="39" spans="1:21" s="12" customFormat="1" x14ac:dyDescent="0.25">
      <c r="A39" s="216" t="s">
        <v>1908</v>
      </c>
      <c r="B39" s="64">
        <v>2.78</v>
      </c>
      <c r="C39" s="64">
        <v>3.45</v>
      </c>
      <c r="D39" s="64">
        <v>3.95</v>
      </c>
      <c r="E39" s="64">
        <v>1.61</v>
      </c>
      <c r="F39" s="64">
        <v>3.28</v>
      </c>
      <c r="G39" s="214" t="s">
        <v>42</v>
      </c>
      <c r="H39" s="64">
        <v>3.47</v>
      </c>
      <c r="I39" s="64">
        <v>4.84</v>
      </c>
      <c r="J39" s="64">
        <v>0.52</v>
      </c>
      <c r="K39" s="64">
        <v>158.41999999999999</v>
      </c>
      <c r="L39" s="64">
        <v>25.19</v>
      </c>
      <c r="M39" s="64">
        <v>70.63</v>
      </c>
      <c r="N39" s="64">
        <v>227.1</v>
      </c>
      <c r="O39" s="64">
        <v>0</v>
      </c>
      <c r="P39" s="64">
        <v>0.25</v>
      </c>
      <c r="Q39" s="64">
        <v>9.49</v>
      </c>
      <c r="R39" s="198"/>
      <c r="S39" s="198"/>
      <c r="T39" s="198"/>
      <c r="U39" s="198"/>
    </row>
    <row r="40" spans="1:21" s="12" customFormat="1" x14ac:dyDescent="0.25">
      <c r="A40" s="216" t="s">
        <v>1909</v>
      </c>
      <c r="B40" s="64">
        <v>2.79</v>
      </c>
      <c r="C40" s="64">
        <v>3.4</v>
      </c>
      <c r="D40" s="64">
        <v>3.93</v>
      </c>
      <c r="E40" s="64">
        <v>0.82</v>
      </c>
      <c r="F40" s="64">
        <v>2.87</v>
      </c>
      <c r="G40" s="214" t="s">
        <v>42</v>
      </c>
      <c r="H40" s="64">
        <v>3.64</v>
      </c>
      <c r="I40" s="64">
        <v>4.83</v>
      </c>
      <c r="J40" s="64">
        <v>1.1599999999999999</v>
      </c>
      <c r="K40" s="64">
        <v>150.05000000000001</v>
      </c>
      <c r="L40" s="64">
        <v>25.76</v>
      </c>
      <c r="M40" s="64">
        <v>68.680000000000007</v>
      </c>
      <c r="N40" s="64">
        <v>355.7</v>
      </c>
      <c r="O40" s="64">
        <v>0</v>
      </c>
      <c r="P40" s="64">
        <v>0.25</v>
      </c>
      <c r="Q40" s="64">
        <v>9.49</v>
      </c>
      <c r="R40" s="198"/>
      <c r="S40" s="198"/>
      <c r="T40" s="198"/>
      <c r="U40" s="198"/>
    </row>
    <row r="41" spans="1:21" s="12" customFormat="1" x14ac:dyDescent="0.25">
      <c r="A41" s="216" t="s">
        <v>1910</v>
      </c>
      <c r="B41" s="64">
        <v>2.78</v>
      </c>
      <c r="C41" s="64">
        <v>3.45</v>
      </c>
      <c r="D41" s="64">
        <v>3.95</v>
      </c>
      <c r="E41" s="64">
        <v>1.2</v>
      </c>
      <c r="F41" s="64">
        <v>3.17</v>
      </c>
      <c r="G41" s="214" t="s">
        <v>42</v>
      </c>
      <c r="H41" s="64">
        <v>3.71</v>
      </c>
      <c r="I41" s="64">
        <v>4.68</v>
      </c>
      <c r="J41" s="64">
        <v>0.63</v>
      </c>
      <c r="K41" s="64">
        <v>138.9</v>
      </c>
      <c r="L41" s="64">
        <v>26.3</v>
      </c>
      <c r="M41" s="64">
        <v>66.62</v>
      </c>
      <c r="N41" s="64">
        <v>302</v>
      </c>
      <c r="O41" s="64">
        <v>0</v>
      </c>
      <c r="P41" s="64">
        <v>0.25</v>
      </c>
      <c r="Q41" s="64">
        <v>9.51</v>
      </c>
      <c r="R41" s="198"/>
      <c r="S41" s="198"/>
      <c r="T41" s="198"/>
      <c r="U41" s="198"/>
    </row>
    <row r="42" spans="1:21" s="12" customFormat="1" x14ac:dyDescent="0.25">
      <c r="A42" s="216" t="s">
        <v>1911</v>
      </c>
      <c r="B42" s="64">
        <v>2.77</v>
      </c>
      <c r="C42" s="64">
        <v>3.79</v>
      </c>
      <c r="D42" s="64">
        <v>4.12</v>
      </c>
      <c r="E42" s="64">
        <v>1.18</v>
      </c>
      <c r="F42" s="64">
        <v>3.6</v>
      </c>
      <c r="G42" s="214" t="s">
        <v>42</v>
      </c>
      <c r="H42" s="64">
        <v>3.71</v>
      </c>
      <c r="I42" s="64">
        <v>4.8899999999999997</v>
      </c>
      <c r="J42" s="64">
        <v>0.08</v>
      </c>
      <c r="K42" s="64">
        <v>145.94</v>
      </c>
      <c r="L42" s="64">
        <v>26.88</v>
      </c>
      <c r="M42" s="64">
        <v>66.36</v>
      </c>
      <c r="N42" s="64">
        <v>281.10000000000002</v>
      </c>
      <c r="O42" s="64">
        <v>0</v>
      </c>
      <c r="P42" s="64">
        <v>0.25</v>
      </c>
      <c r="Q42" s="64">
        <v>9.48</v>
      </c>
      <c r="R42" s="198"/>
      <c r="S42" s="198"/>
      <c r="T42" s="198"/>
      <c r="U42" s="198"/>
    </row>
    <row r="43" spans="1:21" s="12" customFormat="1" x14ac:dyDescent="0.25">
      <c r="A43" s="216" t="s">
        <v>1912</v>
      </c>
      <c r="B43" s="64">
        <v>2.74</v>
      </c>
      <c r="C43" s="64">
        <v>4.09</v>
      </c>
      <c r="D43" s="64">
        <v>4.26</v>
      </c>
      <c r="E43" s="64">
        <v>1.27</v>
      </c>
      <c r="F43" s="64">
        <v>3.47</v>
      </c>
      <c r="G43" s="214" t="s">
        <v>42</v>
      </c>
      <c r="H43" s="64">
        <v>3.71</v>
      </c>
      <c r="I43" s="64">
        <v>5.03</v>
      </c>
      <c r="J43" s="64">
        <v>0.28999999999999998</v>
      </c>
      <c r="K43" s="64">
        <v>155.44999999999999</v>
      </c>
      <c r="L43" s="64">
        <v>26.77</v>
      </c>
      <c r="M43" s="64">
        <v>65.88</v>
      </c>
      <c r="N43" s="64">
        <v>257.10000000000002</v>
      </c>
      <c r="O43" s="64">
        <v>0</v>
      </c>
      <c r="P43" s="64">
        <v>0.26</v>
      </c>
      <c r="Q43" s="64">
        <v>9.49</v>
      </c>
      <c r="R43" s="198"/>
      <c r="S43" s="198"/>
      <c r="T43" s="198"/>
      <c r="U43" s="198"/>
    </row>
    <row r="44" spans="1:21" s="12" customFormat="1" x14ac:dyDescent="0.25">
      <c r="A44" s="216" t="s">
        <v>1913</v>
      </c>
      <c r="B44" s="64">
        <v>2.65</v>
      </c>
      <c r="C44" s="64">
        <v>4.16</v>
      </c>
      <c r="D44" s="64">
        <v>4.22</v>
      </c>
      <c r="E44" s="64">
        <v>1.26</v>
      </c>
      <c r="F44" s="64">
        <v>3.57</v>
      </c>
      <c r="G44" s="214" t="s">
        <v>42</v>
      </c>
      <c r="H44" s="64">
        <v>3.3</v>
      </c>
      <c r="I44" s="64">
        <v>5.07</v>
      </c>
      <c r="J44" s="64">
        <v>0.44</v>
      </c>
      <c r="K44" s="64">
        <v>133.79</v>
      </c>
      <c r="L44" s="64">
        <v>26.45</v>
      </c>
      <c r="M44" s="64">
        <v>66</v>
      </c>
      <c r="N44" s="64">
        <v>233.6</v>
      </c>
      <c r="O44" s="64">
        <v>0</v>
      </c>
      <c r="P44" s="64">
        <v>0.26</v>
      </c>
      <c r="Q44" s="64">
        <v>9.5</v>
      </c>
      <c r="R44" s="198"/>
      <c r="S44" s="198"/>
      <c r="T44" s="198"/>
      <c r="U44" s="198"/>
    </row>
    <row r="45" spans="1:21" s="12" customFormat="1" x14ac:dyDescent="0.25">
      <c r="A45" s="216" t="s">
        <v>1914</v>
      </c>
      <c r="B45" s="64">
        <v>2.56</v>
      </c>
      <c r="C45" s="64">
        <v>4.2</v>
      </c>
      <c r="D45" s="64">
        <v>4.16</v>
      </c>
      <c r="E45" s="64">
        <v>0.96</v>
      </c>
      <c r="F45" s="64">
        <v>3.91</v>
      </c>
      <c r="G45" s="214" t="s">
        <v>42</v>
      </c>
      <c r="H45" s="64">
        <v>3.17</v>
      </c>
      <c r="I45" s="64">
        <v>5.09</v>
      </c>
      <c r="J45" s="64">
        <v>0.21</v>
      </c>
      <c r="K45" s="64">
        <v>154.65</v>
      </c>
      <c r="L45" s="64">
        <v>26.54</v>
      </c>
      <c r="M45" s="64">
        <v>66.430000000000007</v>
      </c>
      <c r="N45" s="64">
        <v>215</v>
      </c>
      <c r="O45" s="64">
        <v>0</v>
      </c>
      <c r="P45" s="64">
        <v>0.26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16" t="s">
        <v>1915</v>
      </c>
      <c r="B46" s="64">
        <v>2.46</v>
      </c>
      <c r="C46" s="64">
        <v>4.99</v>
      </c>
      <c r="D46" s="64">
        <v>4.5</v>
      </c>
      <c r="E46" s="64">
        <v>1.34</v>
      </c>
      <c r="F46" s="64">
        <v>3.41</v>
      </c>
      <c r="G46" s="214" t="s">
        <v>42</v>
      </c>
      <c r="H46" s="64">
        <v>3.17</v>
      </c>
      <c r="I46" s="64">
        <v>5.08</v>
      </c>
      <c r="J46" s="64">
        <v>0.56999999999999995</v>
      </c>
      <c r="K46" s="64">
        <v>156.71</v>
      </c>
      <c r="L46" s="64">
        <v>26.58</v>
      </c>
      <c r="M46" s="64">
        <v>65.099999999999994</v>
      </c>
      <c r="N46" s="64">
        <v>220.8</v>
      </c>
      <c r="O46" s="64">
        <v>0</v>
      </c>
      <c r="P46" s="64">
        <v>0.26</v>
      </c>
      <c r="Q46" s="64">
        <v>9.4499999999999993</v>
      </c>
      <c r="R46" s="198"/>
      <c r="S46" s="198"/>
      <c r="T46" s="198"/>
      <c r="U46" s="198"/>
    </row>
    <row r="47" spans="1:21" s="12" customFormat="1" x14ac:dyDescent="0.25">
      <c r="A47" s="216" t="s">
        <v>1916</v>
      </c>
      <c r="B47" s="64">
        <v>2.39</v>
      </c>
      <c r="C47" s="64">
        <v>4.8899999999999997</v>
      </c>
      <c r="D47" s="64">
        <v>4.3899999999999997</v>
      </c>
      <c r="E47" s="64">
        <v>1.23</v>
      </c>
      <c r="F47" s="64">
        <v>3.45</v>
      </c>
      <c r="G47" s="214" t="s">
        <v>42</v>
      </c>
      <c r="H47" s="64">
        <v>3.17</v>
      </c>
      <c r="I47" s="64">
        <v>5.03</v>
      </c>
      <c r="J47" s="64">
        <v>0.71</v>
      </c>
      <c r="K47" s="64">
        <v>170.33</v>
      </c>
      <c r="L47" s="64">
        <v>26.76</v>
      </c>
      <c r="M47" s="64">
        <v>64.36</v>
      </c>
      <c r="N47" s="64">
        <v>243.8</v>
      </c>
      <c r="O47" s="64">
        <v>0</v>
      </c>
      <c r="P47" s="64">
        <v>0.27</v>
      </c>
      <c r="Q47" s="64">
        <v>9.43</v>
      </c>
      <c r="R47" s="198"/>
      <c r="S47" s="198"/>
      <c r="T47" s="198"/>
      <c r="U47" s="198"/>
    </row>
    <row r="48" spans="1:21" s="12" customFormat="1" x14ac:dyDescent="0.25">
      <c r="A48" s="216" t="s">
        <v>1917</v>
      </c>
      <c r="B48" s="64">
        <v>2.33</v>
      </c>
      <c r="C48" s="64">
        <v>4.58</v>
      </c>
      <c r="D48" s="64">
        <v>4.18</v>
      </c>
      <c r="E48" s="64">
        <v>0.91</v>
      </c>
      <c r="F48" s="64">
        <v>3.05</v>
      </c>
      <c r="G48" s="214" t="s">
        <v>42</v>
      </c>
      <c r="H48" s="64">
        <v>3.23</v>
      </c>
      <c r="I48" s="64">
        <v>4.9800000000000004</v>
      </c>
      <c r="J48" s="64">
        <v>0.38</v>
      </c>
      <c r="K48" s="64">
        <v>170.67</v>
      </c>
      <c r="L48" s="64">
        <v>26.89</v>
      </c>
      <c r="M48" s="64">
        <v>64.42</v>
      </c>
      <c r="N48" s="64">
        <v>271.39999999999998</v>
      </c>
      <c r="O48" s="64">
        <v>0</v>
      </c>
      <c r="P48" s="64">
        <v>0.26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6" t="s">
        <v>1918</v>
      </c>
      <c r="B49" s="64">
        <v>2.23</v>
      </c>
      <c r="C49" s="64">
        <v>4.58</v>
      </c>
      <c r="D49" s="64">
        <v>4.0999999999999996</v>
      </c>
      <c r="E49" s="64">
        <v>0.9</v>
      </c>
      <c r="F49" s="64">
        <v>3.41</v>
      </c>
      <c r="G49" s="214" t="s">
        <v>42</v>
      </c>
      <c r="H49" s="64">
        <v>3.25</v>
      </c>
      <c r="I49" s="64">
        <v>4.8899999999999997</v>
      </c>
      <c r="J49" s="64">
        <v>0.43</v>
      </c>
      <c r="K49" s="64">
        <v>183.61</v>
      </c>
      <c r="L49" s="64">
        <v>27.1</v>
      </c>
      <c r="M49" s="64">
        <v>63.37</v>
      </c>
      <c r="N49" s="64">
        <v>301.7</v>
      </c>
      <c r="O49" s="64">
        <v>0</v>
      </c>
      <c r="P49" s="64">
        <v>0.26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16" t="s">
        <v>1919</v>
      </c>
      <c r="B50" s="64">
        <v>2.1</v>
      </c>
      <c r="C50" s="64">
        <v>4.82</v>
      </c>
      <c r="D50" s="64">
        <v>4.12</v>
      </c>
      <c r="E50" s="64">
        <v>1.17</v>
      </c>
      <c r="F50" s="64">
        <v>3.62</v>
      </c>
      <c r="G50" s="214" t="s">
        <v>42</v>
      </c>
      <c r="H50" s="64">
        <v>3.25</v>
      </c>
      <c r="I50" s="64">
        <v>4.8499999999999996</v>
      </c>
      <c r="J50" s="64">
        <v>0.8</v>
      </c>
      <c r="K50" s="64">
        <v>151.91</v>
      </c>
      <c r="L50" s="64">
        <v>27.78</v>
      </c>
      <c r="M50" s="64">
        <v>60.12</v>
      </c>
      <c r="N50" s="64">
        <v>537.5</v>
      </c>
      <c r="O50" s="64">
        <v>0</v>
      </c>
      <c r="P50" s="64">
        <v>0.26</v>
      </c>
      <c r="Q50" s="64">
        <v>9.41</v>
      </c>
      <c r="R50" s="198"/>
      <c r="S50" s="198"/>
      <c r="T50" s="198"/>
      <c r="U50" s="198"/>
    </row>
    <row r="51" spans="1:21" s="12" customFormat="1" x14ac:dyDescent="0.25">
      <c r="A51" s="216" t="s">
        <v>1920</v>
      </c>
      <c r="B51" s="64">
        <v>1.87</v>
      </c>
      <c r="C51" s="64">
        <v>4.76</v>
      </c>
      <c r="D51" s="64">
        <v>3.9</v>
      </c>
      <c r="E51" s="64">
        <v>1.29</v>
      </c>
      <c r="F51" s="64">
        <v>8.17</v>
      </c>
      <c r="G51" s="214" t="s">
        <v>42</v>
      </c>
      <c r="H51" s="64">
        <v>3.25</v>
      </c>
      <c r="I51" s="64">
        <v>4.8099999999999996</v>
      </c>
      <c r="J51" s="64">
        <v>0.67</v>
      </c>
      <c r="K51" s="64">
        <v>145.52000000000001</v>
      </c>
      <c r="L51" s="64">
        <v>28.3</v>
      </c>
      <c r="M51" s="64">
        <v>58.56</v>
      </c>
      <c r="N51" s="64">
        <v>399.5</v>
      </c>
      <c r="O51" s="64">
        <v>0</v>
      </c>
      <c r="P51" s="64">
        <v>0.27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6" t="s">
        <v>1921</v>
      </c>
      <c r="B52" s="64">
        <v>1.22</v>
      </c>
      <c r="C52" s="64">
        <v>3.72</v>
      </c>
      <c r="D52" s="64">
        <v>2.85</v>
      </c>
      <c r="E52" s="64">
        <v>2.04</v>
      </c>
      <c r="F52" s="64">
        <v>18.149999999999999</v>
      </c>
      <c r="G52" s="210" t="s">
        <v>36</v>
      </c>
      <c r="H52" s="210" t="s">
        <v>36</v>
      </c>
      <c r="I52" s="64">
        <v>4.76</v>
      </c>
      <c r="J52" s="64">
        <v>1.1399999999999999</v>
      </c>
      <c r="K52" s="64">
        <v>155.41999999999999</v>
      </c>
      <c r="L52" s="64">
        <v>28.22</v>
      </c>
      <c r="M52" s="64">
        <v>59</v>
      </c>
      <c r="N52" s="64">
        <v>340</v>
      </c>
      <c r="O52" s="64">
        <v>0</v>
      </c>
      <c r="P52" s="64">
        <v>0.25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6" t="s">
        <v>1922</v>
      </c>
      <c r="B53" s="64">
        <v>1.05</v>
      </c>
      <c r="C53" s="64">
        <v>3.02</v>
      </c>
      <c r="D53" s="64">
        <v>2.34</v>
      </c>
      <c r="E53" s="64">
        <v>1.64</v>
      </c>
      <c r="F53" s="64">
        <v>11.01</v>
      </c>
      <c r="G53" s="210" t="s">
        <v>36</v>
      </c>
      <c r="H53" s="210" t="s">
        <v>36</v>
      </c>
      <c r="I53" s="64">
        <v>3.82</v>
      </c>
      <c r="J53" s="64">
        <v>0.31</v>
      </c>
      <c r="K53" s="64">
        <v>184.56</v>
      </c>
      <c r="L53" s="64">
        <v>28.19</v>
      </c>
      <c r="M53" s="64">
        <v>59.25</v>
      </c>
      <c r="N53" s="64">
        <v>310.7</v>
      </c>
      <c r="O53" s="64">
        <v>0</v>
      </c>
      <c r="P53" s="64">
        <v>0.23</v>
      </c>
      <c r="Q53" s="64">
        <v>9.2899999999999991</v>
      </c>
      <c r="R53" s="198"/>
      <c r="S53" s="198"/>
      <c r="T53" s="198"/>
      <c r="U53" s="198"/>
    </row>
    <row r="54" spans="1:21" s="12" customFormat="1" x14ac:dyDescent="0.25">
      <c r="A54" s="216" t="s">
        <v>1923</v>
      </c>
      <c r="B54" s="64">
        <v>1.1100000000000001</v>
      </c>
      <c r="C54" s="64">
        <v>3.03</v>
      </c>
      <c r="D54" s="64">
        <v>2.39</v>
      </c>
      <c r="E54" s="64">
        <v>0.74</v>
      </c>
      <c r="F54" s="64">
        <v>7.06</v>
      </c>
      <c r="G54" s="210" t="s">
        <v>36</v>
      </c>
      <c r="H54" s="210" t="s">
        <v>36</v>
      </c>
      <c r="I54" s="64">
        <v>2.64</v>
      </c>
      <c r="J54" s="64">
        <v>0.12</v>
      </c>
      <c r="K54" s="64">
        <v>167.08</v>
      </c>
      <c r="L54" s="64">
        <v>28.38</v>
      </c>
      <c r="M54" s="64">
        <v>59.29</v>
      </c>
      <c r="N54" s="64">
        <v>242.6</v>
      </c>
      <c r="O54" s="64">
        <v>0</v>
      </c>
      <c r="P54" s="64">
        <v>0.23</v>
      </c>
      <c r="Q54" s="64">
        <v>9.26</v>
      </c>
      <c r="R54" s="198"/>
      <c r="S54" s="198"/>
      <c r="T54" s="198"/>
      <c r="U54" s="198"/>
    </row>
    <row r="55" spans="1:21" s="12" customFormat="1" x14ac:dyDescent="0.25">
      <c r="A55" s="216" t="s">
        <v>1924</v>
      </c>
      <c r="B55" s="64">
        <v>1.18</v>
      </c>
      <c r="C55" s="64">
        <v>2.9</v>
      </c>
      <c r="D55" s="64">
        <v>2.38</v>
      </c>
      <c r="E55" s="64">
        <v>1.1599999999999999</v>
      </c>
      <c r="F55" s="64">
        <v>5.52</v>
      </c>
      <c r="G55" s="210" t="s">
        <v>36</v>
      </c>
      <c r="H55" s="210" t="s">
        <v>36</v>
      </c>
      <c r="I55" s="64">
        <v>2.36</v>
      </c>
      <c r="J55" s="64">
        <v>0.09</v>
      </c>
      <c r="K55" s="64">
        <v>163.07</v>
      </c>
      <c r="L55" s="64">
        <v>28.26</v>
      </c>
      <c r="M55" s="64">
        <v>59.69</v>
      </c>
      <c r="N55" s="64">
        <v>314.2</v>
      </c>
      <c r="O55" s="64">
        <v>0</v>
      </c>
      <c r="P55" s="64">
        <v>0.23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6" t="s">
        <v>1925</v>
      </c>
      <c r="B56" s="64">
        <v>1.23</v>
      </c>
      <c r="C56" s="64">
        <v>2.84</v>
      </c>
      <c r="D56" s="64">
        <v>2.39</v>
      </c>
      <c r="E56" s="64">
        <v>2.16</v>
      </c>
      <c r="F56" s="64">
        <v>5.22</v>
      </c>
      <c r="G56" s="64">
        <v>23.37</v>
      </c>
      <c r="H56" s="64">
        <v>10.39</v>
      </c>
      <c r="I56" s="64">
        <v>2.4500000000000002</v>
      </c>
      <c r="J56" s="64">
        <v>0.32</v>
      </c>
      <c r="K56" s="64">
        <v>151.65</v>
      </c>
      <c r="L56" s="64">
        <v>28.64</v>
      </c>
      <c r="M56" s="64">
        <v>58.7</v>
      </c>
      <c r="N56" s="64">
        <v>490</v>
      </c>
      <c r="O56" s="64">
        <v>0</v>
      </c>
      <c r="P56" s="64">
        <v>0.23</v>
      </c>
      <c r="Q56" s="64">
        <v>9.2899999999999991</v>
      </c>
      <c r="R56" s="198"/>
      <c r="S56" s="198"/>
      <c r="T56" s="198"/>
      <c r="U56" s="198"/>
    </row>
    <row r="57" spans="1:21" s="12" customFormat="1" x14ac:dyDescent="0.25">
      <c r="A57" s="216" t="s">
        <v>1926</v>
      </c>
      <c r="B57" s="64">
        <v>1.26</v>
      </c>
      <c r="C57" s="64">
        <v>2.79</v>
      </c>
      <c r="D57" s="64">
        <v>2.39</v>
      </c>
      <c r="E57" s="64">
        <v>2.23</v>
      </c>
      <c r="F57" s="64">
        <v>4.51</v>
      </c>
      <c r="G57" s="64">
        <v>24.74</v>
      </c>
      <c r="H57" s="64">
        <v>11</v>
      </c>
      <c r="I57" s="64">
        <v>2.5099999999999998</v>
      </c>
      <c r="J57" s="64">
        <v>0.87</v>
      </c>
      <c r="K57" s="64">
        <v>156.58000000000001</v>
      </c>
      <c r="L57" s="64">
        <v>29.21</v>
      </c>
      <c r="M57" s="64">
        <v>57.45</v>
      </c>
      <c r="N57" s="64">
        <v>706.5</v>
      </c>
      <c r="O57" s="64">
        <v>0</v>
      </c>
      <c r="P57" s="64">
        <v>0.23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6" t="s">
        <v>1927</v>
      </c>
      <c r="B58" s="64">
        <v>1.32</v>
      </c>
      <c r="C58" s="64">
        <v>2.76</v>
      </c>
      <c r="D58" s="64">
        <v>2.42</v>
      </c>
      <c r="E58" s="64">
        <v>2.08</v>
      </c>
      <c r="F58" s="64">
        <v>4.57</v>
      </c>
      <c r="G58" s="64">
        <v>24.74</v>
      </c>
      <c r="H58" s="64">
        <v>11</v>
      </c>
      <c r="I58" s="64">
        <v>2.66</v>
      </c>
      <c r="J58" s="64">
        <v>0.76</v>
      </c>
      <c r="K58" s="64">
        <v>147.69</v>
      </c>
      <c r="L58" s="64">
        <v>30.3</v>
      </c>
      <c r="M58" s="64">
        <v>53.7</v>
      </c>
      <c r="N58" s="64">
        <v>613.6</v>
      </c>
      <c r="O58" s="64">
        <v>0</v>
      </c>
      <c r="P58" s="64">
        <v>0.23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16" t="s">
        <v>1928</v>
      </c>
      <c r="B59" s="64">
        <v>1.35</v>
      </c>
      <c r="C59" s="64">
        <v>2.9</v>
      </c>
      <c r="D59" s="64">
        <v>2.52</v>
      </c>
      <c r="E59" s="64">
        <v>2.1</v>
      </c>
      <c r="F59" s="64">
        <v>4.6399999999999997</v>
      </c>
      <c r="G59" s="64">
        <v>24.74</v>
      </c>
      <c r="H59" s="64">
        <v>11</v>
      </c>
      <c r="I59" s="64">
        <v>2.93</v>
      </c>
      <c r="J59" s="64">
        <v>0.76</v>
      </c>
      <c r="K59" s="64">
        <v>152.13</v>
      </c>
      <c r="L59" s="64">
        <v>29.91</v>
      </c>
      <c r="M59" s="64">
        <v>55.37</v>
      </c>
      <c r="N59" s="64">
        <v>392.8</v>
      </c>
      <c r="O59" s="64">
        <v>0</v>
      </c>
      <c r="P59" s="64">
        <v>0.23</v>
      </c>
      <c r="Q59" s="64">
        <v>9.3800000000000008</v>
      </c>
      <c r="R59" s="198"/>
      <c r="S59" s="198"/>
      <c r="T59" s="198"/>
      <c r="U59" s="198"/>
    </row>
    <row r="60" spans="1:21" s="12" customFormat="1" x14ac:dyDescent="0.25">
      <c r="A60" s="216" t="s">
        <v>1929</v>
      </c>
      <c r="B60" s="64">
        <v>1.34</v>
      </c>
      <c r="C60" s="64">
        <v>3.18</v>
      </c>
      <c r="D60" s="64">
        <v>2.66</v>
      </c>
      <c r="E60" s="64">
        <v>2.04</v>
      </c>
      <c r="F60" s="64">
        <v>5.25</v>
      </c>
      <c r="G60" s="64">
        <v>29.67</v>
      </c>
      <c r="H60" s="64">
        <v>9.89</v>
      </c>
      <c r="I60" s="64">
        <v>3.12</v>
      </c>
      <c r="J60" s="64">
        <v>0.75</v>
      </c>
      <c r="K60" s="64">
        <v>147.37</v>
      </c>
      <c r="L60" s="64">
        <v>29.76</v>
      </c>
      <c r="M60" s="64">
        <v>55.3</v>
      </c>
      <c r="N60" s="64">
        <v>451.4</v>
      </c>
      <c r="O60" s="64">
        <v>0</v>
      </c>
      <c r="P60" s="64">
        <v>0.24</v>
      </c>
      <c r="Q60" s="64">
        <v>9.39</v>
      </c>
      <c r="R60" s="198"/>
      <c r="S60" s="198"/>
      <c r="T60" s="198"/>
      <c r="U60" s="198"/>
    </row>
    <row r="61" spans="1:21" s="12" customFormat="1" x14ac:dyDescent="0.25">
      <c r="A61" s="216" t="s">
        <v>1930</v>
      </c>
      <c r="B61" s="64">
        <v>1.27</v>
      </c>
      <c r="C61" s="64">
        <v>3.37</v>
      </c>
      <c r="D61" s="64">
        <v>2.7</v>
      </c>
      <c r="E61" s="64">
        <v>2.12</v>
      </c>
      <c r="F61" s="64">
        <v>6.22</v>
      </c>
      <c r="G61" s="64">
        <v>29.96</v>
      </c>
      <c r="H61" s="64">
        <v>9.82</v>
      </c>
      <c r="I61" s="64">
        <v>3.38</v>
      </c>
      <c r="J61" s="64">
        <v>0.22</v>
      </c>
      <c r="K61" s="64">
        <v>202.88</v>
      </c>
      <c r="L61" s="64">
        <v>30.12</v>
      </c>
      <c r="M61" s="64">
        <v>52.88</v>
      </c>
      <c r="N61" s="64">
        <v>449.9</v>
      </c>
      <c r="O61" s="64">
        <v>0</v>
      </c>
      <c r="P61" s="64">
        <v>0.24</v>
      </c>
      <c r="Q61" s="64">
        <v>9.41</v>
      </c>
      <c r="R61" s="198"/>
      <c r="S61" s="198"/>
      <c r="T61" s="198"/>
      <c r="U61" s="198"/>
    </row>
    <row r="62" spans="1:21" s="12" customFormat="1" x14ac:dyDescent="0.25">
      <c r="A62" s="216" t="s">
        <v>1931</v>
      </c>
      <c r="B62" s="64">
        <v>1.23</v>
      </c>
      <c r="C62" s="64">
        <v>3.96</v>
      </c>
      <c r="D62" s="64">
        <v>2.97</v>
      </c>
      <c r="E62" s="64">
        <v>1.81</v>
      </c>
      <c r="F62" s="64">
        <v>5.61</v>
      </c>
      <c r="G62" s="64">
        <v>29.96</v>
      </c>
      <c r="H62" s="64">
        <v>9.82</v>
      </c>
      <c r="I62" s="64">
        <v>3.5</v>
      </c>
      <c r="J62" s="64">
        <v>0.11</v>
      </c>
      <c r="K62" s="64">
        <v>226.99</v>
      </c>
      <c r="L62" s="64">
        <v>30.56</v>
      </c>
      <c r="M62" s="64">
        <v>50.33</v>
      </c>
      <c r="N62" s="64">
        <v>523.6</v>
      </c>
      <c r="O62" s="64">
        <v>0</v>
      </c>
      <c r="P62" s="64">
        <v>0.26</v>
      </c>
      <c r="Q62" s="64">
        <v>9.4600000000000009</v>
      </c>
      <c r="R62" s="198"/>
      <c r="S62" s="198"/>
      <c r="T62" s="198"/>
      <c r="U62" s="198"/>
    </row>
    <row r="63" spans="1:21" s="12" customFormat="1" x14ac:dyDescent="0.25">
      <c r="A63" s="216" t="s">
        <v>1932</v>
      </c>
      <c r="B63" s="64">
        <v>1.21</v>
      </c>
      <c r="C63" s="64">
        <v>4.05</v>
      </c>
      <c r="D63" s="64">
        <v>3.01</v>
      </c>
      <c r="E63" s="64">
        <v>3.41</v>
      </c>
      <c r="F63" s="64">
        <v>8.64</v>
      </c>
      <c r="G63" s="64">
        <v>29.96</v>
      </c>
      <c r="H63" s="64">
        <v>9.82</v>
      </c>
      <c r="I63" s="64">
        <v>3.35</v>
      </c>
      <c r="J63" s="64">
        <v>0.06</v>
      </c>
      <c r="K63" s="64">
        <v>259.77</v>
      </c>
      <c r="L63" s="64">
        <v>31.45</v>
      </c>
      <c r="M63" s="64">
        <v>47.5</v>
      </c>
      <c r="N63" s="64">
        <v>759.7</v>
      </c>
      <c r="O63" s="64">
        <v>0</v>
      </c>
      <c r="P63" s="64">
        <v>0.28999999999999998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6" t="s">
        <v>1933</v>
      </c>
      <c r="B64" s="64">
        <v>1.21</v>
      </c>
      <c r="C64" s="64">
        <v>3.7</v>
      </c>
      <c r="D64" s="64">
        <v>2.82</v>
      </c>
      <c r="E64" s="64">
        <v>2.41</v>
      </c>
      <c r="F64" s="64">
        <v>5.95</v>
      </c>
      <c r="G64" s="64">
        <v>30.8</v>
      </c>
      <c r="H64" s="64">
        <v>12.21</v>
      </c>
      <c r="I64" s="64">
        <v>3.15</v>
      </c>
      <c r="J64" s="64">
        <v>0.17</v>
      </c>
      <c r="K64" s="64">
        <v>312.11</v>
      </c>
      <c r="L64" s="64">
        <v>32.47</v>
      </c>
      <c r="M64" s="64">
        <v>44.19</v>
      </c>
      <c r="N64" s="64">
        <v>705.2</v>
      </c>
      <c r="O64" s="64">
        <v>0</v>
      </c>
      <c r="P64" s="64">
        <v>0.28999999999999998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6" t="s">
        <v>1934</v>
      </c>
      <c r="B65" s="64">
        <v>1.27</v>
      </c>
      <c r="C65" s="64">
        <v>3.59</v>
      </c>
      <c r="D65" s="64">
        <v>2.81</v>
      </c>
      <c r="E65" s="64">
        <v>2.35</v>
      </c>
      <c r="F65" s="64">
        <v>4.82</v>
      </c>
      <c r="G65" s="64">
        <v>30.84</v>
      </c>
      <c r="H65" s="64">
        <v>12.35</v>
      </c>
      <c r="I65" s="64">
        <v>2.95</v>
      </c>
      <c r="J65" s="64">
        <v>0.27</v>
      </c>
      <c r="K65" s="64">
        <v>311.41000000000003</v>
      </c>
      <c r="L65" s="64">
        <v>33.409999999999997</v>
      </c>
      <c r="M65" s="64">
        <v>41.02</v>
      </c>
      <c r="N65" s="64">
        <v>525.70000000000005</v>
      </c>
      <c r="O65" s="64">
        <v>0</v>
      </c>
      <c r="P65" s="64">
        <v>0.28999999999999998</v>
      </c>
      <c r="Q65" s="64">
        <v>9.36</v>
      </c>
      <c r="R65" s="198"/>
      <c r="S65" s="198"/>
      <c r="T65" s="198"/>
      <c r="U65" s="198"/>
    </row>
    <row r="66" spans="1:21" s="12" customFormat="1" x14ac:dyDescent="0.25">
      <c r="A66" s="216" t="s">
        <v>1935</v>
      </c>
      <c r="B66" s="64">
        <v>1.32</v>
      </c>
      <c r="C66" s="64">
        <v>3.49</v>
      </c>
      <c r="D66" s="64">
        <v>2.8</v>
      </c>
      <c r="E66" s="64">
        <v>2.29</v>
      </c>
      <c r="F66" s="64">
        <v>4.2300000000000004</v>
      </c>
      <c r="G66" s="64">
        <v>30.84</v>
      </c>
      <c r="H66" s="64">
        <v>12.35</v>
      </c>
      <c r="I66" s="64">
        <v>2.89</v>
      </c>
      <c r="J66" s="64">
        <v>0.1</v>
      </c>
      <c r="K66" s="64">
        <v>95.74</v>
      </c>
      <c r="L66" s="64">
        <v>32.33</v>
      </c>
      <c r="M66" s="64">
        <v>42.41</v>
      </c>
      <c r="N66" s="64">
        <v>455.6</v>
      </c>
      <c r="O66" s="64">
        <v>0</v>
      </c>
      <c r="P66" s="64">
        <v>0.28999999999999998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6" t="s">
        <v>1936</v>
      </c>
      <c r="B67" s="64">
        <v>1.36</v>
      </c>
      <c r="C67" s="64">
        <v>3.5</v>
      </c>
      <c r="D67" s="64">
        <v>2.84</v>
      </c>
      <c r="E67" s="64">
        <v>1.95</v>
      </c>
      <c r="F67" s="64">
        <v>4.34</v>
      </c>
      <c r="G67" s="64">
        <v>30.84</v>
      </c>
      <c r="H67" s="64">
        <v>12.35</v>
      </c>
      <c r="I67" s="64">
        <v>2.91</v>
      </c>
      <c r="J67" s="64">
        <v>0.36</v>
      </c>
      <c r="K67" s="64">
        <v>320.55</v>
      </c>
      <c r="L67" s="64">
        <v>32.94</v>
      </c>
      <c r="M67" s="64">
        <v>40.369999999999997</v>
      </c>
      <c r="N67" s="64">
        <v>410.7</v>
      </c>
      <c r="O67" s="64">
        <v>0</v>
      </c>
      <c r="P67" s="64">
        <v>0.28000000000000003</v>
      </c>
      <c r="Q67" s="64">
        <v>9.31</v>
      </c>
      <c r="R67" s="198"/>
      <c r="S67" s="198"/>
      <c r="T67" s="198"/>
      <c r="U67" s="198"/>
    </row>
    <row r="68" spans="1:21" s="12" customFormat="1" x14ac:dyDescent="0.25">
      <c r="A68" s="216" t="s">
        <v>1937</v>
      </c>
      <c r="B68" s="64">
        <v>1.4</v>
      </c>
      <c r="C68" s="64">
        <v>3.46</v>
      </c>
      <c r="D68" s="64">
        <v>2.86</v>
      </c>
      <c r="E68" s="64">
        <v>2.0099999999999998</v>
      </c>
      <c r="F68" s="64">
        <v>4.1900000000000004</v>
      </c>
      <c r="G68" s="64">
        <v>25.82</v>
      </c>
      <c r="H68" s="64">
        <v>14.27</v>
      </c>
      <c r="I68" s="64">
        <v>2.97</v>
      </c>
      <c r="J68" s="64">
        <v>0.23</v>
      </c>
      <c r="K68" s="64">
        <v>2.6</v>
      </c>
      <c r="L68" s="64">
        <v>33.24</v>
      </c>
      <c r="M68" s="64">
        <v>38.700000000000003</v>
      </c>
      <c r="N68" s="64">
        <v>311.8</v>
      </c>
      <c r="O68" s="64">
        <v>0</v>
      </c>
      <c r="P68" s="64">
        <v>0.28000000000000003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6" t="s">
        <v>1938</v>
      </c>
      <c r="B69" s="64">
        <v>1.46</v>
      </c>
      <c r="C69" s="64">
        <v>3.61</v>
      </c>
      <c r="D69" s="64">
        <v>2.98</v>
      </c>
      <c r="E69" s="64">
        <v>1.99</v>
      </c>
      <c r="F69" s="64">
        <v>4.2</v>
      </c>
      <c r="G69" s="64">
        <v>25.52</v>
      </c>
      <c r="H69" s="64">
        <v>14.38</v>
      </c>
      <c r="I69" s="64">
        <v>3.03</v>
      </c>
      <c r="J69" s="64">
        <v>0.66</v>
      </c>
      <c r="K69" s="64">
        <v>340.56</v>
      </c>
      <c r="L69" s="64">
        <v>33.57</v>
      </c>
      <c r="M69" s="64">
        <v>37.54</v>
      </c>
      <c r="N69" s="64">
        <v>182.5</v>
      </c>
      <c r="O69" s="64">
        <v>0</v>
      </c>
      <c r="P69" s="64">
        <v>0.28999999999999998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16" t="s">
        <v>1939</v>
      </c>
      <c r="B70" s="64">
        <v>1.51</v>
      </c>
      <c r="C70" s="64">
        <v>3.91</v>
      </c>
      <c r="D70" s="64">
        <v>3.18</v>
      </c>
      <c r="E70" s="64">
        <v>2.12</v>
      </c>
      <c r="F70" s="64">
        <v>3.71</v>
      </c>
      <c r="G70" s="64">
        <v>25.52</v>
      </c>
      <c r="H70" s="64">
        <v>14.38</v>
      </c>
      <c r="I70" s="64">
        <v>3.19</v>
      </c>
      <c r="J70" s="64">
        <v>0.56000000000000005</v>
      </c>
      <c r="K70" s="64">
        <v>124.9</v>
      </c>
      <c r="L70" s="64">
        <v>32.67</v>
      </c>
      <c r="M70" s="64">
        <v>38.840000000000003</v>
      </c>
      <c r="N70" s="64">
        <v>249.5</v>
      </c>
      <c r="O70" s="64">
        <v>0</v>
      </c>
      <c r="P70" s="64">
        <v>0.3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6" t="s">
        <v>1940</v>
      </c>
      <c r="B71" s="64">
        <v>1.52</v>
      </c>
      <c r="C71" s="64">
        <v>4.17</v>
      </c>
      <c r="D71" s="64">
        <v>3.32</v>
      </c>
      <c r="E71" s="64">
        <v>1.98</v>
      </c>
      <c r="F71" s="64">
        <v>3.53</v>
      </c>
      <c r="G71" s="64">
        <v>25.52</v>
      </c>
      <c r="H71" s="64">
        <v>14.38</v>
      </c>
      <c r="I71" s="64">
        <v>3.42</v>
      </c>
      <c r="J71" s="64">
        <v>0.36</v>
      </c>
      <c r="K71" s="64">
        <v>102.08</v>
      </c>
      <c r="L71" s="64">
        <v>31.64</v>
      </c>
      <c r="M71" s="64">
        <v>40.99</v>
      </c>
      <c r="N71" s="64">
        <v>188</v>
      </c>
      <c r="O71" s="64">
        <v>0</v>
      </c>
      <c r="P71" s="64">
        <v>0.3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6" t="s">
        <v>1941</v>
      </c>
      <c r="B72" s="64">
        <v>1.48</v>
      </c>
      <c r="C72" s="64">
        <v>3.74</v>
      </c>
      <c r="D72" s="64">
        <v>3.06</v>
      </c>
      <c r="E72" s="64">
        <v>1.1399999999999999</v>
      </c>
      <c r="F72" s="64">
        <v>4.79</v>
      </c>
      <c r="G72" s="64">
        <v>17.47</v>
      </c>
      <c r="H72" s="64">
        <v>10.88</v>
      </c>
      <c r="I72" s="64">
        <v>3.68</v>
      </c>
      <c r="J72" s="64">
        <v>0.21</v>
      </c>
      <c r="K72" s="64">
        <v>99.57</v>
      </c>
      <c r="L72" s="64">
        <v>32.11</v>
      </c>
      <c r="M72" s="64">
        <v>38.96</v>
      </c>
      <c r="N72" s="64">
        <v>211.5</v>
      </c>
      <c r="O72" s="64">
        <v>0</v>
      </c>
      <c r="P72" s="64">
        <v>0.31</v>
      </c>
      <c r="Q72" s="64">
        <v>9.3800000000000008</v>
      </c>
      <c r="R72" s="198"/>
      <c r="S72" s="198"/>
      <c r="T72" s="198"/>
      <c r="U72" s="198"/>
    </row>
    <row r="73" spans="1:21" s="12" customFormat="1" x14ac:dyDescent="0.25">
      <c r="A73" s="216" t="s">
        <v>1942</v>
      </c>
      <c r="B73" s="64">
        <v>1.36</v>
      </c>
      <c r="C73" s="64">
        <v>3.6</v>
      </c>
      <c r="D73" s="64">
        <v>2.9</v>
      </c>
      <c r="E73" s="64">
        <v>0.86</v>
      </c>
      <c r="F73" s="64">
        <v>5.59</v>
      </c>
      <c r="G73" s="64">
        <v>16.989999999999998</v>
      </c>
      <c r="H73" s="64">
        <v>10.67</v>
      </c>
      <c r="I73" s="64">
        <v>4.1399999999999997</v>
      </c>
      <c r="J73" s="64">
        <v>0.47</v>
      </c>
      <c r="K73" s="64">
        <v>23.98</v>
      </c>
      <c r="L73" s="64">
        <v>32.700000000000003</v>
      </c>
      <c r="M73" s="64">
        <v>37.020000000000003</v>
      </c>
      <c r="N73" s="64">
        <v>172.2</v>
      </c>
      <c r="O73" s="64">
        <v>0</v>
      </c>
      <c r="P73" s="64">
        <v>0.31</v>
      </c>
      <c r="Q73" s="64">
        <v>9.4</v>
      </c>
      <c r="R73" s="198"/>
      <c r="S73" s="198"/>
      <c r="T73" s="198"/>
      <c r="U73" s="198"/>
    </row>
    <row r="74" spans="1:21" s="12" customFormat="1" x14ac:dyDescent="0.25">
      <c r="A74" s="216" t="s">
        <v>1943</v>
      </c>
      <c r="B74" s="64">
        <v>1.38</v>
      </c>
      <c r="C74" s="64">
        <v>3.69</v>
      </c>
      <c r="D74" s="64">
        <v>2.95</v>
      </c>
      <c r="E74" s="64">
        <v>0.53</v>
      </c>
      <c r="F74" s="64">
        <v>4.6100000000000003</v>
      </c>
      <c r="G74" s="64">
        <v>16.989999999999998</v>
      </c>
      <c r="H74" s="64">
        <v>10.67</v>
      </c>
      <c r="I74" s="64">
        <v>4.53</v>
      </c>
      <c r="J74" s="64">
        <v>0.73</v>
      </c>
      <c r="K74" s="64">
        <v>104.17</v>
      </c>
      <c r="L74" s="64">
        <v>31.95</v>
      </c>
      <c r="M74" s="64">
        <v>38.29</v>
      </c>
      <c r="N74" s="64">
        <v>141.4</v>
      </c>
      <c r="O74" s="64">
        <v>0</v>
      </c>
      <c r="P74" s="64">
        <v>0.31</v>
      </c>
      <c r="Q74" s="64">
        <v>9.39</v>
      </c>
      <c r="R74" s="198"/>
      <c r="S74" s="198"/>
      <c r="T74" s="198"/>
      <c r="U74" s="198"/>
    </row>
    <row r="75" spans="1:21" s="12" customFormat="1" x14ac:dyDescent="0.25">
      <c r="A75" s="216" t="s">
        <v>1944</v>
      </c>
      <c r="B75" s="64">
        <v>1.37</v>
      </c>
      <c r="C75" s="64">
        <v>3.41</v>
      </c>
      <c r="D75" s="64">
        <v>2.8</v>
      </c>
      <c r="E75" s="64">
        <v>0.84</v>
      </c>
      <c r="F75" s="64">
        <v>5.25</v>
      </c>
      <c r="G75" s="64">
        <v>16.989999999999998</v>
      </c>
      <c r="H75" s="64">
        <v>10.67</v>
      </c>
      <c r="I75" s="64">
        <v>4.87</v>
      </c>
      <c r="J75" s="64">
        <v>0.31</v>
      </c>
      <c r="K75" s="64">
        <v>72.16</v>
      </c>
      <c r="L75" s="64">
        <v>31.69</v>
      </c>
      <c r="M75" s="64">
        <v>38.79</v>
      </c>
      <c r="N75" s="64">
        <v>125.7</v>
      </c>
      <c r="O75" s="64">
        <v>0</v>
      </c>
      <c r="P75" s="64">
        <v>0.31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6" t="s">
        <v>1945</v>
      </c>
      <c r="B76" s="64">
        <v>1.28</v>
      </c>
      <c r="C76" s="64">
        <v>3.72</v>
      </c>
      <c r="D76" s="64">
        <v>2.89</v>
      </c>
      <c r="E76" s="64">
        <v>0.73</v>
      </c>
      <c r="F76" s="64">
        <v>6.65</v>
      </c>
      <c r="G76" s="64">
        <v>16.670000000000002</v>
      </c>
      <c r="H76" s="64">
        <v>10.86</v>
      </c>
      <c r="I76" s="64">
        <v>5.31</v>
      </c>
      <c r="J76" s="64">
        <v>0.35</v>
      </c>
      <c r="K76" s="64">
        <v>81.94</v>
      </c>
      <c r="L76" s="64">
        <v>31.81</v>
      </c>
      <c r="M76" s="64">
        <v>38.880000000000003</v>
      </c>
      <c r="N76" s="64">
        <v>108.9</v>
      </c>
      <c r="O76" s="64">
        <v>0</v>
      </c>
      <c r="P76" s="64">
        <v>0.33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16" t="s">
        <v>1946</v>
      </c>
      <c r="B77" s="64">
        <v>1.25</v>
      </c>
      <c r="C77" s="64">
        <v>3.89</v>
      </c>
      <c r="D77" s="64">
        <v>2.96</v>
      </c>
      <c r="E77" s="64">
        <v>0.64</v>
      </c>
      <c r="F77" s="64">
        <v>5.58</v>
      </c>
      <c r="G77" s="64">
        <v>16.649999999999999</v>
      </c>
      <c r="H77" s="64">
        <v>10.87</v>
      </c>
      <c r="I77" s="64">
        <v>5.5</v>
      </c>
      <c r="J77" s="64">
        <v>0.65</v>
      </c>
      <c r="K77" s="64">
        <v>133.31</v>
      </c>
      <c r="L77" s="64">
        <v>31.41</v>
      </c>
      <c r="M77" s="64">
        <v>41.32</v>
      </c>
      <c r="N77" s="64">
        <v>89.5</v>
      </c>
      <c r="O77" s="64">
        <v>0</v>
      </c>
      <c r="P77" s="64">
        <v>0.33</v>
      </c>
      <c r="Q77" s="64">
        <v>9.3800000000000008</v>
      </c>
      <c r="R77" s="198"/>
      <c r="S77" s="198"/>
      <c r="T77" s="198"/>
      <c r="U77" s="198"/>
    </row>
    <row r="78" spans="1:21" s="12" customFormat="1" x14ac:dyDescent="0.25">
      <c r="A78" s="216" t="s">
        <v>1947</v>
      </c>
      <c r="B78" s="64">
        <v>1.35</v>
      </c>
      <c r="C78" s="64">
        <v>4.1399999999999997</v>
      </c>
      <c r="D78" s="64">
        <v>3.17</v>
      </c>
      <c r="E78" s="64">
        <v>1.0900000000000001</v>
      </c>
      <c r="F78" s="64">
        <v>4.93</v>
      </c>
      <c r="G78" s="64">
        <v>16.649999999999999</v>
      </c>
      <c r="H78" s="64">
        <v>10.87</v>
      </c>
      <c r="I78" s="64">
        <v>5.61</v>
      </c>
      <c r="J78" s="64">
        <v>0.96</v>
      </c>
      <c r="K78" s="64">
        <v>148.33000000000001</v>
      </c>
      <c r="L78" s="64">
        <v>31.42</v>
      </c>
      <c r="M78" s="64">
        <v>38.82</v>
      </c>
      <c r="N78" s="64">
        <v>108.4</v>
      </c>
      <c r="O78" s="64">
        <v>0</v>
      </c>
      <c r="P78" s="64">
        <v>0.34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6" t="s">
        <v>1948</v>
      </c>
      <c r="B79" s="64">
        <v>1.42</v>
      </c>
      <c r="C79" s="64">
        <v>4.25</v>
      </c>
      <c r="D79" s="64">
        <v>3.27</v>
      </c>
      <c r="E79" s="64">
        <v>0.85</v>
      </c>
      <c r="F79" s="64">
        <v>6</v>
      </c>
      <c r="G79" s="64">
        <v>16.649999999999999</v>
      </c>
      <c r="H79" s="64">
        <v>10.87</v>
      </c>
      <c r="I79" s="64">
        <v>5.81</v>
      </c>
      <c r="J79" s="64">
        <v>0.47</v>
      </c>
      <c r="K79" s="64">
        <v>150.97</v>
      </c>
      <c r="L79" s="64">
        <v>31.16</v>
      </c>
      <c r="M79" s="64">
        <v>40.130000000000003</v>
      </c>
      <c r="N79" s="64">
        <v>81.599999999999994</v>
      </c>
      <c r="O79" s="64">
        <v>0</v>
      </c>
      <c r="P79" s="64">
        <v>0.34</v>
      </c>
      <c r="Q79" s="64">
        <v>9.4</v>
      </c>
      <c r="R79" s="198"/>
      <c r="S79" s="198"/>
      <c r="T79" s="198"/>
      <c r="U79" s="198"/>
    </row>
    <row r="80" spans="1:21" s="12" customFormat="1" x14ac:dyDescent="0.25">
      <c r="A80" s="216" t="s">
        <v>1949</v>
      </c>
      <c r="B80" s="64">
        <v>1.32</v>
      </c>
      <c r="C80" s="64">
        <v>4.38</v>
      </c>
      <c r="D80" s="64">
        <v>3.27</v>
      </c>
      <c r="E80" s="64">
        <v>0.7</v>
      </c>
      <c r="F80" s="64">
        <v>5.92</v>
      </c>
      <c r="G80" s="64">
        <v>20.56</v>
      </c>
      <c r="H80" s="64">
        <v>10.77</v>
      </c>
      <c r="I80" s="64">
        <v>5.89</v>
      </c>
      <c r="J80" s="64">
        <v>0.05</v>
      </c>
      <c r="K80" s="64">
        <v>51.32</v>
      </c>
      <c r="L80" s="64">
        <v>30.63</v>
      </c>
      <c r="M80" s="64">
        <v>42.82</v>
      </c>
      <c r="N80" s="64">
        <v>47.9</v>
      </c>
      <c r="O80" s="64">
        <v>0</v>
      </c>
      <c r="P80" s="64">
        <v>0.34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6" t="s">
        <v>1950</v>
      </c>
      <c r="B81" s="64">
        <v>1.29</v>
      </c>
      <c r="C81" s="64">
        <v>4.54</v>
      </c>
      <c r="D81" s="64">
        <v>3.33</v>
      </c>
      <c r="E81" s="64">
        <v>0.36</v>
      </c>
      <c r="F81" s="64">
        <v>5.31</v>
      </c>
      <c r="G81" s="64">
        <v>20.79</v>
      </c>
      <c r="H81" s="64">
        <v>10.77</v>
      </c>
      <c r="I81" s="64">
        <v>5.64</v>
      </c>
      <c r="J81" s="64">
        <v>0.72</v>
      </c>
      <c r="K81" s="64">
        <v>169.06</v>
      </c>
      <c r="L81" s="64">
        <v>30.58</v>
      </c>
      <c r="M81" s="64">
        <v>41.07</v>
      </c>
      <c r="N81" s="64">
        <v>32.799999999999997</v>
      </c>
      <c r="O81" s="64">
        <v>0</v>
      </c>
      <c r="P81" s="64">
        <v>0.35</v>
      </c>
      <c r="Q81" s="64">
        <v>9.44</v>
      </c>
      <c r="R81" s="198"/>
      <c r="S81" s="198"/>
      <c r="T81" s="198"/>
      <c r="U81" s="198"/>
    </row>
    <row r="82" spans="1:26" s="12" customFormat="1" x14ac:dyDescent="0.25">
      <c r="A82" s="216" t="s">
        <v>1951</v>
      </c>
      <c r="B82" s="64">
        <v>1.3</v>
      </c>
      <c r="C82" s="64">
        <v>4.75</v>
      </c>
      <c r="D82" s="64">
        <v>3.44</v>
      </c>
      <c r="E82" s="64">
        <v>0.54</v>
      </c>
      <c r="F82" s="64">
        <v>4.3499999999999996</v>
      </c>
      <c r="G82" s="64">
        <v>20.79</v>
      </c>
      <c r="H82" s="64">
        <v>10.77</v>
      </c>
      <c r="I82" s="64">
        <v>5.48</v>
      </c>
      <c r="J82" s="64">
        <v>0.9</v>
      </c>
      <c r="K82" s="64">
        <v>162.69999999999999</v>
      </c>
      <c r="L82" s="64">
        <v>30.62</v>
      </c>
      <c r="M82" s="64">
        <v>42.39</v>
      </c>
      <c r="N82" s="64">
        <v>27.3</v>
      </c>
      <c r="O82" s="64">
        <v>0</v>
      </c>
      <c r="P82" s="64">
        <v>0.35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6" t="s">
        <v>1952</v>
      </c>
      <c r="B83" s="64">
        <v>1.31</v>
      </c>
      <c r="C83" s="64">
        <v>4.6100000000000003</v>
      </c>
      <c r="D83" s="64">
        <v>3.38</v>
      </c>
      <c r="E83" s="64">
        <v>0.81</v>
      </c>
      <c r="F83" s="64">
        <v>3.81</v>
      </c>
      <c r="G83" s="64">
        <v>20.79</v>
      </c>
      <c r="H83" s="64">
        <v>10.77</v>
      </c>
      <c r="I83" s="64">
        <v>5.66</v>
      </c>
      <c r="J83" s="64">
        <v>0.93</v>
      </c>
      <c r="K83" s="64">
        <v>163.47999999999999</v>
      </c>
      <c r="L83" s="64">
        <v>30.37</v>
      </c>
      <c r="M83" s="64">
        <v>43.78</v>
      </c>
      <c r="N83" s="64">
        <v>23.8</v>
      </c>
      <c r="O83" s="64">
        <v>0</v>
      </c>
      <c r="P83" s="64">
        <v>0.35</v>
      </c>
      <c r="Q83" s="64">
        <v>9.43</v>
      </c>
      <c r="R83" s="198"/>
      <c r="S83" s="198"/>
      <c r="T83" s="198"/>
      <c r="U83" s="198"/>
    </row>
    <row r="84" spans="1:26" s="12" customFormat="1" x14ac:dyDescent="0.25">
      <c r="A84" s="216" t="s">
        <v>1953</v>
      </c>
      <c r="B84" s="64">
        <v>1.36</v>
      </c>
      <c r="C84" s="64">
        <v>4.53</v>
      </c>
      <c r="D84" s="64">
        <v>3.38</v>
      </c>
      <c r="E84" s="64">
        <v>1.07</v>
      </c>
      <c r="F84" s="64">
        <v>3.73</v>
      </c>
      <c r="G84" s="64">
        <v>35.47</v>
      </c>
      <c r="H84" s="64">
        <v>10.9</v>
      </c>
      <c r="I84" s="64">
        <v>5.59</v>
      </c>
      <c r="J84" s="64">
        <v>1.05</v>
      </c>
      <c r="K84" s="64">
        <v>157.97</v>
      </c>
      <c r="L84" s="64">
        <v>30.27</v>
      </c>
      <c r="M84" s="64">
        <v>43.65</v>
      </c>
      <c r="N84" s="64">
        <v>23.2</v>
      </c>
      <c r="O84" s="64">
        <v>0</v>
      </c>
      <c r="P84" s="64">
        <v>0.35</v>
      </c>
      <c r="Q84" s="64">
        <v>9.42</v>
      </c>
      <c r="R84" s="198"/>
      <c r="S84" s="198"/>
      <c r="T84" s="198"/>
      <c r="U84" s="198"/>
    </row>
    <row r="85" spans="1:26" s="12" customFormat="1" x14ac:dyDescent="0.25">
      <c r="A85" s="216" t="s">
        <v>1954</v>
      </c>
      <c r="B85" s="64">
        <v>1.4</v>
      </c>
      <c r="C85" s="64">
        <v>4.51</v>
      </c>
      <c r="D85" s="64">
        <v>3.4</v>
      </c>
      <c r="E85" s="64">
        <v>0.85</v>
      </c>
      <c r="F85" s="64">
        <v>3.47</v>
      </c>
      <c r="G85" s="64">
        <v>36.340000000000003</v>
      </c>
      <c r="H85" s="64">
        <v>10.91</v>
      </c>
      <c r="I85" s="64">
        <v>5.64</v>
      </c>
      <c r="J85" s="64">
        <v>0.83</v>
      </c>
      <c r="K85" s="64">
        <v>155.47</v>
      </c>
      <c r="L85" s="64">
        <v>30.21</v>
      </c>
      <c r="M85" s="64">
        <v>43.5</v>
      </c>
      <c r="N85" s="64">
        <v>23.4</v>
      </c>
      <c r="O85" s="64">
        <v>0</v>
      </c>
      <c r="P85" s="64">
        <v>0.33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6" t="s">
        <v>1955</v>
      </c>
      <c r="B86" s="64">
        <v>1.43</v>
      </c>
      <c r="C86" s="64">
        <v>4.4000000000000004</v>
      </c>
      <c r="D86" s="64">
        <v>3.37</v>
      </c>
      <c r="E86" s="64">
        <v>0.57999999999999996</v>
      </c>
      <c r="F86" s="64">
        <v>3.58</v>
      </c>
      <c r="G86" s="64">
        <v>36.340000000000003</v>
      </c>
      <c r="H86" s="64">
        <v>10.91</v>
      </c>
      <c r="I86" s="64">
        <v>5.76</v>
      </c>
      <c r="J86" s="64">
        <v>1.1200000000000001</v>
      </c>
      <c r="K86" s="64">
        <v>162.75</v>
      </c>
      <c r="L86" s="64">
        <v>30.13</v>
      </c>
      <c r="M86" s="64">
        <v>43.69</v>
      </c>
      <c r="N86" s="64">
        <v>23.6</v>
      </c>
      <c r="O86" s="64">
        <v>0</v>
      </c>
      <c r="P86" s="64">
        <v>0.35</v>
      </c>
      <c r="Q86" s="64">
        <v>9.31</v>
      </c>
      <c r="R86" s="198"/>
      <c r="S86" s="198"/>
      <c r="T86" s="198"/>
      <c r="U86" s="198"/>
    </row>
    <row r="87" spans="1:26" s="12" customFormat="1" x14ac:dyDescent="0.25">
      <c r="A87" s="216" t="s">
        <v>1956</v>
      </c>
      <c r="B87" s="64">
        <v>1.47</v>
      </c>
      <c r="C87" s="64">
        <v>4.24</v>
      </c>
      <c r="D87" s="64">
        <v>3.31</v>
      </c>
      <c r="E87" s="64">
        <v>0.92</v>
      </c>
      <c r="F87" s="64">
        <v>3.94</v>
      </c>
      <c r="G87" s="64">
        <v>36.340000000000003</v>
      </c>
      <c r="H87" s="64">
        <v>10.91</v>
      </c>
      <c r="I87" s="64">
        <v>5.48</v>
      </c>
      <c r="J87" s="64">
        <v>1.1299999999999999</v>
      </c>
      <c r="K87" s="64">
        <v>151.26</v>
      </c>
      <c r="L87" s="64">
        <v>30.02</v>
      </c>
      <c r="M87" s="64">
        <v>44.09</v>
      </c>
      <c r="N87" s="64">
        <v>23.7</v>
      </c>
      <c r="O87" s="64">
        <v>0</v>
      </c>
      <c r="P87" s="64">
        <v>0.35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16" t="s">
        <v>1957</v>
      </c>
      <c r="B88" s="64">
        <v>1.5</v>
      </c>
      <c r="C88" s="64">
        <v>4.25</v>
      </c>
      <c r="D88" s="64">
        <v>3.35</v>
      </c>
      <c r="E88" s="64">
        <v>1.1599999999999999</v>
      </c>
      <c r="F88" s="64">
        <v>3.98</v>
      </c>
      <c r="G88" s="64">
        <v>35.729999999999997</v>
      </c>
      <c r="H88" s="64">
        <v>11.05</v>
      </c>
      <c r="I88" s="64">
        <v>5.44</v>
      </c>
      <c r="J88" s="64">
        <v>2.64</v>
      </c>
      <c r="K88" s="64">
        <v>153.09</v>
      </c>
      <c r="L88" s="64">
        <v>28.32</v>
      </c>
      <c r="M88" s="64">
        <v>56.04</v>
      </c>
      <c r="N88" s="64">
        <v>27.6</v>
      </c>
      <c r="O88" s="64">
        <v>0</v>
      </c>
      <c r="P88" s="64">
        <v>0.35</v>
      </c>
      <c r="Q88" s="64">
        <v>9.34</v>
      </c>
      <c r="R88" s="198"/>
      <c r="S88" s="198"/>
      <c r="T88" s="198"/>
      <c r="U88" s="198"/>
    </row>
    <row r="89" spans="1:26" s="12" customFormat="1" x14ac:dyDescent="0.25">
      <c r="A89" s="216" t="s">
        <v>1958</v>
      </c>
      <c r="B89" s="64">
        <v>1.51</v>
      </c>
      <c r="C89" s="64">
        <v>4.3899999999999997</v>
      </c>
      <c r="D89" s="64">
        <v>3.42</v>
      </c>
      <c r="E89" s="64">
        <v>0.92</v>
      </c>
      <c r="F89" s="64">
        <v>4.08</v>
      </c>
      <c r="G89" s="64">
        <v>35.69</v>
      </c>
      <c r="H89" s="64">
        <v>11.05</v>
      </c>
      <c r="I89" s="64">
        <v>5.5</v>
      </c>
      <c r="J89" s="64">
        <v>2.64</v>
      </c>
      <c r="K89" s="64">
        <v>151.84</v>
      </c>
      <c r="L89" s="64">
        <v>26.64</v>
      </c>
      <c r="M89" s="64">
        <v>64.150000000000006</v>
      </c>
      <c r="N89" s="64">
        <v>25.5</v>
      </c>
      <c r="O89" s="64">
        <v>0</v>
      </c>
      <c r="P89" s="64">
        <v>0.33</v>
      </c>
      <c r="Q89" s="64">
        <v>9.35</v>
      </c>
      <c r="R89" s="198"/>
      <c r="S89" s="198"/>
      <c r="T89" s="198"/>
      <c r="U89" s="198"/>
    </row>
    <row r="90" spans="1:26" s="12" customFormat="1" x14ac:dyDescent="0.25">
      <c r="A90" s="216" t="s">
        <v>1959</v>
      </c>
      <c r="B90" s="64">
        <v>1.49</v>
      </c>
      <c r="C90" s="64">
        <v>3.86</v>
      </c>
      <c r="D90" s="64">
        <v>3.13</v>
      </c>
      <c r="E90" s="64">
        <v>0.57999999999999996</v>
      </c>
      <c r="F90" s="64">
        <v>4.34</v>
      </c>
      <c r="G90" s="64">
        <v>35.69</v>
      </c>
      <c r="H90" s="64">
        <v>11.05</v>
      </c>
      <c r="I90" s="64">
        <v>5.38</v>
      </c>
      <c r="J90" s="64">
        <v>2.2000000000000002</v>
      </c>
      <c r="K90" s="64">
        <v>150.26</v>
      </c>
      <c r="L90" s="64">
        <v>26.33</v>
      </c>
      <c r="M90" s="64">
        <v>65.849999999999994</v>
      </c>
      <c r="N90" s="64">
        <v>24.2</v>
      </c>
      <c r="O90" s="64">
        <v>0</v>
      </c>
      <c r="P90" s="64">
        <v>0.31</v>
      </c>
      <c r="Q90" s="64">
        <v>9.3000000000000007</v>
      </c>
      <c r="R90" s="198"/>
      <c r="S90" s="198"/>
      <c r="T90" s="198"/>
      <c r="U90" s="198"/>
    </row>
    <row r="91" spans="1:26" s="12" customFormat="1" x14ac:dyDescent="0.25">
      <c r="A91" s="216" t="s">
        <v>1960</v>
      </c>
      <c r="B91" s="64">
        <v>1.48</v>
      </c>
      <c r="C91" s="64">
        <v>3.37</v>
      </c>
      <c r="D91" s="64">
        <v>2.86</v>
      </c>
      <c r="E91" s="64">
        <v>0.77</v>
      </c>
      <c r="F91" s="64">
        <v>3.9</v>
      </c>
      <c r="G91" s="64">
        <v>35.69</v>
      </c>
      <c r="H91" s="64">
        <v>11.05</v>
      </c>
      <c r="I91" s="64">
        <v>5.16</v>
      </c>
      <c r="J91" s="64">
        <v>1.64</v>
      </c>
      <c r="K91" s="64">
        <v>152.53</v>
      </c>
      <c r="L91" s="64">
        <v>26.09</v>
      </c>
      <c r="M91" s="64">
        <v>66.77</v>
      </c>
      <c r="N91" s="64">
        <v>24.1</v>
      </c>
      <c r="O91" s="64">
        <v>0</v>
      </c>
      <c r="P91" s="64">
        <v>0.31</v>
      </c>
      <c r="Q91" s="64">
        <v>9.3699999999999992</v>
      </c>
      <c r="R91" s="198"/>
      <c r="S91" s="198"/>
      <c r="T91" s="198"/>
      <c r="U91" s="198"/>
    </row>
    <row r="92" spans="1:26" s="12" customFormat="1" x14ac:dyDescent="0.25">
      <c r="A92" s="216" t="s">
        <v>1961</v>
      </c>
      <c r="B92" s="64">
        <v>1.53</v>
      </c>
      <c r="C92" s="64">
        <v>3.26</v>
      </c>
      <c r="D92" s="64">
        <v>2.85</v>
      </c>
      <c r="E92" s="64">
        <v>0.64</v>
      </c>
      <c r="F92" s="64">
        <v>3.64</v>
      </c>
      <c r="G92" s="64">
        <v>37.31</v>
      </c>
      <c r="H92" s="64">
        <v>9.3000000000000007</v>
      </c>
      <c r="I92" s="64">
        <v>4.9000000000000004</v>
      </c>
      <c r="J92" s="64">
        <v>1.92</v>
      </c>
      <c r="K92" s="64">
        <v>151.74</v>
      </c>
      <c r="L92" s="64">
        <v>25.8</v>
      </c>
      <c r="M92" s="64">
        <v>67.489999999999995</v>
      </c>
      <c r="N92" s="64">
        <v>24.4</v>
      </c>
      <c r="O92" s="64">
        <v>0</v>
      </c>
      <c r="P92" s="64">
        <v>0.3</v>
      </c>
      <c r="Q92" s="64">
        <v>9.39</v>
      </c>
      <c r="R92" s="198"/>
      <c r="S92" s="198"/>
      <c r="T92" s="198"/>
      <c r="U92" s="198"/>
    </row>
    <row r="93" spans="1:26" s="12" customFormat="1" x14ac:dyDescent="0.25">
      <c r="A93" s="216" t="s">
        <v>1962</v>
      </c>
      <c r="B93" s="64">
        <v>1.57</v>
      </c>
      <c r="C93" s="64">
        <v>3.24</v>
      </c>
      <c r="D93" s="64">
        <v>2.87</v>
      </c>
      <c r="E93" s="64">
        <v>0.47</v>
      </c>
      <c r="F93" s="64">
        <v>3.69</v>
      </c>
      <c r="G93" s="64">
        <v>37.4</v>
      </c>
      <c r="H93" s="64">
        <v>9.19</v>
      </c>
      <c r="I93" s="64">
        <v>4.71</v>
      </c>
      <c r="J93" s="64">
        <v>1.87</v>
      </c>
      <c r="K93" s="64">
        <v>158.53</v>
      </c>
      <c r="L93" s="64">
        <v>25.53</v>
      </c>
      <c r="M93" s="64">
        <v>68.42</v>
      </c>
      <c r="N93" s="64">
        <v>24.5</v>
      </c>
      <c r="O93" s="64">
        <v>0</v>
      </c>
      <c r="P93" s="64">
        <v>0.28999999999999998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16" t="s">
        <v>1963</v>
      </c>
      <c r="B94" s="64">
        <v>1.57</v>
      </c>
      <c r="C94" s="64">
        <v>2.96</v>
      </c>
      <c r="D94" s="64">
        <v>2.72</v>
      </c>
      <c r="E94" s="64">
        <v>0.74</v>
      </c>
      <c r="F94" s="64">
        <v>3.61</v>
      </c>
      <c r="G94" s="64">
        <v>37.4</v>
      </c>
      <c r="H94" s="64">
        <v>9.19</v>
      </c>
      <c r="I94" s="64">
        <v>4.4000000000000004</v>
      </c>
      <c r="J94" s="64">
        <v>1.93</v>
      </c>
      <c r="K94" s="64">
        <v>152.69999999999999</v>
      </c>
      <c r="L94" s="64">
        <v>25.25</v>
      </c>
      <c r="M94" s="64">
        <v>69.88</v>
      </c>
      <c r="N94" s="64">
        <v>24.7</v>
      </c>
      <c r="O94" s="64">
        <v>0</v>
      </c>
      <c r="P94" s="64">
        <v>0.28000000000000003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6" t="s">
        <v>1964</v>
      </c>
      <c r="B95" s="64">
        <v>1.55</v>
      </c>
      <c r="C95" s="64">
        <v>2.69</v>
      </c>
      <c r="D95" s="64">
        <v>2.57</v>
      </c>
      <c r="E95" s="64">
        <v>0.44</v>
      </c>
      <c r="F95" s="64">
        <v>3.74</v>
      </c>
      <c r="G95" s="64">
        <v>37.4</v>
      </c>
      <c r="H95" s="64">
        <v>9.19</v>
      </c>
      <c r="I95" s="64">
        <v>4.08</v>
      </c>
      <c r="J95" s="64">
        <v>1.37</v>
      </c>
      <c r="K95" s="64">
        <v>149.63</v>
      </c>
      <c r="L95" s="64">
        <v>24.99</v>
      </c>
      <c r="M95" s="64">
        <v>71.56</v>
      </c>
      <c r="N95" s="64">
        <v>24.9</v>
      </c>
      <c r="O95" s="64">
        <v>0</v>
      </c>
      <c r="P95" s="64">
        <v>0.27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6" t="s">
        <v>1965</v>
      </c>
      <c r="B96" s="64">
        <v>1.56</v>
      </c>
      <c r="C96" s="64">
        <v>2.62</v>
      </c>
      <c r="D96" s="64">
        <v>2.54</v>
      </c>
      <c r="E96" s="64">
        <v>0.53</v>
      </c>
      <c r="F96" s="64">
        <v>3.67</v>
      </c>
      <c r="G96" s="64">
        <v>27.62</v>
      </c>
      <c r="H96" s="64">
        <v>8.8699999999999992</v>
      </c>
      <c r="I96" s="64">
        <v>4.0599999999999996</v>
      </c>
      <c r="J96" s="64">
        <v>1.69</v>
      </c>
      <c r="K96" s="64">
        <v>153.97</v>
      </c>
      <c r="L96" s="64">
        <v>24.83</v>
      </c>
      <c r="M96" s="64">
        <v>71.98</v>
      </c>
      <c r="N96" s="64">
        <v>24.9</v>
      </c>
      <c r="O96" s="64">
        <v>0</v>
      </c>
      <c r="P96" s="64">
        <v>0.26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1966</v>
      </c>
      <c r="B97" s="64">
        <v>1.57</v>
      </c>
      <c r="C97" s="64">
        <v>2.67</v>
      </c>
      <c r="D97" s="64">
        <v>2.58</v>
      </c>
      <c r="E97" s="64">
        <v>0.45</v>
      </c>
      <c r="F97" s="64">
        <v>3.68</v>
      </c>
      <c r="G97" s="64">
        <v>27.04</v>
      </c>
      <c r="H97" s="64">
        <v>8.86</v>
      </c>
      <c r="I97" s="64">
        <v>4.07</v>
      </c>
      <c r="J97" s="64">
        <v>0.9</v>
      </c>
      <c r="K97" s="64">
        <v>159.41999999999999</v>
      </c>
      <c r="L97" s="64">
        <v>24.74</v>
      </c>
      <c r="M97" s="64">
        <v>72.47</v>
      </c>
      <c r="N97" s="64">
        <v>24.8</v>
      </c>
      <c r="O97" s="64">
        <v>0</v>
      </c>
      <c r="P97" s="64">
        <v>0.26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6" t="s">
        <v>1967</v>
      </c>
      <c r="B98" s="64">
        <v>1.62</v>
      </c>
      <c r="C98" s="64">
        <v>2.76</v>
      </c>
      <c r="D98" s="64">
        <v>2.66</v>
      </c>
      <c r="E98" s="64">
        <v>0.85</v>
      </c>
      <c r="F98" s="64">
        <v>3.66</v>
      </c>
      <c r="G98" s="64">
        <v>27.04</v>
      </c>
      <c r="H98" s="64">
        <v>8.86</v>
      </c>
      <c r="I98" s="64">
        <v>3.83</v>
      </c>
      <c r="J98" s="64">
        <v>1.1499999999999999</v>
      </c>
      <c r="K98" s="64">
        <v>150.87</v>
      </c>
      <c r="L98" s="64">
        <v>24.53</v>
      </c>
      <c r="M98" s="64">
        <v>74.33</v>
      </c>
      <c r="N98" s="64">
        <v>24.9</v>
      </c>
      <c r="O98" s="64">
        <v>0</v>
      </c>
      <c r="P98" s="64">
        <v>0.26</v>
      </c>
      <c r="Q98" s="64">
        <v>9.4499999999999993</v>
      </c>
      <c r="R98" s="198"/>
      <c r="S98" s="198"/>
      <c r="T98" s="198"/>
      <c r="U98" s="198"/>
    </row>
    <row r="99" spans="1:33" s="12" customFormat="1" x14ac:dyDescent="0.25">
      <c r="A99" s="216" t="s">
        <v>1968</v>
      </c>
      <c r="B99" s="64">
        <v>1.65</v>
      </c>
      <c r="C99" s="64">
        <v>2.89</v>
      </c>
      <c r="D99" s="64">
        <v>2.75</v>
      </c>
      <c r="E99" s="64">
        <v>0.74</v>
      </c>
      <c r="F99" s="64">
        <v>3.34</v>
      </c>
      <c r="G99" s="64">
        <v>27.04</v>
      </c>
      <c r="H99" s="64">
        <v>8.86</v>
      </c>
      <c r="I99" s="64">
        <v>3.59</v>
      </c>
      <c r="J99" s="64">
        <v>0.28999999999999998</v>
      </c>
      <c r="K99" s="64">
        <v>190.16</v>
      </c>
      <c r="L99" s="64">
        <v>24.4</v>
      </c>
      <c r="M99" s="64">
        <v>75.25</v>
      </c>
      <c r="N99" s="64">
        <v>25.1</v>
      </c>
      <c r="O99" s="64">
        <v>0</v>
      </c>
      <c r="P99" s="64">
        <v>0.26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6" t="s">
        <v>1969</v>
      </c>
      <c r="B100" s="64">
        <v>1.67</v>
      </c>
      <c r="C100" s="64">
        <v>2.98</v>
      </c>
      <c r="D100" s="64">
        <v>2.81</v>
      </c>
      <c r="E100" s="64">
        <v>0.69</v>
      </c>
      <c r="F100" s="64">
        <v>3.45</v>
      </c>
      <c r="G100" s="64">
        <v>23.36</v>
      </c>
      <c r="H100" s="64">
        <v>6.36</v>
      </c>
      <c r="I100" s="64">
        <v>3.49</v>
      </c>
      <c r="J100" s="64">
        <v>0.28000000000000003</v>
      </c>
      <c r="K100" s="64">
        <v>190.88</v>
      </c>
      <c r="L100" s="64">
        <v>24.26</v>
      </c>
      <c r="M100" s="64">
        <v>76.73</v>
      </c>
      <c r="N100" s="64">
        <v>25.2</v>
      </c>
      <c r="O100" s="64">
        <v>0</v>
      </c>
      <c r="P100" s="64">
        <v>0.26</v>
      </c>
      <c r="Q100" s="64">
        <v>9.3800000000000008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1970</v>
      </c>
      <c r="B101" s="64">
        <v>1.71</v>
      </c>
      <c r="C101" s="64">
        <v>2.92</v>
      </c>
      <c r="D101" s="64">
        <v>2.82</v>
      </c>
      <c r="E101" s="64">
        <v>0.94</v>
      </c>
      <c r="F101" s="64">
        <v>2.91</v>
      </c>
      <c r="G101" s="64">
        <v>23.14</v>
      </c>
      <c r="H101" s="64">
        <v>6.21</v>
      </c>
      <c r="I101" s="64">
        <v>3.4</v>
      </c>
      <c r="J101" s="64">
        <v>0.55000000000000004</v>
      </c>
      <c r="K101" s="64">
        <v>180</v>
      </c>
      <c r="L101" s="64">
        <v>24.14</v>
      </c>
      <c r="M101" s="64">
        <v>77.55</v>
      </c>
      <c r="N101" s="64">
        <v>25.1</v>
      </c>
      <c r="O101" s="64">
        <v>0</v>
      </c>
      <c r="P101" s="64">
        <v>0.25</v>
      </c>
      <c r="Q101" s="64">
        <v>9.35</v>
      </c>
      <c r="R101" s="198"/>
      <c r="S101" s="198"/>
      <c r="T101" s="198"/>
      <c r="U101" s="198"/>
    </row>
    <row r="102" spans="1:33" s="12" customFormat="1" x14ac:dyDescent="0.25">
      <c r="A102" s="216" t="s">
        <v>1971</v>
      </c>
      <c r="B102" s="64">
        <v>1.72</v>
      </c>
      <c r="C102" s="64">
        <v>2.8</v>
      </c>
      <c r="D102" s="64">
        <v>2.76</v>
      </c>
      <c r="E102" s="64">
        <v>1.02</v>
      </c>
      <c r="F102" s="64">
        <v>3.84</v>
      </c>
      <c r="G102" s="64">
        <v>23.14</v>
      </c>
      <c r="H102" s="64">
        <v>6.21</v>
      </c>
      <c r="I102" s="64">
        <v>3.32</v>
      </c>
      <c r="J102" s="64">
        <v>0.48</v>
      </c>
      <c r="K102" s="64">
        <v>189.28</v>
      </c>
      <c r="L102" s="64">
        <v>24.07</v>
      </c>
      <c r="M102" s="64">
        <v>77.37</v>
      </c>
      <c r="N102" s="64">
        <v>25.3</v>
      </c>
      <c r="O102" s="64">
        <v>0</v>
      </c>
      <c r="P102" s="64">
        <v>0.25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6" t="s">
        <v>1972</v>
      </c>
      <c r="B103" s="64">
        <v>1.73</v>
      </c>
      <c r="C103" s="64">
        <v>2.87</v>
      </c>
      <c r="D103" s="64">
        <v>2.8</v>
      </c>
      <c r="E103" s="64">
        <v>0.94</v>
      </c>
      <c r="F103" s="64">
        <v>3.41</v>
      </c>
      <c r="G103" s="64">
        <v>23.14</v>
      </c>
      <c r="H103" s="64">
        <v>6.21</v>
      </c>
      <c r="I103" s="64">
        <v>3.26</v>
      </c>
      <c r="J103" s="64">
        <v>0.42</v>
      </c>
      <c r="K103" s="64">
        <v>173.93</v>
      </c>
      <c r="L103" s="64">
        <v>23.92</v>
      </c>
      <c r="M103" s="64">
        <v>77.89</v>
      </c>
      <c r="N103" s="64">
        <v>25.6</v>
      </c>
      <c r="O103" s="64">
        <v>0</v>
      </c>
      <c r="P103" s="64">
        <v>0.25</v>
      </c>
      <c r="Q103" s="64">
        <v>9.2899999999999991</v>
      </c>
      <c r="R103" s="198"/>
      <c r="S103" s="198"/>
      <c r="T103" s="198"/>
      <c r="U103" s="198"/>
    </row>
    <row r="104" spans="1:33" s="12" customFormat="1" x14ac:dyDescent="0.25">
      <c r="A104" s="216" t="s">
        <v>1973</v>
      </c>
      <c r="B104" s="64">
        <v>1.74</v>
      </c>
      <c r="C104" s="64">
        <v>2.78</v>
      </c>
      <c r="D104" s="64">
        <v>2.77</v>
      </c>
      <c r="E104" s="64">
        <v>0.76</v>
      </c>
      <c r="F104" s="64">
        <v>3.11</v>
      </c>
      <c r="G104" s="64">
        <v>15.75</v>
      </c>
      <c r="H104" s="64">
        <v>4.72</v>
      </c>
      <c r="I104" s="64">
        <v>3.31</v>
      </c>
      <c r="J104" s="64">
        <v>0.76</v>
      </c>
      <c r="K104" s="64">
        <v>155.57</v>
      </c>
      <c r="L104" s="64">
        <v>23.73</v>
      </c>
      <c r="M104" s="64">
        <v>78.37</v>
      </c>
      <c r="N104" s="64">
        <v>25.5</v>
      </c>
      <c r="O104" s="64">
        <v>0</v>
      </c>
      <c r="P104" s="64">
        <v>0.24</v>
      </c>
      <c r="Q104" s="64">
        <v>9.31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1.05</v>
      </c>
      <c r="C106" s="67">
        <f>MIN(C9:C104)</f>
        <v>2.31</v>
      </c>
      <c r="D106" s="67">
        <f t="shared" ref="D106:Q106" si="0">MIN(D9:D104)</f>
        <v>2.34</v>
      </c>
      <c r="E106" s="67">
        <f t="shared" si="0"/>
        <v>0.36</v>
      </c>
      <c r="F106" s="67">
        <f t="shared" si="0"/>
        <v>2.81</v>
      </c>
      <c r="G106" s="67">
        <f t="shared" si="0"/>
        <v>15.75</v>
      </c>
      <c r="H106" s="67">
        <f t="shared" si="0"/>
        <v>3.17</v>
      </c>
      <c r="I106" s="67">
        <f t="shared" si="0"/>
        <v>2.36</v>
      </c>
      <c r="J106" s="67">
        <f t="shared" si="0"/>
        <v>0.02</v>
      </c>
      <c r="K106" s="67">
        <f t="shared" si="0"/>
        <v>2.6</v>
      </c>
      <c r="L106" s="67">
        <f t="shared" si="0"/>
        <v>23.73</v>
      </c>
      <c r="M106" s="67">
        <f t="shared" si="0"/>
        <v>37.020000000000003</v>
      </c>
      <c r="N106" s="67">
        <f t="shared" si="0"/>
        <v>23.2</v>
      </c>
      <c r="O106" s="67">
        <f t="shared" si="0"/>
        <v>0</v>
      </c>
      <c r="P106" s="67">
        <f t="shared" si="0"/>
        <v>0.22</v>
      </c>
      <c r="Q106" s="67">
        <f t="shared" si="0"/>
        <v>9.1999999999999993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2.79</v>
      </c>
      <c r="C107" s="66">
        <f t="shared" ref="C107:Q107" si="1">MAX(C9:C104)</f>
        <v>4.99</v>
      </c>
      <c r="D107" s="66">
        <f t="shared" si="1"/>
        <v>4.5</v>
      </c>
      <c r="E107" s="66">
        <f t="shared" si="1"/>
        <v>3.41</v>
      </c>
      <c r="F107" s="66">
        <f t="shared" si="1"/>
        <v>18.149999999999999</v>
      </c>
      <c r="G107" s="66">
        <f t="shared" si="1"/>
        <v>37.4</v>
      </c>
      <c r="H107" s="66">
        <f t="shared" si="1"/>
        <v>14.38</v>
      </c>
      <c r="I107" s="66">
        <f t="shared" si="1"/>
        <v>5.89</v>
      </c>
      <c r="J107" s="66">
        <f t="shared" si="1"/>
        <v>2.64</v>
      </c>
      <c r="K107" s="66">
        <f t="shared" si="1"/>
        <v>349.71</v>
      </c>
      <c r="L107" s="66">
        <f t="shared" si="1"/>
        <v>33.57</v>
      </c>
      <c r="M107" s="66">
        <f t="shared" si="1"/>
        <v>78.37</v>
      </c>
      <c r="N107" s="66">
        <f t="shared" si="1"/>
        <v>759.7</v>
      </c>
      <c r="O107" s="66">
        <f t="shared" si="1"/>
        <v>0</v>
      </c>
      <c r="P107" s="66">
        <f t="shared" si="1"/>
        <v>0.4</v>
      </c>
      <c r="Q107" s="66">
        <f t="shared" si="1"/>
        <v>9.51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1.7204166666666663</v>
      </c>
      <c r="C108" s="67">
        <f t="shared" ref="C108:Q108" si="2">AVERAGE(C9:C104)</f>
        <v>3.4859375000000004</v>
      </c>
      <c r="D108" s="67">
        <f t="shared" si="2"/>
        <v>3.1209375000000006</v>
      </c>
      <c r="E108" s="67">
        <f t="shared" si="2"/>
        <v>1.2884374999999999</v>
      </c>
      <c r="F108" s="67">
        <f t="shared" si="2"/>
        <v>4.3270833333333325</v>
      </c>
      <c r="G108" s="67">
        <f t="shared" si="2"/>
        <v>26.834693877551018</v>
      </c>
      <c r="H108" s="67">
        <f t="shared" si="2"/>
        <v>8.1174999999999997</v>
      </c>
      <c r="I108" s="67">
        <f t="shared" si="2"/>
        <v>4.1946874999999979</v>
      </c>
      <c r="J108" s="67">
        <f t="shared" si="2"/>
        <v>0.65083333333333304</v>
      </c>
      <c r="K108" s="67">
        <f t="shared" si="2"/>
        <v>170.94645833333331</v>
      </c>
      <c r="L108" s="67">
        <f t="shared" si="2"/>
        <v>27.291562500000015</v>
      </c>
      <c r="M108" s="67">
        <f t="shared" si="2"/>
        <v>60.953124999999979</v>
      </c>
      <c r="N108" s="67">
        <f t="shared" si="2"/>
        <v>162.80104166666669</v>
      </c>
      <c r="O108" s="67">
        <f t="shared" si="2"/>
        <v>0</v>
      </c>
      <c r="P108" s="67">
        <f t="shared" si="2"/>
        <v>0.27916666666666667</v>
      </c>
      <c r="Q108" s="67">
        <f t="shared" si="2"/>
        <v>9.3756250000000012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0.48004367491360928</v>
      </c>
      <c r="C109" s="67">
        <f t="shared" ref="C109:Q109" si="3">STDEV(C9:C104)</f>
        <v>0.68936061623109868</v>
      </c>
      <c r="D109" s="67">
        <f t="shared" si="3"/>
        <v>0.56908990710468677</v>
      </c>
      <c r="E109" s="67">
        <f t="shared" si="3"/>
        <v>0.5507436658975895</v>
      </c>
      <c r="F109" s="67">
        <f t="shared" si="3"/>
        <v>1.9231935702814553</v>
      </c>
      <c r="G109" s="67">
        <f t="shared" si="3"/>
        <v>7.0055980895164627</v>
      </c>
      <c r="H109" s="67">
        <f t="shared" si="3"/>
        <v>3.4004452277977952</v>
      </c>
      <c r="I109" s="67">
        <f t="shared" si="3"/>
        <v>0.92302016072526094</v>
      </c>
      <c r="J109" s="67">
        <f t="shared" si="3"/>
        <v>0.54405624064287395</v>
      </c>
      <c r="K109" s="67">
        <f t="shared" si="3"/>
        <v>66.368888938293338</v>
      </c>
      <c r="L109" s="67">
        <f t="shared" si="3"/>
        <v>3.0997844842316673</v>
      </c>
      <c r="M109" s="67">
        <f t="shared" si="3"/>
        <v>13.160262860316863</v>
      </c>
      <c r="N109" s="67">
        <f t="shared" si="3"/>
        <v>184.42081940627645</v>
      </c>
      <c r="O109" s="67">
        <f t="shared" si="3"/>
        <v>0</v>
      </c>
      <c r="P109" s="67">
        <f t="shared" si="3"/>
        <v>4.3229294810632035E-2</v>
      </c>
      <c r="Q109" s="67">
        <f t="shared" si="3"/>
        <v>6.3541325135694257E-2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COUNT(G9:G104)+47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9" sqref="G1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1974</v>
      </c>
      <c r="B9" s="64">
        <v>1.73</v>
      </c>
      <c r="C9" s="64">
        <v>2.7</v>
      </c>
      <c r="D9" s="64">
        <v>2.71</v>
      </c>
      <c r="E9" s="64">
        <v>1.37</v>
      </c>
      <c r="F9" s="64">
        <v>3.54</v>
      </c>
      <c r="G9" s="64">
        <v>15.31</v>
      </c>
      <c r="H9" s="64">
        <v>4.6399999999999997</v>
      </c>
      <c r="I9" s="64">
        <v>3.21</v>
      </c>
      <c r="J9" s="64">
        <v>1.66</v>
      </c>
      <c r="K9" s="64">
        <v>148.6</v>
      </c>
      <c r="L9" s="64">
        <v>23.72</v>
      </c>
      <c r="M9" s="64">
        <v>78.72</v>
      </c>
      <c r="N9" s="64">
        <v>25.6</v>
      </c>
      <c r="O9" s="64">
        <v>0</v>
      </c>
      <c r="P9" s="64">
        <v>0.24</v>
      </c>
      <c r="Q9" s="64">
        <v>9.2899999999999991</v>
      </c>
      <c r="R9" s="198"/>
      <c r="S9" s="198"/>
      <c r="T9" s="198"/>
      <c r="U9" s="198"/>
    </row>
    <row r="10" spans="1:21" s="12" customFormat="1" x14ac:dyDescent="0.25">
      <c r="A10" s="216" t="s">
        <v>1975</v>
      </c>
      <c r="B10" s="64">
        <v>1.75</v>
      </c>
      <c r="C10" s="64">
        <v>2.74</v>
      </c>
      <c r="D10" s="64">
        <v>2.75</v>
      </c>
      <c r="E10" s="64">
        <v>1.07</v>
      </c>
      <c r="F10" s="64">
        <v>3.87</v>
      </c>
      <c r="G10" s="64">
        <v>15.31</v>
      </c>
      <c r="H10" s="64">
        <v>4.6399999999999997</v>
      </c>
      <c r="I10" s="64">
        <v>3.08</v>
      </c>
      <c r="J10" s="64">
        <v>1.55</v>
      </c>
      <c r="K10" s="64">
        <v>150.81</v>
      </c>
      <c r="L10" s="64">
        <v>23.74</v>
      </c>
      <c r="M10" s="64">
        <v>78.28</v>
      </c>
      <c r="N10" s="64">
        <v>25.6</v>
      </c>
      <c r="O10" s="64">
        <v>0</v>
      </c>
      <c r="P10" s="64">
        <v>0.24</v>
      </c>
      <c r="Q10" s="64">
        <v>9.24</v>
      </c>
      <c r="R10" s="198"/>
      <c r="S10" s="198"/>
      <c r="T10" s="198"/>
      <c r="U10" s="198"/>
    </row>
    <row r="11" spans="1:21" s="12" customFormat="1" x14ac:dyDescent="0.25">
      <c r="A11" s="216" t="s">
        <v>1976</v>
      </c>
      <c r="B11" s="64">
        <v>1.74</v>
      </c>
      <c r="C11" s="64">
        <v>2.81</v>
      </c>
      <c r="D11" s="64">
        <v>2.79</v>
      </c>
      <c r="E11" s="64">
        <v>1.02</v>
      </c>
      <c r="F11" s="64">
        <v>3.49</v>
      </c>
      <c r="G11" s="64">
        <v>15.31</v>
      </c>
      <c r="H11" s="64">
        <v>4.6399999999999997</v>
      </c>
      <c r="I11" s="64">
        <v>3.03</v>
      </c>
      <c r="J11" s="64">
        <v>1.95</v>
      </c>
      <c r="K11" s="64">
        <v>151.04</v>
      </c>
      <c r="L11" s="64">
        <v>23.82</v>
      </c>
      <c r="M11" s="64">
        <v>77.180000000000007</v>
      </c>
      <c r="N11" s="64">
        <v>25.6</v>
      </c>
      <c r="O11" s="64">
        <v>0</v>
      </c>
      <c r="P11" s="64">
        <v>0.23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6" t="s">
        <v>1977</v>
      </c>
      <c r="B12" s="64">
        <v>1.72</v>
      </c>
      <c r="C12" s="64">
        <v>2.64</v>
      </c>
      <c r="D12" s="64">
        <v>2.68</v>
      </c>
      <c r="E12" s="64">
        <v>1.26</v>
      </c>
      <c r="F12" s="64">
        <v>2.85</v>
      </c>
      <c r="G12" s="64">
        <v>12.39</v>
      </c>
      <c r="H12" s="64">
        <v>3.42</v>
      </c>
      <c r="I12" s="64">
        <v>2.97</v>
      </c>
      <c r="J12" s="64">
        <v>1.54</v>
      </c>
      <c r="K12" s="64">
        <v>153.21</v>
      </c>
      <c r="L12" s="64">
        <v>23.83</v>
      </c>
      <c r="M12" s="64">
        <v>76.67</v>
      </c>
      <c r="N12" s="64">
        <v>25.9</v>
      </c>
      <c r="O12" s="64">
        <v>0</v>
      </c>
      <c r="P12" s="64">
        <v>0.22</v>
      </c>
      <c r="Q12" s="64">
        <v>9.27</v>
      </c>
      <c r="R12" s="198"/>
      <c r="S12" s="198"/>
      <c r="T12" s="198"/>
      <c r="U12" s="198"/>
    </row>
    <row r="13" spans="1:21" s="12" customFormat="1" x14ac:dyDescent="0.25">
      <c r="A13" s="216" t="s">
        <v>1978</v>
      </c>
      <c r="B13" s="64">
        <v>1.73</v>
      </c>
      <c r="C13" s="64">
        <v>2.15</v>
      </c>
      <c r="D13" s="64">
        <v>2.4300000000000002</v>
      </c>
      <c r="E13" s="64">
        <v>1.1200000000000001</v>
      </c>
      <c r="F13" s="64">
        <v>3.52</v>
      </c>
      <c r="G13" s="64">
        <v>12.22</v>
      </c>
      <c r="H13" s="64">
        <v>3.34</v>
      </c>
      <c r="I13" s="64">
        <v>2.89</v>
      </c>
      <c r="J13" s="64">
        <v>1.77</v>
      </c>
      <c r="K13" s="64">
        <v>149.36000000000001</v>
      </c>
      <c r="L13" s="64">
        <v>23.78</v>
      </c>
      <c r="M13" s="64">
        <v>76.69</v>
      </c>
      <c r="N13" s="64">
        <v>26.3</v>
      </c>
      <c r="O13" s="64">
        <v>0</v>
      </c>
      <c r="P13" s="64">
        <v>0.19</v>
      </c>
      <c r="Q13" s="64">
        <v>9.24</v>
      </c>
      <c r="R13" s="198"/>
      <c r="S13" s="198"/>
      <c r="T13" s="198"/>
      <c r="U13" s="198"/>
    </row>
    <row r="14" spans="1:21" s="12" customFormat="1" x14ac:dyDescent="0.25">
      <c r="A14" s="216" t="s">
        <v>1979</v>
      </c>
      <c r="B14" s="64">
        <v>1.73</v>
      </c>
      <c r="C14" s="64">
        <v>2.08</v>
      </c>
      <c r="D14" s="64">
        <v>2.39</v>
      </c>
      <c r="E14" s="64">
        <v>0.89</v>
      </c>
      <c r="F14" s="64">
        <v>3.6</v>
      </c>
      <c r="G14" s="64">
        <v>12.22</v>
      </c>
      <c r="H14" s="64">
        <v>3.34</v>
      </c>
      <c r="I14" s="64">
        <v>2.83</v>
      </c>
      <c r="J14" s="64">
        <v>0.35</v>
      </c>
      <c r="K14" s="64">
        <v>201.45</v>
      </c>
      <c r="L14" s="64">
        <v>23.72</v>
      </c>
      <c r="M14" s="64">
        <v>76.95</v>
      </c>
      <c r="N14" s="64">
        <v>26.4</v>
      </c>
      <c r="O14" s="64">
        <v>0</v>
      </c>
      <c r="P14" s="64">
        <v>0.21</v>
      </c>
      <c r="Q14" s="64">
        <v>9.26</v>
      </c>
      <c r="R14" s="198"/>
      <c r="S14" s="198"/>
      <c r="T14" s="198"/>
      <c r="U14" s="198"/>
    </row>
    <row r="15" spans="1:21" s="12" customFormat="1" x14ac:dyDescent="0.25">
      <c r="A15" s="216" t="s">
        <v>1980</v>
      </c>
      <c r="B15" s="64">
        <v>1.72</v>
      </c>
      <c r="C15" s="64">
        <v>2.0499999999999998</v>
      </c>
      <c r="D15" s="64">
        <v>2.37</v>
      </c>
      <c r="E15" s="64">
        <v>0.66</v>
      </c>
      <c r="F15" s="64">
        <v>3.37</v>
      </c>
      <c r="G15" s="64">
        <v>12.22</v>
      </c>
      <c r="H15" s="64">
        <v>3.34</v>
      </c>
      <c r="I15" s="64">
        <v>2.8</v>
      </c>
      <c r="J15" s="64">
        <v>0.43</v>
      </c>
      <c r="K15" s="64">
        <v>172.05</v>
      </c>
      <c r="L15" s="64">
        <v>23.52</v>
      </c>
      <c r="M15" s="64">
        <v>78.3</v>
      </c>
      <c r="N15" s="64">
        <v>26.4</v>
      </c>
      <c r="O15" s="64">
        <v>0</v>
      </c>
      <c r="P15" s="64">
        <v>0.21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16" t="s">
        <v>1981</v>
      </c>
      <c r="B16" s="64">
        <v>1.71</v>
      </c>
      <c r="C16" s="64">
        <v>2.1</v>
      </c>
      <c r="D16" s="64">
        <v>2.39</v>
      </c>
      <c r="E16" s="64">
        <v>0.94</v>
      </c>
      <c r="F16" s="64">
        <v>2.75</v>
      </c>
      <c r="G16" s="64">
        <v>12.18</v>
      </c>
      <c r="H16" s="64">
        <v>2.41</v>
      </c>
      <c r="I16" s="64">
        <v>2.76</v>
      </c>
      <c r="J16" s="64">
        <v>0.41</v>
      </c>
      <c r="K16" s="64">
        <v>180.03</v>
      </c>
      <c r="L16" s="64">
        <v>23.43</v>
      </c>
      <c r="M16" s="64">
        <v>78.900000000000006</v>
      </c>
      <c r="N16" s="64">
        <v>26.4</v>
      </c>
      <c r="O16" s="64">
        <v>0</v>
      </c>
      <c r="P16" s="64">
        <v>0.2</v>
      </c>
      <c r="Q16" s="64">
        <v>9.34</v>
      </c>
      <c r="R16" s="198"/>
      <c r="S16" s="198"/>
      <c r="T16" s="198"/>
      <c r="U16" s="198"/>
    </row>
    <row r="17" spans="1:21" s="12" customFormat="1" x14ac:dyDescent="0.25">
      <c r="A17" s="216" t="s">
        <v>1982</v>
      </c>
      <c r="B17" s="64">
        <v>1.71</v>
      </c>
      <c r="C17" s="64">
        <v>2.15</v>
      </c>
      <c r="D17" s="64">
        <v>2.42</v>
      </c>
      <c r="E17" s="64">
        <v>0.89</v>
      </c>
      <c r="F17" s="64">
        <v>3.52</v>
      </c>
      <c r="G17" s="64">
        <v>12.18</v>
      </c>
      <c r="H17" s="64">
        <v>2.35</v>
      </c>
      <c r="I17" s="64">
        <v>2.91</v>
      </c>
      <c r="J17" s="64">
        <v>0.97</v>
      </c>
      <c r="K17" s="64">
        <v>156.66999999999999</v>
      </c>
      <c r="L17" s="64">
        <v>23.34</v>
      </c>
      <c r="M17" s="64">
        <v>79.98</v>
      </c>
      <c r="N17" s="64">
        <v>26.4</v>
      </c>
      <c r="O17" s="64">
        <v>0</v>
      </c>
      <c r="P17" s="64">
        <v>0.21</v>
      </c>
      <c r="Q17" s="64">
        <v>9.36</v>
      </c>
      <c r="R17" s="198"/>
      <c r="S17" s="198"/>
      <c r="T17" s="198"/>
      <c r="U17" s="198"/>
    </row>
    <row r="18" spans="1:21" s="12" customFormat="1" x14ac:dyDescent="0.25">
      <c r="A18" s="216" t="s">
        <v>1983</v>
      </c>
      <c r="B18" s="64">
        <v>1.7</v>
      </c>
      <c r="C18" s="64">
        <v>1.95</v>
      </c>
      <c r="D18" s="64">
        <v>2.2999999999999998</v>
      </c>
      <c r="E18" s="64">
        <v>0.92</v>
      </c>
      <c r="F18" s="64">
        <v>3.83</v>
      </c>
      <c r="G18" s="64">
        <v>12.18</v>
      </c>
      <c r="H18" s="64">
        <v>2.35</v>
      </c>
      <c r="I18" s="64">
        <v>2.91</v>
      </c>
      <c r="J18" s="64">
        <v>1.32</v>
      </c>
      <c r="K18" s="64">
        <v>152.94</v>
      </c>
      <c r="L18" s="64">
        <v>23.15</v>
      </c>
      <c r="M18" s="64">
        <v>81.069999999999993</v>
      </c>
      <c r="N18" s="64">
        <v>26.7</v>
      </c>
      <c r="O18" s="64">
        <v>0</v>
      </c>
      <c r="P18" s="64">
        <v>0.2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16" t="s">
        <v>1984</v>
      </c>
      <c r="B19" s="64">
        <v>1.72</v>
      </c>
      <c r="C19" s="64">
        <v>1.95</v>
      </c>
      <c r="D19" s="64">
        <v>2.3199999999999998</v>
      </c>
      <c r="E19" s="64">
        <v>0.98</v>
      </c>
      <c r="F19" s="64">
        <v>3.74</v>
      </c>
      <c r="G19" s="64">
        <v>12.18</v>
      </c>
      <c r="H19" s="64">
        <v>2.35</v>
      </c>
      <c r="I19" s="64">
        <v>2.82</v>
      </c>
      <c r="J19" s="64">
        <v>1.56</v>
      </c>
      <c r="K19" s="64">
        <v>152.96</v>
      </c>
      <c r="L19" s="64">
        <v>23.15</v>
      </c>
      <c r="M19" s="64">
        <v>80.489999999999995</v>
      </c>
      <c r="N19" s="64">
        <v>26.7</v>
      </c>
      <c r="O19" s="64">
        <v>0</v>
      </c>
      <c r="P19" s="64">
        <v>0.19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6" t="s">
        <v>1985</v>
      </c>
      <c r="B20" s="64">
        <v>1.73</v>
      </c>
      <c r="C20" s="64">
        <v>2.1</v>
      </c>
      <c r="D20" s="64">
        <v>2.41</v>
      </c>
      <c r="E20" s="64">
        <v>0.95</v>
      </c>
      <c r="F20" s="64">
        <v>3.44</v>
      </c>
      <c r="G20" s="64">
        <v>11.49</v>
      </c>
      <c r="H20" s="64">
        <v>3.48</v>
      </c>
      <c r="I20" s="64">
        <v>2.99</v>
      </c>
      <c r="J20" s="64">
        <v>1.01</v>
      </c>
      <c r="K20" s="64">
        <v>159.96</v>
      </c>
      <c r="L20" s="64">
        <v>23.19</v>
      </c>
      <c r="M20" s="64">
        <v>80.040000000000006</v>
      </c>
      <c r="N20" s="64">
        <v>26.9</v>
      </c>
      <c r="O20" s="64">
        <v>0</v>
      </c>
      <c r="P20" s="64">
        <v>0.19</v>
      </c>
      <c r="Q20" s="64">
        <v>9.34</v>
      </c>
      <c r="R20" s="198"/>
      <c r="S20" s="198"/>
      <c r="T20" s="198"/>
      <c r="U20" s="198"/>
    </row>
    <row r="21" spans="1:21" s="12" customFormat="1" x14ac:dyDescent="0.25">
      <c r="A21" s="216" t="s">
        <v>1986</v>
      </c>
      <c r="B21" s="64">
        <v>1.71</v>
      </c>
      <c r="C21" s="64">
        <v>2.16</v>
      </c>
      <c r="D21" s="64">
        <v>2.4300000000000002</v>
      </c>
      <c r="E21" s="64">
        <v>1.25</v>
      </c>
      <c r="F21" s="64">
        <v>3.81</v>
      </c>
      <c r="G21" s="64">
        <v>11.45</v>
      </c>
      <c r="H21" s="64">
        <v>3.55</v>
      </c>
      <c r="I21" s="64">
        <v>2.96</v>
      </c>
      <c r="J21" s="64">
        <v>0.22</v>
      </c>
      <c r="K21" s="64">
        <v>203.91</v>
      </c>
      <c r="L21" s="64">
        <v>23.21</v>
      </c>
      <c r="M21" s="64">
        <v>79.48</v>
      </c>
      <c r="N21" s="64">
        <v>27.2</v>
      </c>
      <c r="O21" s="64">
        <v>0</v>
      </c>
      <c r="P21" s="64">
        <v>0.19</v>
      </c>
      <c r="Q21" s="64">
        <v>9.32</v>
      </c>
      <c r="R21" s="198"/>
      <c r="S21" s="198"/>
      <c r="T21" s="198"/>
      <c r="U21" s="198"/>
    </row>
    <row r="22" spans="1:21" s="12" customFormat="1" x14ac:dyDescent="0.25">
      <c r="A22" s="216" t="s">
        <v>1987</v>
      </c>
      <c r="B22" s="64">
        <v>1.74</v>
      </c>
      <c r="C22" s="64">
        <v>2.1800000000000002</v>
      </c>
      <c r="D22" s="64">
        <v>2.4500000000000002</v>
      </c>
      <c r="E22" s="64">
        <v>0.9</v>
      </c>
      <c r="F22" s="64">
        <v>3.7</v>
      </c>
      <c r="G22" s="64">
        <v>11.45</v>
      </c>
      <c r="H22" s="64">
        <v>3.55</v>
      </c>
      <c r="I22" s="64">
        <v>2.8</v>
      </c>
      <c r="J22" s="64">
        <v>0.14000000000000001</v>
      </c>
      <c r="K22" s="64">
        <v>194.32</v>
      </c>
      <c r="L22" s="64">
        <v>22.99</v>
      </c>
      <c r="M22" s="64">
        <v>80.91</v>
      </c>
      <c r="N22" s="64">
        <v>27.4</v>
      </c>
      <c r="O22" s="64">
        <v>0</v>
      </c>
      <c r="P22" s="64">
        <v>0.19</v>
      </c>
      <c r="Q22" s="64">
        <v>9.2899999999999991</v>
      </c>
      <c r="R22" s="198"/>
      <c r="S22" s="198"/>
      <c r="T22" s="198"/>
      <c r="U22" s="198"/>
    </row>
    <row r="23" spans="1:21" s="12" customFormat="1" x14ac:dyDescent="0.25">
      <c r="A23" s="216" t="s">
        <v>1988</v>
      </c>
      <c r="B23" s="64">
        <v>1.73</v>
      </c>
      <c r="C23" s="64">
        <v>2.2200000000000002</v>
      </c>
      <c r="D23" s="64">
        <v>2.4700000000000002</v>
      </c>
      <c r="E23" s="64">
        <v>1.06</v>
      </c>
      <c r="F23" s="64">
        <v>3.01</v>
      </c>
      <c r="G23" s="64">
        <v>11.45</v>
      </c>
      <c r="H23" s="64">
        <v>3.55</v>
      </c>
      <c r="I23" s="64">
        <v>2.89</v>
      </c>
      <c r="J23" s="64">
        <v>0.08</v>
      </c>
      <c r="K23" s="64">
        <v>233.81</v>
      </c>
      <c r="L23" s="64">
        <v>22.88</v>
      </c>
      <c r="M23" s="64">
        <v>81.709999999999994</v>
      </c>
      <c r="N23" s="64">
        <v>27.5</v>
      </c>
      <c r="O23" s="64">
        <v>0</v>
      </c>
      <c r="P23" s="64">
        <v>0.19</v>
      </c>
      <c r="Q23" s="64">
        <v>9.26</v>
      </c>
      <c r="R23" s="198"/>
      <c r="S23" s="198"/>
      <c r="T23" s="198"/>
      <c r="U23" s="198"/>
    </row>
    <row r="24" spans="1:21" s="12" customFormat="1" x14ac:dyDescent="0.25">
      <c r="A24" s="216" t="s">
        <v>1989</v>
      </c>
      <c r="B24" s="64">
        <v>1.76</v>
      </c>
      <c r="C24" s="64">
        <v>2.27</v>
      </c>
      <c r="D24" s="64">
        <v>2.52</v>
      </c>
      <c r="E24" s="64">
        <v>2.4</v>
      </c>
      <c r="F24" s="64">
        <v>3.34</v>
      </c>
      <c r="G24" s="64">
        <v>8.27</v>
      </c>
      <c r="H24" s="64">
        <v>2.65</v>
      </c>
      <c r="I24" s="64">
        <v>2.8</v>
      </c>
      <c r="J24" s="64">
        <v>0.3</v>
      </c>
      <c r="K24" s="64">
        <v>177.01</v>
      </c>
      <c r="L24" s="64">
        <v>22.74</v>
      </c>
      <c r="M24" s="64">
        <v>83</v>
      </c>
      <c r="N24" s="64">
        <v>27.4</v>
      </c>
      <c r="O24" s="64">
        <v>0</v>
      </c>
      <c r="P24" s="64">
        <v>0.18</v>
      </c>
      <c r="Q24" s="64">
        <v>9.26</v>
      </c>
      <c r="R24" s="198"/>
      <c r="S24" s="198"/>
      <c r="T24" s="198"/>
      <c r="U24" s="198"/>
    </row>
    <row r="25" spans="1:21" s="12" customFormat="1" x14ac:dyDescent="0.25">
      <c r="A25" s="216" t="s">
        <v>1990</v>
      </c>
      <c r="B25" s="64">
        <v>1.8</v>
      </c>
      <c r="C25" s="64">
        <v>2.41</v>
      </c>
      <c r="D25" s="64">
        <v>2.62</v>
      </c>
      <c r="E25" s="64">
        <v>1.31</v>
      </c>
      <c r="F25" s="64">
        <v>3.61</v>
      </c>
      <c r="G25" s="64">
        <v>8.09</v>
      </c>
      <c r="H25" s="64">
        <v>2.6</v>
      </c>
      <c r="I25" s="64">
        <v>2.78</v>
      </c>
      <c r="J25" s="64">
        <v>0.05</v>
      </c>
      <c r="K25" s="64">
        <v>272.66000000000003</v>
      </c>
      <c r="L25" s="64">
        <v>22.64</v>
      </c>
      <c r="M25" s="64">
        <v>83.64</v>
      </c>
      <c r="N25" s="64">
        <v>27.8</v>
      </c>
      <c r="O25" s="64">
        <v>0</v>
      </c>
      <c r="P25" s="64">
        <v>0.18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6" t="s">
        <v>1991</v>
      </c>
      <c r="B26" s="64">
        <v>1.81</v>
      </c>
      <c r="C26" s="64">
        <v>2.34</v>
      </c>
      <c r="D26" s="64">
        <v>2.59</v>
      </c>
      <c r="E26" s="64">
        <v>1.05</v>
      </c>
      <c r="F26" s="64">
        <v>3.45</v>
      </c>
      <c r="G26" s="64">
        <v>8.09</v>
      </c>
      <c r="H26" s="64">
        <v>2.6</v>
      </c>
      <c r="I26" s="64">
        <v>2.85</v>
      </c>
      <c r="J26" s="64">
        <v>0.01</v>
      </c>
      <c r="K26" s="64">
        <v>91.78</v>
      </c>
      <c r="L26" s="64">
        <v>22.7</v>
      </c>
      <c r="M26" s="64">
        <v>82.45</v>
      </c>
      <c r="N26" s="64">
        <v>27.7</v>
      </c>
      <c r="O26" s="64">
        <v>0</v>
      </c>
      <c r="P26" s="64">
        <v>0.19</v>
      </c>
      <c r="Q26" s="64">
        <v>9.26</v>
      </c>
      <c r="R26" s="198"/>
      <c r="S26" s="198"/>
      <c r="T26" s="198"/>
      <c r="U26" s="198"/>
    </row>
    <row r="27" spans="1:21" s="12" customFormat="1" x14ac:dyDescent="0.25">
      <c r="A27" s="216" t="s">
        <v>1992</v>
      </c>
      <c r="B27" s="64">
        <v>1.83</v>
      </c>
      <c r="C27" s="64">
        <v>2.4300000000000002</v>
      </c>
      <c r="D27" s="64">
        <v>2.66</v>
      </c>
      <c r="E27" s="64">
        <v>1.51</v>
      </c>
      <c r="F27" s="64">
        <v>3.47</v>
      </c>
      <c r="G27" s="64">
        <v>8.09</v>
      </c>
      <c r="H27" s="64">
        <v>2.6</v>
      </c>
      <c r="I27" s="64">
        <v>2.8</v>
      </c>
      <c r="J27" s="64">
        <v>0.12</v>
      </c>
      <c r="K27" s="64">
        <v>275.45999999999998</v>
      </c>
      <c r="L27" s="64">
        <v>22.7</v>
      </c>
      <c r="M27" s="64">
        <v>82.19</v>
      </c>
      <c r="N27" s="64">
        <v>27.8</v>
      </c>
      <c r="O27" s="64">
        <v>0</v>
      </c>
      <c r="P27" s="64">
        <v>0.19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16" t="s">
        <v>1993</v>
      </c>
      <c r="B28" s="64">
        <v>1.9</v>
      </c>
      <c r="C28" s="64">
        <v>2.4300000000000002</v>
      </c>
      <c r="D28" s="64">
        <v>2.71</v>
      </c>
      <c r="E28" s="64">
        <v>1.24</v>
      </c>
      <c r="F28" s="64">
        <v>3.38</v>
      </c>
      <c r="G28" s="64">
        <v>10.28</v>
      </c>
      <c r="H28" s="64">
        <v>2.71</v>
      </c>
      <c r="I28" s="64">
        <v>2.79</v>
      </c>
      <c r="J28" s="64">
        <v>0.09</v>
      </c>
      <c r="K28" s="64">
        <v>51.91</v>
      </c>
      <c r="L28" s="64">
        <v>22.71</v>
      </c>
      <c r="M28" s="64">
        <v>81.94</v>
      </c>
      <c r="N28" s="64">
        <v>27.8</v>
      </c>
      <c r="O28" s="64">
        <v>0</v>
      </c>
      <c r="P28" s="64">
        <v>0.19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16" t="s">
        <v>1994</v>
      </c>
      <c r="B29" s="64">
        <v>1.91</v>
      </c>
      <c r="C29" s="64">
        <v>2.48</v>
      </c>
      <c r="D29" s="64">
        <v>2.75</v>
      </c>
      <c r="E29" s="64">
        <v>1.35</v>
      </c>
      <c r="F29" s="64">
        <v>4.04</v>
      </c>
      <c r="G29" s="64">
        <v>10.41</v>
      </c>
      <c r="H29" s="64">
        <v>2.72</v>
      </c>
      <c r="I29" s="64">
        <v>2.79</v>
      </c>
      <c r="J29" s="64">
        <v>0.18</v>
      </c>
      <c r="K29" s="64">
        <v>13.02</v>
      </c>
      <c r="L29" s="64">
        <v>22.78</v>
      </c>
      <c r="M29" s="64">
        <v>81.209999999999994</v>
      </c>
      <c r="N29" s="64">
        <v>29</v>
      </c>
      <c r="O29" s="64">
        <v>0</v>
      </c>
      <c r="P29" s="64">
        <v>0.2</v>
      </c>
      <c r="Q29" s="64">
        <v>9.2799999999999994</v>
      </c>
      <c r="R29" s="198"/>
      <c r="S29" s="198"/>
      <c r="T29" s="198"/>
      <c r="U29" s="198"/>
    </row>
    <row r="30" spans="1:21" s="12" customFormat="1" x14ac:dyDescent="0.25">
      <c r="A30" s="216" t="s">
        <v>1995</v>
      </c>
      <c r="B30" s="64">
        <v>1.96</v>
      </c>
      <c r="C30" s="64">
        <v>2.66</v>
      </c>
      <c r="D30" s="64">
        <v>2.88</v>
      </c>
      <c r="E30" s="64">
        <v>1.35</v>
      </c>
      <c r="F30" s="64">
        <v>3.15</v>
      </c>
      <c r="G30" s="64">
        <v>10.41</v>
      </c>
      <c r="H30" s="64">
        <v>2.72</v>
      </c>
      <c r="I30" s="64">
        <v>2.63</v>
      </c>
      <c r="J30" s="64">
        <v>0.17</v>
      </c>
      <c r="K30" s="64">
        <v>342.22</v>
      </c>
      <c r="L30" s="64">
        <v>22.73</v>
      </c>
      <c r="M30" s="64">
        <v>81.819999999999993</v>
      </c>
      <c r="N30" s="64">
        <v>35.9</v>
      </c>
      <c r="O30" s="64">
        <v>0</v>
      </c>
      <c r="P30" s="64">
        <v>0.2</v>
      </c>
      <c r="Q30" s="64">
        <v>9.2799999999999994</v>
      </c>
      <c r="R30" s="198"/>
      <c r="S30" s="198"/>
      <c r="T30" s="198"/>
      <c r="U30" s="198"/>
    </row>
    <row r="31" spans="1:21" s="12" customFormat="1" x14ac:dyDescent="0.25">
      <c r="A31" s="216" t="s">
        <v>1996</v>
      </c>
      <c r="B31" s="64">
        <v>2.06</v>
      </c>
      <c r="C31" s="64">
        <v>2.64</v>
      </c>
      <c r="D31" s="64">
        <v>2.95</v>
      </c>
      <c r="E31" s="64">
        <v>1.07</v>
      </c>
      <c r="F31" s="64">
        <v>3.17</v>
      </c>
      <c r="G31" s="64">
        <v>10.41</v>
      </c>
      <c r="H31" s="64">
        <v>2.72</v>
      </c>
      <c r="I31" s="64">
        <v>2.52</v>
      </c>
      <c r="J31" s="64">
        <v>0.13</v>
      </c>
      <c r="K31" s="64">
        <v>3.01</v>
      </c>
      <c r="L31" s="64">
        <v>22.95</v>
      </c>
      <c r="M31" s="64">
        <v>81.08</v>
      </c>
      <c r="N31" s="64">
        <v>57.9</v>
      </c>
      <c r="O31" s="64">
        <v>0</v>
      </c>
      <c r="P31" s="64">
        <v>0.2</v>
      </c>
      <c r="Q31" s="64">
        <v>9.31</v>
      </c>
      <c r="R31" s="198"/>
      <c r="S31" s="198"/>
      <c r="T31" s="198"/>
      <c r="U31" s="198"/>
    </row>
    <row r="32" spans="1:21" s="12" customFormat="1" x14ac:dyDescent="0.25">
      <c r="A32" s="216" t="s">
        <v>1997</v>
      </c>
      <c r="B32" s="64">
        <v>2.09</v>
      </c>
      <c r="C32" s="64">
        <v>2.8</v>
      </c>
      <c r="D32" s="64">
        <v>3.06</v>
      </c>
      <c r="E32" s="64">
        <v>1.31</v>
      </c>
      <c r="F32" s="64">
        <v>2.94</v>
      </c>
      <c r="G32" s="64">
        <v>13.98</v>
      </c>
      <c r="H32" s="64">
        <v>3.78</v>
      </c>
      <c r="I32" s="64">
        <v>2.73</v>
      </c>
      <c r="J32" s="64">
        <v>0.12</v>
      </c>
      <c r="K32" s="64">
        <v>7.54</v>
      </c>
      <c r="L32" s="64">
        <v>23.46</v>
      </c>
      <c r="M32" s="64">
        <v>79.08</v>
      </c>
      <c r="N32" s="64">
        <v>87.8</v>
      </c>
      <c r="O32" s="64">
        <v>0</v>
      </c>
      <c r="P32" s="64">
        <v>0.2</v>
      </c>
      <c r="Q32" s="64">
        <v>9.31</v>
      </c>
      <c r="R32" s="198"/>
      <c r="S32" s="198"/>
      <c r="T32" s="198"/>
      <c r="U32" s="198"/>
    </row>
    <row r="33" spans="1:21" s="12" customFormat="1" x14ac:dyDescent="0.25">
      <c r="A33" s="216" t="s">
        <v>1998</v>
      </c>
      <c r="B33" s="64">
        <v>2.12</v>
      </c>
      <c r="C33" s="64">
        <v>2.78</v>
      </c>
      <c r="D33" s="64">
        <v>3.07</v>
      </c>
      <c r="E33" s="64">
        <v>1.28</v>
      </c>
      <c r="F33" s="64">
        <v>2.79</v>
      </c>
      <c r="G33" s="64">
        <v>14.19</v>
      </c>
      <c r="H33" s="64">
        <v>3.84</v>
      </c>
      <c r="I33" s="64">
        <v>2.91</v>
      </c>
      <c r="J33" s="64">
        <v>0.06</v>
      </c>
      <c r="K33" s="64">
        <v>353.15</v>
      </c>
      <c r="L33" s="64">
        <v>23.75</v>
      </c>
      <c r="M33" s="64">
        <v>78.22</v>
      </c>
      <c r="N33" s="64">
        <v>107.4</v>
      </c>
      <c r="O33" s="64">
        <v>0</v>
      </c>
      <c r="P33" s="64">
        <v>0.21</v>
      </c>
      <c r="Q33" s="64">
        <v>9.33</v>
      </c>
      <c r="R33" s="198"/>
      <c r="S33" s="198"/>
      <c r="T33" s="198"/>
      <c r="U33" s="198"/>
    </row>
    <row r="34" spans="1:21" s="12" customFormat="1" x14ac:dyDescent="0.25">
      <c r="A34" s="216" t="s">
        <v>1999</v>
      </c>
      <c r="B34" s="64">
        <v>2.11</v>
      </c>
      <c r="C34" s="64">
        <v>2.71</v>
      </c>
      <c r="D34" s="64">
        <v>3.02</v>
      </c>
      <c r="E34" s="64">
        <v>1.47</v>
      </c>
      <c r="F34" s="64">
        <v>3.25</v>
      </c>
      <c r="G34" s="64">
        <v>14.19</v>
      </c>
      <c r="H34" s="64">
        <v>3.84</v>
      </c>
      <c r="I34" s="64">
        <v>2.83</v>
      </c>
      <c r="J34" s="64">
        <v>0.04</v>
      </c>
      <c r="K34" s="64">
        <v>308.75</v>
      </c>
      <c r="L34" s="64">
        <v>23.92</v>
      </c>
      <c r="M34" s="64">
        <v>78.06</v>
      </c>
      <c r="N34" s="64">
        <v>114.1</v>
      </c>
      <c r="O34" s="64">
        <v>0</v>
      </c>
      <c r="P34" s="64">
        <v>0.21</v>
      </c>
      <c r="Q34" s="64">
        <v>9.33</v>
      </c>
      <c r="R34" s="198"/>
      <c r="S34" s="198"/>
      <c r="T34" s="198"/>
      <c r="U34" s="198"/>
    </row>
    <row r="35" spans="1:21" s="12" customFormat="1" x14ac:dyDescent="0.25">
      <c r="A35" s="216" t="s">
        <v>2000</v>
      </c>
      <c r="B35" s="64">
        <v>2.09</v>
      </c>
      <c r="C35" s="64">
        <v>2.78</v>
      </c>
      <c r="D35" s="64">
        <v>3.05</v>
      </c>
      <c r="E35" s="64">
        <v>1.52</v>
      </c>
      <c r="F35" s="64">
        <v>3.48</v>
      </c>
      <c r="G35" s="64">
        <v>14.19</v>
      </c>
      <c r="H35" s="64">
        <v>3.84</v>
      </c>
      <c r="I35" s="64">
        <v>2.97</v>
      </c>
      <c r="J35" s="64">
        <v>0.08</v>
      </c>
      <c r="K35" s="64">
        <v>288.75</v>
      </c>
      <c r="L35" s="64">
        <v>24.18</v>
      </c>
      <c r="M35" s="64">
        <v>77.540000000000006</v>
      </c>
      <c r="N35" s="64">
        <v>179.1</v>
      </c>
      <c r="O35" s="64">
        <v>0</v>
      </c>
      <c r="P35" s="64">
        <v>0.22</v>
      </c>
      <c r="Q35" s="64">
        <v>9.32</v>
      </c>
      <c r="R35" s="198"/>
      <c r="S35" s="198"/>
      <c r="T35" s="198"/>
      <c r="U35" s="198"/>
    </row>
    <row r="36" spans="1:21" s="12" customFormat="1" x14ac:dyDescent="0.25">
      <c r="A36" s="216" t="s">
        <v>2001</v>
      </c>
      <c r="B36" s="64">
        <v>2.11</v>
      </c>
      <c r="C36" s="64">
        <v>2.88</v>
      </c>
      <c r="D36" s="64">
        <v>3.11</v>
      </c>
      <c r="E36" s="64">
        <v>1.77</v>
      </c>
      <c r="F36" s="64">
        <v>3.3</v>
      </c>
      <c r="G36" s="64">
        <v>13.93</v>
      </c>
      <c r="H36" s="64">
        <v>2.87</v>
      </c>
      <c r="I36" s="64">
        <v>3.22</v>
      </c>
      <c r="J36" s="64">
        <v>0.08</v>
      </c>
      <c r="K36" s="64">
        <v>36.44</v>
      </c>
      <c r="L36" s="64">
        <v>25.17</v>
      </c>
      <c r="M36" s="64">
        <v>73.89</v>
      </c>
      <c r="N36" s="64">
        <v>206.2</v>
      </c>
      <c r="O36" s="64">
        <v>0</v>
      </c>
      <c r="P36" s="64">
        <v>0.23</v>
      </c>
      <c r="Q36" s="64">
        <v>9.31</v>
      </c>
      <c r="R36" s="198"/>
      <c r="S36" s="198"/>
      <c r="T36" s="198"/>
      <c r="U36" s="198"/>
    </row>
    <row r="37" spans="1:21" s="12" customFormat="1" x14ac:dyDescent="0.25">
      <c r="A37" s="216" t="s">
        <v>2002</v>
      </c>
      <c r="B37" s="64">
        <v>2.14</v>
      </c>
      <c r="C37" s="64">
        <v>2.96</v>
      </c>
      <c r="D37" s="64">
        <v>3.18</v>
      </c>
      <c r="E37" s="64">
        <v>1.41</v>
      </c>
      <c r="F37" s="64">
        <v>3.27</v>
      </c>
      <c r="G37" s="64">
        <v>13.91</v>
      </c>
      <c r="H37" s="64">
        <v>2.81</v>
      </c>
      <c r="I37" s="64">
        <v>3.3</v>
      </c>
      <c r="J37" s="64">
        <v>0.13</v>
      </c>
      <c r="K37" s="64">
        <v>338.85</v>
      </c>
      <c r="L37" s="64">
        <v>26.16</v>
      </c>
      <c r="M37" s="64">
        <v>69.930000000000007</v>
      </c>
      <c r="N37" s="64">
        <v>259.7</v>
      </c>
      <c r="O37" s="64">
        <v>0</v>
      </c>
      <c r="P37" s="64">
        <v>0.23</v>
      </c>
      <c r="Q37" s="64">
        <v>9.3000000000000007</v>
      </c>
      <c r="R37" s="198"/>
      <c r="S37" s="198"/>
      <c r="T37" s="198"/>
      <c r="U37" s="198"/>
    </row>
    <row r="38" spans="1:21" s="12" customFormat="1" x14ac:dyDescent="0.25">
      <c r="A38" s="216" t="s">
        <v>2003</v>
      </c>
      <c r="B38" s="64">
        <v>2.2200000000000002</v>
      </c>
      <c r="C38" s="64">
        <v>3.31</v>
      </c>
      <c r="D38" s="64">
        <v>3.43</v>
      </c>
      <c r="E38" s="64">
        <v>1.42</v>
      </c>
      <c r="F38" s="64">
        <v>3.3</v>
      </c>
      <c r="G38" s="64">
        <v>13.91</v>
      </c>
      <c r="H38" s="64">
        <v>2.81</v>
      </c>
      <c r="I38" s="64">
        <v>3.36</v>
      </c>
      <c r="J38" s="64">
        <v>0.17</v>
      </c>
      <c r="K38" s="64">
        <v>341.1</v>
      </c>
      <c r="L38" s="64">
        <v>26.68</v>
      </c>
      <c r="M38" s="64">
        <v>68.260000000000005</v>
      </c>
      <c r="N38" s="64">
        <v>360.4</v>
      </c>
      <c r="O38" s="64">
        <v>0</v>
      </c>
      <c r="P38" s="64">
        <v>0.25</v>
      </c>
      <c r="Q38" s="64">
        <v>9.2899999999999991</v>
      </c>
      <c r="R38" s="198"/>
      <c r="S38" s="198"/>
      <c r="T38" s="198"/>
      <c r="U38" s="198"/>
    </row>
    <row r="39" spans="1:21" s="12" customFormat="1" x14ac:dyDescent="0.25">
      <c r="A39" s="216" t="s">
        <v>2004</v>
      </c>
      <c r="B39" s="64">
        <v>2.23</v>
      </c>
      <c r="C39" s="64">
        <v>3.48</v>
      </c>
      <c r="D39" s="64">
        <v>3.53</v>
      </c>
      <c r="E39" s="64">
        <v>1.63</v>
      </c>
      <c r="F39" s="64">
        <v>3.71</v>
      </c>
      <c r="G39" s="64">
        <v>13.91</v>
      </c>
      <c r="H39" s="64">
        <v>2.81</v>
      </c>
      <c r="I39" s="64">
        <v>3.22</v>
      </c>
      <c r="J39" s="64">
        <v>0.15</v>
      </c>
      <c r="K39" s="64">
        <v>341.93</v>
      </c>
      <c r="L39" s="64">
        <v>28.33</v>
      </c>
      <c r="M39" s="64">
        <v>61.71</v>
      </c>
      <c r="N39" s="64">
        <v>416.6</v>
      </c>
      <c r="O39" s="64">
        <v>0</v>
      </c>
      <c r="P39" s="64">
        <v>0.25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6" t="s">
        <v>2005</v>
      </c>
      <c r="B40" s="64">
        <v>2.14</v>
      </c>
      <c r="C40" s="64">
        <v>3.5</v>
      </c>
      <c r="D40" s="64">
        <v>3.47</v>
      </c>
      <c r="E40" s="64">
        <v>1</v>
      </c>
      <c r="F40" s="64">
        <v>3.99</v>
      </c>
      <c r="G40" s="64">
        <v>14.31</v>
      </c>
      <c r="H40" s="64">
        <v>3.09</v>
      </c>
      <c r="I40" s="64">
        <v>3.05</v>
      </c>
      <c r="J40" s="64">
        <v>0.19</v>
      </c>
      <c r="K40" s="64">
        <v>310.12</v>
      </c>
      <c r="L40" s="64">
        <v>28.31</v>
      </c>
      <c r="M40" s="64">
        <v>62.32</v>
      </c>
      <c r="N40" s="64">
        <v>470.6</v>
      </c>
      <c r="O40" s="64">
        <v>0</v>
      </c>
      <c r="P40" s="64">
        <v>0.26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16" t="s">
        <v>2006</v>
      </c>
      <c r="B41" s="64">
        <v>2.09</v>
      </c>
      <c r="C41" s="64">
        <v>3.56</v>
      </c>
      <c r="D41" s="64">
        <v>3.46</v>
      </c>
      <c r="E41" s="64">
        <v>1.19</v>
      </c>
      <c r="F41" s="64">
        <v>4.4000000000000004</v>
      </c>
      <c r="G41" s="64">
        <v>14.34</v>
      </c>
      <c r="H41" s="64">
        <v>3.1</v>
      </c>
      <c r="I41" s="64">
        <v>3.07</v>
      </c>
      <c r="J41" s="64">
        <v>0.3</v>
      </c>
      <c r="K41" s="64">
        <v>336.75</v>
      </c>
      <c r="L41" s="64">
        <v>30.64</v>
      </c>
      <c r="M41" s="64">
        <v>54.26</v>
      </c>
      <c r="N41" s="64">
        <v>532.79999999999995</v>
      </c>
      <c r="O41" s="64">
        <v>0</v>
      </c>
      <c r="P41" s="64">
        <v>0.27</v>
      </c>
      <c r="Q41" s="64">
        <v>9.2799999999999994</v>
      </c>
      <c r="R41" s="198"/>
      <c r="S41" s="198"/>
      <c r="T41" s="198"/>
      <c r="U41" s="198"/>
    </row>
    <row r="42" spans="1:21" s="12" customFormat="1" x14ac:dyDescent="0.25">
      <c r="A42" s="216" t="s">
        <v>2007</v>
      </c>
      <c r="B42" s="64">
        <v>2.09</v>
      </c>
      <c r="C42" s="64">
        <v>4.04</v>
      </c>
      <c r="D42" s="64">
        <v>3.7</v>
      </c>
      <c r="E42" s="64">
        <v>1.35</v>
      </c>
      <c r="F42" s="64">
        <v>4.5199999999999996</v>
      </c>
      <c r="G42" s="64">
        <v>14.34</v>
      </c>
      <c r="H42" s="64">
        <v>3.1</v>
      </c>
      <c r="I42" s="64">
        <v>2.9</v>
      </c>
      <c r="J42" s="64">
        <v>0.35</v>
      </c>
      <c r="K42" s="64">
        <v>329.25</v>
      </c>
      <c r="L42" s="64">
        <v>29.87</v>
      </c>
      <c r="M42" s="64">
        <v>58.33</v>
      </c>
      <c r="N42" s="64">
        <v>531.5</v>
      </c>
      <c r="O42" s="64">
        <v>0</v>
      </c>
      <c r="P42" s="64">
        <v>0.28000000000000003</v>
      </c>
      <c r="Q42" s="64">
        <v>9.25</v>
      </c>
      <c r="R42" s="198"/>
      <c r="S42" s="198"/>
      <c r="T42" s="198"/>
      <c r="U42" s="198"/>
    </row>
    <row r="43" spans="1:21" s="12" customFormat="1" x14ac:dyDescent="0.25">
      <c r="A43" s="216" t="s">
        <v>2008</v>
      </c>
      <c r="B43" s="64">
        <v>2.0099999999999998</v>
      </c>
      <c r="C43" s="64">
        <v>4.08</v>
      </c>
      <c r="D43" s="64">
        <v>3.66</v>
      </c>
      <c r="E43" s="64">
        <v>1.04</v>
      </c>
      <c r="F43" s="64">
        <v>4.16</v>
      </c>
      <c r="G43" s="64">
        <v>14.34</v>
      </c>
      <c r="H43" s="64">
        <v>3.1</v>
      </c>
      <c r="I43" s="64">
        <v>2.7</v>
      </c>
      <c r="J43" s="64">
        <v>0.36</v>
      </c>
      <c r="K43" s="64">
        <v>341.33</v>
      </c>
      <c r="L43" s="64">
        <v>29.64</v>
      </c>
      <c r="M43" s="64">
        <v>59.06</v>
      </c>
      <c r="N43" s="64">
        <v>613</v>
      </c>
      <c r="O43" s="64">
        <v>0</v>
      </c>
      <c r="P43" s="64">
        <v>0.28000000000000003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16" t="s">
        <v>2009</v>
      </c>
      <c r="B44" s="64">
        <v>1.89</v>
      </c>
      <c r="C44" s="64">
        <v>4.04</v>
      </c>
      <c r="D44" s="64">
        <v>3.54</v>
      </c>
      <c r="E44" s="64">
        <v>1.44</v>
      </c>
      <c r="F44" s="64">
        <v>3.93</v>
      </c>
      <c r="G44" s="64">
        <v>20.12</v>
      </c>
      <c r="H44" s="64">
        <v>3.28</v>
      </c>
      <c r="I44" s="64">
        <v>2.59</v>
      </c>
      <c r="J44" s="64">
        <v>0.33</v>
      </c>
      <c r="K44" s="64">
        <v>347.9</v>
      </c>
      <c r="L44" s="64">
        <v>29.37</v>
      </c>
      <c r="M44" s="64">
        <v>59.31</v>
      </c>
      <c r="N44" s="64">
        <v>609.1</v>
      </c>
      <c r="O44" s="64">
        <v>0</v>
      </c>
      <c r="P44" s="64">
        <v>0.28999999999999998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16" t="s">
        <v>2010</v>
      </c>
      <c r="B45" s="64">
        <v>1.77</v>
      </c>
      <c r="C45" s="64">
        <v>3.93</v>
      </c>
      <c r="D45" s="64">
        <v>3.39</v>
      </c>
      <c r="E45" s="64">
        <v>1.24</v>
      </c>
      <c r="F45" s="64">
        <v>4.3099999999999996</v>
      </c>
      <c r="G45" s="64">
        <v>20.46</v>
      </c>
      <c r="H45" s="64">
        <v>3.29</v>
      </c>
      <c r="I45" s="64">
        <v>2.4900000000000002</v>
      </c>
      <c r="J45" s="64">
        <v>0.23</v>
      </c>
      <c r="K45" s="64">
        <v>355.02</v>
      </c>
      <c r="L45" s="64">
        <v>29.94</v>
      </c>
      <c r="M45" s="64">
        <v>57.12</v>
      </c>
      <c r="N45" s="64">
        <v>710.1</v>
      </c>
      <c r="O45" s="64">
        <v>0</v>
      </c>
      <c r="P45" s="64">
        <v>0.28999999999999998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6" t="s">
        <v>2011</v>
      </c>
      <c r="B46" s="64">
        <v>1.69</v>
      </c>
      <c r="C46" s="64">
        <v>3.98</v>
      </c>
      <c r="D46" s="64">
        <v>3.35</v>
      </c>
      <c r="E46" s="64">
        <v>1.32</v>
      </c>
      <c r="F46" s="64">
        <v>4.5</v>
      </c>
      <c r="G46" s="64">
        <v>20.46</v>
      </c>
      <c r="H46" s="64">
        <v>3.29</v>
      </c>
      <c r="I46" s="64">
        <v>2.38</v>
      </c>
      <c r="J46" s="64">
        <v>0.42</v>
      </c>
      <c r="K46" s="64">
        <v>334.84</v>
      </c>
      <c r="L46" s="64">
        <v>30.76</v>
      </c>
      <c r="M46" s="64">
        <v>57.98</v>
      </c>
      <c r="N46" s="64">
        <v>743.2</v>
      </c>
      <c r="O46" s="64">
        <v>0</v>
      </c>
      <c r="P46" s="64">
        <v>0.28999999999999998</v>
      </c>
      <c r="Q46" s="64">
        <v>9.17</v>
      </c>
      <c r="R46" s="198"/>
      <c r="S46" s="198"/>
      <c r="T46" s="198"/>
      <c r="U46" s="198"/>
    </row>
    <row r="47" spans="1:21" s="12" customFormat="1" x14ac:dyDescent="0.25">
      <c r="A47" s="216" t="s">
        <v>2012</v>
      </c>
      <c r="B47" s="64">
        <v>1.62</v>
      </c>
      <c r="C47" s="64">
        <v>4.04</v>
      </c>
      <c r="D47" s="64">
        <v>3.33</v>
      </c>
      <c r="E47" s="64">
        <v>1.55</v>
      </c>
      <c r="F47" s="64">
        <v>4.6399999999999997</v>
      </c>
      <c r="G47" s="64">
        <v>20.46</v>
      </c>
      <c r="H47" s="64">
        <v>3.29</v>
      </c>
      <c r="I47" s="64">
        <v>2.2999999999999998</v>
      </c>
      <c r="J47" s="64">
        <v>0.48</v>
      </c>
      <c r="K47" s="64">
        <v>334.94</v>
      </c>
      <c r="L47" s="64">
        <v>31.6</v>
      </c>
      <c r="M47" s="64">
        <v>56.14</v>
      </c>
      <c r="N47" s="64">
        <v>778.1</v>
      </c>
      <c r="O47" s="64">
        <v>0</v>
      </c>
      <c r="P47" s="64">
        <v>0.3</v>
      </c>
      <c r="Q47" s="64">
        <v>9.17</v>
      </c>
      <c r="R47" s="198"/>
      <c r="S47" s="198"/>
      <c r="T47" s="198"/>
      <c r="U47" s="198"/>
    </row>
    <row r="48" spans="1:21" s="12" customFormat="1" x14ac:dyDescent="0.25">
      <c r="A48" s="216" t="s">
        <v>2013</v>
      </c>
      <c r="B48" s="64">
        <v>1.61</v>
      </c>
      <c r="C48" s="64">
        <v>3.79</v>
      </c>
      <c r="D48" s="64">
        <v>3.19</v>
      </c>
      <c r="E48" s="64">
        <v>1.25</v>
      </c>
      <c r="F48" s="64">
        <v>4.5199999999999996</v>
      </c>
      <c r="G48" s="64">
        <v>19.04</v>
      </c>
      <c r="H48" s="64">
        <v>3.85</v>
      </c>
      <c r="I48" s="64">
        <v>2.23</v>
      </c>
      <c r="J48" s="64">
        <v>0.36</v>
      </c>
      <c r="K48" s="64">
        <v>335.58</v>
      </c>
      <c r="L48" s="64">
        <v>31.64</v>
      </c>
      <c r="M48" s="64">
        <v>53.48</v>
      </c>
      <c r="N48" s="64">
        <v>810.2</v>
      </c>
      <c r="O48" s="64">
        <v>0</v>
      </c>
      <c r="P48" s="64">
        <v>0.31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6" t="s">
        <v>2014</v>
      </c>
      <c r="B49" s="64">
        <v>1.53</v>
      </c>
      <c r="C49" s="64">
        <v>3.64</v>
      </c>
      <c r="D49" s="64">
        <v>3.05</v>
      </c>
      <c r="E49" s="64">
        <v>1.42</v>
      </c>
      <c r="F49" s="64">
        <v>4.16</v>
      </c>
      <c r="G49" s="64">
        <v>18.96</v>
      </c>
      <c r="H49" s="64">
        <v>3.89</v>
      </c>
      <c r="I49" s="64">
        <v>2.1800000000000002</v>
      </c>
      <c r="J49" s="64">
        <v>0.41</v>
      </c>
      <c r="K49" s="64">
        <v>327.14999999999998</v>
      </c>
      <c r="L49" s="64">
        <v>32.299999999999997</v>
      </c>
      <c r="M49" s="64">
        <v>51.71</v>
      </c>
      <c r="N49" s="64">
        <v>827.4</v>
      </c>
      <c r="O49" s="64">
        <v>0</v>
      </c>
      <c r="P49" s="64">
        <v>0.31</v>
      </c>
      <c r="Q49" s="64">
        <v>9.14</v>
      </c>
      <c r="R49" s="198"/>
      <c r="S49" s="198"/>
      <c r="T49" s="198"/>
      <c r="U49" s="198"/>
    </row>
    <row r="50" spans="1:21" s="12" customFormat="1" x14ac:dyDescent="0.25">
      <c r="A50" s="216" t="s">
        <v>2015</v>
      </c>
      <c r="B50" s="64">
        <v>1.5</v>
      </c>
      <c r="C50" s="64">
        <v>3.43</v>
      </c>
      <c r="D50" s="64">
        <v>2.91</v>
      </c>
      <c r="E50" s="64">
        <v>1.24</v>
      </c>
      <c r="F50" s="64">
        <v>3.37</v>
      </c>
      <c r="G50" s="64">
        <v>18.96</v>
      </c>
      <c r="H50" s="64">
        <v>3.89</v>
      </c>
      <c r="I50" s="64">
        <v>2.13</v>
      </c>
      <c r="J50" s="64">
        <v>0.49</v>
      </c>
      <c r="K50" s="64">
        <v>314.17</v>
      </c>
      <c r="L50" s="64">
        <v>34.26</v>
      </c>
      <c r="M50" s="64">
        <v>44.99</v>
      </c>
      <c r="N50" s="64">
        <v>853.9</v>
      </c>
      <c r="O50" s="64">
        <v>0</v>
      </c>
      <c r="P50" s="64">
        <v>0.35</v>
      </c>
      <c r="Q50" s="64">
        <v>9.15</v>
      </c>
      <c r="R50" s="198"/>
      <c r="S50" s="198"/>
      <c r="T50" s="198"/>
      <c r="U50" s="198"/>
    </row>
    <row r="51" spans="1:21" s="12" customFormat="1" x14ac:dyDescent="0.25">
      <c r="A51" s="216" t="s">
        <v>2016</v>
      </c>
      <c r="B51" s="64">
        <v>1.47</v>
      </c>
      <c r="C51" s="64">
        <v>3.51</v>
      </c>
      <c r="D51" s="64">
        <v>2.93</v>
      </c>
      <c r="E51" s="64">
        <v>1.35</v>
      </c>
      <c r="F51" s="64">
        <v>4.67</v>
      </c>
      <c r="G51" s="64">
        <v>18.96</v>
      </c>
      <c r="H51" s="64">
        <v>3.89</v>
      </c>
      <c r="I51" s="64">
        <v>2.17</v>
      </c>
      <c r="J51" s="64">
        <v>0.33</v>
      </c>
      <c r="K51" s="64">
        <v>303.52999999999997</v>
      </c>
      <c r="L51" s="64">
        <v>33.07</v>
      </c>
      <c r="M51" s="64">
        <v>47.51</v>
      </c>
      <c r="N51" s="64">
        <v>846.5</v>
      </c>
      <c r="O51" s="64">
        <v>0</v>
      </c>
      <c r="P51" s="64">
        <v>0.38</v>
      </c>
      <c r="Q51" s="64">
        <v>9.16</v>
      </c>
      <c r="R51" s="198"/>
      <c r="S51" s="198"/>
      <c r="T51" s="198"/>
      <c r="U51" s="198"/>
    </row>
    <row r="52" spans="1:21" s="12" customFormat="1" x14ac:dyDescent="0.25">
      <c r="A52" s="216" t="s">
        <v>2017</v>
      </c>
      <c r="B52" s="64">
        <v>1.44</v>
      </c>
      <c r="C52" s="64">
        <v>3.67</v>
      </c>
      <c r="D52" s="64">
        <v>3</v>
      </c>
      <c r="E52" s="64">
        <v>1.21</v>
      </c>
      <c r="F52" s="64">
        <v>5.46</v>
      </c>
      <c r="G52" s="64">
        <v>21.64</v>
      </c>
      <c r="H52" s="64">
        <v>6.93</v>
      </c>
      <c r="I52" s="64">
        <v>2.38</v>
      </c>
      <c r="J52" s="64">
        <v>1.05</v>
      </c>
      <c r="K52" s="64">
        <v>325.14</v>
      </c>
      <c r="L52" s="64">
        <v>34.93</v>
      </c>
      <c r="M52" s="64">
        <v>42.59</v>
      </c>
      <c r="N52" s="64">
        <v>887.9</v>
      </c>
      <c r="O52" s="64">
        <v>0</v>
      </c>
      <c r="P52" s="64">
        <v>0.4</v>
      </c>
      <c r="Q52" s="64">
        <v>9.18</v>
      </c>
      <c r="R52" s="198"/>
      <c r="S52" s="198"/>
      <c r="T52" s="198"/>
      <c r="U52" s="198"/>
    </row>
    <row r="53" spans="1:21" s="12" customFormat="1" x14ac:dyDescent="0.25">
      <c r="A53" s="216" t="s">
        <v>2018</v>
      </c>
      <c r="B53" s="64">
        <v>1.46</v>
      </c>
      <c r="C53" s="64">
        <v>3.81</v>
      </c>
      <c r="D53" s="64">
        <v>3.08</v>
      </c>
      <c r="E53" s="64">
        <v>1.1100000000000001</v>
      </c>
      <c r="F53" s="64">
        <v>5.23</v>
      </c>
      <c r="G53" s="64">
        <v>21.8</v>
      </c>
      <c r="H53" s="64">
        <v>7.11</v>
      </c>
      <c r="I53" s="64">
        <v>2.63</v>
      </c>
      <c r="J53" s="64">
        <v>0.97</v>
      </c>
      <c r="K53" s="64">
        <v>326.10000000000002</v>
      </c>
      <c r="L53" s="64">
        <v>36.840000000000003</v>
      </c>
      <c r="M53" s="64">
        <v>37.92</v>
      </c>
      <c r="N53" s="64">
        <v>915.9</v>
      </c>
      <c r="O53" s="64">
        <v>0</v>
      </c>
      <c r="P53" s="64">
        <v>0.43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16" t="s">
        <v>2019</v>
      </c>
      <c r="B54" s="64">
        <v>1.49</v>
      </c>
      <c r="C54" s="64">
        <v>3.85</v>
      </c>
      <c r="D54" s="64">
        <v>3.12</v>
      </c>
      <c r="E54" s="64">
        <v>1.1000000000000001</v>
      </c>
      <c r="F54" s="64">
        <v>4.54</v>
      </c>
      <c r="G54" s="64">
        <v>21.8</v>
      </c>
      <c r="H54" s="64">
        <v>7.11</v>
      </c>
      <c r="I54" s="64">
        <v>2.84</v>
      </c>
      <c r="J54" s="64">
        <v>0.66</v>
      </c>
      <c r="K54" s="64">
        <v>320.67</v>
      </c>
      <c r="L54" s="64">
        <v>36.79</v>
      </c>
      <c r="M54" s="64">
        <v>37.520000000000003</v>
      </c>
      <c r="N54" s="64">
        <v>678.1</v>
      </c>
      <c r="O54" s="64">
        <v>0</v>
      </c>
      <c r="P54" s="64">
        <v>0.43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6" t="s">
        <v>2020</v>
      </c>
      <c r="B55" s="64">
        <v>1.48</v>
      </c>
      <c r="C55" s="64">
        <v>3.8</v>
      </c>
      <c r="D55" s="64">
        <v>3.09</v>
      </c>
      <c r="E55" s="64">
        <v>1.03</v>
      </c>
      <c r="F55" s="64">
        <v>4.83</v>
      </c>
      <c r="G55" s="64">
        <v>21.8</v>
      </c>
      <c r="H55" s="64">
        <v>7.11</v>
      </c>
      <c r="I55" s="64">
        <v>2.97</v>
      </c>
      <c r="J55" s="64">
        <v>0.97</v>
      </c>
      <c r="K55" s="64">
        <v>328.66</v>
      </c>
      <c r="L55" s="64">
        <v>36.380000000000003</v>
      </c>
      <c r="M55" s="64">
        <v>37.49</v>
      </c>
      <c r="N55" s="64">
        <v>795.9</v>
      </c>
      <c r="O55" s="64">
        <v>0</v>
      </c>
      <c r="P55" s="64">
        <v>0.43</v>
      </c>
      <c r="Q55" s="64">
        <v>9.24</v>
      </c>
      <c r="R55" s="198"/>
      <c r="S55" s="198"/>
      <c r="T55" s="198"/>
      <c r="U55" s="198"/>
    </row>
    <row r="56" spans="1:21" s="12" customFormat="1" x14ac:dyDescent="0.25">
      <c r="A56" s="216" t="s">
        <v>2021</v>
      </c>
      <c r="B56" s="64">
        <v>1.49</v>
      </c>
      <c r="C56" s="64">
        <v>3.98</v>
      </c>
      <c r="D56" s="64">
        <v>3.2</v>
      </c>
      <c r="E56" s="64">
        <v>1.35</v>
      </c>
      <c r="F56" s="64">
        <v>4.95</v>
      </c>
      <c r="G56" s="64">
        <v>22.78</v>
      </c>
      <c r="H56" s="64">
        <v>6.81</v>
      </c>
      <c r="I56" s="64">
        <v>3.01</v>
      </c>
      <c r="J56" s="64">
        <v>0.73</v>
      </c>
      <c r="K56" s="64">
        <v>327.61</v>
      </c>
      <c r="L56" s="64">
        <v>36.81</v>
      </c>
      <c r="M56" s="64">
        <v>36.020000000000003</v>
      </c>
      <c r="N56" s="64">
        <v>890.9</v>
      </c>
      <c r="O56" s="64">
        <v>0</v>
      </c>
      <c r="P56" s="64">
        <v>0.43</v>
      </c>
      <c r="Q56" s="64">
        <v>9.24</v>
      </c>
      <c r="R56" s="198"/>
      <c r="S56" s="198"/>
      <c r="T56" s="198"/>
      <c r="U56" s="198"/>
    </row>
    <row r="57" spans="1:21" s="12" customFormat="1" x14ac:dyDescent="0.25">
      <c r="A57" s="216" t="s">
        <v>2022</v>
      </c>
      <c r="B57" s="64">
        <v>1.5</v>
      </c>
      <c r="C57" s="64">
        <v>4.45</v>
      </c>
      <c r="D57" s="64">
        <v>3.45</v>
      </c>
      <c r="E57" s="64">
        <v>1.25</v>
      </c>
      <c r="F57" s="64">
        <v>5.09</v>
      </c>
      <c r="G57" s="64">
        <v>22.85</v>
      </c>
      <c r="H57" s="64">
        <v>6.8</v>
      </c>
      <c r="I57" s="64">
        <v>3.07</v>
      </c>
      <c r="J57" s="64">
        <v>0.73</v>
      </c>
      <c r="K57" s="64">
        <v>335.76</v>
      </c>
      <c r="L57" s="64">
        <v>36.79</v>
      </c>
      <c r="M57" s="64">
        <v>34.83</v>
      </c>
      <c r="N57" s="64">
        <v>811.2</v>
      </c>
      <c r="O57" s="64">
        <v>0</v>
      </c>
      <c r="P57" s="64">
        <v>0.44</v>
      </c>
      <c r="Q57" s="64">
        <v>9.27</v>
      </c>
      <c r="R57" s="198"/>
      <c r="S57" s="198"/>
      <c r="T57" s="198"/>
      <c r="U57" s="198"/>
    </row>
    <row r="58" spans="1:21" s="12" customFormat="1" x14ac:dyDescent="0.25">
      <c r="A58" s="216" t="s">
        <v>2023</v>
      </c>
      <c r="B58" s="64">
        <v>1.52</v>
      </c>
      <c r="C58" s="64">
        <v>5.28</v>
      </c>
      <c r="D58" s="64">
        <v>3.89</v>
      </c>
      <c r="E58" s="64">
        <v>1.8</v>
      </c>
      <c r="F58" s="64">
        <v>4.8600000000000003</v>
      </c>
      <c r="G58" s="64">
        <v>22.85</v>
      </c>
      <c r="H58" s="64">
        <v>6.8</v>
      </c>
      <c r="I58" s="64">
        <v>3.21</v>
      </c>
      <c r="J58" s="64">
        <v>1.46</v>
      </c>
      <c r="K58" s="64">
        <v>346.58</v>
      </c>
      <c r="L58" s="64">
        <v>36.97</v>
      </c>
      <c r="M58" s="64">
        <v>35.729999999999997</v>
      </c>
      <c r="N58" s="64">
        <v>909.9</v>
      </c>
      <c r="O58" s="64">
        <v>0</v>
      </c>
      <c r="P58" s="64">
        <v>0.44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6" t="s">
        <v>2024</v>
      </c>
      <c r="B59" s="64">
        <v>1.53</v>
      </c>
      <c r="C59" s="64">
        <v>5.23</v>
      </c>
      <c r="D59" s="64">
        <v>3.88</v>
      </c>
      <c r="E59" s="64">
        <v>1.58</v>
      </c>
      <c r="F59" s="64">
        <v>4.45</v>
      </c>
      <c r="G59" s="64">
        <v>22.85</v>
      </c>
      <c r="H59" s="64">
        <v>6.8</v>
      </c>
      <c r="I59" s="64">
        <v>3.31</v>
      </c>
      <c r="J59" s="64">
        <v>0.47</v>
      </c>
      <c r="K59" s="64">
        <v>338.48</v>
      </c>
      <c r="L59" s="64">
        <v>36.71</v>
      </c>
      <c r="M59" s="64">
        <v>34.93</v>
      </c>
      <c r="N59" s="64">
        <v>819.7</v>
      </c>
      <c r="O59" s="64">
        <v>0</v>
      </c>
      <c r="P59" s="64">
        <v>0.44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16" t="s">
        <v>2025</v>
      </c>
      <c r="B60" s="64">
        <v>1.51</v>
      </c>
      <c r="C60" s="64">
        <v>4.84</v>
      </c>
      <c r="D60" s="64">
        <v>3.66</v>
      </c>
      <c r="E60" s="64">
        <v>1.63</v>
      </c>
      <c r="F60" s="64">
        <v>4.62</v>
      </c>
      <c r="G60" s="64">
        <v>20.77</v>
      </c>
      <c r="H60" s="64">
        <v>7.75</v>
      </c>
      <c r="I60" s="64">
        <v>3.43</v>
      </c>
      <c r="J60" s="64">
        <v>0.65</v>
      </c>
      <c r="K60" s="64">
        <v>335.27</v>
      </c>
      <c r="L60" s="64">
        <v>36.950000000000003</v>
      </c>
      <c r="M60" s="64">
        <v>33.659999999999997</v>
      </c>
      <c r="N60" s="64">
        <v>867.7</v>
      </c>
      <c r="O60" s="64">
        <v>0</v>
      </c>
      <c r="P60" s="64">
        <v>0.44</v>
      </c>
      <c r="Q60" s="64">
        <v>9.24</v>
      </c>
      <c r="R60" s="198"/>
      <c r="S60" s="198"/>
      <c r="T60" s="198"/>
      <c r="U60" s="198"/>
    </row>
    <row r="61" spans="1:21" s="12" customFormat="1" x14ac:dyDescent="0.25">
      <c r="A61" s="216" t="s">
        <v>2026</v>
      </c>
      <c r="B61" s="64">
        <v>1.5</v>
      </c>
      <c r="C61" s="64">
        <v>4.5999999999999996</v>
      </c>
      <c r="D61" s="64">
        <v>3.52</v>
      </c>
      <c r="E61" s="64">
        <v>1.73</v>
      </c>
      <c r="F61" s="64">
        <v>4.8099999999999996</v>
      </c>
      <c r="G61" s="64">
        <v>20.64</v>
      </c>
      <c r="H61" s="64">
        <v>7.81</v>
      </c>
      <c r="I61" s="64">
        <v>3.53</v>
      </c>
      <c r="J61" s="64">
        <v>0.28000000000000003</v>
      </c>
      <c r="K61" s="64">
        <v>120.54</v>
      </c>
      <c r="L61" s="64">
        <v>35.9</v>
      </c>
      <c r="M61" s="64">
        <v>33.479999999999997</v>
      </c>
      <c r="N61" s="64">
        <v>853.4</v>
      </c>
      <c r="O61" s="64">
        <v>0</v>
      </c>
      <c r="P61" s="64">
        <v>0.34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6" t="s">
        <v>2027</v>
      </c>
      <c r="B62" s="64">
        <v>1.45</v>
      </c>
      <c r="C62" s="64">
        <v>4.41</v>
      </c>
      <c r="D62" s="64">
        <v>3.38</v>
      </c>
      <c r="E62" s="64">
        <v>1.76</v>
      </c>
      <c r="F62" s="64">
        <v>5.45</v>
      </c>
      <c r="G62" s="64">
        <v>20.64</v>
      </c>
      <c r="H62" s="64">
        <v>7.81</v>
      </c>
      <c r="I62" s="64">
        <v>3.57</v>
      </c>
      <c r="J62" s="64">
        <v>0.5</v>
      </c>
      <c r="K62" s="64">
        <v>335.03</v>
      </c>
      <c r="L62" s="64">
        <v>36.200000000000003</v>
      </c>
      <c r="M62" s="64">
        <v>31.81</v>
      </c>
      <c r="N62" s="64">
        <v>809.6</v>
      </c>
      <c r="O62" s="64">
        <v>0</v>
      </c>
      <c r="P62" s="64">
        <v>0.36</v>
      </c>
      <c r="Q62" s="64">
        <v>9.2200000000000006</v>
      </c>
      <c r="R62" s="198"/>
      <c r="S62" s="198"/>
      <c r="T62" s="198"/>
      <c r="U62" s="198"/>
    </row>
    <row r="63" spans="1:21" s="12" customFormat="1" x14ac:dyDescent="0.25">
      <c r="A63" s="216" t="s">
        <v>2028</v>
      </c>
      <c r="B63" s="64">
        <v>1.41</v>
      </c>
      <c r="C63" s="64">
        <v>4.43</v>
      </c>
      <c r="D63" s="64">
        <v>3.37</v>
      </c>
      <c r="E63" s="64">
        <v>1.73</v>
      </c>
      <c r="F63" s="64">
        <v>5.12</v>
      </c>
      <c r="G63" s="64">
        <v>20.64</v>
      </c>
      <c r="H63" s="64">
        <v>7.81</v>
      </c>
      <c r="I63" s="64">
        <v>3.86</v>
      </c>
      <c r="J63" s="64">
        <v>0.28000000000000003</v>
      </c>
      <c r="K63" s="64">
        <v>311.95999999999998</v>
      </c>
      <c r="L63" s="64">
        <v>37.49</v>
      </c>
      <c r="M63" s="64">
        <v>30.49</v>
      </c>
      <c r="N63" s="64">
        <v>770.6</v>
      </c>
      <c r="O63" s="64">
        <v>0</v>
      </c>
      <c r="P63" s="64">
        <v>0.35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6" t="s">
        <v>2029</v>
      </c>
      <c r="B64" s="64">
        <v>1.4</v>
      </c>
      <c r="C64" s="64">
        <v>4.53</v>
      </c>
      <c r="D64" s="64">
        <v>3.41</v>
      </c>
      <c r="E64" s="64">
        <v>1.5</v>
      </c>
      <c r="F64" s="64">
        <v>5.22</v>
      </c>
      <c r="G64" s="64">
        <v>24.34</v>
      </c>
      <c r="H64" s="64">
        <v>11.31</v>
      </c>
      <c r="I64" s="64">
        <v>4.01</v>
      </c>
      <c r="J64" s="64">
        <v>0.11</v>
      </c>
      <c r="K64" s="64">
        <v>29.3</v>
      </c>
      <c r="L64" s="64">
        <v>36.64</v>
      </c>
      <c r="M64" s="64">
        <v>31.71</v>
      </c>
      <c r="N64" s="64">
        <v>453.7</v>
      </c>
      <c r="O64" s="64">
        <v>0</v>
      </c>
      <c r="P64" s="64">
        <v>0.35</v>
      </c>
      <c r="Q64" s="64">
        <v>9.2100000000000009</v>
      </c>
      <c r="R64" s="198"/>
      <c r="S64" s="198"/>
      <c r="T64" s="198"/>
      <c r="U64" s="198"/>
    </row>
    <row r="65" spans="1:21" s="12" customFormat="1" x14ac:dyDescent="0.25">
      <c r="A65" s="216" t="s">
        <v>2030</v>
      </c>
      <c r="B65" s="64">
        <v>1.41</v>
      </c>
      <c r="C65" s="64">
        <v>4.5999999999999996</v>
      </c>
      <c r="D65" s="64">
        <v>3.45</v>
      </c>
      <c r="E65" s="64">
        <v>1.96</v>
      </c>
      <c r="F65" s="64">
        <v>4.63</v>
      </c>
      <c r="G65" s="64">
        <v>24.56</v>
      </c>
      <c r="H65" s="64">
        <v>11.51</v>
      </c>
      <c r="I65" s="64">
        <v>3.95</v>
      </c>
      <c r="J65" s="64">
        <v>0.5</v>
      </c>
      <c r="K65" s="64">
        <v>345.61</v>
      </c>
      <c r="L65" s="64">
        <v>36.83</v>
      </c>
      <c r="M65" s="64">
        <v>31.76</v>
      </c>
      <c r="N65" s="64">
        <v>506.9</v>
      </c>
      <c r="O65" s="64">
        <v>0</v>
      </c>
      <c r="P65" s="64">
        <v>0.34</v>
      </c>
      <c r="Q65" s="64">
        <v>9.19</v>
      </c>
      <c r="R65" s="198"/>
      <c r="S65" s="198"/>
      <c r="T65" s="198"/>
      <c r="U65" s="198"/>
    </row>
    <row r="66" spans="1:21" s="12" customFormat="1" x14ac:dyDescent="0.25">
      <c r="A66" s="216" t="s">
        <v>2031</v>
      </c>
      <c r="B66" s="64">
        <v>1.42</v>
      </c>
      <c r="C66" s="64">
        <v>4.42</v>
      </c>
      <c r="D66" s="64">
        <v>3.37</v>
      </c>
      <c r="E66" s="64">
        <v>1.86</v>
      </c>
      <c r="F66" s="64">
        <v>4.72</v>
      </c>
      <c r="G66" s="64">
        <v>24.56</v>
      </c>
      <c r="H66" s="64">
        <v>11.51</v>
      </c>
      <c r="I66" s="64">
        <v>3.99</v>
      </c>
      <c r="J66" s="64">
        <v>0.05</v>
      </c>
      <c r="K66" s="64">
        <v>204.26</v>
      </c>
      <c r="L66" s="64">
        <v>36.54</v>
      </c>
      <c r="M66" s="64">
        <v>31.02</v>
      </c>
      <c r="N66" s="64">
        <v>486.8</v>
      </c>
      <c r="O66" s="64">
        <v>0</v>
      </c>
      <c r="P66" s="64">
        <v>0.34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6" t="s">
        <v>2032</v>
      </c>
      <c r="B67" s="64">
        <v>1.4</v>
      </c>
      <c r="C67" s="64">
        <v>4.47</v>
      </c>
      <c r="D67" s="64">
        <v>3.38</v>
      </c>
      <c r="E67" s="64">
        <v>1.44</v>
      </c>
      <c r="F67" s="64">
        <v>4.49</v>
      </c>
      <c r="G67" s="64">
        <v>24.56</v>
      </c>
      <c r="H67" s="64">
        <v>11.51</v>
      </c>
      <c r="I67" s="64">
        <v>4.1399999999999997</v>
      </c>
      <c r="J67" s="64">
        <v>0.12</v>
      </c>
      <c r="K67" s="64">
        <v>273</v>
      </c>
      <c r="L67" s="64">
        <v>35.64</v>
      </c>
      <c r="M67" s="64">
        <v>33.14</v>
      </c>
      <c r="N67" s="64">
        <v>387.2</v>
      </c>
      <c r="O67" s="64">
        <v>0</v>
      </c>
      <c r="P67" s="64">
        <v>0.34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6" t="s">
        <v>2033</v>
      </c>
      <c r="B68" s="64">
        <v>1.41</v>
      </c>
      <c r="C68" s="64">
        <v>4.0199999999999996</v>
      </c>
      <c r="D68" s="64">
        <v>3.15</v>
      </c>
      <c r="E68" s="64">
        <v>1.64</v>
      </c>
      <c r="F68" s="64">
        <v>5.05</v>
      </c>
      <c r="G68" s="64">
        <v>21.5</v>
      </c>
      <c r="H68" s="64">
        <v>8.2799999999999994</v>
      </c>
      <c r="I68" s="64">
        <v>4.3899999999999997</v>
      </c>
      <c r="J68" s="64">
        <v>0.28999999999999998</v>
      </c>
      <c r="K68" s="64">
        <v>343.7</v>
      </c>
      <c r="L68" s="64">
        <v>36.090000000000003</v>
      </c>
      <c r="M68" s="64">
        <v>31.88</v>
      </c>
      <c r="N68" s="64">
        <v>283.8</v>
      </c>
      <c r="O68" s="64">
        <v>0</v>
      </c>
      <c r="P68" s="64">
        <v>0.33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6" t="s">
        <v>2034</v>
      </c>
      <c r="B69" s="64">
        <v>1.42</v>
      </c>
      <c r="C69" s="64">
        <v>4</v>
      </c>
      <c r="D69" s="64">
        <v>3.15</v>
      </c>
      <c r="E69" s="64">
        <v>1.38</v>
      </c>
      <c r="F69" s="64">
        <v>4.95</v>
      </c>
      <c r="G69" s="64">
        <v>21.33</v>
      </c>
      <c r="H69" s="64">
        <v>8.09</v>
      </c>
      <c r="I69" s="64">
        <v>4.72</v>
      </c>
      <c r="J69" s="64">
        <v>0.15</v>
      </c>
      <c r="K69" s="64">
        <v>181.57</v>
      </c>
      <c r="L69" s="64">
        <v>35.51</v>
      </c>
      <c r="M69" s="64">
        <v>31.88</v>
      </c>
      <c r="N69" s="64">
        <v>241.3</v>
      </c>
      <c r="O69" s="64">
        <v>0</v>
      </c>
      <c r="P69" s="64">
        <v>0.33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6" t="s">
        <v>2035</v>
      </c>
      <c r="B70" s="64">
        <v>1.42</v>
      </c>
      <c r="C70" s="64">
        <v>3.84</v>
      </c>
      <c r="D70" s="64">
        <v>3.06</v>
      </c>
      <c r="E70" s="64">
        <v>1.43</v>
      </c>
      <c r="F70" s="64">
        <v>4.58</v>
      </c>
      <c r="G70" s="64">
        <v>21.33</v>
      </c>
      <c r="H70" s="64">
        <v>8.09</v>
      </c>
      <c r="I70" s="64">
        <v>4.95</v>
      </c>
      <c r="J70" s="64">
        <v>0.51</v>
      </c>
      <c r="K70" s="64">
        <v>87.42</v>
      </c>
      <c r="L70" s="64">
        <v>34.72</v>
      </c>
      <c r="M70" s="64">
        <v>33.43</v>
      </c>
      <c r="N70" s="64">
        <v>226.3</v>
      </c>
      <c r="O70" s="64">
        <v>0</v>
      </c>
      <c r="P70" s="64">
        <v>0.31</v>
      </c>
      <c r="Q70" s="64">
        <v>9.23</v>
      </c>
      <c r="R70" s="198"/>
      <c r="S70" s="198"/>
      <c r="T70" s="198"/>
      <c r="U70" s="198"/>
    </row>
    <row r="71" spans="1:21" s="12" customFormat="1" x14ac:dyDescent="0.25">
      <c r="A71" s="216" t="s">
        <v>2036</v>
      </c>
      <c r="B71" s="64">
        <v>1.43</v>
      </c>
      <c r="C71" s="64">
        <v>3.78</v>
      </c>
      <c r="D71" s="64">
        <v>3.04</v>
      </c>
      <c r="E71" s="64">
        <v>1.43</v>
      </c>
      <c r="F71" s="64">
        <v>5.0199999999999996</v>
      </c>
      <c r="G71" s="64">
        <v>21.33</v>
      </c>
      <c r="H71" s="64">
        <v>8.09</v>
      </c>
      <c r="I71" s="64">
        <v>5.1100000000000003</v>
      </c>
      <c r="J71" s="64">
        <v>0.14000000000000001</v>
      </c>
      <c r="K71" s="64">
        <v>284.24</v>
      </c>
      <c r="L71" s="64">
        <v>35.119999999999997</v>
      </c>
      <c r="M71" s="64">
        <v>32.340000000000003</v>
      </c>
      <c r="N71" s="64">
        <v>146.6</v>
      </c>
      <c r="O71" s="64">
        <v>0</v>
      </c>
      <c r="P71" s="64">
        <v>0.31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6" t="s">
        <v>2037</v>
      </c>
      <c r="B72" s="64">
        <v>1.39</v>
      </c>
      <c r="C72" s="64">
        <v>3.64</v>
      </c>
      <c r="D72" s="64">
        <v>2.93</v>
      </c>
      <c r="E72" s="64">
        <v>1.64</v>
      </c>
      <c r="F72" s="64">
        <v>5.4</v>
      </c>
      <c r="G72" s="64">
        <v>19.53</v>
      </c>
      <c r="H72" s="64">
        <v>9.34</v>
      </c>
      <c r="I72" s="64">
        <v>5.42</v>
      </c>
      <c r="J72" s="64">
        <v>0.24</v>
      </c>
      <c r="K72" s="64">
        <v>326.79000000000002</v>
      </c>
      <c r="L72" s="64">
        <v>35.19</v>
      </c>
      <c r="M72" s="64">
        <v>32.67</v>
      </c>
      <c r="N72" s="64">
        <v>125.9</v>
      </c>
      <c r="O72" s="64">
        <v>0</v>
      </c>
      <c r="P72" s="64">
        <v>0.3</v>
      </c>
      <c r="Q72" s="64">
        <v>9.24</v>
      </c>
      <c r="R72" s="198"/>
      <c r="S72" s="198"/>
      <c r="T72" s="198"/>
      <c r="U72" s="198"/>
    </row>
    <row r="73" spans="1:21" s="12" customFormat="1" x14ac:dyDescent="0.25">
      <c r="A73" s="216" t="s">
        <v>2038</v>
      </c>
      <c r="B73" s="64">
        <v>1.38</v>
      </c>
      <c r="C73" s="64">
        <v>3.65</v>
      </c>
      <c r="D73" s="64">
        <v>2.93</v>
      </c>
      <c r="E73" s="64">
        <v>1.22</v>
      </c>
      <c r="F73" s="64">
        <v>5.0199999999999996</v>
      </c>
      <c r="G73" s="64">
        <v>19.420000000000002</v>
      </c>
      <c r="H73" s="64">
        <v>9.41</v>
      </c>
      <c r="I73" s="64">
        <v>5.62</v>
      </c>
      <c r="J73" s="64">
        <v>0.59</v>
      </c>
      <c r="K73" s="64">
        <v>330.23</v>
      </c>
      <c r="L73" s="64">
        <v>35.520000000000003</v>
      </c>
      <c r="M73" s="64">
        <v>32.06</v>
      </c>
      <c r="N73" s="64">
        <v>134.9</v>
      </c>
      <c r="O73" s="64">
        <v>0</v>
      </c>
      <c r="P73" s="64">
        <v>0.3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6" t="s">
        <v>2039</v>
      </c>
      <c r="B74" s="64">
        <v>1.45</v>
      </c>
      <c r="C74" s="64">
        <v>3.8</v>
      </c>
      <c r="D74" s="64">
        <v>3.07</v>
      </c>
      <c r="E74" s="64">
        <v>1.42</v>
      </c>
      <c r="F74" s="64">
        <v>4.72</v>
      </c>
      <c r="G74" s="64">
        <v>19.420000000000002</v>
      </c>
      <c r="H74" s="64">
        <v>9.41</v>
      </c>
      <c r="I74" s="64">
        <v>5.5</v>
      </c>
      <c r="J74" s="64">
        <v>0.74</v>
      </c>
      <c r="K74" s="64">
        <v>161.51</v>
      </c>
      <c r="L74" s="64">
        <v>34.840000000000003</v>
      </c>
      <c r="M74" s="64">
        <v>32.49</v>
      </c>
      <c r="N74" s="64">
        <v>105.6</v>
      </c>
      <c r="O74" s="64">
        <v>0</v>
      </c>
      <c r="P74" s="64">
        <v>0.3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6" t="s">
        <v>2040</v>
      </c>
      <c r="B75" s="64">
        <v>1.43</v>
      </c>
      <c r="C75" s="64">
        <v>4.26</v>
      </c>
      <c r="D75" s="64">
        <v>3.29</v>
      </c>
      <c r="E75" s="64">
        <v>1.1100000000000001</v>
      </c>
      <c r="F75" s="64">
        <v>5.03</v>
      </c>
      <c r="G75" s="64">
        <v>19.420000000000002</v>
      </c>
      <c r="H75" s="64">
        <v>9.41</v>
      </c>
      <c r="I75" s="64">
        <v>5.42</v>
      </c>
      <c r="J75" s="64">
        <v>1.04</v>
      </c>
      <c r="K75" s="64">
        <v>145.74</v>
      </c>
      <c r="L75" s="64">
        <v>34.42</v>
      </c>
      <c r="M75" s="64">
        <v>33.28</v>
      </c>
      <c r="N75" s="64">
        <v>95.7</v>
      </c>
      <c r="O75" s="64">
        <v>0</v>
      </c>
      <c r="P75" s="64">
        <v>0.28999999999999998</v>
      </c>
      <c r="Q75" s="64">
        <v>9.24</v>
      </c>
      <c r="R75" s="198"/>
      <c r="S75" s="198"/>
      <c r="T75" s="198"/>
      <c r="U75" s="198"/>
    </row>
    <row r="76" spans="1:21" s="12" customFormat="1" x14ac:dyDescent="0.25">
      <c r="A76" s="216" t="s">
        <v>2041</v>
      </c>
      <c r="B76" s="64">
        <v>1.41</v>
      </c>
      <c r="C76" s="64">
        <v>4.3600000000000003</v>
      </c>
      <c r="D76" s="64">
        <v>3.33</v>
      </c>
      <c r="E76" s="64">
        <v>1.06</v>
      </c>
      <c r="F76" s="64">
        <v>4.8499999999999996</v>
      </c>
      <c r="G76" s="64">
        <v>19.5</v>
      </c>
      <c r="H76" s="64">
        <v>7.33</v>
      </c>
      <c r="I76" s="64">
        <v>5.68</v>
      </c>
      <c r="J76" s="64">
        <v>1.1100000000000001</v>
      </c>
      <c r="K76" s="64">
        <v>149.75</v>
      </c>
      <c r="L76" s="64">
        <v>33.93</v>
      </c>
      <c r="M76" s="64">
        <v>34.729999999999997</v>
      </c>
      <c r="N76" s="64">
        <v>87.1</v>
      </c>
      <c r="O76" s="64">
        <v>0</v>
      </c>
      <c r="P76" s="64">
        <v>0.28000000000000003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6" t="s">
        <v>2042</v>
      </c>
      <c r="B77" s="64">
        <v>1.39</v>
      </c>
      <c r="C77" s="64">
        <v>4.29</v>
      </c>
      <c r="D77" s="64">
        <v>3.27</v>
      </c>
      <c r="E77" s="64">
        <v>1.27</v>
      </c>
      <c r="F77" s="64">
        <v>5.05</v>
      </c>
      <c r="G77" s="64">
        <v>19.5</v>
      </c>
      <c r="H77" s="64">
        <v>7.21</v>
      </c>
      <c r="I77" s="64">
        <v>5.74</v>
      </c>
      <c r="J77" s="64">
        <v>0.81</v>
      </c>
      <c r="K77" s="64">
        <v>152.41</v>
      </c>
      <c r="L77" s="64">
        <v>33.770000000000003</v>
      </c>
      <c r="M77" s="64">
        <v>35.04</v>
      </c>
      <c r="N77" s="64">
        <v>76.5</v>
      </c>
      <c r="O77" s="64">
        <v>0</v>
      </c>
      <c r="P77" s="64">
        <v>0.27</v>
      </c>
      <c r="Q77" s="64">
        <v>9.1999999999999993</v>
      </c>
      <c r="R77" s="198"/>
      <c r="S77" s="198"/>
      <c r="T77" s="198"/>
      <c r="U77" s="198"/>
    </row>
    <row r="78" spans="1:21" s="12" customFormat="1" x14ac:dyDescent="0.25">
      <c r="A78" s="216" t="s">
        <v>2043</v>
      </c>
      <c r="B78" s="64">
        <v>1.36</v>
      </c>
      <c r="C78" s="64">
        <v>4.25</v>
      </c>
      <c r="D78" s="64">
        <v>3.23</v>
      </c>
      <c r="E78" s="64">
        <v>1.31</v>
      </c>
      <c r="F78" s="64">
        <v>4.83</v>
      </c>
      <c r="G78" s="64">
        <v>19.5</v>
      </c>
      <c r="H78" s="64">
        <v>7.21</v>
      </c>
      <c r="I78" s="64">
        <v>5.39</v>
      </c>
      <c r="J78" s="64">
        <v>0.14000000000000001</v>
      </c>
      <c r="K78" s="64">
        <v>148.27000000000001</v>
      </c>
      <c r="L78" s="64">
        <v>33.14</v>
      </c>
      <c r="M78" s="64">
        <v>38.25</v>
      </c>
      <c r="N78" s="64">
        <v>66.7</v>
      </c>
      <c r="O78" s="64">
        <v>0</v>
      </c>
      <c r="P78" s="64">
        <v>0.26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16" t="s">
        <v>2044</v>
      </c>
      <c r="B79" s="64">
        <v>1.36</v>
      </c>
      <c r="C79" s="64">
        <v>4.16</v>
      </c>
      <c r="D79" s="64">
        <v>3.18</v>
      </c>
      <c r="E79" s="64">
        <v>1.34</v>
      </c>
      <c r="F79" s="64">
        <v>4.6399999999999997</v>
      </c>
      <c r="G79" s="64">
        <v>19.5</v>
      </c>
      <c r="H79" s="64">
        <v>7.21</v>
      </c>
      <c r="I79" s="64">
        <v>5.2</v>
      </c>
      <c r="J79" s="64">
        <v>0.57999999999999996</v>
      </c>
      <c r="K79" s="64">
        <v>144.43</v>
      </c>
      <c r="L79" s="64">
        <v>33.14</v>
      </c>
      <c r="M79" s="64">
        <v>36.340000000000003</v>
      </c>
      <c r="N79" s="64">
        <v>54.9</v>
      </c>
      <c r="O79" s="64">
        <v>0</v>
      </c>
      <c r="P79" s="64">
        <v>0.26</v>
      </c>
      <c r="Q79" s="64">
        <v>9.19</v>
      </c>
      <c r="R79" s="198"/>
      <c r="S79" s="198"/>
      <c r="T79" s="198"/>
      <c r="U79" s="198"/>
    </row>
    <row r="80" spans="1:21" s="12" customFormat="1" x14ac:dyDescent="0.25">
      <c r="A80" s="216" t="s">
        <v>2045</v>
      </c>
      <c r="B80" s="64">
        <v>1.38</v>
      </c>
      <c r="C80" s="64">
        <v>4.29</v>
      </c>
      <c r="D80" s="64">
        <v>3.27</v>
      </c>
      <c r="E80" s="64">
        <v>1.1000000000000001</v>
      </c>
      <c r="F80" s="64">
        <v>4.49</v>
      </c>
      <c r="G80" s="64">
        <v>21.41</v>
      </c>
      <c r="H80" s="64">
        <v>9.1</v>
      </c>
      <c r="I80" s="64">
        <v>5.38</v>
      </c>
      <c r="J80" s="64">
        <v>0.59</v>
      </c>
      <c r="K80" s="64">
        <v>151.63999999999999</v>
      </c>
      <c r="L80" s="64">
        <v>33.04</v>
      </c>
      <c r="M80" s="64">
        <v>37.229999999999997</v>
      </c>
      <c r="N80" s="64">
        <v>43.3</v>
      </c>
      <c r="O80" s="64">
        <v>0</v>
      </c>
      <c r="P80" s="64">
        <v>0.25</v>
      </c>
      <c r="Q80" s="64">
        <v>9.19</v>
      </c>
      <c r="R80" s="198"/>
      <c r="S80" s="198"/>
      <c r="T80" s="198"/>
      <c r="U80" s="198"/>
    </row>
    <row r="81" spans="1:26" s="12" customFormat="1" x14ac:dyDescent="0.25">
      <c r="A81" s="216" t="s">
        <v>2046</v>
      </c>
      <c r="B81" s="64">
        <v>1.4</v>
      </c>
      <c r="C81" s="64">
        <v>4.46</v>
      </c>
      <c r="D81" s="64">
        <v>3.37</v>
      </c>
      <c r="E81" s="64">
        <v>1.1599999999999999</v>
      </c>
      <c r="F81" s="64">
        <v>4.71</v>
      </c>
      <c r="G81" s="64">
        <v>21.53</v>
      </c>
      <c r="H81" s="64">
        <v>9.2100000000000009</v>
      </c>
      <c r="I81" s="64">
        <v>5.6</v>
      </c>
      <c r="J81" s="64">
        <v>0.06</v>
      </c>
      <c r="K81" s="64">
        <v>182.76</v>
      </c>
      <c r="L81" s="64">
        <v>32.43</v>
      </c>
      <c r="M81" s="64">
        <v>40.42</v>
      </c>
      <c r="N81" s="64">
        <v>32.4</v>
      </c>
      <c r="O81" s="64">
        <v>0</v>
      </c>
      <c r="P81" s="64">
        <v>0.26</v>
      </c>
      <c r="Q81" s="64">
        <v>9.19</v>
      </c>
      <c r="R81" s="198"/>
      <c r="S81" s="198"/>
      <c r="T81" s="198"/>
      <c r="U81" s="198"/>
    </row>
    <row r="82" spans="1:26" s="12" customFormat="1" x14ac:dyDescent="0.25">
      <c r="A82" s="216" t="s">
        <v>2047</v>
      </c>
      <c r="B82" s="64">
        <v>1.39</v>
      </c>
      <c r="C82" s="64">
        <v>4.67</v>
      </c>
      <c r="D82" s="64">
        <v>3.47</v>
      </c>
      <c r="E82" s="64">
        <v>1.18</v>
      </c>
      <c r="F82" s="64">
        <v>4.57</v>
      </c>
      <c r="G82" s="64">
        <v>21.53</v>
      </c>
      <c r="H82" s="64">
        <v>9.2100000000000009</v>
      </c>
      <c r="I82" s="64">
        <v>5.61</v>
      </c>
      <c r="J82" s="64">
        <v>0.13</v>
      </c>
      <c r="K82" s="64">
        <v>278.77</v>
      </c>
      <c r="L82" s="64">
        <v>31.71</v>
      </c>
      <c r="M82" s="64">
        <v>44.21</v>
      </c>
      <c r="N82" s="64">
        <v>24.1</v>
      </c>
      <c r="O82" s="64">
        <v>0</v>
      </c>
      <c r="P82" s="64">
        <v>0.27</v>
      </c>
      <c r="Q82" s="64">
        <v>9.18</v>
      </c>
      <c r="R82" s="198"/>
      <c r="S82" s="198"/>
      <c r="T82" s="198"/>
      <c r="U82" s="198"/>
    </row>
    <row r="83" spans="1:26" s="12" customFormat="1" x14ac:dyDescent="0.25">
      <c r="A83" s="216" t="s">
        <v>2048</v>
      </c>
      <c r="B83" s="64">
        <v>1.4</v>
      </c>
      <c r="C83" s="64">
        <v>4.9400000000000004</v>
      </c>
      <c r="D83" s="64">
        <v>3.63</v>
      </c>
      <c r="E83" s="64">
        <v>1.24</v>
      </c>
      <c r="F83" s="64">
        <v>4.63</v>
      </c>
      <c r="G83" s="64">
        <v>21.53</v>
      </c>
      <c r="H83" s="64">
        <v>9.2100000000000009</v>
      </c>
      <c r="I83" s="64">
        <v>5.29</v>
      </c>
      <c r="J83" s="64">
        <v>0.38</v>
      </c>
      <c r="K83" s="64">
        <v>149.41999999999999</v>
      </c>
      <c r="L83" s="64">
        <v>31.4</v>
      </c>
      <c r="M83" s="64">
        <v>44.85</v>
      </c>
      <c r="N83" s="64">
        <v>20.7</v>
      </c>
      <c r="O83" s="64">
        <v>0</v>
      </c>
      <c r="P83" s="64">
        <v>0.28000000000000003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6" t="s">
        <v>2049</v>
      </c>
      <c r="B84" s="64">
        <v>1.47</v>
      </c>
      <c r="C84" s="64">
        <v>5.54</v>
      </c>
      <c r="D84" s="64">
        <v>3.99</v>
      </c>
      <c r="E84" s="64">
        <v>1.29</v>
      </c>
      <c r="F84" s="64">
        <v>4.17</v>
      </c>
      <c r="G84" s="64">
        <v>29.94</v>
      </c>
      <c r="H84" s="64">
        <v>11.34</v>
      </c>
      <c r="I84" s="64">
        <v>5.24</v>
      </c>
      <c r="J84" s="64">
        <v>0.89</v>
      </c>
      <c r="K84" s="64">
        <v>144.11000000000001</v>
      </c>
      <c r="L84" s="64">
        <v>32.08</v>
      </c>
      <c r="M84" s="64">
        <v>40.74</v>
      </c>
      <c r="N84" s="64">
        <v>19.8</v>
      </c>
      <c r="O84" s="64">
        <v>0</v>
      </c>
      <c r="P84" s="64">
        <v>0.3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6" t="s">
        <v>2050</v>
      </c>
      <c r="B85" s="64">
        <v>1.53</v>
      </c>
      <c r="C85" s="64">
        <v>6.34</v>
      </c>
      <c r="D85" s="64">
        <v>4.46</v>
      </c>
      <c r="E85" s="64">
        <v>1.1299999999999999</v>
      </c>
      <c r="F85" s="64">
        <v>3.83</v>
      </c>
      <c r="G85" s="64">
        <v>30.44</v>
      </c>
      <c r="H85" s="64">
        <v>11.47</v>
      </c>
      <c r="I85" s="64">
        <v>5.47</v>
      </c>
      <c r="J85" s="64">
        <v>1.1299999999999999</v>
      </c>
      <c r="K85" s="64">
        <v>144.18</v>
      </c>
      <c r="L85" s="64">
        <v>32.14</v>
      </c>
      <c r="M85" s="64">
        <v>40.04</v>
      </c>
      <c r="N85" s="64">
        <v>19.8</v>
      </c>
      <c r="O85" s="64">
        <v>0</v>
      </c>
      <c r="P85" s="64">
        <v>0.33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6" t="s">
        <v>2051</v>
      </c>
      <c r="B86" s="64">
        <v>1.53</v>
      </c>
      <c r="C86" s="64">
        <v>5.91</v>
      </c>
      <c r="D86" s="64">
        <v>4.2300000000000004</v>
      </c>
      <c r="E86" s="64">
        <v>0.94</v>
      </c>
      <c r="F86" s="64">
        <v>4.18</v>
      </c>
      <c r="G86" s="64">
        <v>30.44</v>
      </c>
      <c r="H86" s="64">
        <v>11.47</v>
      </c>
      <c r="I86" s="64">
        <v>5.72</v>
      </c>
      <c r="J86" s="64">
        <v>0.74</v>
      </c>
      <c r="K86" s="64">
        <v>145.5</v>
      </c>
      <c r="L86" s="64">
        <v>32.090000000000003</v>
      </c>
      <c r="M86" s="64">
        <v>39.9</v>
      </c>
      <c r="N86" s="64">
        <v>20.2</v>
      </c>
      <c r="O86" s="64">
        <v>0</v>
      </c>
      <c r="P86" s="64">
        <v>0.38</v>
      </c>
      <c r="Q86" s="64">
        <v>9.19</v>
      </c>
      <c r="R86" s="198"/>
      <c r="S86" s="198"/>
      <c r="T86" s="198"/>
      <c r="U86" s="198"/>
    </row>
    <row r="87" spans="1:26" s="12" customFormat="1" x14ac:dyDescent="0.25">
      <c r="A87" s="216" t="s">
        <v>2052</v>
      </c>
      <c r="B87" s="64">
        <v>1.54</v>
      </c>
      <c r="C87" s="64">
        <v>5.55</v>
      </c>
      <c r="D87" s="64">
        <v>4.05</v>
      </c>
      <c r="E87" s="64">
        <v>0.59</v>
      </c>
      <c r="F87" s="64">
        <v>4.18</v>
      </c>
      <c r="G87" s="64">
        <v>30.44</v>
      </c>
      <c r="H87" s="64">
        <v>11.47</v>
      </c>
      <c r="I87" s="64">
        <v>5.8</v>
      </c>
      <c r="J87" s="64">
        <v>0.57999999999999996</v>
      </c>
      <c r="K87" s="64">
        <v>145.43</v>
      </c>
      <c r="L87" s="64">
        <v>31.76</v>
      </c>
      <c r="M87" s="64">
        <v>41.02</v>
      </c>
      <c r="N87" s="64">
        <v>20.399999999999999</v>
      </c>
      <c r="O87" s="64">
        <v>0</v>
      </c>
      <c r="P87" s="64">
        <v>0.4</v>
      </c>
      <c r="Q87" s="64">
        <v>9.23</v>
      </c>
      <c r="R87" s="198"/>
      <c r="S87" s="198"/>
      <c r="T87" s="198"/>
      <c r="U87" s="198"/>
    </row>
    <row r="88" spans="1:26" s="12" customFormat="1" x14ac:dyDescent="0.25">
      <c r="A88" s="216" t="s">
        <v>2053</v>
      </c>
      <c r="B88" s="64">
        <v>1.53</v>
      </c>
      <c r="C88" s="64">
        <v>5.47</v>
      </c>
      <c r="D88" s="64">
        <v>4</v>
      </c>
      <c r="E88" s="64">
        <v>1.81</v>
      </c>
      <c r="F88" s="64">
        <v>3.94</v>
      </c>
      <c r="G88" s="64">
        <v>46.84</v>
      </c>
      <c r="H88" s="64">
        <v>15.1</v>
      </c>
      <c r="I88" s="64">
        <v>5.54</v>
      </c>
      <c r="J88" s="64">
        <v>0.11</v>
      </c>
      <c r="K88" s="64">
        <v>147.19999999999999</v>
      </c>
      <c r="L88" s="64">
        <v>31.49</v>
      </c>
      <c r="M88" s="64">
        <v>42.1</v>
      </c>
      <c r="N88" s="64">
        <v>20.6</v>
      </c>
      <c r="O88" s="64">
        <v>0</v>
      </c>
      <c r="P88" s="64">
        <v>0.42</v>
      </c>
      <c r="Q88" s="64">
        <v>9.26</v>
      </c>
      <c r="R88" s="198"/>
      <c r="S88" s="198"/>
      <c r="T88" s="198"/>
      <c r="U88" s="198"/>
    </row>
    <row r="89" spans="1:26" s="12" customFormat="1" x14ac:dyDescent="0.25">
      <c r="A89" s="216" t="s">
        <v>2054</v>
      </c>
      <c r="B89" s="64">
        <v>1.54</v>
      </c>
      <c r="C89" s="64">
        <v>5.49</v>
      </c>
      <c r="D89" s="64">
        <v>4.03</v>
      </c>
      <c r="E89" s="64">
        <v>1.66</v>
      </c>
      <c r="F89" s="64">
        <v>4.2300000000000004</v>
      </c>
      <c r="G89" s="64">
        <v>47.81</v>
      </c>
      <c r="H89" s="64">
        <v>15.32</v>
      </c>
      <c r="I89" s="64">
        <v>5.31</v>
      </c>
      <c r="J89" s="64">
        <v>0.26</v>
      </c>
      <c r="K89" s="64">
        <v>137.30000000000001</v>
      </c>
      <c r="L89" s="64">
        <v>31.32</v>
      </c>
      <c r="M89" s="64">
        <v>42.52</v>
      </c>
      <c r="N89" s="64">
        <v>20.399999999999999</v>
      </c>
      <c r="O89" s="64">
        <v>0</v>
      </c>
      <c r="P89" s="64">
        <v>0.44</v>
      </c>
      <c r="Q89" s="64">
        <v>9.3000000000000007</v>
      </c>
      <c r="R89" s="198"/>
      <c r="S89" s="198"/>
      <c r="T89" s="198"/>
      <c r="U89" s="198"/>
    </row>
    <row r="90" spans="1:26" s="12" customFormat="1" x14ac:dyDescent="0.25">
      <c r="A90" s="216" t="s">
        <v>2055</v>
      </c>
      <c r="B90" s="64">
        <v>1.58</v>
      </c>
      <c r="C90" s="64">
        <v>5.49</v>
      </c>
      <c r="D90" s="64">
        <v>4.0599999999999996</v>
      </c>
      <c r="E90" s="64">
        <v>1.62</v>
      </c>
      <c r="F90" s="64">
        <v>4.01</v>
      </c>
      <c r="G90" s="64">
        <v>47.81</v>
      </c>
      <c r="H90" s="64">
        <v>15.32</v>
      </c>
      <c r="I90" s="64">
        <v>5.36</v>
      </c>
      <c r="J90" s="64">
        <v>1.05</v>
      </c>
      <c r="K90" s="64">
        <v>147.26</v>
      </c>
      <c r="L90" s="64">
        <v>31.38</v>
      </c>
      <c r="M90" s="64">
        <v>42.72</v>
      </c>
      <c r="N90" s="64">
        <v>19.600000000000001</v>
      </c>
      <c r="O90" s="64">
        <v>0</v>
      </c>
      <c r="P90" s="64">
        <v>0.43</v>
      </c>
      <c r="Q90" s="64">
        <v>9.32</v>
      </c>
      <c r="R90" s="198"/>
      <c r="S90" s="198"/>
      <c r="T90" s="198"/>
      <c r="U90" s="198"/>
    </row>
    <row r="91" spans="1:26" s="12" customFormat="1" x14ac:dyDescent="0.25">
      <c r="A91" s="216" t="s">
        <v>2056</v>
      </c>
      <c r="B91" s="64">
        <v>1.62</v>
      </c>
      <c r="C91" s="64">
        <v>5.46</v>
      </c>
      <c r="D91" s="64">
        <v>4.07</v>
      </c>
      <c r="E91" s="64">
        <v>1.99</v>
      </c>
      <c r="F91" s="64">
        <v>3.99</v>
      </c>
      <c r="G91" s="64">
        <v>47.81</v>
      </c>
      <c r="H91" s="64">
        <v>15.32</v>
      </c>
      <c r="I91" s="64">
        <v>5.6</v>
      </c>
      <c r="J91" s="64">
        <v>0.38</v>
      </c>
      <c r="K91" s="64">
        <v>141.66999999999999</v>
      </c>
      <c r="L91" s="64">
        <v>31.14</v>
      </c>
      <c r="M91" s="64">
        <v>44.37</v>
      </c>
      <c r="N91" s="64">
        <v>20.5</v>
      </c>
      <c r="O91" s="64">
        <v>0</v>
      </c>
      <c r="P91" s="64">
        <v>0.45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6" t="s">
        <v>2057</v>
      </c>
      <c r="B92" s="64">
        <v>1.75</v>
      </c>
      <c r="C92" s="64">
        <v>5.62</v>
      </c>
      <c r="D92" s="64">
        <v>4.26</v>
      </c>
      <c r="E92" s="64">
        <v>1.64</v>
      </c>
      <c r="F92" s="64">
        <v>3.78</v>
      </c>
      <c r="G92" s="64">
        <v>49.29</v>
      </c>
      <c r="H92" s="64">
        <v>15.81</v>
      </c>
      <c r="I92" s="64">
        <v>5.87</v>
      </c>
      <c r="J92" s="64">
        <v>0.94</v>
      </c>
      <c r="K92" s="64">
        <v>358.46</v>
      </c>
      <c r="L92" s="64">
        <v>31</v>
      </c>
      <c r="M92" s="64">
        <v>35.78</v>
      </c>
      <c r="N92" s="64">
        <v>20.6</v>
      </c>
      <c r="O92" s="64">
        <v>0</v>
      </c>
      <c r="P92" s="64">
        <v>0.47</v>
      </c>
      <c r="Q92" s="64">
        <v>9.3000000000000007</v>
      </c>
      <c r="R92" s="198"/>
      <c r="S92" s="198"/>
      <c r="T92" s="198"/>
      <c r="U92" s="198"/>
    </row>
    <row r="93" spans="1:26" s="12" customFormat="1" x14ac:dyDescent="0.25">
      <c r="A93" s="216" t="s">
        <v>2058</v>
      </c>
      <c r="B93" s="64">
        <v>1.82</v>
      </c>
      <c r="C93" s="64">
        <v>5.93</v>
      </c>
      <c r="D93" s="64">
        <v>4.4800000000000004</v>
      </c>
      <c r="E93" s="64">
        <v>1.67</v>
      </c>
      <c r="F93" s="64">
        <v>4.3</v>
      </c>
      <c r="G93" s="64">
        <v>49.38</v>
      </c>
      <c r="H93" s="64">
        <v>15.84</v>
      </c>
      <c r="I93" s="64">
        <v>6.24</v>
      </c>
      <c r="J93" s="64">
        <v>1.24</v>
      </c>
      <c r="K93" s="64">
        <v>347.18</v>
      </c>
      <c r="L93" s="64">
        <v>30.71</v>
      </c>
      <c r="M93" s="64">
        <v>35.72</v>
      </c>
      <c r="N93" s="64">
        <v>20.399999999999999</v>
      </c>
      <c r="O93" s="64">
        <v>0</v>
      </c>
      <c r="P93" s="64">
        <v>0.48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6" t="s">
        <v>2059</v>
      </c>
      <c r="B94" s="64">
        <v>1.96</v>
      </c>
      <c r="C94" s="64">
        <v>7.14</v>
      </c>
      <c r="D94" s="64">
        <v>5.22</v>
      </c>
      <c r="E94" s="64">
        <v>1.89</v>
      </c>
      <c r="F94" s="64">
        <v>4</v>
      </c>
      <c r="G94" s="64">
        <v>49.38</v>
      </c>
      <c r="H94" s="64">
        <v>15.84</v>
      </c>
      <c r="I94" s="64">
        <v>6.62</v>
      </c>
      <c r="J94" s="64">
        <v>0.88</v>
      </c>
      <c r="K94" s="64">
        <v>354.35</v>
      </c>
      <c r="L94" s="64">
        <v>30.4</v>
      </c>
      <c r="M94" s="64">
        <v>34.43</v>
      </c>
      <c r="N94" s="64">
        <v>21.1</v>
      </c>
      <c r="O94" s="64">
        <v>0</v>
      </c>
      <c r="P94" s="64">
        <v>0.52</v>
      </c>
      <c r="Q94" s="64">
        <v>9.3699999999999992</v>
      </c>
      <c r="R94" s="198"/>
      <c r="S94" s="198"/>
      <c r="T94" s="198"/>
      <c r="U94" s="198"/>
    </row>
    <row r="95" spans="1:26" s="12" customFormat="1" x14ac:dyDescent="0.25">
      <c r="A95" s="216" t="s">
        <v>2060</v>
      </c>
      <c r="B95" s="64">
        <v>2.19</v>
      </c>
      <c r="C95" s="64">
        <v>8.08</v>
      </c>
      <c r="D95" s="64">
        <v>5.9</v>
      </c>
      <c r="E95" s="64">
        <v>1.63</v>
      </c>
      <c r="F95" s="64">
        <v>3.58</v>
      </c>
      <c r="G95" s="64">
        <v>49.38</v>
      </c>
      <c r="H95" s="64">
        <v>15.84</v>
      </c>
      <c r="I95" s="64">
        <v>6.78</v>
      </c>
      <c r="J95" s="64">
        <v>0.33</v>
      </c>
      <c r="K95" s="64">
        <v>356.93</v>
      </c>
      <c r="L95" s="64">
        <v>29.88</v>
      </c>
      <c r="M95" s="64">
        <v>34.97</v>
      </c>
      <c r="N95" s="64">
        <v>21.2</v>
      </c>
      <c r="O95" s="64">
        <v>0</v>
      </c>
      <c r="P95" s="64">
        <v>0.54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16" t="s">
        <v>2061</v>
      </c>
      <c r="B96" s="64">
        <v>2.2400000000000002</v>
      </c>
      <c r="C96" s="64">
        <v>7.98</v>
      </c>
      <c r="D96" s="64">
        <v>5.89</v>
      </c>
      <c r="E96" s="64">
        <v>1.98</v>
      </c>
      <c r="F96" s="64">
        <v>3.63</v>
      </c>
      <c r="G96" s="64">
        <v>49.58</v>
      </c>
      <c r="H96" s="64">
        <v>16.47</v>
      </c>
      <c r="I96" s="64">
        <v>6.75</v>
      </c>
      <c r="J96" s="64">
        <v>0.52</v>
      </c>
      <c r="K96" s="64">
        <v>339.81</v>
      </c>
      <c r="L96" s="64">
        <v>29.55</v>
      </c>
      <c r="M96" s="64">
        <v>37.630000000000003</v>
      </c>
      <c r="N96" s="64">
        <v>21</v>
      </c>
      <c r="O96" s="64">
        <v>0</v>
      </c>
      <c r="P96" s="64">
        <v>0.54</v>
      </c>
      <c r="Q96" s="64">
        <v>9.33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2062</v>
      </c>
      <c r="B97" s="64">
        <v>2.58</v>
      </c>
      <c r="C97" s="64">
        <v>8.42</v>
      </c>
      <c r="D97" s="64">
        <v>6.39</v>
      </c>
      <c r="E97" s="64">
        <v>2.0299999999999998</v>
      </c>
      <c r="F97" s="64">
        <v>3.06</v>
      </c>
      <c r="G97" s="64">
        <v>49.59</v>
      </c>
      <c r="H97" s="64">
        <v>16.510000000000002</v>
      </c>
      <c r="I97" s="64">
        <v>6.64</v>
      </c>
      <c r="J97" s="64">
        <v>0.54</v>
      </c>
      <c r="K97" s="64">
        <v>344.02</v>
      </c>
      <c r="L97" s="64">
        <v>29.21</v>
      </c>
      <c r="M97" s="64">
        <v>41.32</v>
      </c>
      <c r="N97" s="64">
        <v>20.8</v>
      </c>
      <c r="O97" s="64">
        <v>0</v>
      </c>
      <c r="P97" s="64">
        <v>0.56000000000000005</v>
      </c>
      <c r="Q97" s="64">
        <v>9.33</v>
      </c>
      <c r="R97" s="198"/>
      <c r="S97" s="198"/>
      <c r="T97" s="198"/>
      <c r="U97" s="198"/>
    </row>
    <row r="98" spans="1:33" s="12" customFormat="1" x14ac:dyDescent="0.25">
      <c r="A98" s="216" t="s">
        <v>2063</v>
      </c>
      <c r="B98" s="64">
        <v>2.8</v>
      </c>
      <c r="C98" s="64">
        <v>8.5399999999999991</v>
      </c>
      <c r="D98" s="64">
        <v>6.63</v>
      </c>
      <c r="E98" s="64">
        <v>1.83</v>
      </c>
      <c r="F98" s="64">
        <v>3.65</v>
      </c>
      <c r="G98" s="64">
        <v>49.59</v>
      </c>
      <c r="H98" s="64">
        <v>16.510000000000002</v>
      </c>
      <c r="I98" s="64">
        <v>6.52</v>
      </c>
      <c r="J98" s="64">
        <v>1.03</v>
      </c>
      <c r="K98" s="64">
        <v>349.82</v>
      </c>
      <c r="L98" s="64">
        <v>28.97</v>
      </c>
      <c r="M98" s="64">
        <v>42.84</v>
      </c>
      <c r="N98" s="64">
        <v>20.9</v>
      </c>
      <c r="O98" s="64">
        <v>0</v>
      </c>
      <c r="P98" s="64">
        <v>0.56000000000000005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6" t="s">
        <v>2064</v>
      </c>
      <c r="B99" s="64">
        <v>2.78</v>
      </c>
      <c r="C99" s="64">
        <v>8.3699999999999992</v>
      </c>
      <c r="D99" s="64">
        <v>6.52</v>
      </c>
      <c r="E99" s="64">
        <v>1.9</v>
      </c>
      <c r="F99" s="64">
        <v>3.27</v>
      </c>
      <c r="G99" s="64">
        <v>49.59</v>
      </c>
      <c r="H99" s="64">
        <v>16.510000000000002</v>
      </c>
      <c r="I99" s="64">
        <v>6.44</v>
      </c>
      <c r="J99" s="64">
        <v>0.13</v>
      </c>
      <c r="K99" s="64">
        <v>359.87</v>
      </c>
      <c r="L99" s="64">
        <v>28.74</v>
      </c>
      <c r="M99" s="64">
        <v>43.77</v>
      </c>
      <c r="N99" s="64">
        <v>21.1</v>
      </c>
      <c r="O99" s="64">
        <v>0</v>
      </c>
      <c r="P99" s="64">
        <v>0.56999999999999995</v>
      </c>
      <c r="Q99" s="64">
        <v>9.36</v>
      </c>
      <c r="R99" s="198"/>
      <c r="S99" s="198"/>
      <c r="T99" s="198"/>
      <c r="U99" s="198"/>
    </row>
    <row r="100" spans="1:33" s="12" customFormat="1" x14ac:dyDescent="0.25">
      <c r="A100" s="216" t="s">
        <v>2065</v>
      </c>
      <c r="B100" s="64">
        <v>2.64</v>
      </c>
      <c r="C100" s="64">
        <v>7.76</v>
      </c>
      <c r="D100" s="64">
        <v>6.09</v>
      </c>
      <c r="E100" s="64">
        <v>1.76</v>
      </c>
      <c r="F100" s="64">
        <v>3.53</v>
      </c>
      <c r="G100" s="64">
        <v>51.31</v>
      </c>
      <c r="H100" s="64">
        <v>15.29</v>
      </c>
      <c r="I100" s="64">
        <v>6.33</v>
      </c>
      <c r="J100" s="64">
        <v>0.17</v>
      </c>
      <c r="K100" s="64">
        <v>190.51</v>
      </c>
      <c r="L100" s="64">
        <v>28.55</v>
      </c>
      <c r="M100" s="64">
        <v>44.21</v>
      </c>
      <c r="N100" s="64">
        <v>20.7</v>
      </c>
      <c r="O100" s="64">
        <v>0</v>
      </c>
      <c r="P100" s="64">
        <v>0.56000000000000005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2066</v>
      </c>
      <c r="B101" s="64">
        <v>2.4500000000000002</v>
      </c>
      <c r="C101" s="64">
        <v>7.17</v>
      </c>
      <c r="D101" s="64">
        <v>5.63</v>
      </c>
      <c r="E101" s="64">
        <v>1.79</v>
      </c>
      <c r="F101" s="64">
        <v>3.89</v>
      </c>
      <c r="G101" s="64">
        <v>51.41</v>
      </c>
      <c r="H101" s="64">
        <v>15.21</v>
      </c>
      <c r="I101" s="64">
        <v>5.76</v>
      </c>
      <c r="J101" s="64">
        <v>0.13</v>
      </c>
      <c r="K101" s="64">
        <v>161.04</v>
      </c>
      <c r="L101" s="64">
        <v>28.81</v>
      </c>
      <c r="M101" s="64">
        <v>43.58</v>
      </c>
      <c r="N101" s="64">
        <v>20.3</v>
      </c>
      <c r="O101" s="64">
        <v>0</v>
      </c>
      <c r="P101" s="64">
        <v>0.56000000000000005</v>
      </c>
      <c r="Q101" s="64">
        <v>9.4</v>
      </c>
      <c r="R101" s="198"/>
      <c r="S101" s="198"/>
      <c r="T101" s="198"/>
      <c r="U101" s="198"/>
    </row>
    <row r="102" spans="1:33" s="12" customFormat="1" x14ac:dyDescent="0.25">
      <c r="A102" s="216" t="s">
        <v>2067</v>
      </c>
      <c r="B102" s="64">
        <v>2.3199999999999998</v>
      </c>
      <c r="C102" s="64">
        <v>6.92</v>
      </c>
      <c r="D102" s="64">
        <v>5.4</v>
      </c>
      <c r="E102" s="64">
        <v>1.44</v>
      </c>
      <c r="F102" s="64">
        <v>4.0199999999999996</v>
      </c>
      <c r="G102" s="64">
        <v>51.41</v>
      </c>
      <c r="H102" s="64">
        <v>15.21</v>
      </c>
      <c r="I102" s="64">
        <v>5.47</v>
      </c>
      <c r="J102" s="64">
        <v>0.15</v>
      </c>
      <c r="K102" s="64">
        <v>170.17</v>
      </c>
      <c r="L102" s="64">
        <v>28.78</v>
      </c>
      <c r="M102" s="64">
        <v>43.92</v>
      </c>
      <c r="N102" s="64">
        <v>20.5</v>
      </c>
      <c r="O102" s="64">
        <v>0</v>
      </c>
      <c r="P102" s="64">
        <v>0.54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6" t="s">
        <v>2068</v>
      </c>
      <c r="B103" s="64">
        <v>2.17</v>
      </c>
      <c r="C103" s="64">
        <v>6.73</v>
      </c>
      <c r="D103" s="64">
        <v>5.18</v>
      </c>
      <c r="E103" s="64">
        <v>1.7</v>
      </c>
      <c r="F103" s="64">
        <v>4.12</v>
      </c>
      <c r="G103" s="64">
        <v>51.41</v>
      </c>
      <c r="H103" s="64">
        <v>15.21</v>
      </c>
      <c r="I103" s="64">
        <v>5.57</v>
      </c>
      <c r="J103" s="64">
        <v>0.09</v>
      </c>
      <c r="K103" s="64">
        <v>128.38</v>
      </c>
      <c r="L103" s="64">
        <v>28.27</v>
      </c>
      <c r="M103" s="64">
        <v>47.56</v>
      </c>
      <c r="N103" s="64">
        <v>21.1</v>
      </c>
      <c r="O103" s="64">
        <v>0</v>
      </c>
      <c r="P103" s="64">
        <v>0.54</v>
      </c>
      <c r="Q103" s="64">
        <v>9.33</v>
      </c>
      <c r="R103" s="198"/>
      <c r="S103" s="198"/>
      <c r="T103" s="198"/>
      <c r="U103" s="198"/>
    </row>
    <row r="104" spans="1:33" s="12" customFormat="1" x14ac:dyDescent="0.25">
      <c r="A104" s="216" t="s">
        <v>2069</v>
      </c>
      <c r="B104" s="64">
        <v>2.04</v>
      </c>
      <c r="C104" s="64">
        <v>6.35</v>
      </c>
      <c r="D104" s="64">
        <v>4.87</v>
      </c>
      <c r="E104" s="64">
        <v>2.11</v>
      </c>
      <c r="F104" s="64">
        <v>3.55</v>
      </c>
      <c r="G104" s="64">
        <v>52.49</v>
      </c>
      <c r="H104" s="64">
        <v>14.33</v>
      </c>
      <c r="I104" s="64">
        <v>5.7</v>
      </c>
      <c r="J104" s="64">
        <v>0.74</v>
      </c>
      <c r="K104" s="64">
        <v>148.53</v>
      </c>
      <c r="L104" s="64">
        <v>27.97</v>
      </c>
      <c r="M104" s="64">
        <v>48.41</v>
      </c>
      <c r="N104" s="64">
        <v>20.9</v>
      </c>
      <c r="O104" s="64">
        <v>0</v>
      </c>
      <c r="P104" s="64">
        <v>0.52</v>
      </c>
      <c r="Q104" s="64">
        <v>9.3800000000000008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1.36</v>
      </c>
      <c r="C106" s="67">
        <f>MIN(C9:C104)</f>
        <v>1.95</v>
      </c>
      <c r="D106" s="67">
        <f t="shared" ref="D106:Q106" si="0">MIN(D9:D104)</f>
        <v>2.2999999999999998</v>
      </c>
      <c r="E106" s="67">
        <f t="shared" si="0"/>
        <v>0.59</v>
      </c>
      <c r="F106" s="67">
        <f t="shared" si="0"/>
        <v>2.75</v>
      </c>
      <c r="G106" s="67">
        <f t="shared" si="0"/>
        <v>8.09</v>
      </c>
      <c r="H106" s="67">
        <f t="shared" si="0"/>
        <v>2.35</v>
      </c>
      <c r="I106" s="67">
        <f t="shared" si="0"/>
        <v>2.13</v>
      </c>
      <c r="J106" s="67">
        <f t="shared" si="0"/>
        <v>0.01</v>
      </c>
      <c r="K106" s="67">
        <f t="shared" si="0"/>
        <v>3.01</v>
      </c>
      <c r="L106" s="67">
        <f t="shared" si="0"/>
        <v>22.64</v>
      </c>
      <c r="M106" s="67">
        <f t="shared" si="0"/>
        <v>30.49</v>
      </c>
      <c r="N106" s="67">
        <f t="shared" si="0"/>
        <v>19.600000000000001</v>
      </c>
      <c r="O106" s="67">
        <f t="shared" si="0"/>
        <v>0</v>
      </c>
      <c r="P106" s="67">
        <f t="shared" si="0"/>
        <v>0.18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2.8</v>
      </c>
      <c r="C107" s="66">
        <f t="shared" ref="C107:Q107" si="1">MAX(C9:C104)</f>
        <v>8.5399999999999991</v>
      </c>
      <c r="D107" s="66">
        <f t="shared" si="1"/>
        <v>6.63</v>
      </c>
      <c r="E107" s="66">
        <f t="shared" si="1"/>
        <v>2.4</v>
      </c>
      <c r="F107" s="66">
        <f t="shared" si="1"/>
        <v>5.46</v>
      </c>
      <c r="G107" s="66">
        <f t="shared" si="1"/>
        <v>52.49</v>
      </c>
      <c r="H107" s="66">
        <f t="shared" si="1"/>
        <v>16.510000000000002</v>
      </c>
      <c r="I107" s="66">
        <f t="shared" si="1"/>
        <v>6.78</v>
      </c>
      <c r="J107" s="66">
        <f t="shared" si="1"/>
        <v>1.95</v>
      </c>
      <c r="K107" s="66">
        <f t="shared" si="1"/>
        <v>359.87</v>
      </c>
      <c r="L107" s="66">
        <f t="shared" si="1"/>
        <v>37.49</v>
      </c>
      <c r="M107" s="66">
        <f t="shared" si="1"/>
        <v>83.64</v>
      </c>
      <c r="N107" s="66">
        <f t="shared" si="1"/>
        <v>915.9</v>
      </c>
      <c r="O107" s="66">
        <f t="shared" si="1"/>
        <v>0</v>
      </c>
      <c r="P107" s="66">
        <f t="shared" si="1"/>
        <v>0.56999999999999995</v>
      </c>
      <c r="Q107" s="66">
        <f t="shared" si="1"/>
        <v>9.4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1.7430208333333332</v>
      </c>
      <c r="C108" s="67">
        <f t="shared" ref="C108:Q108" si="2">AVERAGE(C9:C104)</f>
        <v>4.1658333333333353</v>
      </c>
      <c r="D108" s="67">
        <f t="shared" si="2"/>
        <v>3.4936458333333325</v>
      </c>
      <c r="E108" s="67">
        <f t="shared" si="2"/>
        <v>1.386770833333334</v>
      </c>
      <c r="F108" s="67">
        <f t="shared" si="2"/>
        <v>4.1018749999999988</v>
      </c>
      <c r="G108" s="67">
        <f t="shared" si="2"/>
        <v>23.356770833333329</v>
      </c>
      <c r="H108" s="67">
        <f t="shared" si="2"/>
        <v>7.4960416666666676</v>
      </c>
      <c r="I108" s="67">
        <f t="shared" si="2"/>
        <v>4.0019791666666666</v>
      </c>
      <c r="J108" s="67">
        <f t="shared" si="2"/>
        <v>0.52239583333333361</v>
      </c>
      <c r="K108" s="67">
        <f t="shared" si="2"/>
        <v>232.91270833333328</v>
      </c>
      <c r="L108" s="67">
        <f t="shared" si="2"/>
        <v>29.886354166666667</v>
      </c>
      <c r="M108" s="67">
        <f t="shared" si="2"/>
        <v>52.961979166666687</v>
      </c>
      <c r="N108" s="67">
        <f t="shared" si="2"/>
        <v>257.90729166666665</v>
      </c>
      <c r="O108" s="67">
        <f t="shared" si="2"/>
        <v>0</v>
      </c>
      <c r="P108" s="67">
        <f t="shared" si="2"/>
        <v>0.32343749999999988</v>
      </c>
      <c r="Q108" s="67">
        <f t="shared" si="2"/>
        <v>9.2610416666666762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0.34031601348612667</v>
      </c>
      <c r="C109" s="67">
        <f t="shared" ref="C109:Q109" si="3">STDEV(C9:C104)</f>
        <v>1.6476290248441099</v>
      </c>
      <c r="D109" s="67">
        <f t="shared" si="3"/>
        <v>0.98471702565459751</v>
      </c>
      <c r="E109" s="67">
        <f t="shared" si="3"/>
        <v>0.33600593601168288</v>
      </c>
      <c r="F109" s="67">
        <f t="shared" si="3"/>
        <v>0.68768155497485939</v>
      </c>
      <c r="G109" s="67">
        <f t="shared" si="3"/>
        <v>13.246670961716484</v>
      </c>
      <c r="H109" s="67">
        <f t="shared" si="3"/>
        <v>4.6735868067631818</v>
      </c>
      <c r="I109" s="67">
        <f t="shared" si="3"/>
        <v>1.4143182250351796</v>
      </c>
      <c r="J109" s="67">
        <f t="shared" si="3"/>
        <v>0.45669463434015428</v>
      </c>
      <c r="K109" s="67">
        <f t="shared" si="3"/>
        <v>102.60839056159284</v>
      </c>
      <c r="L109" s="67">
        <f t="shared" si="3"/>
        <v>4.9516368627569838</v>
      </c>
      <c r="M109" s="67">
        <f t="shared" si="3"/>
        <v>19.115429899748243</v>
      </c>
      <c r="N109" s="67">
        <f t="shared" si="3"/>
        <v>318.66798536037527</v>
      </c>
      <c r="O109" s="67">
        <f t="shared" si="3"/>
        <v>0</v>
      </c>
      <c r="P109" s="67">
        <f t="shared" si="3"/>
        <v>0.11440305594924623</v>
      </c>
      <c r="Q109" s="67">
        <f t="shared" si="3"/>
        <v>6.19758724983345E-2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2" sqref="G1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2070</v>
      </c>
      <c r="B9" s="64">
        <v>1.98</v>
      </c>
      <c r="C9" s="64">
        <v>5.62</v>
      </c>
      <c r="D9" s="64">
        <v>4.45</v>
      </c>
      <c r="E9" s="64">
        <v>2.2999999999999998</v>
      </c>
      <c r="F9" s="64">
        <v>3.6</v>
      </c>
      <c r="G9" s="64">
        <v>52.56</v>
      </c>
      <c r="H9" s="64">
        <v>14.27</v>
      </c>
      <c r="I9" s="64">
        <v>5.5</v>
      </c>
      <c r="J9" s="64">
        <v>0.03</v>
      </c>
      <c r="K9" s="64">
        <v>334.21</v>
      </c>
      <c r="L9" s="64">
        <v>27.85</v>
      </c>
      <c r="M9" s="64">
        <v>49.15</v>
      </c>
      <c r="N9" s="64">
        <v>20.9</v>
      </c>
      <c r="O9" s="64">
        <v>0</v>
      </c>
      <c r="P9" s="64">
        <v>0.51</v>
      </c>
      <c r="Q9" s="64">
        <v>9.36</v>
      </c>
      <c r="R9" s="198"/>
      <c r="S9" s="198"/>
      <c r="T9" s="198"/>
      <c r="U9" s="198"/>
    </row>
    <row r="10" spans="1:21" s="12" customFormat="1" x14ac:dyDescent="0.25">
      <c r="A10" s="216" t="s">
        <v>2071</v>
      </c>
      <c r="B10" s="64">
        <v>1.89</v>
      </c>
      <c r="C10" s="64">
        <v>5.16</v>
      </c>
      <c r="D10" s="64">
        <v>4.13</v>
      </c>
      <c r="E10" s="64">
        <v>2.38</v>
      </c>
      <c r="F10" s="64">
        <v>3.6</v>
      </c>
      <c r="G10" s="64">
        <v>52.56</v>
      </c>
      <c r="H10" s="64">
        <v>14.27</v>
      </c>
      <c r="I10" s="64">
        <v>5.28</v>
      </c>
      <c r="J10" s="64">
        <v>0.06</v>
      </c>
      <c r="K10" s="64">
        <v>301.37</v>
      </c>
      <c r="L10" s="64">
        <v>27.97</v>
      </c>
      <c r="M10" s="64">
        <v>46.4</v>
      </c>
      <c r="N10" s="64">
        <v>20.8</v>
      </c>
      <c r="O10" s="64">
        <v>0</v>
      </c>
      <c r="P10" s="64">
        <v>0.5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6" t="s">
        <v>2072</v>
      </c>
      <c r="B11" s="64">
        <v>1.85</v>
      </c>
      <c r="C11" s="64">
        <v>4.75</v>
      </c>
      <c r="D11" s="64">
        <v>3.88</v>
      </c>
      <c r="E11" s="64">
        <v>2.52</v>
      </c>
      <c r="F11" s="64">
        <v>3.57</v>
      </c>
      <c r="G11" s="64">
        <v>52.56</v>
      </c>
      <c r="H11" s="64">
        <v>14.27</v>
      </c>
      <c r="I11" s="64">
        <v>4.9400000000000004</v>
      </c>
      <c r="J11" s="64">
        <v>1.32</v>
      </c>
      <c r="K11" s="64">
        <v>332.76</v>
      </c>
      <c r="L11" s="64">
        <v>27.79</v>
      </c>
      <c r="M11" s="64">
        <v>49.78</v>
      </c>
      <c r="N11" s="64">
        <v>20.5</v>
      </c>
      <c r="O11" s="64">
        <v>0</v>
      </c>
      <c r="P11" s="64">
        <v>0.5</v>
      </c>
      <c r="Q11" s="64">
        <v>9.3800000000000008</v>
      </c>
      <c r="R11" s="198"/>
      <c r="S11" s="198"/>
      <c r="T11" s="198"/>
      <c r="U11" s="198"/>
    </row>
    <row r="12" spans="1:21" s="12" customFormat="1" x14ac:dyDescent="0.25">
      <c r="A12" s="216" t="s">
        <v>2073</v>
      </c>
      <c r="B12" s="64">
        <v>1.78</v>
      </c>
      <c r="C12" s="64">
        <v>4.62</v>
      </c>
      <c r="D12" s="64">
        <v>3.76</v>
      </c>
      <c r="E12" s="64">
        <v>2.52</v>
      </c>
      <c r="F12" s="64">
        <v>4.13</v>
      </c>
      <c r="G12" s="64">
        <v>51.71</v>
      </c>
      <c r="H12" s="64">
        <v>16</v>
      </c>
      <c r="I12" s="64">
        <v>4.67</v>
      </c>
      <c r="J12" s="64">
        <v>2.04</v>
      </c>
      <c r="K12" s="64">
        <v>321.79000000000002</v>
      </c>
      <c r="L12" s="64">
        <v>27.63</v>
      </c>
      <c r="M12" s="64">
        <v>54.24</v>
      </c>
      <c r="N12" s="64">
        <v>21.1</v>
      </c>
      <c r="O12" s="64">
        <v>0</v>
      </c>
      <c r="P12" s="64">
        <v>0.49</v>
      </c>
      <c r="Q12" s="64">
        <v>9.42</v>
      </c>
      <c r="R12" s="198"/>
      <c r="S12" s="198"/>
      <c r="T12" s="198"/>
      <c r="U12" s="198"/>
    </row>
    <row r="13" spans="1:21" s="12" customFormat="1" x14ac:dyDescent="0.25">
      <c r="A13" s="216" t="s">
        <v>2074</v>
      </c>
      <c r="B13" s="64">
        <v>1.59</v>
      </c>
      <c r="C13" s="64">
        <v>4.09</v>
      </c>
      <c r="D13" s="64">
        <v>3.33</v>
      </c>
      <c r="E13" s="64">
        <v>2.2000000000000002</v>
      </c>
      <c r="F13" s="64">
        <v>5.01</v>
      </c>
      <c r="G13" s="64">
        <v>51.66</v>
      </c>
      <c r="H13" s="64">
        <v>16.100000000000001</v>
      </c>
      <c r="I13" s="64">
        <v>5.41</v>
      </c>
      <c r="J13" s="64">
        <v>2.0299999999999998</v>
      </c>
      <c r="K13" s="64">
        <v>321.81</v>
      </c>
      <c r="L13" s="64">
        <v>26.96</v>
      </c>
      <c r="M13" s="64">
        <v>53.73</v>
      </c>
      <c r="N13" s="64">
        <v>21.8</v>
      </c>
      <c r="O13" s="64">
        <v>0</v>
      </c>
      <c r="P13" s="64">
        <v>0.45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6" t="s">
        <v>2075</v>
      </c>
      <c r="B14" s="64">
        <v>1.43</v>
      </c>
      <c r="C14" s="64">
        <v>3.69</v>
      </c>
      <c r="D14" s="64">
        <v>2.99</v>
      </c>
      <c r="E14" s="64">
        <v>2.23</v>
      </c>
      <c r="F14" s="64">
        <v>6.19</v>
      </c>
      <c r="G14" s="64">
        <v>51.66</v>
      </c>
      <c r="H14" s="64">
        <v>16.100000000000001</v>
      </c>
      <c r="I14" s="64">
        <v>5.79</v>
      </c>
      <c r="J14" s="64">
        <v>1.1200000000000001</v>
      </c>
      <c r="K14" s="64">
        <v>316.64</v>
      </c>
      <c r="L14" s="64">
        <v>26.31</v>
      </c>
      <c r="M14" s="64">
        <v>52.84</v>
      </c>
      <c r="N14" s="64">
        <v>21.4</v>
      </c>
      <c r="O14" s="64">
        <v>0</v>
      </c>
      <c r="P14" s="64">
        <v>0.43</v>
      </c>
      <c r="Q14" s="64">
        <v>9.41</v>
      </c>
      <c r="R14" s="198"/>
      <c r="S14" s="198"/>
      <c r="T14" s="198"/>
      <c r="U14" s="198"/>
    </row>
    <row r="15" spans="1:21" s="12" customFormat="1" x14ac:dyDescent="0.25">
      <c r="A15" s="216" t="s">
        <v>2076</v>
      </c>
      <c r="B15" s="64">
        <v>1.36</v>
      </c>
      <c r="C15" s="64">
        <v>3.43</v>
      </c>
      <c r="D15" s="64">
        <v>2.8</v>
      </c>
      <c r="E15" s="64">
        <v>2.5099999999999998</v>
      </c>
      <c r="F15" s="64">
        <v>5.34</v>
      </c>
      <c r="G15" s="64">
        <v>51.66</v>
      </c>
      <c r="H15" s="64">
        <v>16.100000000000001</v>
      </c>
      <c r="I15" s="64">
        <v>5.32</v>
      </c>
      <c r="J15" s="64">
        <v>0.81</v>
      </c>
      <c r="K15" s="64">
        <v>316.16000000000003</v>
      </c>
      <c r="L15" s="64">
        <v>25.96</v>
      </c>
      <c r="M15" s="64">
        <v>52.54</v>
      </c>
      <c r="N15" s="64">
        <v>20.8</v>
      </c>
      <c r="O15" s="64">
        <v>0</v>
      </c>
      <c r="P15" s="64">
        <v>0.41</v>
      </c>
      <c r="Q15" s="64">
        <v>9.39</v>
      </c>
      <c r="R15" s="198"/>
      <c r="S15" s="198"/>
      <c r="T15" s="198"/>
      <c r="U15" s="198"/>
    </row>
    <row r="16" spans="1:21" s="12" customFormat="1" x14ac:dyDescent="0.25">
      <c r="A16" s="216" t="s">
        <v>2077</v>
      </c>
      <c r="B16" s="64">
        <v>1.32</v>
      </c>
      <c r="C16" s="64">
        <v>3.28</v>
      </c>
      <c r="D16" s="64">
        <v>2.69</v>
      </c>
      <c r="E16" s="64">
        <v>2.41</v>
      </c>
      <c r="F16" s="64">
        <v>4.97</v>
      </c>
      <c r="G16" s="64">
        <v>42.39</v>
      </c>
      <c r="H16" s="64">
        <v>14.65</v>
      </c>
      <c r="I16" s="64">
        <v>4.91</v>
      </c>
      <c r="J16" s="64">
        <v>0.86</v>
      </c>
      <c r="K16" s="64">
        <v>319.16000000000003</v>
      </c>
      <c r="L16" s="64">
        <v>25.74</v>
      </c>
      <c r="M16" s="64">
        <v>51.28</v>
      </c>
      <c r="N16" s="64">
        <v>20.6</v>
      </c>
      <c r="O16" s="64">
        <v>0</v>
      </c>
      <c r="P16" s="64">
        <v>0.39</v>
      </c>
      <c r="Q16" s="64">
        <v>9.3699999999999992</v>
      </c>
      <c r="R16" s="198"/>
      <c r="S16" s="198"/>
      <c r="T16" s="198"/>
      <c r="U16" s="198"/>
    </row>
    <row r="17" spans="1:21" s="12" customFormat="1" x14ac:dyDescent="0.25">
      <c r="A17" s="216" t="s">
        <v>2078</v>
      </c>
      <c r="B17" s="64">
        <v>1.29</v>
      </c>
      <c r="C17" s="64">
        <v>2.99</v>
      </c>
      <c r="D17" s="64">
        <v>2.52</v>
      </c>
      <c r="E17" s="64">
        <v>2.44</v>
      </c>
      <c r="F17" s="64">
        <v>4.59</v>
      </c>
      <c r="G17" s="64">
        <v>41.85</v>
      </c>
      <c r="H17" s="64">
        <v>14.56</v>
      </c>
      <c r="I17" s="64">
        <v>4.67</v>
      </c>
      <c r="J17" s="64">
        <v>0.39</v>
      </c>
      <c r="K17" s="64">
        <v>169.37</v>
      </c>
      <c r="L17" s="64">
        <v>25.53</v>
      </c>
      <c r="M17" s="64">
        <v>51.54</v>
      </c>
      <c r="N17" s="64">
        <v>20.399999999999999</v>
      </c>
      <c r="O17" s="64">
        <v>0</v>
      </c>
      <c r="P17" s="64">
        <v>0.38</v>
      </c>
      <c r="Q17" s="64">
        <v>9.36</v>
      </c>
      <c r="R17" s="198"/>
      <c r="S17" s="198"/>
      <c r="T17" s="198"/>
      <c r="U17" s="198"/>
    </row>
    <row r="18" spans="1:21" s="12" customFormat="1" x14ac:dyDescent="0.25">
      <c r="A18" s="216" t="s">
        <v>2079</v>
      </c>
      <c r="B18" s="64">
        <v>1.29</v>
      </c>
      <c r="C18" s="64">
        <v>2.71</v>
      </c>
      <c r="D18" s="64">
        <v>2.37</v>
      </c>
      <c r="E18" s="64">
        <v>2.4700000000000002</v>
      </c>
      <c r="F18" s="64">
        <v>4.43</v>
      </c>
      <c r="G18" s="64">
        <v>41.85</v>
      </c>
      <c r="H18" s="64">
        <v>14.56</v>
      </c>
      <c r="I18" s="64">
        <v>4.41</v>
      </c>
      <c r="J18" s="64">
        <v>0.56999999999999995</v>
      </c>
      <c r="K18" s="64">
        <v>183.42</v>
      </c>
      <c r="L18" s="64">
        <v>25.71</v>
      </c>
      <c r="M18" s="64">
        <v>50.52</v>
      </c>
      <c r="N18" s="64">
        <v>20.100000000000001</v>
      </c>
      <c r="O18" s="64">
        <v>0</v>
      </c>
      <c r="P18" s="64">
        <v>0.36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6" t="s">
        <v>2080</v>
      </c>
      <c r="B19" s="64">
        <v>1.3</v>
      </c>
      <c r="C19" s="64">
        <v>2.61</v>
      </c>
      <c r="D19" s="64">
        <v>2.33</v>
      </c>
      <c r="E19" s="64">
        <v>2.5</v>
      </c>
      <c r="F19" s="64">
        <v>4.8099999999999996</v>
      </c>
      <c r="G19" s="64">
        <v>41.85</v>
      </c>
      <c r="H19" s="64">
        <v>14.56</v>
      </c>
      <c r="I19" s="64">
        <v>4.2699999999999996</v>
      </c>
      <c r="J19" s="64">
        <v>1.34</v>
      </c>
      <c r="K19" s="64">
        <v>148.31</v>
      </c>
      <c r="L19" s="64">
        <v>25.41</v>
      </c>
      <c r="M19" s="64">
        <v>52.58</v>
      </c>
      <c r="N19" s="64">
        <v>20.7</v>
      </c>
      <c r="O19" s="64">
        <v>0</v>
      </c>
      <c r="P19" s="64">
        <v>0.35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6" t="s">
        <v>2081</v>
      </c>
      <c r="B20" s="64">
        <v>1.31</v>
      </c>
      <c r="C20" s="64">
        <v>2.4500000000000002</v>
      </c>
      <c r="D20" s="64">
        <v>2.25</v>
      </c>
      <c r="E20" s="64">
        <v>2.41</v>
      </c>
      <c r="F20" s="64">
        <v>4.74</v>
      </c>
      <c r="G20" s="64">
        <v>36.51</v>
      </c>
      <c r="H20" s="64">
        <v>13.95</v>
      </c>
      <c r="I20" s="64">
        <v>4.2</v>
      </c>
      <c r="J20" s="64">
        <v>1.1599999999999999</v>
      </c>
      <c r="K20" s="64">
        <v>160.66</v>
      </c>
      <c r="L20" s="64">
        <v>25.23</v>
      </c>
      <c r="M20" s="64">
        <v>53.24</v>
      </c>
      <c r="N20" s="64">
        <v>20.5</v>
      </c>
      <c r="O20" s="64">
        <v>0</v>
      </c>
      <c r="P20" s="64">
        <v>0.34</v>
      </c>
      <c r="Q20" s="64">
        <v>9.31</v>
      </c>
      <c r="R20" s="198"/>
      <c r="S20" s="198"/>
      <c r="T20" s="198"/>
      <c r="U20" s="198"/>
    </row>
    <row r="21" spans="1:21" s="12" customFormat="1" x14ac:dyDescent="0.25">
      <c r="A21" s="216" t="s">
        <v>2082</v>
      </c>
      <c r="B21" s="64">
        <v>1.31</v>
      </c>
      <c r="C21" s="64">
        <v>2.2799999999999998</v>
      </c>
      <c r="D21" s="64">
        <v>2.16</v>
      </c>
      <c r="E21" s="64">
        <v>2.2999999999999998</v>
      </c>
      <c r="F21" s="64">
        <v>4.59</v>
      </c>
      <c r="G21" s="64">
        <v>36.200000000000003</v>
      </c>
      <c r="H21" s="64">
        <v>13.92</v>
      </c>
      <c r="I21" s="64">
        <v>4.16</v>
      </c>
      <c r="J21" s="64">
        <v>0.12</v>
      </c>
      <c r="K21" s="64">
        <v>170.19</v>
      </c>
      <c r="L21" s="64">
        <v>25.36</v>
      </c>
      <c r="M21" s="64">
        <v>52.77</v>
      </c>
      <c r="N21" s="64">
        <v>20.7</v>
      </c>
      <c r="O21" s="64">
        <v>0</v>
      </c>
      <c r="P21" s="64">
        <v>0.33</v>
      </c>
      <c r="Q21" s="64">
        <v>9.3000000000000007</v>
      </c>
      <c r="R21" s="198"/>
      <c r="S21" s="198"/>
      <c r="T21" s="198"/>
      <c r="U21" s="198"/>
    </row>
    <row r="22" spans="1:21" s="12" customFormat="1" x14ac:dyDescent="0.25">
      <c r="A22" s="216" t="s">
        <v>2083</v>
      </c>
      <c r="B22" s="64">
        <v>1.31</v>
      </c>
      <c r="C22" s="64">
        <v>2.2200000000000002</v>
      </c>
      <c r="D22" s="64">
        <v>2.13</v>
      </c>
      <c r="E22" s="64">
        <v>2.2400000000000002</v>
      </c>
      <c r="F22" s="64">
        <v>4.4400000000000004</v>
      </c>
      <c r="G22" s="64">
        <v>36.200000000000003</v>
      </c>
      <c r="H22" s="64">
        <v>13.92</v>
      </c>
      <c r="I22" s="64">
        <v>4.16</v>
      </c>
      <c r="J22" s="64">
        <v>0.78</v>
      </c>
      <c r="K22" s="64">
        <v>156.56</v>
      </c>
      <c r="L22" s="64">
        <v>25.12</v>
      </c>
      <c r="M22" s="64">
        <v>53.81</v>
      </c>
      <c r="N22" s="64">
        <v>20.6</v>
      </c>
      <c r="O22" s="64">
        <v>0</v>
      </c>
      <c r="P22" s="64">
        <v>0.32</v>
      </c>
      <c r="Q22" s="64">
        <v>9.2899999999999991</v>
      </c>
      <c r="R22" s="198"/>
      <c r="S22" s="198"/>
      <c r="T22" s="198"/>
      <c r="U22" s="198"/>
    </row>
    <row r="23" spans="1:21" s="12" customFormat="1" x14ac:dyDescent="0.25">
      <c r="A23" s="216" t="s">
        <v>2084</v>
      </c>
      <c r="B23" s="64">
        <v>1.31</v>
      </c>
      <c r="C23" s="64">
        <v>2.1800000000000002</v>
      </c>
      <c r="D23" s="64">
        <v>2.11</v>
      </c>
      <c r="E23" s="64">
        <v>2.86</v>
      </c>
      <c r="F23" s="64">
        <v>4.76</v>
      </c>
      <c r="G23" s="64">
        <v>36.200000000000003</v>
      </c>
      <c r="H23" s="64">
        <v>13.92</v>
      </c>
      <c r="I23" s="64">
        <v>3.94</v>
      </c>
      <c r="J23" s="64">
        <v>0.4</v>
      </c>
      <c r="K23" s="64">
        <v>154.27000000000001</v>
      </c>
      <c r="L23" s="64">
        <v>25.05</v>
      </c>
      <c r="M23" s="64">
        <v>53.04</v>
      </c>
      <c r="N23" s="64">
        <v>20.8</v>
      </c>
      <c r="O23" s="64">
        <v>0</v>
      </c>
      <c r="P23" s="64">
        <v>0.31</v>
      </c>
      <c r="Q23" s="64">
        <v>9.2799999999999994</v>
      </c>
      <c r="R23" s="198"/>
      <c r="S23" s="198"/>
      <c r="T23" s="198"/>
      <c r="U23" s="198"/>
    </row>
    <row r="24" spans="1:21" s="12" customFormat="1" x14ac:dyDescent="0.25">
      <c r="A24" s="216" t="s">
        <v>2085</v>
      </c>
      <c r="B24" s="64">
        <v>1.36</v>
      </c>
      <c r="C24" s="64">
        <v>2.08</v>
      </c>
      <c r="D24" s="64">
        <v>2.1</v>
      </c>
      <c r="E24" s="64">
        <v>1.35</v>
      </c>
      <c r="F24" s="64">
        <v>4.28</v>
      </c>
      <c r="G24" s="64">
        <v>32.36</v>
      </c>
      <c r="H24" s="64">
        <v>10.5</v>
      </c>
      <c r="I24" s="64">
        <v>3.92</v>
      </c>
      <c r="J24" s="64">
        <v>0.34</v>
      </c>
      <c r="K24" s="64">
        <v>162.16</v>
      </c>
      <c r="L24" s="64">
        <v>24.93</v>
      </c>
      <c r="M24" s="64">
        <v>53.05</v>
      </c>
      <c r="N24" s="64">
        <v>20.5</v>
      </c>
      <c r="O24" s="64">
        <v>0</v>
      </c>
      <c r="P24" s="64">
        <v>0.3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6" t="s">
        <v>2086</v>
      </c>
      <c r="B25" s="64">
        <v>1.33</v>
      </c>
      <c r="C25" s="64">
        <v>2.02</v>
      </c>
      <c r="D25" s="64">
        <v>2.04</v>
      </c>
      <c r="E25" s="64">
        <v>1.06</v>
      </c>
      <c r="F25" s="64">
        <v>4.41</v>
      </c>
      <c r="G25" s="64">
        <v>32.130000000000003</v>
      </c>
      <c r="H25" s="64">
        <v>10.3</v>
      </c>
      <c r="I25" s="64">
        <v>3.97</v>
      </c>
      <c r="J25" s="64">
        <v>1.03</v>
      </c>
      <c r="K25" s="64">
        <v>154.29</v>
      </c>
      <c r="L25" s="64">
        <v>24.95</v>
      </c>
      <c r="M25" s="64">
        <v>53.02</v>
      </c>
      <c r="N25" s="64">
        <v>20</v>
      </c>
      <c r="O25" s="64">
        <v>0</v>
      </c>
      <c r="P25" s="64">
        <v>0.28999999999999998</v>
      </c>
      <c r="Q25" s="64">
        <v>9.3000000000000007</v>
      </c>
      <c r="R25" s="198"/>
      <c r="S25" s="198"/>
      <c r="T25" s="198"/>
      <c r="U25" s="198"/>
    </row>
    <row r="26" spans="1:21" s="12" customFormat="1" x14ac:dyDescent="0.25">
      <c r="A26" s="216" t="s">
        <v>2087</v>
      </c>
      <c r="B26" s="64">
        <v>1.34</v>
      </c>
      <c r="C26" s="64">
        <v>2.12</v>
      </c>
      <c r="D26" s="64">
        <v>2.1</v>
      </c>
      <c r="E26" s="64">
        <v>1.03</v>
      </c>
      <c r="F26" s="64">
        <v>4.34</v>
      </c>
      <c r="G26" s="64">
        <v>32.130000000000003</v>
      </c>
      <c r="H26" s="64">
        <v>10.3</v>
      </c>
      <c r="I26" s="64">
        <v>3.77</v>
      </c>
      <c r="J26" s="64">
        <v>1.37</v>
      </c>
      <c r="K26" s="64">
        <v>150.19999999999999</v>
      </c>
      <c r="L26" s="64">
        <v>25</v>
      </c>
      <c r="M26" s="64">
        <v>53.17</v>
      </c>
      <c r="N26" s="64">
        <v>20</v>
      </c>
      <c r="O26" s="64">
        <v>0</v>
      </c>
      <c r="P26" s="64">
        <v>0.28999999999999998</v>
      </c>
      <c r="Q26" s="64">
        <v>9.31</v>
      </c>
      <c r="R26" s="198"/>
      <c r="S26" s="198"/>
      <c r="T26" s="198"/>
      <c r="U26" s="198"/>
    </row>
    <row r="27" spans="1:21" s="12" customFormat="1" x14ac:dyDescent="0.25">
      <c r="A27" s="216" t="s">
        <v>2088</v>
      </c>
      <c r="B27" s="64">
        <v>1.38</v>
      </c>
      <c r="C27" s="64">
        <v>2.06</v>
      </c>
      <c r="D27" s="64">
        <v>2.11</v>
      </c>
      <c r="E27" s="64">
        <v>1</v>
      </c>
      <c r="F27" s="64">
        <v>4.41</v>
      </c>
      <c r="G27" s="64">
        <v>32.130000000000003</v>
      </c>
      <c r="H27" s="64">
        <v>10.3</v>
      </c>
      <c r="I27" s="64">
        <v>3.62</v>
      </c>
      <c r="J27" s="64">
        <v>0.56000000000000005</v>
      </c>
      <c r="K27" s="64">
        <v>170.44</v>
      </c>
      <c r="L27" s="64">
        <v>24.94</v>
      </c>
      <c r="M27" s="64">
        <v>53.81</v>
      </c>
      <c r="N27" s="64">
        <v>20.6</v>
      </c>
      <c r="O27" s="64">
        <v>0</v>
      </c>
      <c r="P27" s="64">
        <v>0.28000000000000003</v>
      </c>
      <c r="Q27" s="64">
        <v>9.32</v>
      </c>
      <c r="R27" s="198"/>
      <c r="S27" s="198"/>
      <c r="T27" s="198"/>
      <c r="U27" s="198"/>
    </row>
    <row r="28" spans="1:21" s="12" customFormat="1" x14ac:dyDescent="0.25">
      <c r="A28" s="216" t="s">
        <v>2089</v>
      </c>
      <c r="B28" s="64">
        <v>1.41</v>
      </c>
      <c r="C28" s="64">
        <v>2.1800000000000002</v>
      </c>
      <c r="D28" s="64">
        <v>2.19</v>
      </c>
      <c r="E28" s="64">
        <v>1.17</v>
      </c>
      <c r="F28" s="64">
        <v>4.17</v>
      </c>
      <c r="G28" s="64">
        <v>28.56</v>
      </c>
      <c r="H28" s="64">
        <v>12.12</v>
      </c>
      <c r="I28" s="64">
        <v>3.62</v>
      </c>
      <c r="J28" s="64">
        <v>0.33</v>
      </c>
      <c r="K28" s="64">
        <v>198.07</v>
      </c>
      <c r="L28" s="64">
        <v>24.65</v>
      </c>
      <c r="M28" s="64">
        <v>55.08</v>
      </c>
      <c r="N28" s="64">
        <v>20.8</v>
      </c>
      <c r="O28" s="64">
        <v>0</v>
      </c>
      <c r="P28" s="64">
        <v>0.28000000000000003</v>
      </c>
      <c r="Q28" s="64">
        <v>9.35</v>
      </c>
      <c r="R28" s="198"/>
      <c r="S28" s="198"/>
      <c r="T28" s="198"/>
      <c r="U28" s="198"/>
    </row>
    <row r="29" spans="1:21" s="12" customFormat="1" x14ac:dyDescent="0.25">
      <c r="A29" s="216" t="s">
        <v>2090</v>
      </c>
      <c r="B29" s="64">
        <v>1.4</v>
      </c>
      <c r="C29" s="64">
        <v>2.12</v>
      </c>
      <c r="D29" s="64">
        <v>2.15</v>
      </c>
      <c r="E29" s="64">
        <v>0.86</v>
      </c>
      <c r="F29" s="64">
        <v>4.05</v>
      </c>
      <c r="G29" s="64">
        <v>28.35</v>
      </c>
      <c r="H29" s="64">
        <v>12.23</v>
      </c>
      <c r="I29" s="64">
        <v>3.6</v>
      </c>
      <c r="J29" s="64">
        <v>0.28999999999999998</v>
      </c>
      <c r="K29" s="64">
        <v>204.14</v>
      </c>
      <c r="L29" s="64">
        <v>24.34</v>
      </c>
      <c r="M29" s="64">
        <v>56.44</v>
      </c>
      <c r="N29" s="64">
        <v>22</v>
      </c>
      <c r="O29" s="64">
        <v>0</v>
      </c>
      <c r="P29" s="64">
        <v>0.27</v>
      </c>
      <c r="Q29" s="64">
        <v>9.32</v>
      </c>
      <c r="R29" s="198"/>
      <c r="S29" s="198"/>
      <c r="T29" s="198"/>
      <c r="U29" s="198"/>
    </row>
    <row r="30" spans="1:21" s="12" customFormat="1" x14ac:dyDescent="0.25">
      <c r="A30" s="216" t="s">
        <v>2091</v>
      </c>
      <c r="B30" s="64">
        <v>1.38</v>
      </c>
      <c r="C30" s="64">
        <v>2.16</v>
      </c>
      <c r="D30" s="64">
        <v>2.16</v>
      </c>
      <c r="E30" s="64">
        <v>1.08</v>
      </c>
      <c r="F30" s="64">
        <v>4.2</v>
      </c>
      <c r="G30" s="64">
        <v>28.35</v>
      </c>
      <c r="H30" s="64">
        <v>12.23</v>
      </c>
      <c r="I30" s="64">
        <v>3.64</v>
      </c>
      <c r="J30" s="64">
        <v>0.48</v>
      </c>
      <c r="K30" s="64">
        <v>183.17</v>
      </c>
      <c r="L30" s="64">
        <v>24.18</v>
      </c>
      <c r="M30" s="64">
        <v>59.23</v>
      </c>
      <c r="N30" s="64">
        <v>26.8</v>
      </c>
      <c r="O30" s="64">
        <v>0</v>
      </c>
      <c r="P30" s="64">
        <v>0.27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6" t="s">
        <v>2092</v>
      </c>
      <c r="B31" s="64">
        <v>1.4</v>
      </c>
      <c r="C31" s="64">
        <v>2.33</v>
      </c>
      <c r="D31" s="64">
        <v>2.2599999999999998</v>
      </c>
      <c r="E31" s="64">
        <v>1.1200000000000001</v>
      </c>
      <c r="F31" s="64">
        <v>3.83</v>
      </c>
      <c r="G31" s="64">
        <v>28.35</v>
      </c>
      <c r="H31" s="64">
        <v>12.23</v>
      </c>
      <c r="I31" s="64">
        <v>3.66</v>
      </c>
      <c r="J31" s="64">
        <v>0.16</v>
      </c>
      <c r="K31" s="64">
        <v>237.97</v>
      </c>
      <c r="L31" s="64">
        <v>24.28</v>
      </c>
      <c r="M31" s="64">
        <v>59.3</v>
      </c>
      <c r="N31" s="64">
        <v>38.9</v>
      </c>
      <c r="O31" s="64">
        <v>0</v>
      </c>
      <c r="P31" s="64">
        <v>0.28000000000000003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6" t="s">
        <v>2093</v>
      </c>
      <c r="B32" s="64">
        <v>1.43</v>
      </c>
      <c r="C32" s="64">
        <v>2.39</v>
      </c>
      <c r="D32" s="64">
        <v>2.3199999999999998</v>
      </c>
      <c r="E32" s="64">
        <v>1</v>
      </c>
      <c r="F32" s="64">
        <v>3.74</v>
      </c>
      <c r="G32" s="64">
        <v>29.85</v>
      </c>
      <c r="H32" s="64">
        <v>10.210000000000001</v>
      </c>
      <c r="I32" s="64">
        <v>3.68</v>
      </c>
      <c r="J32" s="64">
        <v>0.05</v>
      </c>
      <c r="K32" s="64">
        <v>172.85</v>
      </c>
      <c r="L32" s="64">
        <v>24.4</v>
      </c>
      <c r="M32" s="64">
        <v>59.3</v>
      </c>
      <c r="N32" s="64">
        <v>64.099999999999994</v>
      </c>
      <c r="O32" s="64">
        <v>0</v>
      </c>
      <c r="P32" s="64">
        <v>0.28000000000000003</v>
      </c>
      <c r="Q32" s="64">
        <v>9.33</v>
      </c>
      <c r="R32" s="198"/>
      <c r="S32" s="198"/>
      <c r="T32" s="198"/>
      <c r="U32" s="198"/>
    </row>
    <row r="33" spans="1:21" s="12" customFormat="1" x14ac:dyDescent="0.25">
      <c r="A33" s="216" t="s">
        <v>2094</v>
      </c>
      <c r="B33" s="64">
        <v>1.48</v>
      </c>
      <c r="C33" s="64">
        <v>2.52</v>
      </c>
      <c r="D33" s="64">
        <v>2.42</v>
      </c>
      <c r="E33" s="64">
        <v>1.07</v>
      </c>
      <c r="F33" s="64">
        <v>4.0199999999999996</v>
      </c>
      <c r="G33" s="64">
        <v>29.94</v>
      </c>
      <c r="H33" s="64">
        <v>10.1</v>
      </c>
      <c r="I33" s="64">
        <v>3.71</v>
      </c>
      <c r="J33" s="64">
        <v>0.13</v>
      </c>
      <c r="K33" s="64">
        <v>1.59</v>
      </c>
      <c r="L33" s="64">
        <v>24.76</v>
      </c>
      <c r="M33" s="64">
        <v>57.39</v>
      </c>
      <c r="N33" s="64">
        <v>100.4</v>
      </c>
      <c r="O33" s="64">
        <v>0</v>
      </c>
      <c r="P33" s="64">
        <v>0.28999999999999998</v>
      </c>
      <c r="Q33" s="64">
        <v>9.34</v>
      </c>
      <c r="R33" s="198"/>
      <c r="S33" s="198"/>
      <c r="T33" s="198"/>
      <c r="U33" s="198"/>
    </row>
    <row r="34" spans="1:21" s="12" customFormat="1" x14ac:dyDescent="0.25">
      <c r="A34" s="216" t="s">
        <v>2095</v>
      </c>
      <c r="B34" s="64">
        <v>1.48</v>
      </c>
      <c r="C34" s="64">
        <v>2.61</v>
      </c>
      <c r="D34" s="64">
        <v>2.48</v>
      </c>
      <c r="E34" s="64">
        <v>1.26</v>
      </c>
      <c r="F34" s="64">
        <v>4.01</v>
      </c>
      <c r="G34" s="64">
        <v>29.94</v>
      </c>
      <c r="H34" s="64">
        <v>10.1</v>
      </c>
      <c r="I34" s="64">
        <v>3.75</v>
      </c>
      <c r="J34" s="64">
        <v>0.23</v>
      </c>
      <c r="K34" s="64">
        <v>305.12</v>
      </c>
      <c r="L34" s="64">
        <v>26.1</v>
      </c>
      <c r="M34" s="64">
        <v>54.09</v>
      </c>
      <c r="N34" s="64">
        <v>139.5</v>
      </c>
      <c r="O34" s="64">
        <v>0</v>
      </c>
      <c r="P34" s="64">
        <v>0.3</v>
      </c>
      <c r="Q34" s="64">
        <v>9.32</v>
      </c>
      <c r="R34" s="198"/>
      <c r="S34" s="198"/>
      <c r="T34" s="198"/>
      <c r="U34" s="198"/>
    </row>
    <row r="35" spans="1:21" s="12" customFormat="1" x14ac:dyDescent="0.25">
      <c r="A35" s="216" t="s">
        <v>2096</v>
      </c>
      <c r="B35" s="64">
        <v>1.55</v>
      </c>
      <c r="C35" s="64">
        <v>2.81</v>
      </c>
      <c r="D35" s="64">
        <v>2.63</v>
      </c>
      <c r="E35" s="64">
        <v>1.1299999999999999</v>
      </c>
      <c r="F35" s="64">
        <v>3.91</v>
      </c>
      <c r="G35" s="64">
        <v>29.94</v>
      </c>
      <c r="H35" s="64">
        <v>10.1</v>
      </c>
      <c r="I35" s="64">
        <v>3.83</v>
      </c>
      <c r="J35" s="64">
        <v>0.42</v>
      </c>
      <c r="K35" s="64">
        <v>329.98</v>
      </c>
      <c r="L35" s="64">
        <v>27.8</v>
      </c>
      <c r="M35" s="64">
        <v>48.47</v>
      </c>
      <c r="N35" s="64">
        <v>183.6</v>
      </c>
      <c r="O35" s="64">
        <v>0</v>
      </c>
      <c r="P35" s="64">
        <v>0.31</v>
      </c>
      <c r="Q35" s="64">
        <v>9.31</v>
      </c>
      <c r="R35" s="198"/>
      <c r="S35" s="198"/>
      <c r="T35" s="198"/>
      <c r="U35" s="198"/>
    </row>
    <row r="36" spans="1:21" s="12" customFormat="1" x14ac:dyDescent="0.25">
      <c r="A36" s="216" t="s">
        <v>2097</v>
      </c>
      <c r="B36" s="64">
        <v>1.63</v>
      </c>
      <c r="C36" s="64">
        <v>3.1</v>
      </c>
      <c r="D36" s="64">
        <v>2.85</v>
      </c>
      <c r="E36" s="64">
        <v>1.23</v>
      </c>
      <c r="F36" s="64">
        <v>3.76</v>
      </c>
      <c r="G36" s="64">
        <v>39.880000000000003</v>
      </c>
      <c r="H36" s="64">
        <v>12.66</v>
      </c>
      <c r="I36" s="64">
        <v>3.83</v>
      </c>
      <c r="J36" s="64">
        <v>0.63</v>
      </c>
      <c r="K36" s="64">
        <v>338.3</v>
      </c>
      <c r="L36" s="64">
        <v>29.48</v>
      </c>
      <c r="M36" s="64">
        <v>44.18</v>
      </c>
      <c r="N36" s="64">
        <v>235.4</v>
      </c>
      <c r="O36" s="64">
        <v>0</v>
      </c>
      <c r="P36" s="64">
        <v>0.32</v>
      </c>
      <c r="Q36" s="64">
        <v>9.34</v>
      </c>
      <c r="R36" s="198"/>
      <c r="S36" s="198"/>
      <c r="T36" s="198"/>
      <c r="U36" s="198"/>
    </row>
    <row r="37" spans="1:21" s="12" customFormat="1" x14ac:dyDescent="0.25">
      <c r="A37" s="216" t="s">
        <v>2098</v>
      </c>
      <c r="B37" s="64">
        <v>1.73</v>
      </c>
      <c r="C37" s="64">
        <v>3.32</v>
      </c>
      <c r="D37" s="64">
        <v>3.04</v>
      </c>
      <c r="E37" s="64">
        <v>1.19</v>
      </c>
      <c r="F37" s="64">
        <v>3.67</v>
      </c>
      <c r="G37" s="64">
        <v>40.47</v>
      </c>
      <c r="H37" s="64">
        <v>12.81</v>
      </c>
      <c r="I37" s="64">
        <v>3.82</v>
      </c>
      <c r="J37" s="64">
        <v>0.85</v>
      </c>
      <c r="K37" s="64">
        <v>333.38</v>
      </c>
      <c r="L37" s="64">
        <v>30.88</v>
      </c>
      <c r="M37" s="64">
        <v>42.52</v>
      </c>
      <c r="N37" s="64">
        <v>293.2</v>
      </c>
      <c r="O37" s="64">
        <v>0</v>
      </c>
      <c r="P37" s="64">
        <v>0.32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6" t="s">
        <v>2099</v>
      </c>
      <c r="B38" s="64">
        <v>1.75</v>
      </c>
      <c r="C38" s="64">
        <v>3.58</v>
      </c>
      <c r="D38" s="64">
        <v>3.2</v>
      </c>
      <c r="E38" s="64">
        <v>1.48</v>
      </c>
      <c r="F38" s="64">
        <v>3.79</v>
      </c>
      <c r="G38" s="64">
        <v>40.47</v>
      </c>
      <c r="H38" s="64">
        <v>12.81</v>
      </c>
      <c r="I38" s="64">
        <v>3.84</v>
      </c>
      <c r="J38" s="64">
        <v>0.6</v>
      </c>
      <c r="K38" s="64">
        <v>304.29000000000002</v>
      </c>
      <c r="L38" s="64">
        <v>31.52</v>
      </c>
      <c r="M38" s="64">
        <v>43.27</v>
      </c>
      <c r="N38" s="64">
        <v>355.1</v>
      </c>
      <c r="O38" s="64">
        <v>0</v>
      </c>
      <c r="P38" s="64">
        <v>0.35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16" t="s">
        <v>2100</v>
      </c>
      <c r="B39" s="64">
        <v>1.77</v>
      </c>
      <c r="C39" s="64">
        <v>4.05</v>
      </c>
      <c r="D39" s="64">
        <v>3.45</v>
      </c>
      <c r="E39" s="64">
        <v>1.31</v>
      </c>
      <c r="F39" s="64">
        <v>3.85</v>
      </c>
      <c r="G39" s="64">
        <v>40.47</v>
      </c>
      <c r="H39" s="64">
        <v>12.81</v>
      </c>
      <c r="I39" s="64">
        <v>3.89</v>
      </c>
      <c r="J39" s="64">
        <v>0.65</v>
      </c>
      <c r="K39" s="64">
        <v>313.33999999999997</v>
      </c>
      <c r="L39" s="64">
        <v>32.630000000000003</v>
      </c>
      <c r="M39" s="64">
        <v>40.72</v>
      </c>
      <c r="N39" s="64">
        <v>408.2</v>
      </c>
      <c r="O39" s="64">
        <v>0</v>
      </c>
      <c r="P39" s="64">
        <v>0.35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6" t="s">
        <v>2101</v>
      </c>
      <c r="B40" s="64">
        <v>1.79</v>
      </c>
      <c r="C40" s="64">
        <v>4.5</v>
      </c>
      <c r="D40" s="64">
        <v>3.71</v>
      </c>
      <c r="E40" s="64">
        <v>0.1</v>
      </c>
      <c r="F40" s="64">
        <v>4.1399999999999997</v>
      </c>
      <c r="G40" s="64">
        <v>44.85</v>
      </c>
      <c r="H40" s="64">
        <v>9.64</v>
      </c>
      <c r="I40" s="64">
        <v>3.85</v>
      </c>
      <c r="J40" s="64">
        <v>0.23</v>
      </c>
      <c r="K40" s="64">
        <v>312.52999999999997</v>
      </c>
      <c r="L40" s="64">
        <v>33.08</v>
      </c>
      <c r="M40" s="64">
        <v>41.77</v>
      </c>
      <c r="N40" s="64">
        <v>463.4</v>
      </c>
      <c r="O40" s="64">
        <v>0</v>
      </c>
      <c r="P40" s="64">
        <v>0.35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6" t="s">
        <v>2102</v>
      </c>
      <c r="B41" s="64">
        <v>1.74</v>
      </c>
      <c r="C41" s="64">
        <v>4.55</v>
      </c>
      <c r="D41" s="64">
        <v>3.69</v>
      </c>
      <c r="E41" s="64">
        <v>0.33</v>
      </c>
      <c r="F41" s="64">
        <v>4.6500000000000004</v>
      </c>
      <c r="G41" s="64">
        <v>45.11</v>
      </c>
      <c r="H41" s="64">
        <v>9.4499999999999993</v>
      </c>
      <c r="I41" s="64">
        <v>3.76</v>
      </c>
      <c r="J41" s="64">
        <v>0.32</v>
      </c>
      <c r="K41" s="64">
        <v>349.89</v>
      </c>
      <c r="L41" s="64">
        <v>31.01</v>
      </c>
      <c r="M41" s="64">
        <v>50.81</v>
      </c>
      <c r="N41" s="64">
        <v>525.70000000000005</v>
      </c>
      <c r="O41" s="64">
        <v>0</v>
      </c>
      <c r="P41" s="64">
        <v>0.36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16" t="s">
        <v>2103</v>
      </c>
      <c r="B42" s="64">
        <v>1.69</v>
      </c>
      <c r="C42" s="64">
        <v>4.58</v>
      </c>
      <c r="D42" s="64">
        <v>3.67</v>
      </c>
      <c r="E42" s="64">
        <v>0.12</v>
      </c>
      <c r="F42" s="64">
        <v>4.8899999999999997</v>
      </c>
      <c r="G42" s="64">
        <v>45.11</v>
      </c>
      <c r="H42" s="64">
        <v>9.4499999999999993</v>
      </c>
      <c r="I42" s="64">
        <v>3.7</v>
      </c>
      <c r="J42" s="64">
        <v>0.4</v>
      </c>
      <c r="K42" s="64">
        <v>329.22</v>
      </c>
      <c r="L42" s="64">
        <v>32.4</v>
      </c>
      <c r="M42" s="64">
        <v>47.32</v>
      </c>
      <c r="N42" s="64">
        <v>571.1</v>
      </c>
      <c r="O42" s="64">
        <v>0</v>
      </c>
      <c r="P42" s="64">
        <v>0.37</v>
      </c>
      <c r="Q42" s="64">
        <v>9.26</v>
      </c>
      <c r="R42" s="198"/>
      <c r="S42" s="198"/>
      <c r="T42" s="198"/>
      <c r="U42" s="198"/>
    </row>
    <row r="43" spans="1:21" s="12" customFormat="1" x14ac:dyDescent="0.25">
      <c r="A43" s="216" t="s">
        <v>2104</v>
      </c>
      <c r="B43" s="64">
        <v>1.69</v>
      </c>
      <c r="C43" s="64">
        <v>4.83</v>
      </c>
      <c r="D43" s="64">
        <v>3.8</v>
      </c>
      <c r="E43" s="64">
        <v>0.39</v>
      </c>
      <c r="F43" s="64">
        <v>4.05</v>
      </c>
      <c r="G43" s="64">
        <v>45.11</v>
      </c>
      <c r="H43" s="64">
        <v>9.4499999999999993</v>
      </c>
      <c r="I43" s="64">
        <v>3.63</v>
      </c>
      <c r="J43" s="64">
        <v>0.96</v>
      </c>
      <c r="K43" s="64">
        <v>308.56</v>
      </c>
      <c r="L43" s="64">
        <v>33.78</v>
      </c>
      <c r="M43" s="64">
        <v>44.84</v>
      </c>
      <c r="N43" s="64">
        <v>612.79999999999995</v>
      </c>
      <c r="O43" s="64">
        <v>0</v>
      </c>
      <c r="P43" s="64">
        <v>0.4</v>
      </c>
      <c r="Q43" s="64">
        <v>9.2799999999999994</v>
      </c>
      <c r="R43" s="198"/>
      <c r="S43" s="198"/>
      <c r="T43" s="198"/>
      <c r="U43" s="198"/>
    </row>
    <row r="44" spans="1:21" s="12" customFormat="1" x14ac:dyDescent="0.25">
      <c r="A44" s="216" t="s">
        <v>2105</v>
      </c>
      <c r="B44" s="64">
        <v>1.67</v>
      </c>
      <c r="C44" s="64">
        <v>4.92</v>
      </c>
      <c r="D44" s="64">
        <v>3.83</v>
      </c>
      <c r="E44" s="64">
        <v>0.28000000000000003</v>
      </c>
      <c r="F44" s="64">
        <v>3.47</v>
      </c>
      <c r="G44" s="64">
        <v>43.3</v>
      </c>
      <c r="H44" s="64">
        <v>11.87</v>
      </c>
      <c r="I44" s="64">
        <v>3.81</v>
      </c>
      <c r="J44" s="64">
        <v>1.31</v>
      </c>
      <c r="K44" s="64">
        <v>308.94</v>
      </c>
      <c r="L44" s="64">
        <v>33.76</v>
      </c>
      <c r="M44" s="64">
        <v>44.31</v>
      </c>
      <c r="N44" s="64">
        <v>661.7</v>
      </c>
      <c r="O44" s="64">
        <v>0</v>
      </c>
      <c r="P44" s="64">
        <v>0.42</v>
      </c>
      <c r="Q44" s="64">
        <v>9.2899999999999991</v>
      </c>
      <c r="R44" s="198"/>
      <c r="S44" s="198"/>
      <c r="T44" s="198"/>
      <c r="U44" s="198"/>
    </row>
    <row r="45" spans="1:21" s="12" customFormat="1" x14ac:dyDescent="0.25">
      <c r="A45" s="216" t="s">
        <v>2106</v>
      </c>
      <c r="B45" s="64">
        <v>1.63</v>
      </c>
      <c r="C45" s="64">
        <v>4.43</v>
      </c>
      <c r="D45" s="64">
        <v>3.54</v>
      </c>
      <c r="E45" s="64">
        <v>0.25</v>
      </c>
      <c r="F45" s="64">
        <v>4.4400000000000004</v>
      </c>
      <c r="G45" s="64">
        <v>43.2</v>
      </c>
      <c r="H45" s="64">
        <v>12.01</v>
      </c>
      <c r="I45" s="64">
        <v>4.12</v>
      </c>
      <c r="J45" s="64">
        <v>0.84</v>
      </c>
      <c r="K45" s="64">
        <v>309.19</v>
      </c>
      <c r="L45" s="64">
        <v>34.5</v>
      </c>
      <c r="M45" s="64">
        <v>41.52</v>
      </c>
      <c r="N45" s="64">
        <v>703.7</v>
      </c>
      <c r="O45" s="64">
        <v>0</v>
      </c>
      <c r="P45" s="64">
        <v>0.41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16" t="s">
        <v>2107</v>
      </c>
      <c r="B46" s="64">
        <v>1.59</v>
      </c>
      <c r="C46" s="64">
        <v>4.05</v>
      </c>
      <c r="D46" s="64">
        <v>3.31</v>
      </c>
      <c r="E46" s="64">
        <v>0.01</v>
      </c>
      <c r="F46" s="64">
        <v>4.72</v>
      </c>
      <c r="G46" s="64">
        <v>43.2</v>
      </c>
      <c r="H46" s="64">
        <v>12.01</v>
      </c>
      <c r="I46" s="64">
        <v>4.3899999999999997</v>
      </c>
      <c r="J46" s="64">
        <v>0.76</v>
      </c>
      <c r="K46" s="64">
        <v>311</v>
      </c>
      <c r="L46" s="64">
        <v>34.950000000000003</v>
      </c>
      <c r="M46" s="64">
        <v>39.76</v>
      </c>
      <c r="N46" s="64">
        <v>744.8</v>
      </c>
      <c r="O46" s="64">
        <v>0</v>
      </c>
      <c r="P46" s="64">
        <v>0.41</v>
      </c>
      <c r="Q46" s="64">
        <v>9.26</v>
      </c>
      <c r="R46" s="198"/>
      <c r="S46" s="198"/>
      <c r="T46" s="198"/>
      <c r="U46" s="198"/>
    </row>
    <row r="47" spans="1:21" s="12" customFormat="1" x14ac:dyDescent="0.25">
      <c r="A47" s="216" t="s">
        <v>2108</v>
      </c>
      <c r="B47" s="64">
        <v>1.55</v>
      </c>
      <c r="C47" s="64">
        <v>4.03</v>
      </c>
      <c r="D47" s="64">
        <v>3.26</v>
      </c>
      <c r="E47" s="64">
        <v>7.0000000000000007E-2</v>
      </c>
      <c r="F47" s="64">
        <v>5</v>
      </c>
      <c r="G47" s="64">
        <v>43.2</v>
      </c>
      <c r="H47" s="64">
        <v>12.01</v>
      </c>
      <c r="I47" s="64">
        <v>4.3899999999999997</v>
      </c>
      <c r="J47" s="64">
        <v>0.85</v>
      </c>
      <c r="K47" s="64">
        <v>313.55</v>
      </c>
      <c r="L47" s="64">
        <v>35.15</v>
      </c>
      <c r="M47" s="64">
        <v>38.36</v>
      </c>
      <c r="N47" s="64">
        <v>788.6</v>
      </c>
      <c r="O47" s="64">
        <v>0</v>
      </c>
      <c r="P47" s="64">
        <v>0.41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16" t="s">
        <v>2109</v>
      </c>
      <c r="B48" s="64">
        <v>1.48</v>
      </c>
      <c r="C48" s="64">
        <v>3.91</v>
      </c>
      <c r="D48" s="64">
        <v>3.15</v>
      </c>
      <c r="E48" s="64">
        <v>0.03</v>
      </c>
      <c r="F48" s="64">
        <v>5.12</v>
      </c>
      <c r="G48" s="64">
        <v>41.58</v>
      </c>
      <c r="H48" s="64">
        <v>12.1</v>
      </c>
      <c r="I48" s="64">
        <v>4.09</v>
      </c>
      <c r="J48" s="64">
        <v>0.61</v>
      </c>
      <c r="K48" s="64">
        <v>315.94</v>
      </c>
      <c r="L48" s="64">
        <v>35.47</v>
      </c>
      <c r="M48" s="64">
        <v>36.22</v>
      </c>
      <c r="N48" s="64">
        <v>818.6</v>
      </c>
      <c r="O48" s="64">
        <v>0</v>
      </c>
      <c r="P48" s="64">
        <v>0.42</v>
      </c>
      <c r="Q48" s="64">
        <v>9.36</v>
      </c>
      <c r="R48" s="198"/>
      <c r="S48" s="198"/>
      <c r="T48" s="198"/>
      <c r="U48" s="198"/>
    </row>
    <row r="49" spans="1:21" s="12" customFormat="1" x14ac:dyDescent="0.25">
      <c r="A49" s="216" t="s">
        <v>2110</v>
      </c>
      <c r="B49" s="64">
        <v>1.4</v>
      </c>
      <c r="C49" s="64">
        <v>3.75</v>
      </c>
      <c r="D49" s="64">
        <v>3</v>
      </c>
      <c r="E49" s="64">
        <v>0</v>
      </c>
      <c r="F49" s="64">
        <v>5.93</v>
      </c>
      <c r="G49" s="64">
        <v>41.49</v>
      </c>
      <c r="H49" s="64">
        <v>12.11</v>
      </c>
      <c r="I49" s="64">
        <v>3.82</v>
      </c>
      <c r="J49" s="64">
        <v>1.38</v>
      </c>
      <c r="K49" s="64">
        <v>316.45</v>
      </c>
      <c r="L49" s="64">
        <v>35.68</v>
      </c>
      <c r="M49" s="64">
        <v>29.54</v>
      </c>
      <c r="N49" s="64">
        <v>867.1</v>
      </c>
      <c r="O49" s="64">
        <v>0</v>
      </c>
      <c r="P49" s="64">
        <v>0.41</v>
      </c>
      <c r="Q49" s="64">
        <v>9.34</v>
      </c>
      <c r="R49" s="198"/>
      <c r="S49" s="198"/>
      <c r="T49" s="198"/>
      <c r="U49" s="198"/>
    </row>
    <row r="50" spans="1:21" s="12" customFormat="1" x14ac:dyDescent="0.25">
      <c r="A50" s="216" t="s">
        <v>2111</v>
      </c>
      <c r="B50" s="64">
        <v>1.36</v>
      </c>
      <c r="C50" s="64">
        <v>3.58</v>
      </c>
      <c r="D50" s="64">
        <v>2.88</v>
      </c>
      <c r="E50" s="64">
        <v>0.01</v>
      </c>
      <c r="F50" s="64">
        <v>6.22</v>
      </c>
      <c r="G50" s="64">
        <v>41.49</v>
      </c>
      <c r="H50" s="64">
        <v>12.11</v>
      </c>
      <c r="I50" s="64">
        <v>3.6</v>
      </c>
      <c r="J50" s="64">
        <v>1.45</v>
      </c>
      <c r="K50" s="64">
        <v>317.2</v>
      </c>
      <c r="L50" s="64">
        <v>36.770000000000003</v>
      </c>
      <c r="M50" s="64">
        <v>25.59</v>
      </c>
      <c r="N50" s="64">
        <v>899.8</v>
      </c>
      <c r="O50" s="64">
        <v>0</v>
      </c>
      <c r="P50" s="64">
        <v>0.4</v>
      </c>
      <c r="Q50" s="64">
        <v>9.32</v>
      </c>
      <c r="R50" s="198"/>
      <c r="S50" s="198"/>
      <c r="T50" s="198"/>
      <c r="U50" s="198"/>
    </row>
    <row r="51" spans="1:21" s="12" customFormat="1" x14ac:dyDescent="0.25">
      <c r="A51" s="216" t="s">
        <v>2112</v>
      </c>
      <c r="B51" s="64">
        <v>1.34</v>
      </c>
      <c r="C51" s="64">
        <v>3.56</v>
      </c>
      <c r="D51" s="64">
        <v>2.86</v>
      </c>
      <c r="E51" s="64">
        <v>0.09</v>
      </c>
      <c r="F51" s="64">
        <v>6.16</v>
      </c>
      <c r="G51" s="64">
        <v>41.49</v>
      </c>
      <c r="H51" s="64">
        <v>12.11</v>
      </c>
      <c r="I51" s="64">
        <v>3.38</v>
      </c>
      <c r="J51" s="64">
        <v>1.1200000000000001</v>
      </c>
      <c r="K51" s="64">
        <v>324.63</v>
      </c>
      <c r="L51" s="64">
        <v>37.549999999999997</v>
      </c>
      <c r="M51" s="64">
        <v>25.77</v>
      </c>
      <c r="N51" s="64">
        <v>918</v>
      </c>
      <c r="O51" s="64">
        <v>0</v>
      </c>
      <c r="P51" s="64">
        <v>0.4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16" t="s">
        <v>2113</v>
      </c>
      <c r="B52" s="64">
        <v>1.34</v>
      </c>
      <c r="C52" s="64">
        <v>3.66</v>
      </c>
      <c r="D52" s="64">
        <v>2.91</v>
      </c>
      <c r="E52" s="64">
        <v>0.11</v>
      </c>
      <c r="F52" s="64">
        <v>6.04</v>
      </c>
      <c r="G52" s="64">
        <v>32.71</v>
      </c>
      <c r="H52" s="64">
        <v>12.06</v>
      </c>
      <c r="I52" s="64">
        <v>3.19</v>
      </c>
      <c r="J52" s="64">
        <v>0.53</v>
      </c>
      <c r="K52" s="64">
        <v>329.51</v>
      </c>
      <c r="L52" s="64">
        <v>37.71</v>
      </c>
      <c r="M52" s="64">
        <v>26.43</v>
      </c>
      <c r="N52" s="64">
        <v>920.2</v>
      </c>
      <c r="O52" s="64">
        <v>0</v>
      </c>
      <c r="P52" s="64">
        <v>0.4</v>
      </c>
      <c r="Q52" s="64">
        <v>9.36</v>
      </c>
      <c r="R52" s="198"/>
      <c r="S52" s="198"/>
      <c r="T52" s="198"/>
      <c r="U52" s="198"/>
    </row>
    <row r="53" spans="1:21" s="12" customFormat="1" x14ac:dyDescent="0.25">
      <c r="A53" s="216" t="s">
        <v>2114</v>
      </c>
      <c r="B53" s="64">
        <v>1.35</v>
      </c>
      <c r="C53" s="64">
        <v>4.3600000000000003</v>
      </c>
      <c r="D53" s="64">
        <v>3.28</v>
      </c>
      <c r="E53" s="64">
        <v>0.14000000000000001</v>
      </c>
      <c r="F53" s="64">
        <v>6.04</v>
      </c>
      <c r="G53" s="64">
        <v>32.19</v>
      </c>
      <c r="H53" s="64">
        <v>12.06</v>
      </c>
      <c r="I53" s="64">
        <v>3.09</v>
      </c>
      <c r="J53" s="64">
        <v>0.59</v>
      </c>
      <c r="K53" s="64">
        <v>318.12</v>
      </c>
      <c r="L53" s="64">
        <v>37.07</v>
      </c>
      <c r="M53" s="64">
        <v>28.59</v>
      </c>
      <c r="N53" s="64">
        <v>936.8</v>
      </c>
      <c r="O53" s="64">
        <v>0</v>
      </c>
      <c r="P53" s="64">
        <v>0.41</v>
      </c>
      <c r="Q53" s="64">
        <v>9.35</v>
      </c>
      <c r="R53" s="198"/>
      <c r="S53" s="198"/>
      <c r="T53" s="198"/>
      <c r="U53" s="198"/>
    </row>
    <row r="54" spans="1:21" s="12" customFormat="1" x14ac:dyDescent="0.25">
      <c r="A54" s="216" t="s">
        <v>2115</v>
      </c>
      <c r="B54" s="64">
        <v>1.36</v>
      </c>
      <c r="C54" s="64">
        <v>5.03</v>
      </c>
      <c r="D54" s="64">
        <v>3.64</v>
      </c>
      <c r="E54" s="64">
        <v>0.23</v>
      </c>
      <c r="F54" s="64">
        <v>5.08</v>
      </c>
      <c r="G54" s="64">
        <v>32.19</v>
      </c>
      <c r="H54" s="64">
        <v>12.06</v>
      </c>
      <c r="I54" s="64">
        <v>3.04</v>
      </c>
      <c r="J54" s="64">
        <v>0.72</v>
      </c>
      <c r="K54" s="64">
        <v>318.77999999999997</v>
      </c>
      <c r="L54" s="64">
        <v>37.99</v>
      </c>
      <c r="M54" s="64">
        <v>28.26</v>
      </c>
      <c r="N54" s="64">
        <v>947.8</v>
      </c>
      <c r="O54" s="64">
        <v>0</v>
      </c>
      <c r="P54" s="64">
        <v>0.41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16" t="s">
        <v>2116</v>
      </c>
      <c r="B55" s="64">
        <v>1.36</v>
      </c>
      <c r="C55" s="64">
        <v>5.08</v>
      </c>
      <c r="D55" s="64">
        <v>3.66</v>
      </c>
      <c r="E55" s="64">
        <v>0.18</v>
      </c>
      <c r="F55" s="64">
        <v>5.67</v>
      </c>
      <c r="G55" s="64">
        <v>32.19</v>
      </c>
      <c r="H55" s="64">
        <v>12.06</v>
      </c>
      <c r="I55" s="64">
        <v>2.96</v>
      </c>
      <c r="J55" s="64">
        <v>0.44</v>
      </c>
      <c r="K55" s="64">
        <v>334.99</v>
      </c>
      <c r="L55" s="64">
        <v>36.78</v>
      </c>
      <c r="M55" s="64">
        <v>29.82</v>
      </c>
      <c r="N55" s="64">
        <v>949.5</v>
      </c>
      <c r="O55" s="64">
        <v>0</v>
      </c>
      <c r="P55" s="64">
        <v>0.41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6" t="s">
        <v>2117</v>
      </c>
      <c r="B56" s="64">
        <v>1.37</v>
      </c>
      <c r="C56" s="64">
        <v>4.93</v>
      </c>
      <c r="D56" s="64">
        <v>3.6</v>
      </c>
      <c r="E56" s="64">
        <v>2.41</v>
      </c>
      <c r="F56" s="64">
        <v>5.28</v>
      </c>
      <c r="G56" s="64">
        <v>31.14</v>
      </c>
      <c r="H56" s="64">
        <v>10.119999999999999</v>
      </c>
      <c r="I56" s="64">
        <v>2.86</v>
      </c>
      <c r="J56" s="64">
        <v>0.86</v>
      </c>
      <c r="K56" s="64">
        <v>321.52</v>
      </c>
      <c r="L56" s="64">
        <v>37.71</v>
      </c>
      <c r="M56" s="64">
        <v>29.58</v>
      </c>
      <c r="N56" s="64">
        <v>936.4</v>
      </c>
      <c r="O56" s="64">
        <v>0</v>
      </c>
      <c r="P56" s="64">
        <v>0.4</v>
      </c>
      <c r="Q56" s="64">
        <v>9.26</v>
      </c>
      <c r="R56" s="198"/>
      <c r="S56" s="198"/>
      <c r="T56" s="198"/>
      <c r="U56" s="198"/>
    </row>
    <row r="57" spans="1:21" s="12" customFormat="1" x14ac:dyDescent="0.25">
      <c r="A57" s="216" t="s">
        <v>2118</v>
      </c>
      <c r="B57" s="64">
        <v>1.36</v>
      </c>
      <c r="C57" s="64">
        <v>4.8499999999999996</v>
      </c>
      <c r="D57" s="64">
        <v>3.55</v>
      </c>
      <c r="E57" s="64">
        <v>2.0099999999999998</v>
      </c>
      <c r="F57" s="64">
        <v>5.14</v>
      </c>
      <c r="G57" s="64">
        <v>31.08</v>
      </c>
      <c r="H57" s="64">
        <v>10.01</v>
      </c>
      <c r="I57" s="64">
        <v>2.75</v>
      </c>
      <c r="J57" s="64">
        <v>0.77</v>
      </c>
      <c r="K57" s="64">
        <v>319.22000000000003</v>
      </c>
      <c r="L57" s="64">
        <v>37.57</v>
      </c>
      <c r="M57" s="64">
        <v>30.22</v>
      </c>
      <c r="N57" s="64">
        <v>928.8</v>
      </c>
      <c r="O57" s="64">
        <v>0</v>
      </c>
      <c r="P57" s="64">
        <v>0.4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16" t="s">
        <v>2119</v>
      </c>
      <c r="B58" s="64">
        <v>1.36</v>
      </c>
      <c r="C58" s="64">
        <v>4.7300000000000004</v>
      </c>
      <c r="D58" s="64">
        <v>3.48</v>
      </c>
      <c r="E58" s="64">
        <v>1.96</v>
      </c>
      <c r="F58" s="64">
        <v>4.9400000000000004</v>
      </c>
      <c r="G58" s="64">
        <v>31.08</v>
      </c>
      <c r="H58" s="64">
        <v>10.01</v>
      </c>
      <c r="I58" s="64">
        <v>2.67</v>
      </c>
      <c r="J58" s="64">
        <v>0.53</v>
      </c>
      <c r="K58" s="64">
        <v>331.73</v>
      </c>
      <c r="L58" s="64">
        <v>38.01</v>
      </c>
      <c r="M58" s="64">
        <v>29.66</v>
      </c>
      <c r="N58" s="64">
        <v>917.9</v>
      </c>
      <c r="O58" s="64">
        <v>0</v>
      </c>
      <c r="P58" s="64">
        <v>0.4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6" t="s">
        <v>2120</v>
      </c>
      <c r="B59" s="64">
        <v>1.34</v>
      </c>
      <c r="C59" s="64">
        <v>4.72</v>
      </c>
      <c r="D59" s="64">
        <v>3.46</v>
      </c>
      <c r="E59" s="64">
        <v>1.97</v>
      </c>
      <c r="F59" s="64">
        <v>5.6</v>
      </c>
      <c r="G59" s="64">
        <v>31.08</v>
      </c>
      <c r="H59" s="64">
        <v>10.01</v>
      </c>
      <c r="I59" s="64">
        <v>2.64</v>
      </c>
      <c r="J59" s="64">
        <v>0.26</v>
      </c>
      <c r="K59" s="64">
        <v>198.63</v>
      </c>
      <c r="L59" s="64">
        <v>35.270000000000003</v>
      </c>
      <c r="M59" s="64">
        <v>33.119999999999997</v>
      </c>
      <c r="N59" s="64">
        <v>906.8</v>
      </c>
      <c r="O59" s="64">
        <v>0</v>
      </c>
      <c r="P59" s="64">
        <v>0.4</v>
      </c>
      <c r="Q59" s="64">
        <v>9.26</v>
      </c>
      <c r="R59" s="198"/>
      <c r="S59" s="198"/>
      <c r="T59" s="198"/>
      <c r="U59" s="198"/>
    </row>
    <row r="60" spans="1:21" s="12" customFormat="1" x14ac:dyDescent="0.25">
      <c r="A60" s="216" t="s">
        <v>2121</v>
      </c>
      <c r="B60" s="64">
        <v>1.3</v>
      </c>
      <c r="C60" s="64">
        <v>4.21</v>
      </c>
      <c r="D60" s="64">
        <v>3.16</v>
      </c>
      <c r="E60" s="64">
        <v>2.04</v>
      </c>
      <c r="F60" s="64">
        <v>6.66</v>
      </c>
      <c r="G60" s="64">
        <v>29.06</v>
      </c>
      <c r="H60" s="64">
        <v>12.08</v>
      </c>
      <c r="I60" s="64">
        <v>2.67</v>
      </c>
      <c r="J60" s="64">
        <v>0.09</v>
      </c>
      <c r="K60" s="64">
        <v>4.26</v>
      </c>
      <c r="L60" s="64">
        <v>35.82</v>
      </c>
      <c r="M60" s="64">
        <v>33.14</v>
      </c>
      <c r="N60" s="64">
        <v>871.6</v>
      </c>
      <c r="O60" s="64">
        <v>0</v>
      </c>
      <c r="P60" s="64">
        <v>0.39</v>
      </c>
      <c r="Q60" s="64">
        <v>9.25</v>
      </c>
      <c r="R60" s="198"/>
      <c r="S60" s="198"/>
      <c r="T60" s="198"/>
      <c r="U60" s="198"/>
    </row>
    <row r="61" spans="1:21" s="12" customFormat="1" x14ac:dyDescent="0.25">
      <c r="A61" s="216" t="s">
        <v>2122</v>
      </c>
      <c r="B61" s="64">
        <v>1.33</v>
      </c>
      <c r="C61" s="64">
        <v>4.24</v>
      </c>
      <c r="D61" s="64">
        <v>3.2</v>
      </c>
      <c r="E61" s="64">
        <v>1.86</v>
      </c>
      <c r="F61" s="64">
        <v>6.35</v>
      </c>
      <c r="G61" s="64">
        <v>28.94</v>
      </c>
      <c r="H61" s="64">
        <v>12.21</v>
      </c>
      <c r="I61" s="64">
        <v>2.66</v>
      </c>
      <c r="J61" s="64">
        <v>0.66</v>
      </c>
      <c r="K61" s="64">
        <v>340.61</v>
      </c>
      <c r="L61" s="64">
        <v>37.54</v>
      </c>
      <c r="M61" s="64">
        <v>31.42</v>
      </c>
      <c r="N61" s="64">
        <v>839.9</v>
      </c>
      <c r="O61" s="64">
        <v>0</v>
      </c>
      <c r="P61" s="64">
        <v>0.38</v>
      </c>
      <c r="Q61" s="64">
        <v>9.1999999999999993</v>
      </c>
      <c r="R61" s="198"/>
      <c r="S61" s="198"/>
      <c r="T61" s="198"/>
      <c r="U61" s="198"/>
    </row>
    <row r="62" spans="1:21" s="12" customFormat="1" x14ac:dyDescent="0.25">
      <c r="A62" s="216" t="s">
        <v>2123</v>
      </c>
      <c r="B62" s="64">
        <v>1.34</v>
      </c>
      <c r="C62" s="64">
        <v>4.4400000000000004</v>
      </c>
      <c r="D62" s="64">
        <v>3.32</v>
      </c>
      <c r="E62" s="64">
        <v>1.48</v>
      </c>
      <c r="F62" s="64">
        <v>5.98</v>
      </c>
      <c r="G62" s="64">
        <v>28.94</v>
      </c>
      <c r="H62" s="64">
        <v>12.21</v>
      </c>
      <c r="I62" s="64">
        <v>2.68</v>
      </c>
      <c r="J62" s="64">
        <v>0.92</v>
      </c>
      <c r="K62" s="64">
        <v>322.93</v>
      </c>
      <c r="L62" s="64">
        <v>38.549999999999997</v>
      </c>
      <c r="M62" s="64">
        <v>29.86</v>
      </c>
      <c r="N62" s="64">
        <v>811.9</v>
      </c>
      <c r="O62" s="64">
        <v>0</v>
      </c>
      <c r="P62" s="64">
        <v>0.42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6" t="s">
        <v>2124</v>
      </c>
      <c r="B63" s="64">
        <v>1.35</v>
      </c>
      <c r="C63" s="64">
        <v>4.9800000000000004</v>
      </c>
      <c r="D63" s="64">
        <v>3.6</v>
      </c>
      <c r="E63" s="64">
        <v>1.64</v>
      </c>
      <c r="F63" s="64">
        <v>5.88</v>
      </c>
      <c r="G63" s="64">
        <v>28.94</v>
      </c>
      <c r="H63" s="64">
        <v>12.21</v>
      </c>
      <c r="I63" s="64">
        <v>2.79</v>
      </c>
      <c r="J63" s="64">
        <v>0.24</v>
      </c>
      <c r="K63" s="64">
        <v>140.56</v>
      </c>
      <c r="L63" s="64">
        <v>37.1</v>
      </c>
      <c r="M63" s="64">
        <v>30.58</v>
      </c>
      <c r="N63" s="64">
        <v>772.3</v>
      </c>
      <c r="O63" s="64">
        <v>0</v>
      </c>
      <c r="P63" s="64">
        <v>0.43</v>
      </c>
      <c r="Q63" s="64">
        <v>9.2200000000000006</v>
      </c>
      <c r="R63" s="198"/>
      <c r="S63" s="198"/>
      <c r="T63" s="198"/>
      <c r="U63" s="198"/>
    </row>
    <row r="64" spans="1:21" s="12" customFormat="1" x14ac:dyDescent="0.25">
      <c r="A64" s="216" t="s">
        <v>2125</v>
      </c>
      <c r="B64" s="64">
        <v>1.34</v>
      </c>
      <c r="C64" s="64">
        <v>4.88</v>
      </c>
      <c r="D64" s="64">
        <v>3.54</v>
      </c>
      <c r="E64" s="64">
        <v>1.9</v>
      </c>
      <c r="F64" s="64">
        <v>6.13</v>
      </c>
      <c r="G64" s="64">
        <v>29.28</v>
      </c>
      <c r="H64" s="64">
        <v>14.16</v>
      </c>
      <c r="I64" s="64">
        <v>2.94</v>
      </c>
      <c r="J64" s="64">
        <v>0.22</v>
      </c>
      <c r="K64" s="64">
        <v>2.12</v>
      </c>
      <c r="L64" s="64">
        <v>36.270000000000003</v>
      </c>
      <c r="M64" s="64">
        <v>31.99</v>
      </c>
      <c r="N64" s="64">
        <v>725.7</v>
      </c>
      <c r="O64" s="64">
        <v>0</v>
      </c>
      <c r="P64" s="64">
        <v>0.45</v>
      </c>
      <c r="Q64" s="64">
        <v>9.26</v>
      </c>
      <c r="R64" s="198"/>
      <c r="S64" s="198"/>
      <c r="T64" s="198"/>
      <c r="U64" s="198"/>
    </row>
    <row r="65" spans="1:21" s="12" customFormat="1" x14ac:dyDescent="0.25">
      <c r="A65" s="216" t="s">
        <v>2126</v>
      </c>
      <c r="B65" s="64">
        <v>1.33</v>
      </c>
      <c r="C65" s="64">
        <v>4.74</v>
      </c>
      <c r="D65" s="64">
        <v>3.47</v>
      </c>
      <c r="E65" s="64">
        <v>1.77</v>
      </c>
      <c r="F65" s="64">
        <v>6.25</v>
      </c>
      <c r="G65" s="64">
        <v>29.31</v>
      </c>
      <c r="H65" s="64">
        <v>14.27</v>
      </c>
      <c r="I65" s="64">
        <v>3.22</v>
      </c>
      <c r="J65" s="64">
        <v>0.37</v>
      </c>
      <c r="K65" s="64">
        <v>304.94</v>
      </c>
      <c r="L65" s="64">
        <v>36.99</v>
      </c>
      <c r="M65" s="64">
        <v>30.52</v>
      </c>
      <c r="N65" s="64">
        <v>444.5</v>
      </c>
      <c r="O65" s="64">
        <v>0</v>
      </c>
      <c r="P65" s="64">
        <v>0.47</v>
      </c>
      <c r="Q65" s="64">
        <v>9.3000000000000007</v>
      </c>
      <c r="R65" s="198"/>
      <c r="S65" s="198"/>
      <c r="T65" s="198"/>
      <c r="U65" s="198"/>
    </row>
    <row r="66" spans="1:21" s="12" customFormat="1" x14ac:dyDescent="0.25">
      <c r="A66" s="216" t="s">
        <v>2127</v>
      </c>
      <c r="B66" s="64">
        <v>1.35</v>
      </c>
      <c r="C66" s="64">
        <v>4.54</v>
      </c>
      <c r="D66" s="64">
        <v>3.37</v>
      </c>
      <c r="E66" s="64">
        <v>1.77</v>
      </c>
      <c r="F66" s="64">
        <v>5.75</v>
      </c>
      <c r="G66" s="64">
        <v>29.31</v>
      </c>
      <c r="H66" s="64">
        <v>14.27</v>
      </c>
      <c r="I66" s="64">
        <v>3.65</v>
      </c>
      <c r="J66" s="64">
        <v>0.33</v>
      </c>
      <c r="K66" s="64">
        <v>29</v>
      </c>
      <c r="L66" s="64">
        <v>36.68</v>
      </c>
      <c r="M66" s="64">
        <v>31.29</v>
      </c>
      <c r="N66" s="64">
        <v>414.1</v>
      </c>
      <c r="O66" s="64">
        <v>0</v>
      </c>
      <c r="P66" s="64">
        <v>0.47</v>
      </c>
      <c r="Q66" s="64">
        <v>9.31</v>
      </c>
      <c r="R66" s="198"/>
      <c r="S66" s="198"/>
      <c r="T66" s="198"/>
      <c r="U66" s="198"/>
    </row>
    <row r="67" spans="1:21" s="12" customFormat="1" x14ac:dyDescent="0.25">
      <c r="A67" s="216" t="s">
        <v>2128</v>
      </c>
      <c r="B67" s="64">
        <v>1.34</v>
      </c>
      <c r="C67" s="64">
        <v>4.24</v>
      </c>
      <c r="D67" s="64">
        <v>3.21</v>
      </c>
      <c r="E67" s="64">
        <v>1.76</v>
      </c>
      <c r="F67" s="64">
        <v>5.47</v>
      </c>
      <c r="G67" s="64">
        <v>29.31</v>
      </c>
      <c r="H67" s="64">
        <v>14.27</v>
      </c>
      <c r="I67" s="64">
        <v>4.12</v>
      </c>
      <c r="J67" s="64">
        <v>0.66</v>
      </c>
      <c r="K67" s="64">
        <v>326.45</v>
      </c>
      <c r="L67" s="64">
        <v>37.54</v>
      </c>
      <c r="M67" s="64">
        <v>28.52</v>
      </c>
      <c r="N67" s="64">
        <v>318.7</v>
      </c>
      <c r="O67" s="64">
        <v>0</v>
      </c>
      <c r="P67" s="64">
        <v>0.48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6" t="s">
        <v>2129</v>
      </c>
      <c r="B68" s="64">
        <v>1.36</v>
      </c>
      <c r="C68" s="64">
        <v>4.1500000000000004</v>
      </c>
      <c r="D68" s="64">
        <v>3.17</v>
      </c>
      <c r="E68" s="64">
        <v>2.2799999999999998</v>
      </c>
      <c r="F68" s="64">
        <v>5.27</v>
      </c>
      <c r="G68" s="64">
        <v>30.61</v>
      </c>
      <c r="H68" s="64">
        <v>15.35</v>
      </c>
      <c r="I68" s="64">
        <v>4.4400000000000004</v>
      </c>
      <c r="J68" s="64">
        <v>0.32</v>
      </c>
      <c r="K68" s="64">
        <v>330.8</v>
      </c>
      <c r="L68" s="64">
        <v>37.659999999999997</v>
      </c>
      <c r="M68" s="64">
        <v>28.05</v>
      </c>
      <c r="N68" s="64">
        <v>307.7</v>
      </c>
      <c r="O68" s="64">
        <v>0</v>
      </c>
      <c r="P68" s="64">
        <v>0.47</v>
      </c>
      <c r="Q68" s="64">
        <v>9.31</v>
      </c>
      <c r="R68" s="198"/>
      <c r="S68" s="198"/>
      <c r="T68" s="198"/>
      <c r="U68" s="198"/>
    </row>
    <row r="69" spans="1:21" s="12" customFormat="1" x14ac:dyDescent="0.25">
      <c r="A69" s="216" t="s">
        <v>2130</v>
      </c>
      <c r="B69" s="64">
        <v>1.37</v>
      </c>
      <c r="C69" s="64">
        <v>4.03</v>
      </c>
      <c r="D69" s="64">
        <v>3.12</v>
      </c>
      <c r="E69" s="64">
        <v>2.11</v>
      </c>
      <c r="F69" s="64">
        <v>5.28</v>
      </c>
      <c r="G69" s="64">
        <v>30.69</v>
      </c>
      <c r="H69" s="64">
        <v>15.41</v>
      </c>
      <c r="I69" s="64">
        <v>4.6500000000000004</v>
      </c>
      <c r="J69" s="64">
        <v>0.22</v>
      </c>
      <c r="K69" s="64">
        <v>321.55</v>
      </c>
      <c r="L69" s="64">
        <v>36.979999999999997</v>
      </c>
      <c r="M69" s="64">
        <v>28.99</v>
      </c>
      <c r="N69" s="64">
        <v>180</v>
      </c>
      <c r="O69" s="64">
        <v>0</v>
      </c>
      <c r="P69" s="64">
        <v>0.47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6" t="s">
        <v>2131</v>
      </c>
      <c r="B70" s="64">
        <v>1.38</v>
      </c>
      <c r="C70" s="64">
        <v>4.18</v>
      </c>
      <c r="D70" s="64">
        <v>3.21</v>
      </c>
      <c r="E70" s="64">
        <v>1.79</v>
      </c>
      <c r="F70" s="64">
        <v>5.29</v>
      </c>
      <c r="G70" s="64">
        <v>30.69</v>
      </c>
      <c r="H70" s="64">
        <v>15.41</v>
      </c>
      <c r="I70" s="64">
        <v>5</v>
      </c>
      <c r="J70" s="64">
        <v>0.04</v>
      </c>
      <c r="K70" s="64">
        <v>42.41</v>
      </c>
      <c r="L70" s="64">
        <v>36.61</v>
      </c>
      <c r="M70" s="64">
        <v>29.9</v>
      </c>
      <c r="N70" s="64">
        <v>190.3</v>
      </c>
      <c r="O70" s="64">
        <v>0</v>
      </c>
      <c r="P70" s="64">
        <v>0.46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6" t="s">
        <v>2132</v>
      </c>
      <c r="B71" s="64">
        <v>1.36</v>
      </c>
      <c r="C71" s="64">
        <v>4.2300000000000004</v>
      </c>
      <c r="D71" s="64">
        <v>3.22</v>
      </c>
      <c r="E71" s="64">
        <v>1.66</v>
      </c>
      <c r="F71" s="64">
        <v>5.93</v>
      </c>
      <c r="G71" s="64">
        <v>30.69</v>
      </c>
      <c r="H71" s="64">
        <v>15.41</v>
      </c>
      <c r="I71" s="64">
        <v>5.2</v>
      </c>
      <c r="J71" s="64">
        <v>0.18</v>
      </c>
      <c r="K71" s="64">
        <v>356.25</v>
      </c>
      <c r="L71" s="64">
        <v>36.15</v>
      </c>
      <c r="M71" s="64">
        <v>29.27</v>
      </c>
      <c r="N71" s="64">
        <v>129.69999999999999</v>
      </c>
      <c r="O71" s="64">
        <v>0</v>
      </c>
      <c r="P71" s="64">
        <v>0.45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6" t="s">
        <v>2133</v>
      </c>
      <c r="B72" s="64">
        <v>1.33</v>
      </c>
      <c r="C72" s="64">
        <v>4.37</v>
      </c>
      <c r="D72" s="64">
        <v>3.27</v>
      </c>
      <c r="E72" s="64">
        <v>2.65</v>
      </c>
      <c r="F72" s="64">
        <v>6.2</v>
      </c>
      <c r="G72" s="64">
        <v>28.18</v>
      </c>
      <c r="H72" s="64">
        <v>13.54</v>
      </c>
      <c r="I72" s="64">
        <v>5.22</v>
      </c>
      <c r="J72" s="64">
        <v>0.61</v>
      </c>
      <c r="K72" s="64">
        <v>341.53</v>
      </c>
      <c r="L72" s="64">
        <v>36.56</v>
      </c>
      <c r="M72" s="64">
        <v>30.03</v>
      </c>
      <c r="N72" s="64">
        <v>117.6</v>
      </c>
      <c r="O72" s="64">
        <v>0</v>
      </c>
      <c r="P72" s="64">
        <v>0.45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6" t="s">
        <v>2134</v>
      </c>
      <c r="B73" s="64">
        <v>1.32</v>
      </c>
      <c r="C73" s="64">
        <v>4.38</v>
      </c>
      <c r="D73" s="64">
        <v>3.27</v>
      </c>
      <c r="E73" s="64">
        <v>2.73</v>
      </c>
      <c r="F73" s="64">
        <v>5.88</v>
      </c>
      <c r="G73" s="64">
        <v>28.03</v>
      </c>
      <c r="H73" s="64">
        <v>13.43</v>
      </c>
      <c r="I73" s="64">
        <v>5.12</v>
      </c>
      <c r="J73" s="64">
        <v>0.34</v>
      </c>
      <c r="K73" s="64">
        <v>318.23</v>
      </c>
      <c r="L73" s="64">
        <v>36.36</v>
      </c>
      <c r="M73" s="64">
        <v>30.53</v>
      </c>
      <c r="N73" s="64">
        <v>126.7</v>
      </c>
      <c r="O73" s="64">
        <v>0</v>
      </c>
      <c r="P73" s="64">
        <v>0.44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6" t="s">
        <v>2135</v>
      </c>
      <c r="B74" s="64">
        <v>1.31</v>
      </c>
      <c r="C74" s="64">
        <v>4.22</v>
      </c>
      <c r="D74" s="64">
        <v>3.18</v>
      </c>
      <c r="E74" s="64">
        <v>2.5099999999999998</v>
      </c>
      <c r="F74" s="64">
        <v>5.67</v>
      </c>
      <c r="G74" s="64">
        <v>28.03</v>
      </c>
      <c r="H74" s="64">
        <v>13.43</v>
      </c>
      <c r="I74" s="64">
        <v>5.03</v>
      </c>
      <c r="J74" s="64">
        <v>0.24</v>
      </c>
      <c r="K74" s="64">
        <v>330.13</v>
      </c>
      <c r="L74" s="64">
        <v>36.090000000000003</v>
      </c>
      <c r="M74" s="64">
        <v>30.57</v>
      </c>
      <c r="N74" s="64">
        <v>98.6</v>
      </c>
      <c r="O74" s="64">
        <v>0</v>
      </c>
      <c r="P74" s="64">
        <v>0.43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6" t="s">
        <v>2136</v>
      </c>
      <c r="B75" s="64">
        <v>1.32</v>
      </c>
      <c r="C75" s="64">
        <v>4.26</v>
      </c>
      <c r="D75" s="64">
        <v>3.2</v>
      </c>
      <c r="E75" s="64">
        <v>2.67</v>
      </c>
      <c r="F75" s="64">
        <v>5.86</v>
      </c>
      <c r="G75" s="64">
        <v>28.03</v>
      </c>
      <c r="H75" s="64">
        <v>13.43</v>
      </c>
      <c r="I75" s="64">
        <v>4.92</v>
      </c>
      <c r="J75" s="64">
        <v>0.11</v>
      </c>
      <c r="K75" s="64">
        <v>317.41000000000003</v>
      </c>
      <c r="L75" s="64">
        <v>35.75</v>
      </c>
      <c r="M75" s="64">
        <v>30.28</v>
      </c>
      <c r="N75" s="64">
        <v>89.4</v>
      </c>
      <c r="O75" s="64">
        <v>0</v>
      </c>
      <c r="P75" s="64">
        <v>0.43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6" t="s">
        <v>2137</v>
      </c>
      <c r="B76" s="64">
        <v>1.29</v>
      </c>
      <c r="C76" s="64">
        <v>4.37</v>
      </c>
      <c r="D76" s="64">
        <v>3.24</v>
      </c>
      <c r="E76" s="64">
        <v>2.94</v>
      </c>
      <c r="F76" s="64">
        <v>5.91</v>
      </c>
      <c r="G76" s="64">
        <v>26.52</v>
      </c>
      <c r="H76" s="64">
        <v>13.8</v>
      </c>
      <c r="I76" s="64">
        <v>4.75</v>
      </c>
      <c r="J76" s="64">
        <v>0.19</v>
      </c>
      <c r="K76" s="64">
        <v>167.54</v>
      </c>
      <c r="L76" s="64">
        <v>35.549999999999997</v>
      </c>
      <c r="M76" s="64">
        <v>30.64</v>
      </c>
      <c r="N76" s="64">
        <v>80.099999999999994</v>
      </c>
      <c r="O76" s="64">
        <v>0</v>
      </c>
      <c r="P76" s="64">
        <v>0.42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6" t="s">
        <v>2138</v>
      </c>
      <c r="B77" s="64">
        <v>1.31</v>
      </c>
      <c r="C77" s="64">
        <v>4.5599999999999996</v>
      </c>
      <c r="D77" s="64">
        <v>3.36</v>
      </c>
      <c r="E77" s="64">
        <v>2.46</v>
      </c>
      <c r="F77" s="64">
        <v>5.54</v>
      </c>
      <c r="G77" s="64">
        <v>26.44</v>
      </c>
      <c r="H77" s="64">
        <v>13.83</v>
      </c>
      <c r="I77" s="64">
        <v>4.62</v>
      </c>
      <c r="J77" s="64">
        <v>0.17</v>
      </c>
      <c r="K77" s="64">
        <v>338.44</v>
      </c>
      <c r="L77" s="64">
        <v>35.54</v>
      </c>
      <c r="M77" s="64">
        <v>31.34</v>
      </c>
      <c r="N77" s="64">
        <v>72.2</v>
      </c>
      <c r="O77" s="64">
        <v>0</v>
      </c>
      <c r="P77" s="64">
        <v>0.42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6" t="s">
        <v>2139</v>
      </c>
      <c r="B78" s="64">
        <v>1.37</v>
      </c>
      <c r="C78" s="64">
        <v>4.8</v>
      </c>
      <c r="D78" s="64">
        <v>3.53</v>
      </c>
      <c r="E78" s="64">
        <v>2.76</v>
      </c>
      <c r="F78" s="64">
        <v>5.16</v>
      </c>
      <c r="G78" s="64">
        <v>26.44</v>
      </c>
      <c r="H78" s="64">
        <v>13.83</v>
      </c>
      <c r="I78" s="64">
        <v>4.5</v>
      </c>
      <c r="J78" s="64">
        <v>0.18</v>
      </c>
      <c r="K78" s="64">
        <v>24.26</v>
      </c>
      <c r="L78" s="64">
        <v>35.479999999999997</v>
      </c>
      <c r="M78" s="64">
        <v>30.79</v>
      </c>
      <c r="N78" s="64">
        <v>62.2</v>
      </c>
      <c r="O78" s="64">
        <v>0</v>
      </c>
      <c r="P78" s="64">
        <v>0.42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6" t="s">
        <v>2140</v>
      </c>
      <c r="B79" s="64">
        <v>1.46</v>
      </c>
      <c r="C79" s="64">
        <v>5.29</v>
      </c>
      <c r="D79" s="64">
        <v>3.86</v>
      </c>
      <c r="E79" s="64">
        <v>2.52</v>
      </c>
      <c r="F79" s="64">
        <v>5.2</v>
      </c>
      <c r="G79" s="64">
        <v>26.44</v>
      </c>
      <c r="H79" s="64">
        <v>13.83</v>
      </c>
      <c r="I79" s="64">
        <v>4.46</v>
      </c>
      <c r="J79" s="64">
        <v>0.28000000000000003</v>
      </c>
      <c r="K79" s="64">
        <v>335.58</v>
      </c>
      <c r="L79" s="64">
        <v>34.82</v>
      </c>
      <c r="M79" s="64">
        <v>34.119999999999997</v>
      </c>
      <c r="N79" s="64">
        <v>51.6</v>
      </c>
      <c r="O79" s="64">
        <v>0</v>
      </c>
      <c r="P79" s="64">
        <v>0.42</v>
      </c>
      <c r="Q79" s="64">
        <v>9.25</v>
      </c>
      <c r="R79" s="198"/>
      <c r="S79" s="198"/>
      <c r="T79" s="198"/>
      <c r="U79" s="198"/>
    </row>
    <row r="80" spans="1:21" s="12" customFormat="1" x14ac:dyDescent="0.25">
      <c r="A80" s="216" t="s">
        <v>2141</v>
      </c>
      <c r="B80" s="64">
        <v>1.53</v>
      </c>
      <c r="C80" s="64">
        <v>5.68</v>
      </c>
      <c r="D80" s="64">
        <v>4.1100000000000003</v>
      </c>
      <c r="E80" s="64">
        <v>2.76</v>
      </c>
      <c r="F80" s="64">
        <v>4.8899999999999997</v>
      </c>
      <c r="G80" s="64">
        <v>28.46</v>
      </c>
      <c r="H80" s="64">
        <v>11.38</v>
      </c>
      <c r="I80" s="64">
        <v>4.3600000000000003</v>
      </c>
      <c r="J80" s="64">
        <v>0.12</v>
      </c>
      <c r="K80" s="64">
        <v>349.48</v>
      </c>
      <c r="L80" s="64">
        <v>34.380000000000003</v>
      </c>
      <c r="M80" s="64">
        <v>34.76</v>
      </c>
      <c r="N80" s="64">
        <v>40.6</v>
      </c>
      <c r="O80" s="64">
        <v>0</v>
      </c>
      <c r="P80" s="64">
        <v>0.44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6" t="s">
        <v>2142</v>
      </c>
      <c r="B81" s="64">
        <v>1.56</v>
      </c>
      <c r="C81" s="64">
        <v>6.57</v>
      </c>
      <c r="D81" s="64">
        <v>4.5999999999999996</v>
      </c>
      <c r="E81" s="64">
        <v>2.41</v>
      </c>
      <c r="F81" s="64">
        <v>4.6399999999999997</v>
      </c>
      <c r="G81" s="64">
        <v>28.58</v>
      </c>
      <c r="H81" s="64">
        <v>11.24</v>
      </c>
      <c r="I81" s="64">
        <v>4.33</v>
      </c>
      <c r="J81" s="64">
        <v>0.06</v>
      </c>
      <c r="K81" s="64">
        <v>234.65</v>
      </c>
      <c r="L81" s="64">
        <v>34.14</v>
      </c>
      <c r="M81" s="64">
        <v>34.479999999999997</v>
      </c>
      <c r="N81" s="64">
        <v>29.6</v>
      </c>
      <c r="O81" s="64">
        <v>0</v>
      </c>
      <c r="P81" s="64">
        <v>0.45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6" t="s">
        <v>2143</v>
      </c>
      <c r="B82" s="64">
        <v>1.56</v>
      </c>
      <c r="C82" s="64">
        <v>6.36</v>
      </c>
      <c r="D82" s="64">
        <v>4.5</v>
      </c>
      <c r="E82" s="64">
        <v>2.33</v>
      </c>
      <c r="F82" s="64">
        <v>5.22</v>
      </c>
      <c r="G82" s="64">
        <v>28.58</v>
      </c>
      <c r="H82" s="64">
        <v>11.24</v>
      </c>
      <c r="I82" s="64">
        <v>4.2699999999999996</v>
      </c>
      <c r="J82" s="64">
        <v>0.1</v>
      </c>
      <c r="K82" s="64">
        <v>11.33</v>
      </c>
      <c r="L82" s="64">
        <v>34.159999999999997</v>
      </c>
      <c r="M82" s="64">
        <v>34.72</v>
      </c>
      <c r="N82" s="64">
        <v>21.1</v>
      </c>
      <c r="O82" s="64">
        <v>0</v>
      </c>
      <c r="P82" s="64">
        <v>0.46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6" t="s">
        <v>2144</v>
      </c>
      <c r="B83" s="64">
        <v>1.59</v>
      </c>
      <c r="C83" s="64">
        <v>5.95</v>
      </c>
      <c r="D83" s="64">
        <v>4.3</v>
      </c>
      <c r="E83" s="64">
        <v>2.2599999999999998</v>
      </c>
      <c r="F83" s="64">
        <v>4.5</v>
      </c>
      <c r="G83" s="64">
        <v>28.58</v>
      </c>
      <c r="H83" s="64">
        <v>11.24</v>
      </c>
      <c r="I83" s="64">
        <v>4.1900000000000004</v>
      </c>
      <c r="J83" s="64">
        <v>0.17</v>
      </c>
      <c r="K83" s="64">
        <v>218.18</v>
      </c>
      <c r="L83" s="64">
        <v>33.6</v>
      </c>
      <c r="M83" s="64">
        <v>35.9</v>
      </c>
      <c r="N83" s="64">
        <v>17.8</v>
      </c>
      <c r="O83" s="64">
        <v>0</v>
      </c>
      <c r="P83" s="64">
        <v>0.47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6" t="s">
        <v>2145</v>
      </c>
      <c r="B84" s="64">
        <v>1.62</v>
      </c>
      <c r="C84" s="64">
        <v>5.64</v>
      </c>
      <c r="D84" s="64">
        <v>4.17</v>
      </c>
      <c r="E84" s="64">
        <v>2.7</v>
      </c>
      <c r="F84" s="64">
        <v>3.87</v>
      </c>
      <c r="G84" s="64">
        <v>34.19</v>
      </c>
      <c r="H84" s="64">
        <v>15.39</v>
      </c>
      <c r="I84" s="64">
        <v>4.3899999999999997</v>
      </c>
      <c r="J84" s="64">
        <v>0.32</v>
      </c>
      <c r="K84" s="64">
        <v>206.8</v>
      </c>
      <c r="L84" s="64">
        <v>33.51</v>
      </c>
      <c r="M84" s="64">
        <v>36.03</v>
      </c>
      <c r="N84" s="64">
        <v>17.100000000000001</v>
      </c>
      <c r="O84" s="64">
        <v>0</v>
      </c>
      <c r="P84" s="64">
        <v>0.49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6" t="s">
        <v>2146</v>
      </c>
      <c r="B85" s="64">
        <v>1.7</v>
      </c>
      <c r="C85" s="64">
        <v>5.81</v>
      </c>
      <c r="D85" s="64">
        <v>4.3099999999999996</v>
      </c>
      <c r="E85" s="64">
        <v>2.63</v>
      </c>
      <c r="F85" s="64">
        <v>3.46</v>
      </c>
      <c r="G85" s="64">
        <v>34.520000000000003</v>
      </c>
      <c r="H85" s="64">
        <v>15.63</v>
      </c>
      <c r="I85" s="64">
        <v>4.7</v>
      </c>
      <c r="J85" s="64">
        <v>0.33</v>
      </c>
      <c r="K85" s="64">
        <v>203.34</v>
      </c>
      <c r="L85" s="64">
        <v>33.01</v>
      </c>
      <c r="M85" s="64">
        <v>37.21</v>
      </c>
      <c r="N85" s="64">
        <v>17.2</v>
      </c>
      <c r="O85" s="64">
        <v>0</v>
      </c>
      <c r="P85" s="64">
        <v>0.44</v>
      </c>
      <c r="Q85" s="64">
        <v>9.36</v>
      </c>
      <c r="R85" s="198"/>
      <c r="S85" s="198"/>
      <c r="T85" s="198"/>
      <c r="U85" s="198"/>
    </row>
    <row r="86" spans="1:26" s="12" customFormat="1" x14ac:dyDescent="0.25">
      <c r="A86" s="216" t="s">
        <v>2147</v>
      </c>
      <c r="B86" s="64">
        <v>1.77</v>
      </c>
      <c r="C86" s="64">
        <v>6.07</v>
      </c>
      <c r="D86" s="64">
        <v>4.5</v>
      </c>
      <c r="E86" s="64">
        <v>2.37</v>
      </c>
      <c r="F86" s="64">
        <v>3.64</v>
      </c>
      <c r="G86" s="64">
        <v>34.520000000000003</v>
      </c>
      <c r="H86" s="64">
        <v>15.63</v>
      </c>
      <c r="I86" s="64">
        <v>5.0999999999999996</v>
      </c>
      <c r="J86" s="64">
        <v>0.14000000000000001</v>
      </c>
      <c r="K86" s="64">
        <v>216.12</v>
      </c>
      <c r="L86" s="64">
        <v>32.82</v>
      </c>
      <c r="M86" s="64">
        <v>37.25</v>
      </c>
      <c r="N86" s="64">
        <v>17.5</v>
      </c>
      <c r="O86" s="64">
        <v>0</v>
      </c>
      <c r="P86" s="64">
        <v>0.5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6" t="s">
        <v>2148</v>
      </c>
      <c r="B87" s="64">
        <v>1.84</v>
      </c>
      <c r="C87" s="64">
        <v>6.38</v>
      </c>
      <c r="D87" s="64">
        <v>4.7300000000000004</v>
      </c>
      <c r="E87" s="64">
        <v>2.5</v>
      </c>
      <c r="F87" s="64">
        <v>3.51</v>
      </c>
      <c r="G87" s="64">
        <v>34.520000000000003</v>
      </c>
      <c r="H87" s="64">
        <v>15.63</v>
      </c>
      <c r="I87" s="64">
        <v>5.37</v>
      </c>
      <c r="J87" s="64">
        <v>0.15</v>
      </c>
      <c r="K87" s="64">
        <v>353.19</v>
      </c>
      <c r="L87" s="64">
        <v>32.229999999999997</v>
      </c>
      <c r="M87" s="64">
        <v>41.39</v>
      </c>
      <c r="N87" s="64">
        <v>17.7</v>
      </c>
      <c r="O87" s="64">
        <v>0</v>
      </c>
      <c r="P87" s="64">
        <v>0.56999999999999995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6" t="s">
        <v>2149</v>
      </c>
      <c r="B88" s="64">
        <v>2.4700000000000002</v>
      </c>
      <c r="C88" s="64">
        <v>6.84</v>
      </c>
      <c r="D88" s="64">
        <v>5.47</v>
      </c>
      <c r="E88" s="64">
        <v>1.54</v>
      </c>
      <c r="F88" s="64">
        <v>3.44</v>
      </c>
      <c r="G88" s="64">
        <v>47.55</v>
      </c>
      <c r="H88" s="64">
        <v>15.4</v>
      </c>
      <c r="I88" s="64">
        <v>5.52</v>
      </c>
      <c r="J88" s="64">
        <v>0.15</v>
      </c>
      <c r="K88" s="64">
        <v>14.8</v>
      </c>
      <c r="L88" s="64">
        <v>31.63</v>
      </c>
      <c r="M88" s="64">
        <v>45.59</v>
      </c>
      <c r="N88" s="64">
        <v>17.8</v>
      </c>
      <c r="O88" s="64">
        <v>0</v>
      </c>
      <c r="P88" s="64">
        <v>0.84</v>
      </c>
      <c r="Q88" s="64">
        <v>9.42</v>
      </c>
      <c r="R88" s="198"/>
      <c r="S88" s="198"/>
      <c r="T88" s="198"/>
      <c r="U88" s="198"/>
    </row>
    <row r="89" spans="1:26" s="12" customFormat="1" x14ac:dyDescent="0.25">
      <c r="A89" s="216" t="s">
        <v>2150</v>
      </c>
      <c r="B89" s="64">
        <v>4.09</v>
      </c>
      <c r="C89" s="64">
        <v>7.85</v>
      </c>
      <c r="D89" s="64">
        <v>7.3</v>
      </c>
      <c r="E89" s="64">
        <v>1.56</v>
      </c>
      <c r="F89" s="64">
        <v>3.15</v>
      </c>
      <c r="G89" s="64">
        <v>48.32</v>
      </c>
      <c r="H89" s="64">
        <v>15.39</v>
      </c>
      <c r="I89" s="64">
        <v>7.02</v>
      </c>
      <c r="J89" s="64">
        <v>0.1</v>
      </c>
      <c r="K89" s="64">
        <v>316.94</v>
      </c>
      <c r="L89" s="64">
        <v>31.44</v>
      </c>
      <c r="M89" s="64">
        <v>45.6</v>
      </c>
      <c r="N89" s="64">
        <v>17</v>
      </c>
      <c r="O89" s="64">
        <v>0</v>
      </c>
      <c r="P89" s="64">
        <v>0.93</v>
      </c>
      <c r="Q89" s="64">
        <v>9.4499999999999993</v>
      </c>
      <c r="R89" s="198"/>
      <c r="S89" s="198"/>
      <c r="T89" s="198"/>
      <c r="U89" s="198"/>
    </row>
    <row r="90" spans="1:26" s="12" customFormat="1" x14ac:dyDescent="0.25">
      <c r="A90" s="216" t="s">
        <v>2151</v>
      </c>
      <c r="B90" s="64">
        <v>5.42</v>
      </c>
      <c r="C90" s="64">
        <v>8.91</v>
      </c>
      <c r="D90" s="64">
        <v>8.92</v>
      </c>
      <c r="E90" s="64">
        <v>1.56</v>
      </c>
      <c r="F90" s="64">
        <v>3.42</v>
      </c>
      <c r="G90" s="64">
        <v>48.32</v>
      </c>
      <c r="H90" s="64">
        <v>15.39</v>
      </c>
      <c r="I90" s="64">
        <v>8.69</v>
      </c>
      <c r="J90" s="64">
        <v>0.03</v>
      </c>
      <c r="K90" s="64">
        <v>305.77999999999997</v>
      </c>
      <c r="L90" s="64">
        <v>31.93</v>
      </c>
      <c r="M90" s="64">
        <v>41.31</v>
      </c>
      <c r="N90" s="64">
        <v>17.3</v>
      </c>
      <c r="O90" s="64">
        <v>0</v>
      </c>
      <c r="P90" s="64">
        <v>0.95</v>
      </c>
      <c r="Q90" s="64">
        <v>9.49</v>
      </c>
      <c r="R90" s="198"/>
      <c r="S90" s="198"/>
      <c r="T90" s="198"/>
      <c r="U90" s="198"/>
    </row>
    <row r="91" spans="1:26" s="12" customFormat="1" x14ac:dyDescent="0.25">
      <c r="A91" s="216" t="s">
        <v>2152</v>
      </c>
      <c r="B91" s="64">
        <v>5.72</v>
      </c>
      <c r="C91" s="64">
        <v>9.82</v>
      </c>
      <c r="D91" s="64">
        <v>9.64</v>
      </c>
      <c r="E91" s="64">
        <v>1.43</v>
      </c>
      <c r="F91" s="64">
        <v>3.41</v>
      </c>
      <c r="G91" s="64">
        <v>48.32</v>
      </c>
      <c r="H91" s="64">
        <v>15.39</v>
      </c>
      <c r="I91" s="64">
        <v>8.81</v>
      </c>
      <c r="J91" s="64">
        <v>0.19</v>
      </c>
      <c r="K91" s="64">
        <v>343.94</v>
      </c>
      <c r="L91" s="64">
        <v>32</v>
      </c>
      <c r="M91" s="64">
        <v>41.69</v>
      </c>
      <c r="N91" s="64">
        <v>17.399999999999999</v>
      </c>
      <c r="O91" s="64">
        <v>0</v>
      </c>
      <c r="P91" s="64">
        <v>0.99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6" t="s">
        <v>2153</v>
      </c>
      <c r="B92" s="64">
        <v>6.55</v>
      </c>
      <c r="C92" s="64">
        <v>10.51</v>
      </c>
      <c r="D92" s="64">
        <v>10.67</v>
      </c>
      <c r="E92" s="64">
        <v>1.52</v>
      </c>
      <c r="F92" s="64">
        <v>3.34</v>
      </c>
      <c r="G92" s="64">
        <v>65.02</v>
      </c>
      <c r="H92" s="64">
        <v>22.51</v>
      </c>
      <c r="I92" s="64">
        <v>8.0500000000000007</v>
      </c>
      <c r="J92" s="64">
        <v>0.17</v>
      </c>
      <c r="K92" s="64">
        <v>12.55</v>
      </c>
      <c r="L92" s="64">
        <v>31.42</v>
      </c>
      <c r="M92" s="64">
        <v>43.96</v>
      </c>
      <c r="N92" s="64">
        <v>17.7</v>
      </c>
      <c r="O92" s="64">
        <v>0</v>
      </c>
      <c r="P92" s="64">
        <v>1.1200000000000001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6" t="s">
        <v>2154</v>
      </c>
      <c r="B93" s="64">
        <v>7.57</v>
      </c>
      <c r="C93" s="64">
        <v>10.79</v>
      </c>
      <c r="D93" s="64">
        <v>11.63</v>
      </c>
      <c r="E93" s="64">
        <v>1.45</v>
      </c>
      <c r="F93" s="64">
        <v>3.4</v>
      </c>
      <c r="G93" s="64">
        <v>66</v>
      </c>
      <c r="H93" s="64">
        <v>22.92</v>
      </c>
      <c r="I93" s="64">
        <v>7.69</v>
      </c>
      <c r="J93" s="64">
        <v>0.17</v>
      </c>
      <c r="K93" s="64">
        <v>19.95</v>
      </c>
      <c r="L93" s="64">
        <v>31.3</v>
      </c>
      <c r="M93" s="64">
        <v>45.54</v>
      </c>
      <c r="N93" s="64">
        <v>17.3</v>
      </c>
      <c r="O93" s="64">
        <v>0</v>
      </c>
      <c r="P93" s="64">
        <v>1.19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6" t="s">
        <v>2155</v>
      </c>
      <c r="B94" s="64">
        <v>7.96</v>
      </c>
      <c r="C94" s="64">
        <v>11.03</v>
      </c>
      <c r="D94" s="64">
        <v>12.07</v>
      </c>
      <c r="E94" s="64">
        <v>1.25</v>
      </c>
      <c r="F94" s="64">
        <v>3.46</v>
      </c>
      <c r="G94" s="64">
        <v>66</v>
      </c>
      <c r="H94" s="64">
        <v>22.92</v>
      </c>
      <c r="I94" s="64">
        <v>8.06</v>
      </c>
      <c r="J94" s="64">
        <v>0.98</v>
      </c>
      <c r="K94" s="64">
        <v>355.82</v>
      </c>
      <c r="L94" s="64">
        <v>31.29</v>
      </c>
      <c r="M94" s="64">
        <v>46.31</v>
      </c>
      <c r="N94" s="64">
        <v>16.399999999999999</v>
      </c>
      <c r="O94" s="64">
        <v>0</v>
      </c>
      <c r="P94" s="64">
        <v>1.2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6" t="s">
        <v>2156</v>
      </c>
      <c r="B95" s="64">
        <v>7.72</v>
      </c>
      <c r="C95" s="64">
        <v>11.93</v>
      </c>
      <c r="D95" s="64">
        <v>12.35</v>
      </c>
      <c r="E95" s="64">
        <v>1.54</v>
      </c>
      <c r="F95" s="64">
        <v>3.42</v>
      </c>
      <c r="G95" s="64">
        <v>66</v>
      </c>
      <c r="H95" s="64">
        <v>22.92</v>
      </c>
      <c r="I95" s="64">
        <v>7.99</v>
      </c>
      <c r="J95" s="64">
        <v>1.42</v>
      </c>
      <c r="K95" s="64">
        <v>346.6</v>
      </c>
      <c r="L95" s="64">
        <v>31.57</v>
      </c>
      <c r="M95" s="64">
        <v>39.79</v>
      </c>
      <c r="N95" s="64">
        <v>17.2</v>
      </c>
      <c r="O95" s="64">
        <v>0</v>
      </c>
      <c r="P95" s="64">
        <v>1.18</v>
      </c>
      <c r="Q95" s="64">
        <v>9.7799999999999994</v>
      </c>
      <c r="R95" s="198"/>
      <c r="S95" s="198"/>
      <c r="T95" s="198"/>
      <c r="U95" s="198"/>
    </row>
    <row r="96" spans="1:26" s="12" customFormat="1" x14ac:dyDescent="0.25">
      <c r="A96" s="216" t="s">
        <v>2157</v>
      </c>
      <c r="B96" s="64">
        <v>6.75</v>
      </c>
      <c r="C96" s="64">
        <v>12.03</v>
      </c>
      <c r="D96" s="64">
        <v>11.62</v>
      </c>
      <c r="E96" s="64">
        <v>1.37</v>
      </c>
      <c r="F96" s="64">
        <v>3.46</v>
      </c>
      <c r="G96" s="64">
        <v>73.569999999999993</v>
      </c>
      <c r="H96" s="64">
        <v>24.87</v>
      </c>
      <c r="I96" s="64">
        <v>8.35</v>
      </c>
      <c r="J96" s="64">
        <v>1.05</v>
      </c>
      <c r="K96" s="64">
        <v>350.58</v>
      </c>
      <c r="L96" s="64">
        <v>31.01</v>
      </c>
      <c r="M96" s="64">
        <v>37.409999999999997</v>
      </c>
      <c r="N96" s="64">
        <v>18.399999999999999</v>
      </c>
      <c r="O96" s="64">
        <v>0</v>
      </c>
      <c r="P96" s="64">
        <v>1.1399999999999999</v>
      </c>
      <c r="Q96" s="64">
        <v>9.8000000000000007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2158</v>
      </c>
      <c r="B97" s="64">
        <v>6</v>
      </c>
      <c r="C97" s="64">
        <v>11.79</v>
      </c>
      <c r="D97" s="64">
        <v>10.89</v>
      </c>
      <c r="E97" s="64">
        <v>1.22</v>
      </c>
      <c r="F97" s="64">
        <v>3.56</v>
      </c>
      <c r="G97" s="64">
        <v>74.02</v>
      </c>
      <c r="H97" s="64">
        <v>24.99</v>
      </c>
      <c r="I97" s="64">
        <v>8.74</v>
      </c>
      <c r="J97" s="64">
        <v>0.38</v>
      </c>
      <c r="K97" s="64">
        <v>51.64</v>
      </c>
      <c r="L97" s="64">
        <v>30.28</v>
      </c>
      <c r="M97" s="64">
        <v>39.06</v>
      </c>
      <c r="N97" s="64">
        <v>18.2</v>
      </c>
      <c r="O97" s="64">
        <v>0</v>
      </c>
      <c r="P97" s="64">
        <v>1.1100000000000001</v>
      </c>
      <c r="Q97" s="64">
        <v>9.81</v>
      </c>
      <c r="R97" s="198"/>
      <c r="S97" s="198"/>
      <c r="T97" s="198"/>
      <c r="U97" s="198"/>
    </row>
    <row r="98" spans="1:33" s="12" customFormat="1" x14ac:dyDescent="0.25">
      <c r="A98" s="216" t="s">
        <v>2159</v>
      </c>
      <c r="B98" s="64">
        <v>5.41</v>
      </c>
      <c r="C98" s="64">
        <v>11.47</v>
      </c>
      <c r="D98" s="64">
        <v>10.25</v>
      </c>
      <c r="E98" s="64">
        <v>1.1299999999999999</v>
      </c>
      <c r="F98" s="64">
        <v>3.64</v>
      </c>
      <c r="G98" s="64">
        <v>74.02</v>
      </c>
      <c r="H98" s="64">
        <v>24.99</v>
      </c>
      <c r="I98" s="64">
        <v>8.57</v>
      </c>
      <c r="J98" s="64">
        <v>1.54</v>
      </c>
      <c r="K98" s="64">
        <v>103.61</v>
      </c>
      <c r="L98" s="64">
        <v>30.06</v>
      </c>
      <c r="M98" s="64">
        <v>39.53</v>
      </c>
      <c r="N98" s="64">
        <v>17.2</v>
      </c>
      <c r="O98" s="64">
        <v>0</v>
      </c>
      <c r="P98" s="64">
        <v>1.07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6" t="s">
        <v>2160</v>
      </c>
      <c r="B99" s="64">
        <v>4.74</v>
      </c>
      <c r="C99" s="64">
        <v>11.8</v>
      </c>
      <c r="D99" s="64">
        <v>9.89</v>
      </c>
      <c r="E99" s="64">
        <v>1.43</v>
      </c>
      <c r="F99" s="64">
        <v>3.4</v>
      </c>
      <c r="G99" s="64">
        <v>74.02</v>
      </c>
      <c r="H99" s="64">
        <v>24.99</v>
      </c>
      <c r="I99" s="64">
        <v>8.42</v>
      </c>
      <c r="J99" s="64">
        <v>1.66</v>
      </c>
      <c r="K99" s="64">
        <v>97.67</v>
      </c>
      <c r="L99" s="64">
        <v>28.83</v>
      </c>
      <c r="M99" s="64">
        <v>46.44</v>
      </c>
      <c r="N99" s="64">
        <v>20.8</v>
      </c>
      <c r="O99" s="64">
        <v>0</v>
      </c>
      <c r="P99" s="64">
        <v>1.02</v>
      </c>
      <c r="Q99" s="64">
        <v>9.8000000000000007</v>
      </c>
      <c r="R99" s="198"/>
      <c r="S99" s="198"/>
      <c r="T99" s="198"/>
      <c r="U99" s="198"/>
    </row>
    <row r="100" spans="1:33" s="12" customFormat="1" x14ac:dyDescent="0.25">
      <c r="A100" s="216" t="s">
        <v>2161</v>
      </c>
      <c r="B100" s="64">
        <v>3.99</v>
      </c>
      <c r="C100" s="64">
        <v>10.67</v>
      </c>
      <c r="D100" s="64">
        <v>8.69</v>
      </c>
      <c r="E100" s="64">
        <v>1.26</v>
      </c>
      <c r="F100" s="64">
        <v>4</v>
      </c>
      <c r="G100" s="64">
        <v>70.34</v>
      </c>
      <c r="H100" s="64">
        <v>23.8</v>
      </c>
      <c r="I100" s="64">
        <v>8.5299999999999994</v>
      </c>
      <c r="J100" s="64">
        <v>1.04</v>
      </c>
      <c r="K100" s="64">
        <v>98.77</v>
      </c>
      <c r="L100" s="64">
        <v>26.9</v>
      </c>
      <c r="M100" s="64">
        <v>52.29</v>
      </c>
      <c r="N100" s="64">
        <v>19.2</v>
      </c>
      <c r="O100" s="64">
        <v>0</v>
      </c>
      <c r="P100" s="64">
        <v>0.95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2162</v>
      </c>
      <c r="B101" s="64">
        <v>3.27</v>
      </c>
      <c r="C101" s="64">
        <v>9.14</v>
      </c>
      <c r="D101" s="64">
        <v>7.31</v>
      </c>
      <c r="E101" s="64">
        <v>1.21</v>
      </c>
      <c r="F101" s="64">
        <v>4.17</v>
      </c>
      <c r="G101" s="64">
        <v>70.13</v>
      </c>
      <c r="H101" s="64">
        <v>23.73</v>
      </c>
      <c r="I101" s="64">
        <v>8.75</v>
      </c>
      <c r="J101" s="64">
        <v>0.93</v>
      </c>
      <c r="K101" s="64">
        <v>134.94999999999999</v>
      </c>
      <c r="L101" s="64">
        <v>26.72</v>
      </c>
      <c r="M101" s="64">
        <v>53.1</v>
      </c>
      <c r="N101" s="64">
        <v>17.7</v>
      </c>
      <c r="O101" s="64">
        <v>0</v>
      </c>
      <c r="P101" s="64">
        <v>0.9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6" t="s">
        <v>2163</v>
      </c>
      <c r="B102" s="64">
        <v>2.81</v>
      </c>
      <c r="C102" s="64">
        <v>8.4499999999999993</v>
      </c>
      <c r="D102" s="64">
        <v>6.59</v>
      </c>
      <c r="E102" s="64">
        <v>1.05</v>
      </c>
      <c r="F102" s="64">
        <v>3.91</v>
      </c>
      <c r="G102" s="64">
        <v>70.13</v>
      </c>
      <c r="H102" s="64">
        <v>23.73</v>
      </c>
      <c r="I102" s="64">
        <v>8.82</v>
      </c>
      <c r="J102" s="64">
        <v>0.55000000000000004</v>
      </c>
      <c r="K102" s="64">
        <v>128.66</v>
      </c>
      <c r="L102" s="64">
        <v>26.66</v>
      </c>
      <c r="M102" s="64">
        <v>57.07</v>
      </c>
      <c r="N102" s="64">
        <v>17.5</v>
      </c>
      <c r="O102" s="64">
        <v>0</v>
      </c>
      <c r="P102" s="64">
        <v>0.84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6" t="s">
        <v>2164</v>
      </c>
      <c r="B103" s="64">
        <v>2.5099999999999998</v>
      </c>
      <c r="C103" s="64">
        <v>7.59</v>
      </c>
      <c r="D103" s="64">
        <v>5.9</v>
      </c>
      <c r="E103" s="64">
        <v>1.34</v>
      </c>
      <c r="F103" s="64">
        <v>3.68</v>
      </c>
      <c r="G103" s="64">
        <v>70.13</v>
      </c>
      <c r="H103" s="64">
        <v>23.73</v>
      </c>
      <c r="I103" s="64">
        <v>8.68</v>
      </c>
      <c r="J103" s="64">
        <v>0.93</v>
      </c>
      <c r="K103" s="64">
        <v>144.36000000000001</v>
      </c>
      <c r="L103" s="64">
        <v>26.69</v>
      </c>
      <c r="M103" s="64">
        <v>59.28</v>
      </c>
      <c r="N103" s="64">
        <v>17.2</v>
      </c>
      <c r="O103" s="64">
        <v>0</v>
      </c>
      <c r="P103" s="64">
        <v>0.8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16" t="s">
        <v>2165</v>
      </c>
      <c r="B104" s="64">
        <v>2.25</v>
      </c>
      <c r="C104" s="64">
        <v>6.72</v>
      </c>
      <c r="D104" s="64">
        <v>5.24</v>
      </c>
      <c r="E104" s="64">
        <v>2.02</v>
      </c>
      <c r="F104" s="64">
        <v>4</v>
      </c>
      <c r="G104" s="64">
        <v>59.05</v>
      </c>
      <c r="H104" s="64">
        <v>17.739999999999998</v>
      </c>
      <c r="I104" s="64">
        <v>8.36</v>
      </c>
      <c r="J104" s="64">
        <v>0.87</v>
      </c>
      <c r="K104" s="64">
        <v>159.53</v>
      </c>
      <c r="L104" s="64">
        <v>26.89</v>
      </c>
      <c r="M104" s="64">
        <v>59.32</v>
      </c>
      <c r="N104" s="64">
        <v>17</v>
      </c>
      <c r="O104" s="64">
        <v>0</v>
      </c>
      <c r="P104" s="64">
        <v>0.76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1.29</v>
      </c>
      <c r="C106" s="67">
        <f>MIN(C9:C104)</f>
        <v>2.02</v>
      </c>
      <c r="D106" s="67">
        <f t="shared" ref="D106:Q106" si="0">MIN(D9:D104)</f>
        <v>2.04</v>
      </c>
      <c r="E106" s="67">
        <f t="shared" si="0"/>
        <v>0</v>
      </c>
      <c r="F106" s="67">
        <f t="shared" si="0"/>
        <v>3.15</v>
      </c>
      <c r="G106" s="67">
        <f t="shared" si="0"/>
        <v>26.44</v>
      </c>
      <c r="H106" s="67">
        <f t="shared" si="0"/>
        <v>9.4499999999999993</v>
      </c>
      <c r="I106" s="67">
        <f t="shared" si="0"/>
        <v>2.64</v>
      </c>
      <c r="J106" s="67">
        <f t="shared" si="0"/>
        <v>0.03</v>
      </c>
      <c r="K106" s="67">
        <f t="shared" si="0"/>
        <v>1.59</v>
      </c>
      <c r="L106" s="67">
        <f t="shared" si="0"/>
        <v>24.18</v>
      </c>
      <c r="M106" s="67">
        <f t="shared" si="0"/>
        <v>25.59</v>
      </c>
      <c r="N106" s="67">
        <f t="shared" si="0"/>
        <v>16.399999999999999</v>
      </c>
      <c r="O106" s="67">
        <f t="shared" si="0"/>
        <v>0</v>
      </c>
      <c r="P106" s="67">
        <f t="shared" si="0"/>
        <v>0.27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7.96</v>
      </c>
      <c r="C107" s="66">
        <f t="shared" ref="C107:Q107" si="1">MAX(C9:C104)</f>
        <v>12.03</v>
      </c>
      <c r="D107" s="66">
        <f t="shared" si="1"/>
        <v>12.35</v>
      </c>
      <c r="E107" s="66">
        <f t="shared" si="1"/>
        <v>2.94</v>
      </c>
      <c r="F107" s="66">
        <f t="shared" si="1"/>
        <v>6.66</v>
      </c>
      <c r="G107" s="66">
        <f t="shared" si="1"/>
        <v>74.02</v>
      </c>
      <c r="H107" s="66">
        <f t="shared" si="1"/>
        <v>24.99</v>
      </c>
      <c r="I107" s="66">
        <f t="shared" si="1"/>
        <v>8.82</v>
      </c>
      <c r="J107" s="66">
        <f t="shared" si="1"/>
        <v>2.04</v>
      </c>
      <c r="K107" s="66">
        <f t="shared" si="1"/>
        <v>356.25</v>
      </c>
      <c r="L107" s="66">
        <f t="shared" si="1"/>
        <v>38.549999999999997</v>
      </c>
      <c r="M107" s="66">
        <f t="shared" si="1"/>
        <v>59.32</v>
      </c>
      <c r="N107" s="66">
        <f t="shared" si="1"/>
        <v>949.5</v>
      </c>
      <c r="O107" s="66">
        <f t="shared" si="1"/>
        <v>0</v>
      </c>
      <c r="P107" s="66">
        <f t="shared" si="1"/>
        <v>1.2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2.0955208333333335</v>
      </c>
      <c r="C108" s="67">
        <f t="shared" ref="C108:Q108" si="2">AVERAGE(C9:C104)</f>
        <v>5.0676041666666665</v>
      </c>
      <c r="D108" s="67">
        <f t="shared" si="2"/>
        <v>4.2482291666666665</v>
      </c>
      <c r="E108" s="67">
        <f t="shared" si="2"/>
        <v>1.5881250000000007</v>
      </c>
      <c r="F108" s="67">
        <f t="shared" si="2"/>
        <v>4.6462499999999993</v>
      </c>
      <c r="G108" s="67">
        <f t="shared" si="2"/>
        <v>40.523958333333361</v>
      </c>
      <c r="H108" s="67">
        <f t="shared" si="2"/>
        <v>14.321250000000001</v>
      </c>
      <c r="I108" s="67">
        <f t="shared" si="2"/>
        <v>4.7908333333333317</v>
      </c>
      <c r="J108" s="67">
        <f t="shared" si="2"/>
        <v>0.58333333333333315</v>
      </c>
      <c r="K108" s="67">
        <f t="shared" si="2"/>
        <v>239.89385416666664</v>
      </c>
      <c r="L108" s="67">
        <f t="shared" si="2"/>
        <v>31.616458333333341</v>
      </c>
      <c r="M108" s="67">
        <f t="shared" si="2"/>
        <v>41.758854166666673</v>
      </c>
      <c r="N108" s="67">
        <f t="shared" si="2"/>
        <v>265.46875</v>
      </c>
      <c r="O108" s="67">
        <f t="shared" si="2"/>
        <v>0</v>
      </c>
      <c r="P108" s="67">
        <f t="shared" si="2"/>
        <v>0.50437500000000002</v>
      </c>
      <c r="Q108" s="67">
        <f t="shared" si="2"/>
        <v>9.3696874999999959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1.5838433400678218</v>
      </c>
      <c r="C109" s="67">
        <f t="shared" ref="C109:Q109" si="3">STDEV(C9:C104)</f>
        <v>2.5832251342649641</v>
      </c>
      <c r="D109" s="67">
        <f t="shared" si="3"/>
        <v>2.5370123310662991</v>
      </c>
      <c r="E109" s="67">
        <f t="shared" si="3"/>
        <v>0.84352807022834519</v>
      </c>
      <c r="F109" s="67">
        <f t="shared" si="3"/>
        <v>0.94066521814702075</v>
      </c>
      <c r="G109" s="67">
        <f t="shared" si="3"/>
        <v>13.660232600251765</v>
      </c>
      <c r="H109" s="67">
        <f t="shared" si="3"/>
        <v>4.0867295507597063</v>
      </c>
      <c r="I109" s="67">
        <f t="shared" si="3"/>
        <v>1.7649497781235211</v>
      </c>
      <c r="J109" s="67">
        <f t="shared" si="3"/>
        <v>0.466220337939876</v>
      </c>
      <c r="K109" s="67">
        <f t="shared" si="3"/>
        <v>109.6729259914013</v>
      </c>
      <c r="L109" s="67">
        <f t="shared" si="3"/>
        <v>4.6361065741273935</v>
      </c>
      <c r="M109" s="67">
        <f t="shared" si="3"/>
        <v>10.241845831766193</v>
      </c>
      <c r="N109" s="67">
        <f t="shared" si="3"/>
        <v>340.68583747385674</v>
      </c>
      <c r="O109" s="67">
        <f t="shared" si="3"/>
        <v>0</v>
      </c>
      <c r="P109" s="67">
        <f t="shared" si="3"/>
        <v>0.24596453531267268</v>
      </c>
      <c r="Q109" s="67">
        <f t="shared" si="3"/>
        <v>0.14450972012472496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2" sqref="G1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2166</v>
      </c>
      <c r="B9" s="64">
        <v>2.09</v>
      </c>
      <c r="C9" s="64">
        <v>6.2</v>
      </c>
      <c r="D9" s="64">
        <v>4.84</v>
      </c>
      <c r="E9" s="64">
        <v>2.02</v>
      </c>
      <c r="F9" s="64">
        <v>4.0599999999999996</v>
      </c>
      <c r="G9" s="64">
        <v>58.4</v>
      </c>
      <c r="H9" s="64">
        <v>17.39</v>
      </c>
      <c r="I9" s="64">
        <v>8.1999999999999993</v>
      </c>
      <c r="J9" s="64">
        <v>0.56999999999999995</v>
      </c>
      <c r="K9" s="64">
        <v>167.09</v>
      </c>
      <c r="L9" s="64">
        <v>26.98</v>
      </c>
      <c r="M9" s="64">
        <v>59.51</v>
      </c>
      <c r="N9" s="64">
        <v>17.3</v>
      </c>
      <c r="O9" s="64">
        <v>0</v>
      </c>
      <c r="P9" s="64">
        <v>0.71</v>
      </c>
      <c r="Q9" s="64">
        <v>9.5399999999999991</v>
      </c>
      <c r="R9" s="198"/>
      <c r="S9" s="198"/>
      <c r="T9" s="198"/>
      <c r="U9" s="198"/>
    </row>
    <row r="10" spans="1:21" s="12" customFormat="1" x14ac:dyDescent="0.25">
      <c r="A10" s="216" t="s">
        <v>2167</v>
      </c>
      <c r="B10" s="64">
        <v>1.98</v>
      </c>
      <c r="C10" s="64">
        <v>5.53</v>
      </c>
      <c r="D10" s="64">
        <v>4.3899999999999997</v>
      </c>
      <c r="E10" s="64">
        <v>1.91</v>
      </c>
      <c r="F10" s="64">
        <v>3.64</v>
      </c>
      <c r="G10" s="64">
        <v>58.4</v>
      </c>
      <c r="H10" s="64">
        <v>17.39</v>
      </c>
      <c r="I10" s="64">
        <v>7.44</v>
      </c>
      <c r="J10" s="64">
        <v>0.19</v>
      </c>
      <c r="K10" s="64">
        <v>310.87</v>
      </c>
      <c r="L10" s="64">
        <v>26.88</v>
      </c>
      <c r="M10" s="64">
        <v>60.88</v>
      </c>
      <c r="N10" s="64">
        <v>17.7</v>
      </c>
      <c r="O10" s="64">
        <v>0</v>
      </c>
      <c r="P10" s="64">
        <v>0.65</v>
      </c>
      <c r="Q10" s="64">
        <v>9.51</v>
      </c>
      <c r="R10" s="198"/>
      <c r="S10" s="198"/>
      <c r="T10" s="198"/>
      <c r="U10" s="198"/>
    </row>
    <row r="11" spans="1:21" s="12" customFormat="1" x14ac:dyDescent="0.25">
      <c r="A11" s="216" t="s">
        <v>2168</v>
      </c>
      <c r="B11" s="64">
        <v>1.95</v>
      </c>
      <c r="C11" s="64">
        <v>5.49</v>
      </c>
      <c r="D11" s="64">
        <v>4.3499999999999996</v>
      </c>
      <c r="E11" s="64">
        <v>2.15</v>
      </c>
      <c r="F11" s="64">
        <v>3.59</v>
      </c>
      <c r="G11" s="64">
        <v>58.4</v>
      </c>
      <c r="H11" s="64">
        <v>17.39</v>
      </c>
      <c r="I11" s="64">
        <v>6.41</v>
      </c>
      <c r="J11" s="64">
        <v>0.09</v>
      </c>
      <c r="K11" s="64">
        <v>50.93</v>
      </c>
      <c r="L11" s="64">
        <v>26.58</v>
      </c>
      <c r="M11" s="64">
        <v>63.62</v>
      </c>
      <c r="N11" s="64">
        <v>17.600000000000001</v>
      </c>
      <c r="O11" s="64">
        <v>0</v>
      </c>
      <c r="P11" s="64">
        <v>0.66</v>
      </c>
      <c r="Q11" s="64">
        <v>9.49</v>
      </c>
      <c r="R11" s="198"/>
      <c r="S11" s="198"/>
      <c r="T11" s="198"/>
      <c r="U11" s="198"/>
    </row>
    <row r="12" spans="1:21" s="12" customFormat="1" x14ac:dyDescent="0.25">
      <c r="A12" s="216" t="s">
        <v>2169</v>
      </c>
      <c r="B12" s="64">
        <v>1.95</v>
      </c>
      <c r="C12" s="64">
        <v>5.66</v>
      </c>
      <c r="D12" s="64">
        <v>4.4400000000000004</v>
      </c>
      <c r="E12" s="64">
        <v>2.36</v>
      </c>
      <c r="F12" s="64">
        <v>3.83</v>
      </c>
      <c r="G12" s="64">
        <v>45.58</v>
      </c>
      <c r="H12" s="64">
        <v>16.8</v>
      </c>
      <c r="I12" s="64">
        <v>5.92</v>
      </c>
      <c r="J12" s="64">
        <v>0.39</v>
      </c>
      <c r="K12" s="64">
        <v>67.34</v>
      </c>
      <c r="L12" s="64">
        <v>26.7</v>
      </c>
      <c r="M12" s="64">
        <v>63.27</v>
      </c>
      <c r="N12" s="64">
        <v>16.899999999999999</v>
      </c>
      <c r="O12" s="64">
        <v>0</v>
      </c>
      <c r="P12" s="64">
        <v>0.65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16" t="s">
        <v>2170</v>
      </c>
      <c r="B13" s="64">
        <v>1.93</v>
      </c>
      <c r="C13" s="64">
        <v>6.17</v>
      </c>
      <c r="D13" s="64">
        <v>4.6900000000000004</v>
      </c>
      <c r="E13" s="64">
        <v>2.56</v>
      </c>
      <c r="F13" s="64">
        <v>3.73</v>
      </c>
      <c r="G13" s="64">
        <v>44.83</v>
      </c>
      <c r="H13" s="64">
        <v>16.760000000000002</v>
      </c>
      <c r="I13" s="64">
        <v>6.09</v>
      </c>
      <c r="J13" s="64">
        <v>2.09</v>
      </c>
      <c r="K13" s="64">
        <v>98.43</v>
      </c>
      <c r="L13" s="64">
        <v>27.22</v>
      </c>
      <c r="M13" s="64">
        <v>56.64</v>
      </c>
      <c r="N13" s="64">
        <v>16.3</v>
      </c>
      <c r="O13" s="64">
        <v>0</v>
      </c>
      <c r="P13" s="64">
        <v>0.6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16" t="s">
        <v>2171</v>
      </c>
      <c r="B14" s="64">
        <v>1.85</v>
      </c>
      <c r="C14" s="64">
        <v>6.26</v>
      </c>
      <c r="D14" s="64">
        <v>4.68</v>
      </c>
      <c r="E14" s="64">
        <v>2.4</v>
      </c>
      <c r="F14" s="64">
        <v>4.05</v>
      </c>
      <c r="G14" s="64">
        <v>44.83</v>
      </c>
      <c r="H14" s="64">
        <v>16.760000000000002</v>
      </c>
      <c r="I14" s="64">
        <v>6.81</v>
      </c>
      <c r="J14" s="64">
        <v>1.0900000000000001</v>
      </c>
      <c r="K14" s="64">
        <v>115.06</v>
      </c>
      <c r="L14" s="64">
        <v>26.36</v>
      </c>
      <c r="M14" s="64">
        <v>55.69</v>
      </c>
      <c r="N14" s="64">
        <v>18.5</v>
      </c>
      <c r="O14" s="64">
        <v>0</v>
      </c>
      <c r="P14" s="64">
        <v>0.57999999999999996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16" t="s">
        <v>2172</v>
      </c>
      <c r="B15" s="64">
        <v>1.69</v>
      </c>
      <c r="C15" s="64">
        <v>5.89</v>
      </c>
      <c r="D15" s="64">
        <v>4.3499999999999996</v>
      </c>
      <c r="E15" s="64">
        <v>2.46</v>
      </c>
      <c r="F15" s="64">
        <v>4.2300000000000004</v>
      </c>
      <c r="G15" s="64">
        <v>44.83</v>
      </c>
      <c r="H15" s="64">
        <v>16.760000000000002</v>
      </c>
      <c r="I15" s="64">
        <v>7.48</v>
      </c>
      <c r="J15" s="64">
        <v>0.7</v>
      </c>
      <c r="K15" s="64">
        <v>107.62</v>
      </c>
      <c r="L15" s="64">
        <v>25.76</v>
      </c>
      <c r="M15" s="64">
        <v>60.22</v>
      </c>
      <c r="N15" s="64">
        <v>18.2</v>
      </c>
      <c r="O15" s="64">
        <v>0</v>
      </c>
      <c r="P15" s="64">
        <v>0.54</v>
      </c>
      <c r="Q15" s="64">
        <v>9.4</v>
      </c>
      <c r="R15" s="198"/>
      <c r="S15" s="198"/>
      <c r="T15" s="198"/>
      <c r="U15" s="198"/>
    </row>
    <row r="16" spans="1:21" s="12" customFormat="1" x14ac:dyDescent="0.25">
      <c r="A16" s="216" t="s">
        <v>2173</v>
      </c>
      <c r="B16" s="64">
        <v>1.61</v>
      </c>
      <c r="C16" s="64">
        <v>5.3</v>
      </c>
      <c r="D16" s="64">
        <v>3.98</v>
      </c>
      <c r="E16" s="64">
        <v>2.14</v>
      </c>
      <c r="F16" s="64">
        <v>4.9800000000000004</v>
      </c>
      <c r="G16" s="64">
        <v>38.81</v>
      </c>
      <c r="H16" s="64">
        <v>13.49</v>
      </c>
      <c r="I16" s="64">
        <v>7.74</v>
      </c>
      <c r="J16" s="64">
        <v>1.32</v>
      </c>
      <c r="K16" s="64">
        <v>158.85</v>
      </c>
      <c r="L16" s="64">
        <v>25.43</v>
      </c>
      <c r="M16" s="64">
        <v>61.12</v>
      </c>
      <c r="N16" s="64">
        <v>17.8</v>
      </c>
      <c r="O16" s="64">
        <v>0</v>
      </c>
      <c r="P16" s="64">
        <v>0.51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16" t="s">
        <v>2174</v>
      </c>
      <c r="B17" s="64">
        <v>1.5</v>
      </c>
      <c r="C17" s="64">
        <v>4.63</v>
      </c>
      <c r="D17" s="64">
        <v>3.54</v>
      </c>
      <c r="E17" s="64">
        <v>2.09</v>
      </c>
      <c r="F17" s="64">
        <v>4.4400000000000004</v>
      </c>
      <c r="G17" s="64">
        <v>38.46</v>
      </c>
      <c r="H17" s="64">
        <v>13.3</v>
      </c>
      <c r="I17" s="64">
        <v>7.62</v>
      </c>
      <c r="J17" s="64">
        <v>1.45</v>
      </c>
      <c r="K17" s="64">
        <v>160.71</v>
      </c>
      <c r="L17" s="64">
        <v>25.47</v>
      </c>
      <c r="M17" s="64">
        <v>59.03</v>
      </c>
      <c r="N17" s="64">
        <v>17.3</v>
      </c>
      <c r="O17" s="64">
        <v>0</v>
      </c>
      <c r="P17" s="64">
        <v>0.46</v>
      </c>
      <c r="Q17" s="64">
        <v>9.32</v>
      </c>
      <c r="R17" s="198"/>
      <c r="S17" s="198"/>
      <c r="T17" s="198"/>
      <c r="U17" s="198"/>
    </row>
    <row r="18" spans="1:21" s="12" customFormat="1" x14ac:dyDescent="0.25">
      <c r="A18" s="216" t="s">
        <v>2175</v>
      </c>
      <c r="B18" s="64">
        <v>1.43</v>
      </c>
      <c r="C18" s="64">
        <v>3.7</v>
      </c>
      <c r="D18" s="64">
        <v>3</v>
      </c>
      <c r="E18" s="64">
        <v>1.94</v>
      </c>
      <c r="F18" s="64">
        <v>5.77</v>
      </c>
      <c r="G18" s="64">
        <v>38.46</v>
      </c>
      <c r="H18" s="64">
        <v>13.3</v>
      </c>
      <c r="I18" s="64">
        <v>7.3</v>
      </c>
      <c r="J18" s="64">
        <v>1.78</v>
      </c>
      <c r="K18" s="64">
        <v>159.66</v>
      </c>
      <c r="L18" s="64">
        <v>25.51</v>
      </c>
      <c r="M18" s="64">
        <v>58.18</v>
      </c>
      <c r="N18" s="64">
        <v>17.3</v>
      </c>
      <c r="O18" s="64">
        <v>0</v>
      </c>
      <c r="P18" s="64">
        <v>0.44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6" t="s">
        <v>2176</v>
      </c>
      <c r="B19" s="64">
        <v>1.39</v>
      </c>
      <c r="C19" s="64">
        <v>3.21</v>
      </c>
      <c r="D19" s="64">
        <v>2.72</v>
      </c>
      <c r="E19" s="64">
        <v>1.95</v>
      </c>
      <c r="F19" s="64">
        <v>5.54</v>
      </c>
      <c r="G19" s="64">
        <v>38.46</v>
      </c>
      <c r="H19" s="64">
        <v>13.3</v>
      </c>
      <c r="I19" s="64">
        <v>6.91</v>
      </c>
      <c r="J19" s="64">
        <v>1.6</v>
      </c>
      <c r="K19" s="64">
        <v>159.30000000000001</v>
      </c>
      <c r="L19" s="64">
        <v>25.43</v>
      </c>
      <c r="M19" s="64">
        <v>59.64</v>
      </c>
      <c r="N19" s="64">
        <v>17.7</v>
      </c>
      <c r="O19" s="64">
        <v>0</v>
      </c>
      <c r="P19" s="64">
        <v>0.41</v>
      </c>
      <c r="Q19" s="64">
        <v>9.34</v>
      </c>
      <c r="R19" s="198"/>
      <c r="S19" s="198"/>
      <c r="T19" s="198"/>
      <c r="U19" s="198"/>
    </row>
    <row r="20" spans="1:21" s="12" customFormat="1" x14ac:dyDescent="0.25">
      <c r="A20" s="216" t="s">
        <v>2177</v>
      </c>
      <c r="B20" s="64">
        <v>1.37</v>
      </c>
      <c r="C20" s="64">
        <v>2.93</v>
      </c>
      <c r="D20" s="64">
        <v>2.5499999999999998</v>
      </c>
      <c r="E20" s="64">
        <v>1.92</v>
      </c>
      <c r="F20" s="64">
        <v>5.51</v>
      </c>
      <c r="G20" s="64">
        <v>28.85</v>
      </c>
      <c r="H20" s="64">
        <v>14.45</v>
      </c>
      <c r="I20" s="64">
        <v>6.51</v>
      </c>
      <c r="J20" s="64">
        <v>1.88</v>
      </c>
      <c r="K20" s="64">
        <v>157.54</v>
      </c>
      <c r="L20" s="64">
        <v>25.17</v>
      </c>
      <c r="M20" s="64">
        <v>61.74</v>
      </c>
      <c r="N20" s="64">
        <v>18.100000000000001</v>
      </c>
      <c r="O20" s="64">
        <v>0</v>
      </c>
      <c r="P20" s="64">
        <v>0.39</v>
      </c>
      <c r="Q20" s="64">
        <v>9.34</v>
      </c>
      <c r="R20" s="198"/>
      <c r="S20" s="198"/>
      <c r="T20" s="198"/>
      <c r="U20" s="198"/>
    </row>
    <row r="21" spans="1:21" s="12" customFormat="1" x14ac:dyDescent="0.25">
      <c r="A21" s="216" t="s">
        <v>2178</v>
      </c>
      <c r="B21" s="64">
        <v>1.36</v>
      </c>
      <c r="C21" s="64">
        <v>2.65</v>
      </c>
      <c r="D21" s="64">
        <v>2.39</v>
      </c>
      <c r="E21" s="64">
        <v>1.98</v>
      </c>
      <c r="F21" s="64">
        <v>5.68</v>
      </c>
      <c r="G21" s="64">
        <v>28.16</v>
      </c>
      <c r="H21" s="64">
        <v>14.52</v>
      </c>
      <c r="I21" s="64">
        <v>6.14</v>
      </c>
      <c r="J21" s="64">
        <v>1.59</v>
      </c>
      <c r="K21" s="64">
        <v>159.30000000000001</v>
      </c>
      <c r="L21" s="64">
        <v>24.83</v>
      </c>
      <c r="M21" s="64">
        <v>63.26</v>
      </c>
      <c r="N21" s="64">
        <v>18</v>
      </c>
      <c r="O21" s="64">
        <v>0</v>
      </c>
      <c r="P21" s="64">
        <v>0.37</v>
      </c>
      <c r="Q21" s="64">
        <v>9.35</v>
      </c>
      <c r="R21" s="198"/>
      <c r="S21" s="198"/>
      <c r="T21" s="198"/>
      <c r="U21" s="198"/>
    </row>
    <row r="22" spans="1:21" s="12" customFormat="1" x14ac:dyDescent="0.25">
      <c r="A22" s="216" t="s">
        <v>2179</v>
      </c>
      <c r="B22" s="64">
        <v>1.36</v>
      </c>
      <c r="C22" s="64">
        <v>2.69</v>
      </c>
      <c r="D22" s="64">
        <v>2.41</v>
      </c>
      <c r="E22" s="64">
        <v>2.09</v>
      </c>
      <c r="F22" s="64">
        <v>5.62</v>
      </c>
      <c r="G22" s="64">
        <v>28.16</v>
      </c>
      <c r="H22" s="64">
        <v>14.52</v>
      </c>
      <c r="I22" s="64">
        <v>5.83</v>
      </c>
      <c r="J22" s="64">
        <v>0.63</v>
      </c>
      <c r="K22" s="64">
        <v>177.75</v>
      </c>
      <c r="L22" s="64">
        <v>24.67</v>
      </c>
      <c r="M22" s="64">
        <v>64.040000000000006</v>
      </c>
      <c r="N22" s="64">
        <v>18</v>
      </c>
      <c r="O22" s="64">
        <v>0</v>
      </c>
      <c r="P22" s="64">
        <v>0.35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6" t="s">
        <v>2180</v>
      </c>
      <c r="B23" s="64">
        <v>1.36</v>
      </c>
      <c r="C23" s="64">
        <v>2.61</v>
      </c>
      <c r="D23" s="64">
        <v>2.38</v>
      </c>
      <c r="E23" s="64">
        <v>2.33</v>
      </c>
      <c r="F23" s="64">
        <v>5.5</v>
      </c>
      <c r="G23" s="64">
        <v>28.16</v>
      </c>
      <c r="H23" s="64">
        <v>14.52</v>
      </c>
      <c r="I23" s="64">
        <v>5.5</v>
      </c>
      <c r="J23" s="64">
        <v>0.5</v>
      </c>
      <c r="K23" s="64">
        <v>189.87</v>
      </c>
      <c r="L23" s="64">
        <v>24.49</v>
      </c>
      <c r="M23" s="64">
        <v>65</v>
      </c>
      <c r="N23" s="64">
        <v>18</v>
      </c>
      <c r="O23" s="64">
        <v>0</v>
      </c>
      <c r="P23" s="64">
        <v>0.34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16" t="s">
        <v>2181</v>
      </c>
      <c r="B24" s="64">
        <v>1.36</v>
      </c>
      <c r="C24" s="64">
        <v>2.4500000000000002</v>
      </c>
      <c r="D24" s="64">
        <v>2.29</v>
      </c>
      <c r="E24" s="64">
        <v>1.6</v>
      </c>
      <c r="F24" s="64">
        <v>5.25</v>
      </c>
      <c r="G24" s="64">
        <v>19.38</v>
      </c>
      <c r="H24" s="64">
        <v>12.79</v>
      </c>
      <c r="I24" s="64">
        <v>5.21</v>
      </c>
      <c r="J24" s="64">
        <v>0.5</v>
      </c>
      <c r="K24" s="64">
        <v>169.95</v>
      </c>
      <c r="L24" s="64">
        <v>24.31</v>
      </c>
      <c r="M24" s="64">
        <v>64.92</v>
      </c>
      <c r="N24" s="64">
        <v>17.899999999999999</v>
      </c>
      <c r="O24" s="64">
        <v>0</v>
      </c>
      <c r="P24" s="64">
        <v>0.32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6" t="s">
        <v>2182</v>
      </c>
      <c r="B25" s="64">
        <v>1.37</v>
      </c>
      <c r="C25" s="64">
        <v>2.3199999999999998</v>
      </c>
      <c r="D25" s="64">
        <v>2.23</v>
      </c>
      <c r="E25" s="64">
        <v>1.36</v>
      </c>
      <c r="F25" s="64">
        <v>4.96</v>
      </c>
      <c r="G25" s="64">
        <v>18.86</v>
      </c>
      <c r="H25" s="64">
        <v>12.68</v>
      </c>
      <c r="I25" s="64">
        <v>4.9000000000000004</v>
      </c>
      <c r="J25" s="64">
        <v>0.27</v>
      </c>
      <c r="K25" s="64">
        <v>199.65</v>
      </c>
      <c r="L25" s="64">
        <v>24.32</v>
      </c>
      <c r="M25" s="64">
        <v>65.150000000000006</v>
      </c>
      <c r="N25" s="64">
        <v>17.8</v>
      </c>
      <c r="O25" s="64">
        <v>0</v>
      </c>
      <c r="P25" s="64">
        <v>0.31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6" t="s">
        <v>2183</v>
      </c>
      <c r="B26" s="64">
        <v>1.38</v>
      </c>
      <c r="C26" s="64">
        <v>2.2999999999999998</v>
      </c>
      <c r="D26" s="64">
        <v>2.23</v>
      </c>
      <c r="E26" s="64">
        <v>1.03</v>
      </c>
      <c r="F26" s="64">
        <v>4.78</v>
      </c>
      <c r="G26" s="64">
        <v>18.86</v>
      </c>
      <c r="H26" s="64">
        <v>12.68</v>
      </c>
      <c r="I26" s="64">
        <v>4.53</v>
      </c>
      <c r="J26" s="64">
        <v>0.51</v>
      </c>
      <c r="K26" s="64">
        <v>193.13</v>
      </c>
      <c r="L26" s="64">
        <v>24.03</v>
      </c>
      <c r="M26" s="64">
        <v>66.87</v>
      </c>
      <c r="N26" s="64">
        <v>17.899999999999999</v>
      </c>
      <c r="O26" s="64">
        <v>0</v>
      </c>
      <c r="P26" s="64">
        <v>0.3</v>
      </c>
      <c r="Q26" s="64">
        <v>9.4600000000000009</v>
      </c>
      <c r="R26" s="198"/>
      <c r="S26" s="198"/>
      <c r="T26" s="198"/>
      <c r="U26" s="198"/>
    </row>
    <row r="27" spans="1:21" s="12" customFormat="1" x14ac:dyDescent="0.25">
      <c r="A27" s="216" t="s">
        <v>2184</v>
      </c>
      <c r="B27" s="64">
        <v>1.38</v>
      </c>
      <c r="C27" s="64">
        <v>2.16</v>
      </c>
      <c r="D27" s="64">
        <v>2.15</v>
      </c>
      <c r="E27" s="64">
        <v>1.27</v>
      </c>
      <c r="F27" s="64">
        <v>4.72</v>
      </c>
      <c r="G27" s="64">
        <v>18.86</v>
      </c>
      <c r="H27" s="64">
        <v>12.68</v>
      </c>
      <c r="I27" s="64">
        <v>4.4800000000000004</v>
      </c>
      <c r="J27" s="64">
        <v>0.36</v>
      </c>
      <c r="K27" s="64">
        <v>163.41</v>
      </c>
      <c r="L27" s="64">
        <v>23.89</v>
      </c>
      <c r="M27" s="64">
        <v>67.41</v>
      </c>
      <c r="N27" s="64">
        <v>17.7</v>
      </c>
      <c r="O27" s="64">
        <v>0</v>
      </c>
      <c r="P27" s="64">
        <v>0.28999999999999998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6" t="s">
        <v>2185</v>
      </c>
      <c r="B28" s="64">
        <v>1.41</v>
      </c>
      <c r="C28" s="64">
        <v>2.23</v>
      </c>
      <c r="D28" s="64">
        <v>2.2200000000000002</v>
      </c>
      <c r="E28" s="64">
        <v>1.49</v>
      </c>
      <c r="F28" s="64">
        <v>4.25</v>
      </c>
      <c r="G28" s="64">
        <v>19.760000000000002</v>
      </c>
      <c r="H28" s="64">
        <v>9.1300000000000008</v>
      </c>
      <c r="I28" s="64">
        <v>4.37</v>
      </c>
      <c r="J28" s="64">
        <v>1.48</v>
      </c>
      <c r="K28" s="64">
        <v>101.62</v>
      </c>
      <c r="L28" s="64">
        <v>24</v>
      </c>
      <c r="M28" s="64">
        <v>66.52</v>
      </c>
      <c r="N28" s="64">
        <v>17</v>
      </c>
      <c r="O28" s="64">
        <v>0</v>
      </c>
      <c r="P28" s="64">
        <v>0.28000000000000003</v>
      </c>
      <c r="Q28" s="64">
        <v>9.4499999999999993</v>
      </c>
      <c r="R28" s="198"/>
      <c r="S28" s="198"/>
      <c r="T28" s="198"/>
      <c r="U28" s="198"/>
    </row>
    <row r="29" spans="1:21" s="12" customFormat="1" x14ac:dyDescent="0.25">
      <c r="A29" s="216" t="s">
        <v>2186</v>
      </c>
      <c r="B29" s="64">
        <v>1.43</v>
      </c>
      <c r="C29" s="64">
        <v>2.2000000000000002</v>
      </c>
      <c r="D29" s="64">
        <v>2.2200000000000002</v>
      </c>
      <c r="E29" s="64">
        <v>1.49</v>
      </c>
      <c r="F29" s="64">
        <v>4.13</v>
      </c>
      <c r="G29" s="64">
        <v>19.82</v>
      </c>
      <c r="H29" s="64">
        <v>8.93</v>
      </c>
      <c r="I29" s="64">
        <v>4.04</v>
      </c>
      <c r="J29" s="64">
        <v>1.62</v>
      </c>
      <c r="K29" s="64">
        <v>103.37</v>
      </c>
      <c r="L29" s="64">
        <v>24.3</v>
      </c>
      <c r="M29" s="64">
        <v>64.3</v>
      </c>
      <c r="N29" s="64">
        <v>18.399999999999999</v>
      </c>
      <c r="O29" s="64">
        <v>0</v>
      </c>
      <c r="P29" s="64">
        <v>0.28000000000000003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6" t="s">
        <v>2187</v>
      </c>
      <c r="B30" s="64">
        <v>1.44</v>
      </c>
      <c r="C30" s="64">
        <v>2.2799999999999998</v>
      </c>
      <c r="D30" s="64">
        <v>2.27</v>
      </c>
      <c r="E30" s="64">
        <v>1.53</v>
      </c>
      <c r="F30" s="64">
        <v>4.32</v>
      </c>
      <c r="G30" s="64">
        <v>19.82</v>
      </c>
      <c r="H30" s="64">
        <v>8.93</v>
      </c>
      <c r="I30" s="64">
        <v>4.51</v>
      </c>
      <c r="J30" s="64">
        <v>0.49</v>
      </c>
      <c r="K30" s="64">
        <v>126.64</v>
      </c>
      <c r="L30" s="64">
        <v>24.42</v>
      </c>
      <c r="M30" s="64">
        <v>62.98</v>
      </c>
      <c r="N30" s="64">
        <v>23.9</v>
      </c>
      <c r="O30" s="64">
        <v>0</v>
      </c>
      <c r="P30" s="64">
        <v>0.27</v>
      </c>
      <c r="Q30" s="64">
        <v>9.4</v>
      </c>
      <c r="R30" s="198"/>
      <c r="S30" s="198"/>
      <c r="T30" s="198"/>
      <c r="U30" s="198"/>
    </row>
    <row r="31" spans="1:21" s="12" customFormat="1" x14ac:dyDescent="0.25">
      <c r="A31" s="216" t="s">
        <v>2188</v>
      </c>
      <c r="B31" s="64">
        <v>1.4</v>
      </c>
      <c r="C31" s="64">
        <v>2.35</v>
      </c>
      <c r="D31" s="64">
        <v>2.2799999999999998</v>
      </c>
      <c r="E31" s="64">
        <v>1.29</v>
      </c>
      <c r="F31" s="64">
        <v>4.41</v>
      </c>
      <c r="G31" s="64">
        <v>19.82</v>
      </c>
      <c r="H31" s="64">
        <v>8.93</v>
      </c>
      <c r="I31" s="64">
        <v>5.2</v>
      </c>
      <c r="J31" s="64">
        <v>0.32</v>
      </c>
      <c r="K31" s="64">
        <v>168.27</v>
      </c>
      <c r="L31" s="64">
        <v>24.45</v>
      </c>
      <c r="M31" s="64">
        <v>62.75</v>
      </c>
      <c r="N31" s="64">
        <v>36</v>
      </c>
      <c r="O31" s="64">
        <v>0</v>
      </c>
      <c r="P31" s="64">
        <v>0.26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6" t="s">
        <v>2189</v>
      </c>
      <c r="B32" s="64">
        <v>1.41</v>
      </c>
      <c r="C32" s="64">
        <v>2.4900000000000002</v>
      </c>
      <c r="D32" s="64">
        <v>2.35</v>
      </c>
      <c r="E32" s="64">
        <v>1.43</v>
      </c>
      <c r="F32" s="64">
        <v>4.49</v>
      </c>
      <c r="G32" s="64">
        <v>18.010000000000002</v>
      </c>
      <c r="H32" s="64">
        <v>10.199999999999999</v>
      </c>
      <c r="I32" s="64">
        <v>5.36</v>
      </c>
      <c r="J32" s="64">
        <v>0.47</v>
      </c>
      <c r="K32" s="64">
        <v>157.03</v>
      </c>
      <c r="L32" s="64">
        <v>24.55</v>
      </c>
      <c r="M32" s="64">
        <v>62.64</v>
      </c>
      <c r="N32" s="64">
        <v>56.4</v>
      </c>
      <c r="O32" s="64">
        <v>0</v>
      </c>
      <c r="P32" s="64">
        <v>0.25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6" t="s">
        <v>2190</v>
      </c>
      <c r="B33" s="64">
        <v>1.4</v>
      </c>
      <c r="C33" s="64">
        <v>2.5499999999999998</v>
      </c>
      <c r="D33" s="64">
        <v>2.38</v>
      </c>
      <c r="E33" s="64">
        <v>1.37</v>
      </c>
      <c r="F33" s="64">
        <v>4.3899999999999997</v>
      </c>
      <c r="G33" s="64">
        <v>17.899999999999999</v>
      </c>
      <c r="H33" s="64">
        <v>10.27</v>
      </c>
      <c r="I33" s="64">
        <v>5.25</v>
      </c>
      <c r="J33" s="64">
        <v>0.56999999999999995</v>
      </c>
      <c r="K33" s="64">
        <v>173.15</v>
      </c>
      <c r="L33" s="64">
        <v>24.74</v>
      </c>
      <c r="M33" s="64">
        <v>63.78</v>
      </c>
      <c r="N33" s="64">
        <v>92.4</v>
      </c>
      <c r="O33" s="64">
        <v>0</v>
      </c>
      <c r="P33" s="64">
        <v>0.25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6" t="s">
        <v>2191</v>
      </c>
      <c r="B34" s="64">
        <v>1.43</v>
      </c>
      <c r="C34" s="64">
        <v>2.96</v>
      </c>
      <c r="D34" s="64">
        <v>2.61</v>
      </c>
      <c r="E34" s="64">
        <v>1.1399999999999999</v>
      </c>
      <c r="F34" s="64">
        <v>4.32</v>
      </c>
      <c r="G34" s="64">
        <v>17.899999999999999</v>
      </c>
      <c r="H34" s="64">
        <v>10.27</v>
      </c>
      <c r="I34" s="64">
        <v>5.1100000000000003</v>
      </c>
      <c r="J34" s="64">
        <v>0.49</v>
      </c>
      <c r="K34" s="64">
        <v>120.27</v>
      </c>
      <c r="L34" s="64">
        <v>24.94</v>
      </c>
      <c r="M34" s="64">
        <v>64.22</v>
      </c>
      <c r="N34" s="64">
        <v>135.1</v>
      </c>
      <c r="O34" s="64">
        <v>0</v>
      </c>
      <c r="P34" s="64">
        <v>0.26</v>
      </c>
      <c r="Q34" s="64">
        <v>9.34</v>
      </c>
      <c r="R34" s="198"/>
      <c r="S34" s="198"/>
      <c r="T34" s="198"/>
      <c r="U34" s="198"/>
    </row>
    <row r="35" spans="1:21" s="12" customFormat="1" x14ac:dyDescent="0.25">
      <c r="A35" s="216" t="s">
        <v>2192</v>
      </c>
      <c r="B35" s="64">
        <v>1.43</v>
      </c>
      <c r="C35" s="64">
        <v>3.37</v>
      </c>
      <c r="D35" s="64">
        <v>2.83</v>
      </c>
      <c r="E35" s="64">
        <v>1.47</v>
      </c>
      <c r="F35" s="64">
        <v>4.5</v>
      </c>
      <c r="G35" s="64">
        <v>17.899999999999999</v>
      </c>
      <c r="H35" s="64">
        <v>10.27</v>
      </c>
      <c r="I35" s="64">
        <v>5</v>
      </c>
      <c r="J35" s="64">
        <v>0.12</v>
      </c>
      <c r="K35" s="64">
        <v>156.69999999999999</v>
      </c>
      <c r="L35" s="64">
        <v>25.87</v>
      </c>
      <c r="M35" s="64">
        <v>60.92</v>
      </c>
      <c r="N35" s="64">
        <v>172.5</v>
      </c>
      <c r="O35" s="64">
        <v>0</v>
      </c>
      <c r="P35" s="64">
        <v>0.26</v>
      </c>
      <c r="Q35" s="64">
        <v>9.33</v>
      </c>
      <c r="R35" s="198"/>
      <c r="S35" s="198"/>
      <c r="T35" s="198"/>
      <c r="U35" s="198"/>
    </row>
    <row r="36" spans="1:21" s="12" customFormat="1" x14ac:dyDescent="0.25">
      <c r="A36" s="216" t="s">
        <v>2193</v>
      </c>
      <c r="B36" s="64">
        <v>1.47</v>
      </c>
      <c r="C36" s="64">
        <v>3.75</v>
      </c>
      <c r="D36" s="64">
        <v>3.06</v>
      </c>
      <c r="E36" s="64">
        <v>1.63</v>
      </c>
      <c r="F36" s="64">
        <v>4.78</v>
      </c>
      <c r="G36" s="64">
        <v>19.12</v>
      </c>
      <c r="H36" s="64">
        <v>9.1</v>
      </c>
      <c r="I36" s="64">
        <v>5.15</v>
      </c>
      <c r="J36" s="64">
        <v>0.43</v>
      </c>
      <c r="K36" s="64">
        <v>162.44999999999999</v>
      </c>
      <c r="L36" s="64">
        <v>26.14</v>
      </c>
      <c r="M36" s="64">
        <v>58.7</v>
      </c>
      <c r="N36" s="64">
        <v>225.8</v>
      </c>
      <c r="O36" s="64">
        <v>0</v>
      </c>
      <c r="P36" s="64">
        <v>0.26</v>
      </c>
      <c r="Q36" s="64">
        <v>9.2899999999999991</v>
      </c>
      <c r="R36" s="198"/>
      <c r="S36" s="198"/>
      <c r="T36" s="198"/>
      <c r="U36" s="198"/>
    </row>
    <row r="37" spans="1:21" s="12" customFormat="1" x14ac:dyDescent="0.25">
      <c r="A37" s="216" t="s">
        <v>2194</v>
      </c>
      <c r="B37" s="64">
        <v>1.48</v>
      </c>
      <c r="C37" s="64">
        <v>3.68</v>
      </c>
      <c r="D37" s="64">
        <v>3.03</v>
      </c>
      <c r="E37" s="64">
        <v>1.28</v>
      </c>
      <c r="F37" s="64">
        <v>4.33</v>
      </c>
      <c r="G37" s="64">
        <v>19.190000000000001</v>
      </c>
      <c r="H37" s="64">
        <v>9.0299999999999994</v>
      </c>
      <c r="I37" s="64">
        <v>5.07</v>
      </c>
      <c r="J37" s="64">
        <v>0.15</v>
      </c>
      <c r="K37" s="64">
        <v>15.36</v>
      </c>
      <c r="L37" s="64">
        <v>26.93</v>
      </c>
      <c r="M37" s="64">
        <v>56.79</v>
      </c>
      <c r="N37" s="64">
        <v>283.8</v>
      </c>
      <c r="O37" s="64">
        <v>0</v>
      </c>
      <c r="P37" s="64">
        <v>0.26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6" t="s">
        <v>2195</v>
      </c>
      <c r="B38" s="64">
        <v>1.41</v>
      </c>
      <c r="C38" s="64">
        <v>3.65</v>
      </c>
      <c r="D38" s="64">
        <v>2.96</v>
      </c>
      <c r="E38" s="64">
        <v>1.34</v>
      </c>
      <c r="F38" s="64">
        <v>4.49</v>
      </c>
      <c r="G38" s="64">
        <v>19.190000000000001</v>
      </c>
      <c r="H38" s="64">
        <v>9.0299999999999994</v>
      </c>
      <c r="I38" s="64">
        <v>4.99</v>
      </c>
      <c r="J38" s="64">
        <v>0.14000000000000001</v>
      </c>
      <c r="K38" s="64">
        <v>356.64</v>
      </c>
      <c r="L38" s="64">
        <v>26.35</v>
      </c>
      <c r="M38" s="64">
        <v>58.51</v>
      </c>
      <c r="N38" s="64">
        <v>273.3</v>
      </c>
      <c r="O38" s="64">
        <v>0</v>
      </c>
      <c r="P38" s="64">
        <v>0.28999999999999998</v>
      </c>
      <c r="Q38" s="64">
        <v>9.2899999999999991</v>
      </c>
      <c r="R38" s="198"/>
      <c r="S38" s="198"/>
      <c r="T38" s="198"/>
      <c r="U38" s="198"/>
    </row>
    <row r="39" spans="1:21" s="12" customFormat="1" x14ac:dyDescent="0.25">
      <c r="A39" s="216" t="s">
        <v>2196</v>
      </c>
      <c r="B39" s="64">
        <v>1.35</v>
      </c>
      <c r="C39" s="64">
        <v>3.58</v>
      </c>
      <c r="D39" s="64">
        <v>2.87</v>
      </c>
      <c r="E39" s="64">
        <v>1.66</v>
      </c>
      <c r="F39" s="64">
        <v>5.16</v>
      </c>
      <c r="G39" s="64">
        <v>19.190000000000001</v>
      </c>
      <c r="H39" s="64">
        <v>9.0299999999999994</v>
      </c>
      <c r="I39" s="64">
        <v>4.71</v>
      </c>
      <c r="J39" s="64">
        <v>0.12</v>
      </c>
      <c r="K39" s="64">
        <v>151.27000000000001</v>
      </c>
      <c r="L39" s="64">
        <v>26.81</v>
      </c>
      <c r="M39" s="64">
        <v>56.33</v>
      </c>
      <c r="N39" s="64">
        <v>207.4</v>
      </c>
      <c r="O39" s="64">
        <v>0</v>
      </c>
      <c r="P39" s="64">
        <v>0.28999999999999998</v>
      </c>
      <c r="Q39" s="64">
        <v>9.3000000000000007</v>
      </c>
      <c r="R39" s="198"/>
      <c r="S39" s="198"/>
      <c r="T39" s="198"/>
      <c r="U39" s="198"/>
    </row>
    <row r="40" spans="1:21" s="12" customFormat="1" x14ac:dyDescent="0.25">
      <c r="A40" s="216" t="s">
        <v>2197</v>
      </c>
      <c r="B40" s="64">
        <v>1.35</v>
      </c>
      <c r="C40" s="64">
        <v>3.64</v>
      </c>
      <c r="D40" s="64">
        <v>2.91</v>
      </c>
      <c r="E40" s="64">
        <v>3.09</v>
      </c>
      <c r="F40" s="64">
        <v>4.5</v>
      </c>
      <c r="G40" s="64">
        <v>21.34</v>
      </c>
      <c r="H40" s="64">
        <v>8.33</v>
      </c>
      <c r="I40" s="64">
        <v>4.2699999999999996</v>
      </c>
      <c r="J40" s="64">
        <v>0.03</v>
      </c>
      <c r="K40" s="64">
        <v>301.76</v>
      </c>
      <c r="L40" s="64">
        <v>26.92</v>
      </c>
      <c r="M40" s="64">
        <v>56.05</v>
      </c>
      <c r="N40" s="64">
        <v>341</v>
      </c>
      <c r="O40" s="64">
        <v>0</v>
      </c>
      <c r="P40" s="64">
        <v>0.28000000000000003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6" t="s">
        <v>2198</v>
      </c>
      <c r="B41" s="64">
        <v>1.37</v>
      </c>
      <c r="C41" s="64">
        <v>3.11</v>
      </c>
      <c r="D41" s="64">
        <v>2.64</v>
      </c>
      <c r="E41" s="64">
        <v>1.45</v>
      </c>
      <c r="F41" s="64">
        <v>5.0599999999999996</v>
      </c>
      <c r="G41" s="64">
        <v>21.47</v>
      </c>
      <c r="H41" s="64">
        <v>8.2899999999999991</v>
      </c>
      <c r="I41" s="64">
        <v>4.05</v>
      </c>
      <c r="J41" s="64">
        <v>0.05</v>
      </c>
      <c r="K41" s="64">
        <v>42.06</v>
      </c>
      <c r="L41" s="64">
        <v>29.05</v>
      </c>
      <c r="M41" s="64">
        <v>50.1</v>
      </c>
      <c r="N41" s="64">
        <v>484.8</v>
      </c>
      <c r="O41" s="64">
        <v>0</v>
      </c>
      <c r="P41" s="64">
        <v>0.28000000000000003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6" t="s">
        <v>2199</v>
      </c>
      <c r="B42" s="64">
        <v>1.37</v>
      </c>
      <c r="C42" s="64">
        <v>2.81</v>
      </c>
      <c r="D42" s="64">
        <v>2.4900000000000002</v>
      </c>
      <c r="E42" s="64">
        <v>1.31</v>
      </c>
      <c r="F42" s="64">
        <v>4.88</v>
      </c>
      <c r="G42" s="64">
        <v>21.47</v>
      </c>
      <c r="H42" s="64">
        <v>8.2899999999999991</v>
      </c>
      <c r="I42" s="64">
        <v>4.08</v>
      </c>
      <c r="J42" s="64">
        <v>0.2</v>
      </c>
      <c r="K42" s="64">
        <v>117.76</v>
      </c>
      <c r="L42" s="64">
        <v>29.9</v>
      </c>
      <c r="M42" s="64">
        <v>48.03</v>
      </c>
      <c r="N42" s="64">
        <v>536.6</v>
      </c>
      <c r="O42" s="64">
        <v>0</v>
      </c>
      <c r="P42" s="64">
        <v>0.28000000000000003</v>
      </c>
      <c r="Q42" s="64">
        <v>9.33</v>
      </c>
      <c r="R42" s="198"/>
      <c r="S42" s="198"/>
      <c r="T42" s="198"/>
      <c r="U42" s="198"/>
    </row>
    <row r="43" spans="1:21" s="12" customFormat="1" x14ac:dyDescent="0.25">
      <c r="A43" s="216" t="s">
        <v>2200</v>
      </c>
      <c r="B43" s="64">
        <v>1.38</v>
      </c>
      <c r="C43" s="64">
        <v>2.7</v>
      </c>
      <c r="D43" s="64">
        <v>2.4300000000000002</v>
      </c>
      <c r="E43" s="64">
        <v>1</v>
      </c>
      <c r="F43" s="64">
        <v>4.51</v>
      </c>
      <c r="G43" s="64">
        <v>21.47</v>
      </c>
      <c r="H43" s="64">
        <v>8.2899999999999991</v>
      </c>
      <c r="I43" s="64">
        <v>4.1399999999999997</v>
      </c>
      <c r="J43" s="64">
        <v>0.17</v>
      </c>
      <c r="K43" s="64">
        <v>349.8</v>
      </c>
      <c r="L43" s="64">
        <v>31.07</v>
      </c>
      <c r="M43" s="64">
        <v>45.42</v>
      </c>
      <c r="N43" s="64">
        <v>584.20000000000005</v>
      </c>
      <c r="O43" s="64">
        <v>0</v>
      </c>
      <c r="P43" s="64">
        <v>0.27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16" t="s">
        <v>2201</v>
      </c>
      <c r="B44" s="64">
        <v>1.38</v>
      </c>
      <c r="C44" s="64">
        <v>2.77</v>
      </c>
      <c r="D44" s="64">
        <v>2.4700000000000002</v>
      </c>
      <c r="E44" s="64">
        <v>1.66</v>
      </c>
      <c r="F44" s="64">
        <v>4.5999999999999996</v>
      </c>
      <c r="G44" s="64">
        <v>22.9</v>
      </c>
      <c r="H44" s="64">
        <v>8.31</v>
      </c>
      <c r="I44" s="64">
        <v>4.2300000000000004</v>
      </c>
      <c r="J44" s="64">
        <v>0.35</v>
      </c>
      <c r="K44" s="64">
        <v>318.35000000000002</v>
      </c>
      <c r="L44" s="64">
        <v>32.14</v>
      </c>
      <c r="M44" s="64">
        <v>45.1</v>
      </c>
      <c r="N44" s="64">
        <v>626.20000000000005</v>
      </c>
      <c r="O44" s="64">
        <v>0</v>
      </c>
      <c r="P44" s="64">
        <v>0.28000000000000003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6" t="s">
        <v>2202</v>
      </c>
      <c r="B45" s="64">
        <v>1.4</v>
      </c>
      <c r="C45" s="64">
        <v>2.87</v>
      </c>
      <c r="D45" s="64">
        <v>2.54</v>
      </c>
      <c r="E45" s="64">
        <v>1.29</v>
      </c>
      <c r="F45" s="64">
        <v>4.66</v>
      </c>
      <c r="G45" s="64">
        <v>22.98</v>
      </c>
      <c r="H45" s="64">
        <v>8.31</v>
      </c>
      <c r="I45" s="64">
        <v>4.1900000000000004</v>
      </c>
      <c r="J45" s="64">
        <v>0.35</v>
      </c>
      <c r="K45" s="64">
        <v>322.39</v>
      </c>
      <c r="L45" s="64">
        <v>32.42</v>
      </c>
      <c r="M45" s="64">
        <v>45.15</v>
      </c>
      <c r="N45" s="64">
        <v>656.6</v>
      </c>
      <c r="O45" s="64">
        <v>0</v>
      </c>
      <c r="P45" s="64">
        <v>0.28000000000000003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6" t="s">
        <v>2203</v>
      </c>
      <c r="B46" s="64">
        <v>1.41</v>
      </c>
      <c r="C46" s="64">
        <v>2.91</v>
      </c>
      <c r="D46" s="64">
        <v>2.57</v>
      </c>
      <c r="E46" s="64">
        <v>1.48</v>
      </c>
      <c r="F46" s="64">
        <v>5.05</v>
      </c>
      <c r="G46" s="64">
        <v>22.98</v>
      </c>
      <c r="H46" s="64">
        <v>8.31</v>
      </c>
      <c r="I46" s="64">
        <v>4.17</v>
      </c>
      <c r="J46" s="64">
        <v>0.67</v>
      </c>
      <c r="K46" s="64">
        <v>322.76</v>
      </c>
      <c r="L46" s="64">
        <v>33.35</v>
      </c>
      <c r="M46" s="64">
        <v>41.97</v>
      </c>
      <c r="N46" s="64">
        <v>696.3</v>
      </c>
      <c r="O46" s="64">
        <v>0</v>
      </c>
      <c r="P46" s="64">
        <v>0.28999999999999998</v>
      </c>
      <c r="Q46" s="64">
        <v>9.4</v>
      </c>
      <c r="R46" s="198"/>
      <c r="S46" s="198"/>
      <c r="T46" s="198"/>
      <c r="U46" s="198"/>
    </row>
    <row r="47" spans="1:21" s="12" customFormat="1" x14ac:dyDescent="0.25">
      <c r="A47" s="216" t="s">
        <v>2204</v>
      </c>
      <c r="B47" s="64">
        <v>1.42</v>
      </c>
      <c r="C47" s="64">
        <v>3.03</v>
      </c>
      <c r="D47" s="64">
        <v>2.64</v>
      </c>
      <c r="E47" s="64">
        <v>1.39</v>
      </c>
      <c r="F47" s="64">
        <v>4.97</v>
      </c>
      <c r="G47" s="64">
        <v>22.98</v>
      </c>
      <c r="H47" s="64">
        <v>8.31</v>
      </c>
      <c r="I47" s="64">
        <v>4.4000000000000004</v>
      </c>
      <c r="J47" s="64">
        <v>0.82</v>
      </c>
      <c r="K47" s="64">
        <v>326.94</v>
      </c>
      <c r="L47" s="64">
        <v>33.68</v>
      </c>
      <c r="M47" s="64">
        <v>41.53</v>
      </c>
      <c r="N47" s="64">
        <v>707.5</v>
      </c>
      <c r="O47" s="64">
        <v>0</v>
      </c>
      <c r="P47" s="64">
        <v>0.31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6" t="s">
        <v>2205</v>
      </c>
      <c r="B48" s="64">
        <v>1.47</v>
      </c>
      <c r="C48" s="64">
        <v>3.55</v>
      </c>
      <c r="D48" s="64">
        <v>2.96</v>
      </c>
      <c r="E48" s="64">
        <v>1.54</v>
      </c>
      <c r="F48" s="64">
        <v>4.78</v>
      </c>
      <c r="G48" s="64">
        <v>28.51</v>
      </c>
      <c r="H48" s="64">
        <v>11.67</v>
      </c>
      <c r="I48" s="64">
        <v>4.5199999999999996</v>
      </c>
      <c r="J48" s="64">
        <v>0.85</v>
      </c>
      <c r="K48" s="64">
        <v>330.72</v>
      </c>
      <c r="L48" s="64">
        <v>34.1</v>
      </c>
      <c r="M48" s="64">
        <v>39.69</v>
      </c>
      <c r="N48" s="64">
        <v>721.4</v>
      </c>
      <c r="O48" s="64">
        <v>0</v>
      </c>
      <c r="P48" s="64">
        <v>0.37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6" t="s">
        <v>2206</v>
      </c>
      <c r="B49" s="64">
        <v>1.5</v>
      </c>
      <c r="C49" s="64">
        <v>4.57</v>
      </c>
      <c r="D49" s="64">
        <v>3.51</v>
      </c>
      <c r="E49" s="64">
        <v>1.53</v>
      </c>
      <c r="F49" s="64">
        <v>5.54</v>
      </c>
      <c r="G49" s="64">
        <v>28.84</v>
      </c>
      <c r="H49" s="64">
        <v>11.87</v>
      </c>
      <c r="I49" s="64">
        <v>4.42</v>
      </c>
      <c r="J49" s="64">
        <v>0.81</v>
      </c>
      <c r="K49" s="64">
        <v>332.26</v>
      </c>
      <c r="L49" s="64">
        <v>35.08</v>
      </c>
      <c r="M49" s="64">
        <v>36.119999999999997</v>
      </c>
      <c r="N49" s="64">
        <v>755.5</v>
      </c>
      <c r="O49" s="64">
        <v>0</v>
      </c>
      <c r="P49" s="64">
        <v>0.47</v>
      </c>
      <c r="Q49" s="64">
        <v>9.42</v>
      </c>
      <c r="R49" s="198"/>
      <c r="S49" s="198"/>
      <c r="T49" s="198"/>
      <c r="U49" s="198"/>
    </row>
    <row r="50" spans="1:21" s="12" customFormat="1" x14ac:dyDescent="0.25">
      <c r="A50" s="216" t="s">
        <v>2207</v>
      </c>
      <c r="B50" s="64">
        <v>1.47</v>
      </c>
      <c r="C50" s="64">
        <v>5.84</v>
      </c>
      <c r="D50" s="64">
        <v>4.1500000000000004</v>
      </c>
      <c r="E50" s="64">
        <v>1.89</v>
      </c>
      <c r="F50" s="64">
        <v>4.5599999999999996</v>
      </c>
      <c r="G50" s="64">
        <v>28.84</v>
      </c>
      <c r="H50" s="64">
        <v>11.87</v>
      </c>
      <c r="I50" s="64">
        <v>4.7300000000000004</v>
      </c>
      <c r="J50" s="64">
        <v>0.77</v>
      </c>
      <c r="K50" s="64">
        <v>324.36</v>
      </c>
      <c r="L50" s="64">
        <v>36.56</v>
      </c>
      <c r="M50" s="64">
        <v>31.58</v>
      </c>
      <c r="N50" s="64">
        <v>806.1</v>
      </c>
      <c r="O50" s="64">
        <v>0</v>
      </c>
      <c r="P50" s="64">
        <v>0.53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6" t="s">
        <v>2208</v>
      </c>
      <c r="B51" s="64">
        <v>1.47</v>
      </c>
      <c r="C51" s="64">
        <v>6.21</v>
      </c>
      <c r="D51" s="64">
        <v>4.34</v>
      </c>
      <c r="E51" s="64">
        <v>2.0099999999999998</v>
      </c>
      <c r="F51" s="64">
        <v>4.63</v>
      </c>
      <c r="G51" s="64">
        <v>28.84</v>
      </c>
      <c r="H51" s="64">
        <v>11.87</v>
      </c>
      <c r="I51" s="64">
        <v>5.25</v>
      </c>
      <c r="J51" s="64">
        <v>0.68</v>
      </c>
      <c r="K51" s="64">
        <v>317.58999999999997</v>
      </c>
      <c r="L51" s="64">
        <v>38.119999999999997</v>
      </c>
      <c r="M51" s="64">
        <v>29.37</v>
      </c>
      <c r="N51" s="64">
        <v>823.1</v>
      </c>
      <c r="O51" s="64">
        <v>0</v>
      </c>
      <c r="P51" s="64">
        <v>0.55000000000000004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6" t="s">
        <v>2209</v>
      </c>
      <c r="B52" s="64">
        <v>1.42</v>
      </c>
      <c r="C52" s="64">
        <v>5.99</v>
      </c>
      <c r="D52" s="64">
        <v>4.1900000000000004</v>
      </c>
      <c r="E52" s="64">
        <v>1.84</v>
      </c>
      <c r="F52" s="64">
        <v>5.79</v>
      </c>
      <c r="G52" s="64">
        <v>38.83</v>
      </c>
      <c r="H52" s="64">
        <v>15.92</v>
      </c>
      <c r="I52" s="64">
        <v>5.47</v>
      </c>
      <c r="J52" s="64">
        <v>0.43</v>
      </c>
      <c r="K52" s="64">
        <v>330.87</v>
      </c>
      <c r="L52" s="64">
        <v>37.75</v>
      </c>
      <c r="M52" s="64">
        <v>30.3</v>
      </c>
      <c r="N52" s="64">
        <v>842.7</v>
      </c>
      <c r="O52" s="64">
        <v>0</v>
      </c>
      <c r="P52" s="64">
        <v>0.56000000000000005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6" t="s">
        <v>2210</v>
      </c>
      <c r="B53" s="64">
        <v>1.37</v>
      </c>
      <c r="C53" s="64">
        <v>5.87</v>
      </c>
      <c r="D53" s="64">
        <v>4.08</v>
      </c>
      <c r="E53" s="64">
        <v>1.71</v>
      </c>
      <c r="F53" s="64">
        <v>5.37</v>
      </c>
      <c r="G53" s="64">
        <v>39.42</v>
      </c>
      <c r="H53" s="64">
        <v>16.16</v>
      </c>
      <c r="I53" s="64">
        <v>5.4</v>
      </c>
      <c r="J53" s="64">
        <v>0.81</v>
      </c>
      <c r="K53" s="64">
        <v>324.99</v>
      </c>
      <c r="L53" s="64">
        <v>38.99</v>
      </c>
      <c r="M53" s="64">
        <v>29.71</v>
      </c>
      <c r="N53" s="64">
        <v>868.2</v>
      </c>
      <c r="O53" s="64">
        <v>0</v>
      </c>
      <c r="P53" s="64">
        <v>0.56999999999999995</v>
      </c>
      <c r="Q53" s="64">
        <v>9.3699999999999992</v>
      </c>
      <c r="R53" s="198"/>
      <c r="S53" s="198"/>
      <c r="T53" s="198"/>
      <c r="U53" s="198"/>
    </row>
    <row r="54" spans="1:21" s="12" customFormat="1" x14ac:dyDescent="0.25">
      <c r="A54" s="216" t="s">
        <v>2211</v>
      </c>
      <c r="B54" s="64">
        <v>1.33</v>
      </c>
      <c r="C54" s="64">
        <v>5.48</v>
      </c>
      <c r="D54" s="64">
        <v>3.85</v>
      </c>
      <c r="E54" s="64">
        <v>1.94</v>
      </c>
      <c r="F54" s="64">
        <v>6.1</v>
      </c>
      <c r="G54" s="64">
        <v>39.42</v>
      </c>
      <c r="H54" s="64">
        <v>16.16</v>
      </c>
      <c r="I54" s="64">
        <v>5.26</v>
      </c>
      <c r="J54" s="64">
        <v>0.5</v>
      </c>
      <c r="K54" s="64">
        <v>339.33</v>
      </c>
      <c r="L54" s="64">
        <v>37.700000000000003</v>
      </c>
      <c r="M54" s="64">
        <v>31.82</v>
      </c>
      <c r="N54" s="64">
        <v>865</v>
      </c>
      <c r="O54" s="64">
        <v>0</v>
      </c>
      <c r="P54" s="64">
        <v>0.56999999999999995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6" t="s">
        <v>2212</v>
      </c>
      <c r="B55" s="64">
        <v>1.32</v>
      </c>
      <c r="C55" s="64">
        <v>5.31</v>
      </c>
      <c r="D55" s="64">
        <v>3.75</v>
      </c>
      <c r="E55" s="64">
        <v>1.47</v>
      </c>
      <c r="F55" s="64">
        <v>6.32</v>
      </c>
      <c r="G55" s="64">
        <v>39.42</v>
      </c>
      <c r="H55" s="64">
        <v>16.16</v>
      </c>
      <c r="I55" s="64">
        <v>5.15</v>
      </c>
      <c r="J55" s="64">
        <v>0.76</v>
      </c>
      <c r="K55" s="64">
        <v>327.36</v>
      </c>
      <c r="L55" s="64">
        <v>38.24</v>
      </c>
      <c r="M55" s="64">
        <v>32.799999999999997</v>
      </c>
      <c r="N55" s="64">
        <v>868.3</v>
      </c>
      <c r="O55" s="64">
        <v>0</v>
      </c>
      <c r="P55" s="64">
        <v>0.55000000000000004</v>
      </c>
      <c r="Q55" s="64">
        <v>9.32</v>
      </c>
      <c r="R55" s="198"/>
      <c r="S55" s="198"/>
      <c r="T55" s="198"/>
      <c r="U55" s="198"/>
    </row>
    <row r="56" spans="1:21" s="12" customFormat="1" x14ac:dyDescent="0.25">
      <c r="A56" s="216" t="s">
        <v>2213</v>
      </c>
      <c r="B56" s="64">
        <v>1.28</v>
      </c>
      <c r="C56" s="64">
        <v>4.92</v>
      </c>
      <c r="D56" s="64">
        <v>3.52</v>
      </c>
      <c r="E56" s="64">
        <v>1.97</v>
      </c>
      <c r="F56" s="64">
        <v>6.62</v>
      </c>
      <c r="G56" s="64">
        <v>38.26</v>
      </c>
      <c r="H56" s="64">
        <v>13.07</v>
      </c>
      <c r="I56" s="64">
        <v>4.9800000000000004</v>
      </c>
      <c r="J56" s="64">
        <v>1.05</v>
      </c>
      <c r="K56" s="64">
        <v>336.25</v>
      </c>
      <c r="L56" s="64">
        <v>38.51</v>
      </c>
      <c r="M56" s="64">
        <v>31.69</v>
      </c>
      <c r="N56" s="64">
        <v>860.4</v>
      </c>
      <c r="O56" s="64">
        <v>0</v>
      </c>
      <c r="P56" s="64">
        <v>0.54</v>
      </c>
      <c r="Q56" s="64">
        <v>9.34</v>
      </c>
      <c r="R56" s="198"/>
      <c r="S56" s="198"/>
      <c r="T56" s="198"/>
      <c r="U56" s="198"/>
    </row>
    <row r="57" spans="1:21" s="12" customFormat="1" x14ac:dyDescent="0.25">
      <c r="A57" s="216" t="s">
        <v>2214</v>
      </c>
      <c r="B57" s="64">
        <v>1.27</v>
      </c>
      <c r="C57" s="64">
        <v>4.87</v>
      </c>
      <c r="D57" s="64">
        <v>3.48</v>
      </c>
      <c r="E57" s="64">
        <v>1.65</v>
      </c>
      <c r="F57" s="64">
        <v>7.19</v>
      </c>
      <c r="G57" s="64">
        <v>38.19</v>
      </c>
      <c r="H57" s="64">
        <v>12.89</v>
      </c>
      <c r="I57" s="64">
        <v>4.8499999999999996</v>
      </c>
      <c r="J57" s="64">
        <v>0.64</v>
      </c>
      <c r="K57" s="64">
        <v>345.38</v>
      </c>
      <c r="L57" s="64">
        <v>38.630000000000003</v>
      </c>
      <c r="M57" s="64">
        <v>31.1</v>
      </c>
      <c r="N57" s="64">
        <v>852.6</v>
      </c>
      <c r="O57" s="64">
        <v>0</v>
      </c>
      <c r="P57" s="64">
        <v>0.53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6" t="s">
        <v>2215</v>
      </c>
      <c r="B58" s="64">
        <v>1.25</v>
      </c>
      <c r="C58" s="64">
        <v>5.0199999999999996</v>
      </c>
      <c r="D58" s="64">
        <v>3.55</v>
      </c>
      <c r="E58" s="64">
        <v>1.7</v>
      </c>
      <c r="F58" s="64">
        <v>6.15</v>
      </c>
      <c r="G58" s="64">
        <v>38.19</v>
      </c>
      <c r="H58" s="64">
        <v>12.89</v>
      </c>
      <c r="I58" s="64">
        <v>4.9400000000000004</v>
      </c>
      <c r="J58" s="64">
        <v>0.86</v>
      </c>
      <c r="K58" s="64">
        <v>330.67</v>
      </c>
      <c r="L58" s="64">
        <v>39.22</v>
      </c>
      <c r="M58" s="64">
        <v>31.09</v>
      </c>
      <c r="N58" s="64">
        <v>857.1</v>
      </c>
      <c r="O58" s="64">
        <v>0</v>
      </c>
      <c r="P58" s="64">
        <v>0.52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16" t="s">
        <v>2216</v>
      </c>
      <c r="B59" s="64">
        <v>1.3</v>
      </c>
      <c r="C59" s="64">
        <v>4.8600000000000003</v>
      </c>
      <c r="D59" s="64">
        <v>3.5</v>
      </c>
      <c r="E59" s="64">
        <v>1.84</v>
      </c>
      <c r="F59" s="64">
        <v>5.71</v>
      </c>
      <c r="G59" s="64">
        <v>38.19</v>
      </c>
      <c r="H59" s="64">
        <v>12.89</v>
      </c>
      <c r="I59" s="64">
        <v>4.74</v>
      </c>
      <c r="J59" s="64">
        <v>0.71</v>
      </c>
      <c r="K59" s="64">
        <v>327.9</v>
      </c>
      <c r="L59" s="64">
        <v>39</v>
      </c>
      <c r="M59" s="64">
        <v>32.340000000000003</v>
      </c>
      <c r="N59" s="64">
        <v>849.7</v>
      </c>
      <c r="O59" s="64">
        <v>0</v>
      </c>
      <c r="P59" s="64">
        <v>0.52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6" t="s">
        <v>2217</v>
      </c>
      <c r="B60" s="64">
        <v>1.34</v>
      </c>
      <c r="C60" s="64">
        <v>4.3899999999999997</v>
      </c>
      <c r="D60" s="64">
        <v>3.29</v>
      </c>
      <c r="E60" s="64">
        <v>1.8</v>
      </c>
      <c r="F60" s="64">
        <v>5.96</v>
      </c>
      <c r="G60" s="64">
        <v>38.43</v>
      </c>
      <c r="H60" s="64">
        <v>13.79</v>
      </c>
      <c r="I60" s="64">
        <v>4.4800000000000004</v>
      </c>
      <c r="J60" s="64">
        <v>1.1599999999999999</v>
      </c>
      <c r="K60" s="64">
        <v>339.28</v>
      </c>
      <c r="L60" s="64">
        <v>40.049999999999997</v>
      </c>
      <c r="M60" s="64">
        <v>29.36</v>
      </c>
      <c r="N60" s="64">
        <v>845.8</v>
      </c>
      <c r="O60" s="64">
        <v>0</v>
      </c>
      <c r="P60" s="64">
        <v>0.52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6" t="s">
        <v>2218</v>
      </c>
      <c r="B61" s="64">
        <v>1.34</v>
      </c>
      <c r="C61" s="64">
        <v>4.3899999999999997</v>
      </c>
      <c r="D61" s="64">
        <v>3.29</v>
      </c>
      <c r="E61" s="64">
        <v>1.51</v>
      </c>
      <c r="F61" s="64">
        <v>5.62</v>
      </c>
      <c r="G61" s="64">
        <v>38.450000000000003</v>
      </c>
      <c r="H61" s="64">
        <v>13.84</v>
      </c>
      <c r="I61" s="64">
        <v>4.49</v>
      </c>
      <c r="J61" s="64">
        <v>0.83</v>
      </c>
      <c r="K61" s="64">
        <v>337</v>
      </c>
      <c r="L61" s="64">
        <v>40.35</v>
      </c>
      <c r="M61" s="64">
        <v>29.19</v>
      </c>
      <c r="N61" s="64">
        <v>829.9</v>
      </c>
      <c r="O61" s="64">
        <v>0</v>
      </c>
      <c r="P61" s="64">
        <v>0.49</v>
      </c>
      <c r="Q61" s="64">
        <v>9.36</v>
      </c>
      <c r="R61" s="198"/>
      <c r="S61" s="198"/>
      <c r="T61" s="198"/>
      <c r="U61" s="198"/>
    </row>
    <row r="62" spans="1:21" s="12" customFormat="1" x14ac:dyDescent="0.25">
      <c r="A62" s="216" t="s">
        <v>2219</v>
      </c>
      <c r="B62" s="64">
        <v>1.34</v>
      </c>
      <c r="C62" s="64">
        <v>4.28</v>
      </c>
      <c r="D62" s="64">
        <v>3.23</v>
      </c>
      <c r="E62" s="64">
        <v>1.57</v>
      </c>
      <c r="F62" s="64">
        <v>5.45</v>
      </c>
      <c r="G62" s="64">
        <v>38.450000000000003</v>
      </c>
      <c r="H62" s="64">
        <v>13.84</v>
      </c>
      <c r="I62" s="64">
        <v>4.9800000000000004</v>
      </c>
      <c r="J62" s="64">
        <v>0.47</v>
      </c>
      <c r="K62" s="64">
        <v>26.43</v>
      </c>
      <c r="L62" s="64">
        <v>38.97</v>
      </c>
      <c r="M62" s="64">
        <v>31.58</v>
      </c>
      <c r="N62" s="64">
        <v>750.7</v>
      </c>
      <c r="O62" s="64">
        <v>0</v>
      </c>
      <c r="P62" s="64">
        <v>0.51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6" t="s">
        <v>2220</v>
      </c>
      <c r="B63" s="64">
        <v>1.35</v>
      </c>
      <c r="C63" s="64">
        <v>4.3499999999999996</v>
      </c>
      <c r="D63" s="64">
        <v>3.28</v>
      </c>
      <c r="E63" s="64">
        <v>1.79</v>
      </c>
      <c r="F63" s="64">
        <v>5.59</v>
      </c>
      <c r="G63" s="64">
        <v>38.450000000000003</v>
      </c>
      <c r="H63" s="64">
        <v>13.84</v>
      </c>
      <c r="I63" s="64">
        <v>5.24</v>
      </c>
      <c r="J63" s="64">
        <v>0.71</v>
      </c>
      <c r="K63" s="64">
        <v>328.23</v>
      </c>
      <c r="L63" s="64">
        <v>39.22</v>
      </c>
      <c r="M63" s="64">
        <v>30.41</v>
      </c>
      <c r="N63" s="64">
        <v>567.29999999999995</v>
      </c>
      <c r="O63" s="64">
        <v>0</v>
      </c>
      <c r="P63" s="64">
        <v>0.5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6" t="s">
        <v>2221</v>
      </c>
      <c r="B64" s="64">
        <v>1.37</v>
      </c>
      <c r="C64" s="64">
        <v>4.34</v>
      </c>
      <c r="D64" s="64">
        <v>3.29</v>
      </c>
      <c r="E64" s="64">
        <v>1.62</v>
      </c>
      <c r="F64" s="64">
        <v>4.6900000000000004</v>
      </c>
      <c r="G64" s="64">
        <v>36.020000000000003</v>
      </c>
      <c r="H64" s="64">
        <v>15.79</v>
      </c>
      <c r="I64" s="64">
        <v>5.79</v>
      </c>
      <c r="J64" s="64">
        <v>0.39</v>
      </c>
      <c r="K64" s="64">
        <v>331.11</v>
      </c>
      <c r="L64" s="64">
        <v>39.32</v>
      </c>
      <c r="M64" s="64">
        <v>29.14</v>
      </c>
      <c r="N64" s="64">
        <v>515.5</v>
      </c>
      <c r="O64" s="64">
        <v>0</v>
      </c>
      <c r="P64" s="64">
        <v>0.5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6" t="s">
        <v>2222</v>
      </c>
      <c r="B65" s="64">
        <v>1.38</v>
      </c>
      <c r="C65" s="64">
        <v>4.37</v>
      </c>
      <c r="D65" s="64">
        <v>3.31</v>
      </c>
      <c r="E65" s="64">
        <v>1.6</v>
      </c>
      <c r="F65" s="64">
        <v>5.88</v>
      </c>
      <c r="G65" s="64">
        <v>35.880000000000003</v>
      </c>
      <c r="H65" s="64">
        <v>15.9</v>
      </c>
      <c r="I65" s="64">
        <v>6.25</v>
      </c>
      <c r="J65" s="64">
        <v>0.75</v>
      </c>
      <c r="K65" s="64">
        <v>337</v>
      </c>
      <c r="L65" s="64">
        <v>37.1</v>
      </c>
      <c r="M65" s="64">
        <v>32.659999999999997</v>
      </c>
      <c r="N65" s="64">
        <v>230.1</v>
      </c>
      <c r="O65" s="64">
        <v>0</v>
      </c>
      <c r="P65" s="64">
        <v>0.48</v>
      </c>
      <c r="Q65" s="64">
        <v>9.3699999999999992</v>
      </c>
      <c r="R65" s="198"/>
      <c r="S65" s="198"/>
      <c r="T65" s="198"/>
      <c r="U65" s="198"/>
    </row>
    <row r="66" spans="1:21" s="12" customFormat="1" x14ac:dyDescent="0.25">
      <c r="A66" s="216" t="s">
        <v>2223</v>
      </c>
      <c r="B66" s="64">
        <v>1.38</v>
      </c>
      <c r="C66" s="64">
        <v>4.57</v>
      </c>
      <c r="D66" s="64">
        <v>3.41</v>
      </c>
      <c r="E66" s="64">
        <v>1.73</v>
      </c>
      <c r="F66" s="64">
        <v>5.55</v>
      </c>
      <c r="G66" s="64">
        <v>35.880000000000003</v>
      </c>
      <c r="H66" s="64">
        <v>15.9</v>
      </c>
      <c r="I66" s="64">
        <v>6.23</v>
      </c>
      <c r="J66" s="64">
        <v>1</v>
      </c>
      <c r="K66" s="64">
        <v>337.37</v>
      </c>
      <c r="L66" s="64">
        <v>37.14</v>
      </c>
      <c r="M66" s="64">
        <v>33.590000000000003</v>
      </c>
      <c r="N66" s="64">
        <v>222.5</v>
      </c>
      <c r="O66" s="64">
        <v>0</v>
      </c>
      <c r="P66" s="64">
        <v>0.48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6" t="s">
        <v>2224</v>
      </c>
      <c r="B67" s="64">
        <v>1.42</v>
      </c>
      <c r="C67" s="64">
        <v>5.18</v>
      </c>
      <c r="D67" s="64">
        <v>3.77</v>
      </c>
      <c r="E67" s="64">
        <v>1.56</v>
      </c>
      <c r="F67" s="64">
        <v>5.7</v>
      </c>
      <c r="G67" s="64">
        <v>35.880000000000003</v>
      </c>
      <c r="H67" s="64">
        <v>15.9</v>
      </c>
      <c r="I67" s="64">
        <v>6.22</v>
      </c>
      <c r="J67" s="64">
        <v>1.35</v>
      </c>
      <c r="K67" s="64">
        <v>333.25</v>
      </c>
      <c r="L67" s="64">
        <v>36.93</v>
      </c>
      <c r="M67" s="64">
        <v>33.840000000000003</v>
      </c>
      <c r="N67" s="64">
        <v>223.3</v>
      </c>
      <c r="O67" s="64">
        <v>0</v>
      </c>
      <c r="P67" s="64">
        <v>0.48</v>
      </c>
      <c r="Q67" s="64">
        <v>9.33</v>
      </c>
      <c r="R67" s="198"/>
      <c r="S67" s="198"/>
      <c r="T67" s="198"/>
      <c r="U67" s="198"/>
    </row>
    <row r="68" spans="1:21" s="12" customFormat="1" x14ac:dyDescent="0.25">
      <c r="A68" s="216" t="s">
        <v>2225</v>
      </c>
      <c r="B68" s="64">
        <v>1.45</v>
      </c>
      <c r="C68" s="64">
        <v>5.33</v>
      </c>
      <c r="D68" s="64">
        <v>3.87</v>
      </c>
      <c r="E68" s="64">
        <v>1.48</v>
      </c>
      <c r="F68" s="64">
        <v>5.7</v>
      </c>
      <c r="G68" s="64">
        <v>34.51</v>
      </c>
      <c r="H68" s="64">
        <v>14.39</v>
      </c>
      <c r="I68" s="64">
        <v>6.23</v>
      </c>
      <c r="J68" s="64">
        <v>0.69</v>
      </c>
      <c r="K68" s="64">
        <v>330.85</v>
      </c>
      <c r="L68" s="64">
        <v>36.82</v>
      </c>
      <c r="M68" s="64">
        <v>34.090000000000003</v>
      </c>
      <c r="N68" s="64">
        <v>193.4</v>
      </c>
      <c r="O68" s="64">
        <v>0</v>
      </c>
      <c r="P68" s="64">
        <v>0.47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6" t="s">
        <v>2226</v>
      </c>
      <c r="B69" s="64">
        <v>1.45</v>
      </c>
      <c r="C69" s="64">
        <v>5.42</v>
      </c>
      <c r="D69" s="64">
        <v>3.91</v>
      </c>
      <c r="E69" s="64">
        <v>1.44</v>
      </c>
      <c r="F69" s="64">
        <v>5.19</v>
      </c>
      <c r="G69" s="64">
        <v>34.43</v>
      </c>
      <c r="H69" s="64">
        <v>14.3</v>
      </c>
      <c r="I69" s="64">
        <v>6.08</v>
      </c>
      <c r="J69" s="64">
        <v>0.74</v>
      </c>
      <c r="K69" s="64">
        <v>333.27</v>
      </c>
      <c r="L69" s="64">
        <v>36.57</v>
      </c>
      <c r="M69" s="64">
        <v>34.01</v>
      </c>
      <c r="N69" s="64">
        <v>161.6</v>
      </c>
      <c r="O69" s="64">
        <v>0</v>
      </c>
      <c r="P69" s="64">
        <v>0.48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6" t="s">
        <v>2227</v>
      </c>
      <c r="B70" s="64">
        <v>1.5</v>
      </c>
      <c r="C70" s="64">
        <v>5.64</v>
      </c>
      <c r="D70" s="64">
        <v>4.07</v>
      </c>
      <c r="E70" s="64">
        <v>1.51</v>
      </c>
      <c r="F70" s="64">
        <v>5.04</v>
      </c>
      <c r="G70" s="64">
        <v>34.43</v>
      </c>
      <c r="H70" s="64">
        <v>14.3</v>
      </c>
      <c r="I70" s="64">
        <v>5.9</v>
      </c>
      <c r="J70" s="64">
        <v>0.65</v>
      </c>
      <c r="K70" s="64">
        <v>340.55</v>
      </c>
      <c r="L70" s="64">
        <v>36.630000000000003</v>
      </c>
      <c r="M70" s="64">
        <v>33.96</v>
      </c>
      <c r="N70" s="64">
        <v>186.2</v>
      </c>
      <c r="O70" s="64">
        <v>0</v>
      </c>
      <c r="P70" s="64">
        <v>0.48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6" t="s">
        <v>2228</v>
      </c>
      <c r="B71" s="64">
        <v>1.52</v>
      </c>
      <c r="C71" s="64">
        <v>5.87</v>
      </c>
      <c r="D71" s="64">
        <v>4.2</v>
      </c>
      <c r="E71" s="64">
        <v>1.26</v>
      </c>
      <c r="F71" s="64">
        <v>5.01</v>
      </c>
      <c r="G71" s="64">
        <v>34.43</v>
      </c>
      <c r="H71" s="64">
        <v>14.3</v>
      </c>
      <c r="I71" s="64">
        <v>5.78</v>
      </c>
      <c r="J71" s="64">
        <v>0.09</v>
      </c>
      <c r="K71" s="64">
        <v>341.32</v>
      </c>
      <c r="L71" s="64">
        <v>36.81</v>
      </c>
      <c r="M71" s="64">
        <v>31.95</v>
      </c>
      <c r="N71" s="64">
        <v>191</v>
      </c>
      <c r="O71" s="64">
        <v>0</v>
      </c>
      <c r="P71" s="64">
        <v>0.47</v>
      </c>
      <c r="Q71" s="64">
        <v>9.36</v>
      </c>
      <c r="R71" s="198"/>
      <c r="S71" s="198"/>
      <c r="T71" s="198"/>
      <c r="U71" s="198"/>
    </row>
    <row r="72" spans="1:21" s="12" customFormat="1" x14ac:dyDescent="0.25">
      <c r="A72" s="216" t="s">
        <v>2229</v>
      </c>
      <c r="B72" s="64">
        <v>1.49</v>
      </c>
      <c r="C72" s="64">
        <v>5.83</v>
      </c>
      <c r="D72" s="64">
        <v>4.16</v>
      </c>
      <c r="E72" s="64">
        <v>1.31</v>
      </c>
      <c r="F72" s="64">
        <v>5.09</v>
      </c>
      <c r="G72" s="64">
        <v>32.74</v>
      </c>
      <c r="H72" s="64">
        <v>10.99</v>
      </c>
      <c r="I72" s="64">
        <v>5.7</v>
      </c>
      <c r="J72" s="64">
        <v>0.18</v>
      </c>
      <c r="K72" s="64">
        <v>0.41</v>
      </c>
      <c r="L72" s="64">
        <v>36.65</v>
      </c>
      <c r="M72" s="64">
        <v>33.450000000000003</v>
      </c>
      <c r="N72" s="64">
        <v>169.4</v>
      </c>
      <c r="O72" s="64">
        <v>0</v>
      </c>
      <c r="P72" s="64">
        <v>0.48</v>
      </c>
      <c r="Q72" s="64">
        <v>9.39</v>
      </c>
      <c r="R72" s="198"/>
      <c r="S72" s="198"/>
      <c r="T72" s="198"/>
      <c r="U72" s="198"/>
    </row>
    <row r="73" spans="1:21" s="12" customFormat="1" x14ac:dyDescent="0.25">
      <c r="A73" s="216" t="s">
        <v>2230</v>
      </c>
      <c r="B73" s="64">
        <v>1.49</v>
      </c>
      <c r="C73" s="64">
        <v>5.96</v>
      </c>
      <c r="D73" s="64">
        <v>4.2300000000000004</v>
      </c>
      <c r="E73" s="64">
        <v>1.81</v>
      </c>
      <c r="F73" s="64">
        <v>4.92</v>
      </c>
      <c r="G73" s="64">
        <v>32.64</v>
      </c>
      <c r="H73" s="64">
        <v>10.8</v>
      </c>
      <c r="I73" s="64">
        <v>5.69</v>
      </c>
      <c r="J73" s="64">
        <v>0.65</v>
      </c>
      <c r="K73" s="64">
        <v>348.54</v>
      </c>
      <c r="L73" s="64">
        <v>35.630000000000003</v>
      </c>
      <c r="M73" s="64">
        <v>35.729999999999997</v>
      </c>
      <c r="N73" s="64">
        <v>169.8</v>
      </c>
      <c r="O73" s="64">
        <v>0</v>
      </c>
      <c r="P73" s="64">
        <v>0.49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6" t="s">
        <v>2231</v>
      </c>
      <c r="B74" s="64">
        <v>1.51</v>
      </c>
      <c r="C74" s="64">
        <v>6.17</v>
      </c>
      <c r="D74" s="64">
        <v>4.3600000000000003</v>
      </c>
      <c r="E74" s="64">
        <v>1.8</v>
      </c>
      <c r="F74" s="64">
        <v>4.93</v>
      </c>
      <c r="G74" s="64">
        <v>32.64</v>
      </c>
      <c r="H74" s="64">
        <v>10.8</v>
      </c>
      <c r="I74" s="64">
        <v>5.95</v>
      </c>
      <c r="J74" s="64">
        <v>0.49</v>
      </c>
      <c r="K74" s="64">
        <v>135.97</v>
      </c>
      <c r="L74" s="64">
        <v>35.619999999999997</v>
      </c>
      <c r="M74" s="64">
        <v>32.32</v>
      </c>
      <c r="N74" s="64">
        <v>140.19999999999999</v>
      </c>
      <c r="O74" s="64">
        <v>0</v>
      </c>
      <c r="P74" s="64">
        <v>0.49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16" t="s">
        <v>2232</v>
      </c>
      <c r="B75" s="64">
        <v>1.45</v>
      </c>
      <c r="C75" s="64">
        <v>5.87</v>
      </c>
      <c r="D75" s="64">
        <v>4.1500000000000004</v>
      </c>
      <c r="E75" s="64">
        <v>1.64</v>
      </c>
      <c r="F75" s="64">
        <v>5.3</v>
      </c>
      <c r="G75" s="64">
        <v>32.64</v>
      </c>
      <c r="H75" s="64">
        <v>10.8</v>
      </c>
      <c r="I75" s="64">
        <v>6.27</v>
      </c>
      <c r="J75" s="64">
        <v>0.36</v>
      </c>
      <c r="K75" s="64">
        <v>141.82</v>
      </c>
      <c r="L75" s="64">
        <v>35.96</v>
      </c>
      <c r="M75" s="64">
        <v>29.49</v>
      </c>
      <c r="N75" s="64">
        <v>122.4</v>
      </c>
      <c r="O75" s="64">
        <v>0</v>
      </c>
      <c r="P75" s="64">
        <v>0.47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6" t="s">
        <v>2233</v>
      </c>
      <c r="B76" s="64">
        <v>1.39</v>
      </c>
      <c r="C76" s="64">
        <v>5.49</v>
      </c>
      <c r="D76" s="64">
        <v>3.91</v>
      </c>
      <c r="E76" s="64">
        <v>1.79</v>
      </c>
      <c r="F76" s="64">
        <v>5.47</v>
      </c>
      <c r="G76" s="64">
        <v>32.520000000000003</v>
      </c>
      <c r="H76" s="64">
        <v>15.12</v>
      </c>
      <c r="I76" s="64">
        <v>6.31</v>
      </c>
      <c r="J76" s="64">
        <v>0.43</v>
      </c>
      <c r="K76" s="64">
        <v>101.82</v>
      </c>
      <c r="L76" s="64">
        <v>35.75</v>
      </c>
      <c r="M76" s="64">
        <v>30.77</v>
      </c>
      <c r="N76" s="64">
        <v>109.5</v>
      </c>
      <c r="O76" s="64">
        <v>0</v>
      </c>
      <c r="P76" s="64">
        <v>0.46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6" t="s">
        <v>2234</v>
      </c>
      <c r="B77" s="64">
        <v>1.4</v>
      </c>
      <c r="C77" s="64">
        <v>5.36</v>
      </c>
      <c r="D77" s="64">
        <v>3.84</v>
      </c>
      <c r="E77" s="64">
        <v>1.75</v>
      </c>
      <c r="F77" s="64">
        <v>5.13</v>
      </c>
      <c r="G77" s="64">
        <v>32.520000000000003</v>
      </c>
      <c r="H77" s="64">
        <v>15.37</v>
      </c>
      <c r="I77" s="64">
        <v>6.16</v>
      </c>
      <c r="J77" s="64">
        <v>0.67</v>
      </c>
      <c r="K77" s="64">
        <v>348.83</v>
      </c>
      <c r="L77" s="64">
        <v>35.979999999999997</v>
      </c>
      <c r="M77" s="64">
        <v>31.02</v>
      </c>
      <c r="N77" s="64">
        <v>88.7</v>
      </c>
      <c r="O77" s="64">
        <v>0</v>
      </c>
      <c r="P77" s="64">
        <v>0.46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6" t="s">
        <v>2235</v>
      </c>
      <c r="B78" s="64">
        <v>1.47</v>
      </c>
      <c r="C78" s="64">
        <v>5.61</v>
      </c>
      <c r="D78" s="64">
        <v>4.03</v>
      </c>
      <c r="E78" s="64">
        <v>1.82</v>
      </c>
      <c r="F78" s="64">
        <v>4.87</v>
      </c>
      <c r="G78" s="64">
        <v>32.520000000000003</v>
      </c>
      <c r="H78" s="64">
        <v>15.37</v>
      </c>
      <c r="I78" s="64">
        <v>6.02</v>
      </c>
      <c r="J78" s="64">
        <v>7.0000000000000007E-2</v>
      </c>
      <c r="K78" s="64">
        <v>11.63</v>
      </c>
      <c r="L78" s="64">
        <v>35.85</v>
      </c>
      <c r="M78" s="64">
        <v>31.32</v>
      </c>
      <c r="N78" s="64">
        <v>72.400000000000006</v>
      </c>
      <c r="O78" s="64">
        <v>0</v>
      </c>
      <c r="P78" s="64">
        <v>0.5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16" t="s">
        <v>2236</v>
      </c>
      <c r="B79" s="64">
        <v>1.5</v>
      </c>
      <c r="C79" s="64">
        <v>5.77</v>
      </c>
      <c r="D79" s="64">
        <v>4.13</v>
      </c>
      <c r="E79" s="64">
        <v>1.79</v>
      </c>
      <c r="F79" s="64">
        <v>4.79</v>
      </c>
      <c r="G79" s="64">
        <v>32.520000000000003</v>
      </c>
      <c r="H79" s="64">
        <v>15.37</v>
      </c>
      <c r="I79" s="64">
        <v>5.99</v>
      </c>
      <c r="J79" s="64">
        <v>0.08</v>
      </c>
      <c r="K79" s="64">
        <v>296.82</v>
      </c>
      <c r="L79" s="64">
        <v>34.090000000000003</v>
      </c>
      <c r="M79" s="64">
        <v>38.1</v>
      </c>
      <c r="N79" s="64">
        <v>58.2</v>
      </c>
      <c r="O79" s="64">
        <v>0</v>
      </c>
      <c r="P79" s="64">
        <v>0.49</v>
      </c>
      <c r="Q79" s="64">
        <v>9.3699999999999992</v>
      </c>
      <c r="R79" s="198"/>
      <c r="S79" s="198"/>
      <c r="T79" s="198"/>
      <c r="U79" s="198"/>
    </row>
    <row r="80" spans="1:21" s="12" customFormat="1" x14ac:dyDescent="0.25">
      <c r="A80" s="216" t="s">
        <v>2237</v>
      </c>
      <c r="B80" s="64">
        <v>1.46</v>
      </c>
      <c r="C80" s="64">
        <v>5.46</v>
      </c>
      <c r="D80" s="64">
        <v>3.95</v>
      </c>
      <c r="E80" s="64">
        <v>1.64</v>
      </c>
      <c r="F80" s="64">
        <v>4.72</v>
      </c>
      <c r="G80" s="64">
        <v>37.24</v>
      </c>
      <c r="H80" s="64">
        <v>15.68</v>
      </c>
      <c r="I80" s="64">
        <v>5.84</v>
      </c>
      <c r="J80" s="64">
        <v>0.19</v>
      </c>
      <c r="K80" s="64">
        <v>324.52999999999997</v>
      </c>
      <c r="L80" s="64">
        <v>33.229999999999997</v>
      </c>
      <c r="M80" s="64">
        <v>40.78</v>
      </c>
      <c r="N80" s="64">
        <v>43.9</v>
      </c>
      <c r="O80" s="64">
        <v>0</v>
      </c>
      <c r="P80" s="64">
        <v>0.49</v>
      </c>
      <c r="Q80" s="64">
        <v>9.39</v>
      </c>
      <c r="R80" s="198"/>
      <c r="S80" s="198"/>
      <c r="T80" s="198"/>
      <c r="U80" s="198"/>
    </row>
    <row r="81" spans="1:26" s="12" customFormat="1" x14ac:dyDescent="0.25">
      <c r="A81" s="216" t="s">
        <v>2238</v>
      </c>
      <c r="B81" s="64">
        <v>1.45</v>
      </c>
      <c r="C81" s="64">
        <v>5.13</v>
      </c>
      <c r="D81" s="64">
        <v>3.76</v>
      </c>
      <c r="E81" s="64">
        <v>1.93</v>
      </c>
      <c r="F81" s="64">
        <v>4.82</v>
      </c>
      <c r="G81" s="64">
        <v>37.520000000000003</v>
      </c>
      <c r="H81" s="64">
        <v>15.7</v>
      </c>
      <c r="I81" s="64">
        <v>5.7</v>
      </c>
      <c r="J81" s="64">
        <v>0.44</v>
      </c>
      <c r="K81" s="64">
        <v>346.2</v>
      </c>
      <c r="L81" s="64">
        <v>32.68</v>
      </c>
      <c r="M81" s="64">
        <v>43.24</v>
      </c>
      <c r="N81" s="64">
        <v>31</v>
      </c>
      <c r="O81" s="64">
        <v>0</v>
      </c>
      <c r="P81" s="64">
        <v>0.5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6" t="s">
        <v>2239</v>
      </c>
      <c r="B82" s="64">
        <v>1.54</v>
      </c>
      <c r="C82" s="64">
        <v>5.27</v>
      </c>
      <c r="D82" s="64">
        <v>3.9</v>
      </c>
      <c r="E82" s="64">
        <v>2.0299999999999998</v>
      </c>
      <c r="F82" s="64">
        <v>4.43</v>
      </c>
      <c r="G82" s="64">
        <v>37.520000000000003</v>
      </c>
      <c r="H82" s="64">
        <v>15.7</v>
      </c>
      <c r="I82" s="64">
        <v>6.03</v>
      </c>
      <c r="J82" s="64">
        <v>2.5499999999999998</v>
      </c>
      <c r="K82" s="64">
        <v>345.79</v>
      </c>
      <c r="L82" s="64">
        <v>32.130000000000003</v>
      </c>
      <c r="M82" s="64">
        <v>40.18</v>
      </c>
      <c r="N82" s="64">
        <v>24.3</v>
      </c>
      <c r="O82" s="64">
        <v>0</v>
      </c>
      <c r="P82" s="64">
        <v>0.52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6" t="s">
        <v>2240</v>
      </c>
      <c r="B83" s="64">
        <v>1.56</v>
      </c>
      <c r="C83" s="64">
        <v>5.39</v>
      </c>
      <c r="D83" s="64">
        <v>3.99</v>
      </c>
      <c r="E83" s="64">
        <v>1.74</v>
      </c>
      <c r="F83" s="64">
        <v>5.25</v>
      </c>
      <c r="G83" s="64">
        <v>37.520000000000003</v>
      </c>
      <c r="H83" s="64">
        <v>15.7</v>
      </c>
      <c r="I83" s="64">
        <v>6.78</v>
      </c>
      <c r="J83" s="64">
        <v>2.08</v>
      </c>
      <c r="K83" s="64">
        <v>347.73</v>
      </c>
      <c r="L83" s="64">
        <v>31.36</v>
      </c>
      <c r="M83" s="64">
        <v>39.93</v>
      </c>
      <c r="N83" s="64">
        <v>19.3</v>
      </c>
      <c r="O83" s="64">
        <v>0</v>
      </c>
      <c r="P83" s="64">
        <v>0.53</v>
      </c>
      <c r="Q83" s="64">
        <v>9.36</v>
      </c>
      <c r="R83" s="198"/>
      <c r="S83" s="198"/>
      <c r="T83" s="198"/>
      <c r="U83" s="198"/>
    </row>
    <row r="84" spans="1:26" s="12" customFormat="1" x14ac:dyDescent="0.25">
      <c r="A84" s="216" t="s">
        <v>2241</v>
      </c>
      <c r="B84" s="64">
        <v>1.54</v>
      </c>
      <c r="C84" s="64">
        <v>5.77</v>
      </c>
      <c r="D84" s="64">
        <v>4.17</v>
      </c>
      <c r="E84" s="64">
        <v>1.76</v>
      </c>
      <c r="F84" s="64">
        <v>5.18</v>
      </c>
      <c r="G84" s="64">
        <v>60.43</v>
      </c>
      <c r="H84" s="64">
        <v>18.16</v>
      </c>
      <c r="I84" s="64">
        <v>7.53</v>
      </c>
      <c r="J84" s="64">
        <v>2.4500000000000002</v>
      </c>
      <c r="K84" s="64">
        <v>347.41</v>
      </c>
      <c r="L84" s="64">
        <v>31.66</v>
      </c>
      <c r="M84" s="64">
        <v>36.71</v>
      </c>
      <c r="N84" s="64">
        <v>16.899999999999999</v>
      </c>
      <c r="O84" s="64">
        <v>0</v>
      </c>
      <c r="P84" s="64">
        <v>0.54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16" t="s">
        <v>2242</v>
      </c>
      <c r="B85" s="64">
        <v>1.51</v>
      </c>
      <c r="C85" s="64">
        <v>6.21</v>
      </c>
      <c r="D85" s="64">
        <v>4.38</v>
      </c>
      <c r="E85" s="64">
        <v>2.0099999999999998</v>
      </c>
      <c r="F85" s="64">
        <v>5.38</v>
      </c>
      <c r="G85" s="64">
        <v>61.78</v>
      </c>
      <c r="H85" s="64">
        <v>18.309999999999999</v>
      </c>
      <c r="I85" s="64">
        <v>7.69</v>
      </c>
      <c r="J85" s="64">
        <v>1.61</v>
      </c>
      <c r="K85" s="64">
        <v>349.95</v>
      </c>
      <c r="L85" s="64">
        <v>32.14</v>
      </c>
      <c r="M85" s="64">
        <v>35.42</v>
      </c>
      <c r="N85" s="64">
        <v>17.3</v>
      </c>
      <c r="O85" s="64">
        <v>0</v>
      </c>
      <c r="P85" s="64">
        <v>0.54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16" t="s">
        <v>2243</v>
      </c>
      <c r="B86" s="64">
        <v>1.49</v>
      </c>
      <c r="C86" s="64">
        <v>6.37</v>
      </c>
      <c r="D86" s="64">
        <v>4.4400000000000004</v>
      </c>
      <c r="E86" s="64">
        <v>1.91</v>
      </c>
      <c r="F86" s="64">
        <v>4.74</v>
      </c>
      <c r="G86" s="64">
        <v>61.78</v>
      </c>
      <c r="H86" s="64">
        <v>18.309999999999999</v>
      </c>
      <c r="I86" s="64">
        <v>7.63</v>
      </c>
      <c r="J86" s="64">
        <v>0.26</v>
      </c>
      <c r="K86" s="64">
        <v>36.840000000000003</v>
      </c>
      <c r="L86" s="64">
        <v>31.85</v>
      </c>
      <c r="M86" s="64">
        <v>36.200000000000003</v>
      </c>
      <c r="N86" s="64">
        <v>18.100000000000001</v>
      </c>
      <c r="O86" s="64">
        <v>0</v>
      </c>
      <c r="P86" s="64">
        <v>0.61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6" t="s">
        <v>2244</v>
      </c>
      <c r="B87" s="64">
        <v>1.58</v>
      </c>
      <c r="C87" s="64">
        <v>6.44</v>
      </c>
      <c r="D87" s="64">
        <v>4.55</v>
      </c>
      <c r="E87" s="64">
        <v>1.87</v>
      </c>
      <c r="F87" s="64">
        <v>4.32</v>
      </c>
      <c r="G87" s="64">
        <v>61.78</v>
      </c>
      <c r="H87" s="64">
        <v>18.309999999999999</v>
      </c>
      <c r="I87" s="64">
        <v>7.2</v>
      </c>
      <c r="J87" s="64">
        <v>0.55000000000000004</v>
      </c>
      <c r="K87" s="64">
        <v>82.13</v>
      </c>
      <c r="L87" s="64">
        <v>31.51</v>
      </c>
      <c r="M87" s="64">
        <v>36.590000000000003</v>
      </c>
      <c r="N87" s="64">
        <v>17.600000000000001</v>
      </c>
      <c r="O87" s="64">
        <v>0</v>
      </c>
      <c r="P87" s="64">
        <v>0.63</v>
      </c>
      <c r="Q87" s="64">
        <v>9.4</v>
      </c>
      <c r="R87" s="198"/>
      <c r="S87" s="198"/>
      <c r="T87" s="198"/>
      <c r="U87" s="198"/>
    </row>
    <row r="88" spans="1:26" s="12" customFormat="1" x14ac:dyDescent="0.25">
      <c r="A88" s="216" t="s">
        <v>2245</v>
      </c>
      <c r="B88" s="64">
        <v>1.59</v>
      </c>
      <c r="C88" s="64">
        <v>6.32</v>
      </c>
      <c r="D88" s="64">
        <v>4.49</v>
      </c>
      <c r="E88" s="64">
        <v>2.14</v>
      </c>
      <c r="F88" s="64">
        <v>3.97</v>
      </c>
      <c r="G88" s="64">
        <v>63.06</v>
      </c>
      <c r="H88" s="64">
        <v>18.37</v>
      </c>
      <c r="I88" s="64">
        <v>6.88</v>
      </c>
      <c r="J88" s="64">
        <v>1.84</v>
      </c>
      <c r="K88" s="64">
        <v>105.72</v>
      </c>
      <c r="L88" s="64">
        <v>31.39</v>
      </c>
      <c r="M88" s="64">
        <v>38.49</v>
      </c>
      <c r="N88" s="64">
        <v>17.3</v>
      </c>
      <c r="O88" s="64">
        <v>0</v>
      </c>
      <c r="P88" s="64">
        <v>0.64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6" t="s">
        <v>2246</v>
      </c>
      <c r="B89" s="64">
        <v>1.54</v>
      </c>
      <c r="C89" s="64">
        <v>6.05</v>
      </c>
      <c r="D89" s="64">
        <v>4.3099999999999996</v>
      </c>
      <c r="E89" s="64">
        <v>2.09</v>
      </c>
      <c r="F89" s="64">
        <v>4.55</v>
      </c>
      <c r="G89" s="64">
        <v>63.13</v>
      </c>
      <c r="H89" s="64">
        <v>18.38</v>
      </c>
      <c r="I89" s="64">
        <v>7.11</v>
      </c>
      <c r="J89" s="64">
        <v>0.3</v>
      </c>
      <c r="K89" s="64">
        <v>30.33</v>
      </c>
      <c r="L89" s="64">
        <v>31.13</v>
      </c>
      <c r="M89" s="64">
        <v>40.31</v>
      </c>
      <c r="N89" s="64">
        <v>17.8</v>
      </c>
      <c r="O89" s="64">
        <v>0</v>
      </c>
      <c r="P89" s="64">
        <v>0.64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6" t="s">
        <v>2247</v>
      </c>
      <c r="B90" s="64">
        <v>1.57</v>
      </c>
      <c r="C90" s="64">
        <v>5.78</v>
      </c>
      <c r="D90" s="64">
        <v>4.2</v>
      </c>
      <c r="E90" s="64">
        <v>2.11</v>
      </c>
      <c r="F90" s="64">
        <v>4.33</v>
      </c>
      <c r="G90" s="64">
        <v>63.13</v>
      </c>
      <c r="H90" s="64">
        <v>18.38</v>
      </c>
      <c r="I90" s="64">
        <v>7.69</v>
      </c>
      <c r="J90" s="64">
        <v>0.61</v>
      </c>
      <c r="K90" s="64">
        <v>356</v>
      </c>
      <c r="L90" s="64">
        <v>30.93</v>
      </c>
      <c r="M90" s="64">
        <v>40.25</v>
      </c>
      <c r="N90" s="64">
        <v>17.7</v>
      </c>
      <c r="O90" s="64">
        <v>0</v>
      </c>
      <c r="P90" s="64">
        <v>0.65</v>
      </c>
      <c r="Q90" s="64">
        <v>9.4</v>
      </c>
      <c r="R90" s="198"/>
      <c r="S90" s="198"/>
      <c r="T90" s="198"/>
      <c r="U90" s="198"/>
    </row>
    <row r="91" spans="1:26" s="12" customFormat="1" x14ac:dyDescent="0.25">
      <c r="A91" s="216" t="s">
        <v>2248</v>
      </c>
      <c r="B91" s="64">
        <v>1.59</v>
      </c>
      <c r="C91" s="64">
        <v>5.69</v>
      </c>
      <c r="D91" s="64">
        <v>4.17</v>
      </c>
      <c r="E91" s="64">
        <v>2.0699999999999998</v>
      </c>
      <c r="F91" s="64">
        <v>4.3499999999999996</v>
      </c>
      <c r="G91" s="64">
        <v>63.13</v>
      </c>
      <c r="H91" s="64">
        <v>18.38</v>
      </c>
      <c r="I91" s="64">
        <v>7.96</v>
      </c>
      <c r="J91" s="64">
        <v>0.59</v>
      </c>
      <c r="K91" s="64">
        <v>100.56</v>
      </c>
      <c r="L91" s="64">
        <v>30.66</v>
      </c>
      <c r="M91" s="64">
        <v>39.56</v>
      </c>
      <c r="N91" s="64">
        <v>17.399999999999999</v>
      </c>
      <c r="O91" s="64">
        <v>0</v>
      </c>
      <c r="P91" s="64">
        <v>0.66</v>
      </c>
      <c r="Q91" s="64">
        <v>9.4</v>
      </c>
      <c r="R91" s="198"/>
      <c r="S91" s="198"/>
      <c r="T91" s="198"/>
      <c r="U91" s="198"/>
    </row>
    <row r="92" spans="1:26" s="12" customFormat="1" x14ac:dyDescent="0.25">
      <c r="A92" s="216" t="s">
        <v>2249</v>
      </c>
      <c r="B92" s="64">
        <v>1.56</v>
      </c>
      <c r="C92" s="64">
        <v>5.62</v>
      </c>
      <c r="D92" s="64">
        <v>4.1100000000000003</v>
      </c>
      <c r="E92" s="64">
        <v>1.97</v>
      </c>
      <c r="F92" s="64">
        <v>4.38</v>
      </c>
      <c r="G92" s="64">
        <v>61.95</v>
      </c>
      <c r="H92" s="64">
        <v>18.36</v>
      </c>
      <c r="I92" s="64">
        <v>7.78</v>
      </c>
      <c r="J92" s="64">
        <v>1.86</v>
      </c>
      <c r="K92" s="64">
        <v>110.65</v>
      </c>
      <c r="L92" s="64">
        <v>30.75</v>
      </c>
      <c r="M92" s="64">
        <v>37.44</v>
      </c>
      <c r="N92" s="64">
        <v>17.100000000000001</v>
      </c>
      <c r="O92" s="64">
        <v>0</v>
      </c>
      <c r="P92" s="64">
        <v>0.66</v>
      </c>
      <c r="Q92" s="64">
        <v>9.43</v>
      </c>
      <c r="R92" s="198"/>
      <c r="S92" s="198"/>
      <c r="T92" s="198"/>
      <c r="U92" s="198"/>
    </row>
    <row r="93" spans="1:26" s="12" customFormat="1" x14ac:dyDescent="0.25">
      <c r="A93" s="216" t="s">
        <v>2250</v>
      </c>
      <c r="B93" s="64">
        <v>1.48</v>
      </c>
      <c r="C93" s="64">
        <v>6.14</v>
      </c>
      <c r="D93" s="64">
        <v>4.32</v>
      </c>
      <c r="E93" s="64">
        <v>2.2000000000000002</v>
      </c>
      <c r="F93" s="64">
        <v>4.72</v>
      </c>
      <c r="G93" s="64">
        <v>61.88</v>
      </c>
      <c r="H93" s="64">
        <v>18.350000000000001</v>
      </c>
      <c r="I93" s="64">
        <v>7.62</v>
      </c>
      <c r="J93" s="64">
        <v>2.5099999999999998</v>
      </c>
      <c r="K93" s="64">
        <v>108.15</v>
      </c>
      <c r="L93" s="64">
        <v>30.44</v>
      </c>
      <c r="M93" s="64">
        <v>36.96</v>
      </c>
      <c r="N93" s="64">
        <v>17.8</v>
      </c>
      <c r="O93" s="64">
        <v>0</v>
      </c>
      <c r="P93" s="64">
        <v>0.65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6" t="s">
        <v>2251</v>
      </c>
      <c r="B94" s="64">
        <v>1.42</v>
      </c>
      <c r="C94" s="64">
        <v>6.38</v>
      </c>
      <c r="D94" s="64">
        <v>4.3899999999999997</v>
      </c>
      <c r="E94" s="64">
        <v>2.5299999999999998</v>
      </c>
      <c r="F94" s="64">
        <v>4.87</v>
      </c>
      <c r="G94" s="64">
        <v>61.88</v>
      </c>
      <c r="H94" s="64">
        <v>18.350000000000001</v>
      </c>
      <c r="I94" s="64">
        <v>7.74</v>
      </c>
      <c r="J94" s="64">
        <v>2.99</v>
      </c>
      <c r="K94" s="64">
        <v>104.17</v>
      </c>
      <c r="L94" s="64">
        <v>29.26</v>
      </c>
      <c r="M94" s="64">
        <v>41.87</v>
      </c>
      <c r="N94" s="64">
        <v>20.2</v>
      </c>
      <c r="O94" s="64">
        <v>0</v>
      </c>
      <c r="P94" s="64">
        <v>0.62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16" t="s">
        <v>2252</v>
      </c>
      <c r="B95" s="64">
        <v>1.35</v>
      </c>
      <c r="C95" s="64">
        <v>5.8</v>
      </c>
      <c r="D95" s="64">
        <v>4.03</v>
      </c>
      <c r="E95" s="64">
        <v>2.31</v>
      </c>
      <c r="F95" s="64">
        <v>4.84</v>
      </c>
      <c r="G95" s="64">
        <v>61.88</v>
      </c>
      <c r="H95" s="64">
        <v>18.350000000000001</v>
      </c>
      <c r="I95" s="64">
        <v>8.01</v>
      </c>
      <c r="J95" s="64">
        <v>2.76</v>
      </c>
      <c r="K95" s="64">
        <v>109.4</v>
      </c>
      <c r="L95" s="64">
        <v>28.13</v>
      </c>
      <c r="M95" s="64">
        <v>47.06</v>
      </c>
      <c r="N95" s="64">
        <v>19.2</v>
      </c>
      <c r="O95" s="64">
        <v>0</v>
      </c>
      <c r="P95" s="64">
        <v>0.59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6" t="s">
        <v>2253</v>
      </c>
      <c r="B96" s="64">
        <v>1.34</v>
      </c>
      <c r="C96" s="64">
        <v>4.49</v>
      </c>
      <c r="D96" s="64">
        <v>3.34</v>
      </c>
      <c r="E96" s="64">
        <v>1.96</v>
      </c>
      <c r="F96" s="64">
        <v>5.55</v>
      </c>
      <c r="G96" s="64">
        <v>73.45</v>
      </c>
      <c r="H96" s="64">
        <v>19.16</v>
      </c>
      <c r="I96" s="64">
        <v>8.2100000000000009</v>
      </c>
      <c r="J96" s="64">
        <v>2.13</v>
      </c>
      <c r="K96" s="64">
        <v>107.85</v>
      </c>
      <c r="L96" s="64">
        <v>27.99</v>
      </c>
      <c r="M96" s="64">
        <v>47.34</v>
      </c>
      <c r="N96" s="64">
        <v>17.399999999999999</v>
      </c>
      <c r="O96" s="64">
        <v>0</v>
      </c>
      <c r="P96" s="64">
        <v>0.56000000000000005</v>
      </c>
      <c r="Q96" s="64">
        <v>9.3699999999999992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2254</v>
      </c>
      <c r="B97" s="64">
        <v>1.33</v>
      </c>
      <c r="C97" s="64">
        <v>3.49</v>
      </c>
      <c r="D97" s="64">
        <v>2.81</v>
      </c>
      <c r="E97" s="64">
        <v>1.76</v>
      </c>
      <c r="F97" s="64">
        <v>5.31</v>
      </c>
      <c r="G97" s="64">
        <v>74.14</v>
      </c>
      <c r="H97" s="64">
        <v>19.21</v>
      </c>
      <c r="I97" s="64">
        <v>8.24</v>
      </c>
      <c r="J97" s="64">
        <v>2.27</v>
      </c>
      <c r="K97" s="64">
        <v>107.19</v>
      </c>
      <c r="L97" s="64">
        <v>28.07</v>
      </c>
      <c r="M97" s="64">
        <v>47.48</v>
      </c>
      <c r="N97" s="64">
        <v>17.5</v>
      </c>
      <c r="O97" s="64">
        <v>0</v>
      </c>
      <c r="P97" s="64">
        <v>0.52</v>
      </c>
      <c r="Q97" s="64">
        <v>9.3699999999999992</v>
      </c>
      <c r="R97" s="198"/>
      <c r="S97" s="198"/>
      <c r="T97" s="198"/>
      <c r="U97" s="198"/>
    </row>
    <row r="98" spans="1:33" s="12" customFormat="1" x14ac:dyDescent="0.25">
      <c r="A98" s="216" t="s">
        <v>2255</v>
      </c>
      <c r="B98" s="64">
        <v>1.32</v>
      </c>
      <c r="C98" s="64">
        <v>3.07</v>
      </c>
      <c r="D98" s="64">
        <v>2.59</v>
      </c>
      <c r="E98" s="64">
        <v>1.92</v>
      </c>
      <c r="F98" s="64">
        <v>5.7</v>
      </c>
      <c r="G98" s="64">
        <v>74.14</v>
      </c>
      <c r="H98" s="64">
        <v>19.21</v>
      </c>
      <c r="I98" s="64">
        <v>8</v>
      </c>
      <c r="J98" s="64">
        <v>1.98</v>
      </c>
      <c r="K98" s="64">
        <v>103.97</v>
      </c>
      <c r="L98" s="64">
        <v>27.79</v>
      </c>
      <c r="M98" s="64">
        <v>49.85</v>
      </c>
      <c r="N98" s="64">
        <v>17.899999999999999</v>
      </c>
      <c r="O98" s="64">
        <v>0</v>
      </c>
      <c r="P98" s="64">
        <v>0.5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6" t="s">
        <v>2256</v>
      </c>
      <c r="B99" s="64">
        <v>1.33</v>
      </c>
      <c r="C99" s="64">
        <v>2.93</v>
      </c>
      <c r="D99" s="64">
        <v>2.52</v>
      </c>
      <c r="E99" s="64">
        <v>1.97</v>
      </c>
      <c r="F99" s="64">
        <v>5.05</v>
      </c>
      <c r="G99" s="64">
        <v>74.14</v>
      </c>
      <c r="H99" s="64">
        <v>19.21</v>
      </c>
      <c r="I99" s="64">
        <v>7.89</v>
      </c>
      <c r="J99" s="64">
        <v>2.8</v>
      </c>
      <c r="K99" s="64">
        <v>109.15</v>
      </c>
      <c r="L99" s="64">
        <v>27.14</v>
      </c>
      <c r="M99" s="64">
        <v>54.67</v>
      </c>
      <c r="N99" s="64">
        <v>18.7</v>
      </c>
      <c r="O99" s="64">
        <v>0</v>
      </c>
      <c r="P99" s="64">
        <v>0.48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6" t="s">
        <v>2257</v>
      </c>
      <c r="B100" s="64">
        <v>1.32</v>
      </c>
      <c r="C100" s="64">
        <v>2.84</v>
      </c>
      <c r="D100" s="64">
        <v>2.46</v>
      </c>
      <c r="E100" s="64">
        <v>2.11</v>
      </c>
      <c r="F100" s="64">
        <v>4.9000000000000004</v>
      </c>
      <c r="G100" s="64">
        <v>57.34</v>
      </c>
      <c r="H100" s="64">
        <v>17.12</v>
      </c>
      <c r="I100" s="64">
        <v>7.88</v>
      </c>
      <c r="J100" s="64">
        <v>2.35</v>
      </c>
      <c r="K100" s="64">
        <v>104.08</v>
      </c>
      <c r="L100" s="64">
        <v>26.43</v>
      </c>
      <c r="M100" s="64">
        <v>58.48</v>
      </c>
      <c r="N100" s="64">
        <v>18.5</v>
      </c>
      <c r="O100" s="64">
        <v>0</v>
      </c>
      <c r="P100" s="64">
        <v>0.45</v>
      </c>
      <c r="Q100" s="64">
        <v>9.43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2258</v>
      </c>
      <c r="B101" s="64">
        <v>1.31</v>
      </c>
      <c r="C101" s="64">
        <v>2.4700000000000002</v>
      </c>
      <c r="D101" s="64">
        <v>2.2599999999999998</v>
      </c>
      <c r="E101" s="64">
        <v>2.12</v>
      </c>
      <c r="F101" s="64">
        <v>4.5199999999999996</v>
      </c>
      <c r="G101" s="64">
        <v>56.35</v>
      </c>
      <c r="H101" s="64">
        <v>17</v>
      </c>
      <c r="I101" s="64">
        <v>7.94</v>
      </c>
      <c r="J101" s="64">
        <v>2.3199999999999998</v>
      </c>
      <c r="K101" s="64">
        <v>99.9</v>
      </c>
      <c r="L101" s="64">
        <v>26.18</v>
      </c>
      <c r="M101" s="64">
        <v>58.78</v>
      </c>
      <c r="N101" s="64">
        <v>17.600000000000001</v>
      </c>
      <c r="O101" s="64">
        <v>0</v>
      </c>
      <c r="P101" s="64">
        <v>0.42</v>
      </c>
      <c r="Q101" s="64">
        <v>9.44</v>
      </c>
      <c r="R101" s="198"/>
      <c r="S101" s="198"/>
      <c r="T101" s="198"/>
      <c r="U101" s="198"/>
    </row>
    <row r="102" spans="1:33" s="12" customFormat="1" x14ac:dyDescent="0.25">
      <c r="A102" s="216" t="s">
        <v>2259</v>
      </c>
      <c r="B102" s="64">
        <v>1.3</v>
      </c>
      <c r="C102" s="64">
        <v>2.38</v>
      </c>
      <c r="D102" s="64">
        <v>2.2000000000000002</v>
      </c>
      <c r="E102" s="64">
        <v>1.95</v>
      </c>
      <c r="F102" s="64">
        <v>4.32</v>
      </c>
      <c r="G102" s="64">
        <v>56.35</v>
      </c>
      <c r="H102" s="64">
        <v>17</v>
      </c>
      <c r="I102" s="64">
        <v>8.07</v>
      </c>
      <c r="J102" s="64">
        <v>0.88</v>
      </c>
      <c r="K102" s="64">
        <v>102.62</v>
      </c>
      <c r="L102" s="64">
        <v>26.12</v>
      </c>
      <c r="M102" s="64">
        <v>59.48</v>
      </c>
      <c r="N102" s="64">
        <v>17.7</v>
      </c>
      <c r="O102" s="64">
        <v>0</v>
      </c>
      <c r="P102" s="64">
        <v>0.41</v>
      </c>
      <c r="Q102" s="64">
        <v>9.42</v>
      </c>
      <c r="R102" s="198"/>
      <c r="S102" s="198"/>
      <c r="T102" s="198"/>
      <c r="U102" s="198"/>
    </row>
    <row r="103" spans="1:33" s="12" customFormat="1" x14ac:dyDescent="0.25">
      <c r="A103" s="216" t="s">
        <v>2260</v>
      </c>
      <c r="B103" s="64">
        <v>1.31</v>
      </c>
      <c r="C103" s="64">
        <v>2.5</v>
      </c>
      <c r="D103" s="64">
        <v>2.27</v>
      </c>
      <c r="E103" s="64">
        <v>2.39</v>
      </c>
      <c r="F103" s="64">
        <v>4.38</v>
      </c>
      <c r="G103" s="64">
        <v>56.35</v>
      </c>
      <c r="H103" s="64">
        <v>17</v>
      </c>
      <c r="I103" s="64">
        <v>8.1199999999999992</v>
      </c>
      <c r="J103" s="64">
        <v>0.94</v>
      </c>
      <c r="K103" s="64">
        <v>159.22999999999999</v>
      </c>
      <c r="L103" s="64">
        <v>26</v>
      </c>
      <c r="M103" s="64">
        <v>60.42</v>
      </c>
      <c r="N103" s="64">
        <v>17.399999999999999</v>
      </c>
      <c r="O103" s="64">
        <v>0</v>
      </c>
      <c r="P103" s="64">
        <v>0.39</v>
      </c>
      <c r="Q103" s="64">
        <v>9.43</v>
      </c>
      <c r="R103" s="198"/>
      <c r="S103" s="198"/>
      <c r="T103" s="198"/>
      <c r="U103" s="198"/>
    </row>
    <row r="104" spans="1:33" s="12" customFormat="1" x14ac:dyDescent="0.25">
      <c r="A104" s="216" t="s">
        <v>2261</v>
      </c>
      <c r="B104" s="64">
        <v>1.29</v>
      </c>
      <c r="C104" s="64">
        <v>2.48</v>
      </c>
      <c r="D104" s="64">
        <v>2.25</v>
      </c>
      <c r="E104" s="64">
        <v>2.06</v>
      </c>
      <c r="F104" s="64">
        <v>4.79</v>
      </c>
      <c r="G104" s="64">
        <v>38.28</v>
      </c>
      <c r="H104" s="64">
        <v>11.59</v>
      </c>
      <c r="I104" s="64">
        <v>7.9</v>
      </c>
      <c r="J104" s="64">
        <v>1.23</v>
      </c>
      <c r="K104" s="64">
        <v>156.94</v>
      </c>
      <c r="L104" s="64">
        <v>25.99</v>
      </c>
      <c r="M104" s="64">
        <v>61.55</v>
      </c>
      <c r="N104" s="64">
        <v>17.399999999999999</v>
      </c>
      <c r="O104" s="64">
        <v>0</v>
      </c>
      <c r="P104" s="64">
        <v>0.39</v>
      </c>
      <c r="Q104" s="64">
        <v>9.4499999999999993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1.25</v>
      </c>
      <c r="C106" s="67">
        <f>MIN(C9:C104)</f>
        <v>2.16</v>
      </c>
      <c r="D106" s="67">
        <f t="shared" ref="D106:Q106" si="0">MIN(D9:D104)</f>
        <v>2.15</v>
      </c>
      <c r="E106" s="67">
        <f t="shared" si="0"/>
        <v>1</v>
      </c>
      <c r="F106" s="67">
        <f t="shared" si="0"/>
        <v>3.59</v>
      </c>
      <c r="G106" s="67">
        <f t="shared" si="0"/>
        <v>17.899999999999999</v>
      </c>
      <c r="H106" s="67">
        <f t="shared" si="0"/>
        <v>8.2899999999999991</v>
      </c>
      <c r="I106" s="67">
        <f t="shared" si="0"/>
        <v>4.04</v>
      </c>
      <c r="J106" s="67">
        <f t="shared" si="0"/>
        <v>0.03</v>
      </c>
      <c r="K106" s="67">
        <f t="shared" si="0"/>
        <v>0.41</v>
      </c>
      <c r="L106" s="67">
        <f t="shared" si="0"/>
        <v>23.89</v>
      </c>
      <c r="M106" s="67">
        <f t="shared" si="0"/>
        <v>29.14</v>
      </c>
      <c r="N106" s="67">
        <f t="shared" si="0"/>
        <v>16.3</v>
      </c>
      <c r="O106" s="67">
        <f t="shared" si="0"/>
        <v>0</v>
      </c>
      <c r="P106" s="67">
        <f t="shared" si="0"/>
        <v>0.25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2.09</v>
      </c>
      <c r="C107" s="66">
        <f t="shared" ref="C107:Q107" si="1">MAX(C9:C104)</f>
        <v>6.44</v>
      </c>
      <c r="D107" s="66">
        <f t="shared" si="1"/>
        <v>4.84</v>
      </c>
      <c r="E107" s="66">
        <f t="shared" si="1"/>
        <v>3.09</v>
      </c>
      <c r="F107" s="66">
        <f t="shared" si="1"/>
        <v>7.19</v>
      </c>
      <c r="G107" s="66">
        <f t="shared" si="1"/>
        <v>74.14</v>
      </c>
      <c r="H107" s="66">
        <f t="shared" si="1"/>
        <v>19.21</v>
      </c>
      <c r="I107" s="66">
        <f t="shared" si="1"/>
        <v>8.24</v>
      </c>
      <c r="J107" s="66">
        <f t="shared" si="1"/>
        <v>2.99</v>
      </c>
      <c r="K107" s="66">
        <f t="shared" si="1"/>
        <v>356.64</v>
      </c>
      <c r="L107" s="66">
        <f t="shared" si="1"/>
        <v>40.35</v>
      </c>
      <c r="M107" s="66">
        <f t="shared" si="1"/>
        <v>67.41</v>
      </c>
      <c r="N107" s="66">
        <f t="shared" si="1"/>
        <v>868.3</v>
      </c>
      <c r="O107" s="66">
        <f t="shared" si="1"/>
        <v>0</v>
      </c>
      <c r="P107" s="66">
        <f t="shared" si="1"/>
        <v>0.71</v>
      </c>
      <c r="Q107" s="66">
        <f t="shared" si="1"/>
        <v>9.5399999999999991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1.4533333333333334</v>
      </c>
      <c r="C108" s="67">
        <f t="shared" ref="C108:Q108" si="2">AVERAGE(C9:C104)</f>
        <v>4.419062499999999</v>
      </c>
      <c r="D108" s="67">
        <f t="shared" si="2"/>
        <v>3.3942708333333313</v>
      </c>
      <c r="E108" s="67">
        <f t="shared" si="2"/>
        <v>1.7871875000000002</v>
      </c>
      <c r="F108" s="67">
        <f t="shared" si="2"/>
        <v>4.9551041666666675</v>
      </c>
      <c r="G108" s="67">
        <f t="shared" si="2"/>
        <v>38.344166666666673</v>
      </c>
      <c r="H108" s="67">
        <f t="shared" si="2"/>
        <v>14.004791666666661</v>
      </c>
      <c r="I108" s="67">
        <f t="shared" si="2"/>
        <v>6.0022916666666672</v>
      </c>
      <c r="J108" s="67">
        <f t="shared" si="2"/>
        <v>0.91322916666666643</v>
      </c>
      <c r="K108" s="67">
        <f t="shared" si="2"/>
        <v>210.27833333333345</v>
      </c>
      <c r="L108" s="67">
        <f t="shared" si="2"/>
        <v>30.941249999999993</v>
      </c>
      <c r="M108" s="67">
        <f t="shared" si="2"/>
        <v>46.360520833333332</v>
      </c>
      <c r="N108" s="67">
        <f t="shared" si="2"/>
        <v>237.73125000000013</v>
      </c>
      <c r="O108" s="67">
        <f t="shared" si="2"/>
        <v>0</v>
      </c>
      <c r="P108" s="67">
        <f t="shared" si="2"/>
        <v>0.45760416666666642</v>
      </c>
      <c r="Q108" s="67">
        <f t="shared" si="2"/>
        <v>9.3836458333333326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0.15678793365674343</v>
      </c>
      <c r="C109" s="67">
        <f t="shared" ref="C109:Q109" si="3">STDEV(C9:C104)</f>
        <v>1.413284400272159</v>
      </c>
      <c r="D109" s="67">
        <f t="shared" si="3"/>
        <v>0.80864115363422706</v>
      </c>
      <c r="E109" s="67">
        <f t="shared" si="3"/>
        <v>0.36296934226054473</v>
      </c>
      <c r="F109" s="67">
        <f t="shared" si="3"/>
        <v>0.65494072820075977</v>
      </c>
      <c r="G109" s="67">
        <f t="shared" si="3"/>
        <v>15.837963629514517</v>
      </c>
      <c r="H109" s="67">
        <f t="shared" si="3"/>
        <v>3.370570459031867</v>
      </c>
      <c r="I109" s="67">
        <f t="shared" si="3"/>
        <v>1.286118991930183</v>
      </c>
      <c r="J109" s="67">
        <f t="shared" si="3"/>
        <v>0.74888618317530586</v>
      </c>
      <c r="K109" s="67">
        <f t="shared" si="3"/>
        <v>113.59348691175879</v>
      </c>
      <c r="L109" s="67">
        <f t="shared" si="3"/>
        <v>5.2074364336520587</v>
      </c>
      <c r="M109" s="67">
        <f t="shared" si="3"/>
        <v>13.074708439522</v>
      </c>
      <c r="N109" s="67">
        <f t="shared" si="3"/>
        <v>307.15750847595729</v>
      </c>
      <c r="O109" s="67">
        <f t="shared" si="3"/>
        <v>0</v>
      </c>
      <c r="P109" s="67">
        <f t="shared" si="3"/>
        <v>0.12632243449261341</v>
      </c>
      <c r="Q109" s="67">
        <f t="shared" si="3"/>
        <v>5.0910029860047022E-2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2262</v>
      </c>
      <c r="B9" s="64">
        <v>1.26</v>
      </c>
      <c r="C9" s="64">
        <v>2.64</v>
      </c>
      <c r="D9" s="64">
        <v>2.31</v>
      </c>
      <c r="E9" s="64">
        <v>1.78</v>
      </c>
      <c r="F9" s="64">
        <v>4.92</v>
      </c>
      <c r="G9" s="64">
        <v>37.22</v>
      </c>
      <c r="H9" s="64">
        <v>11.27</v>
      </c>
      <c r="I9" s="64">
        <v>7.66</v>
      </c>
      <c r="J9" s="64">
        <v>1.1100000000000001</v>
      </c>
      <c r="K9" s="64">
        <v>157.25</v>
      </c>
      <c r="L9" s="64">
        <v>25.92</v>
      </c>
      <c r="M9" s="64">
        <v>63.67</v>
      </c>
      <c r="N9" s="64">
        <v>17.7</v>
      </c>
      <c r="O9" s="64">
        <v>0</v>
      </c>
      <c r="P9" s="64">
        <v>0.37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16" t="s">
        <v>2263</v>
      </c>
      <c r="B10" s="64">
        <v>1.26</v>
      </c>
      <c r="C10" s="64">
        <v>2.66</v>
      </c>
      <c r="D10" s="64">
        <v>2.3199999999999998</v>
      </c>
      <c r="E10" s="64">
        <v>1.66</v>
      </c>
      <c r="F10" s="64">
        <v>5.6</v>
      </c>
      <c r="G10" s="64">
        <v>37.22</v>
      </c>
      <c r="H10" s="64">
        <v>11.27</v>
      </c>
      <c r="I10" s="64">
        <v>7.43</v>
      </c>
      <c r="J10" s="64">
        <v>0.83</v>
      </c>
      <c r="K10" s="64">
        <v>117.82</v>
      </c>
      <c r="L10" s="64">
        <v>25.7</v>
      </c>
      <c r="M10" s="64">
        <v>64.92</v>
      </c>
      <c r="N10" s="64">
        <v>18</v>
      </c>
      <c r="O10" s="64">
        <v>0</v>
      </c>
      <c r="P10" s="64">
        <v>0.36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6" t="s">
        <v>2264</v>
      </c>
      <c r="B11" s="64">
        <v>1.26</v>
      </c>
      <c r="C11" s="64">
        <v>3.14</v>
      </c>
      <c r="D11" s="64">
        <v>2.57</v>
      </c>
      <c r="E11" s="64">
        <v>1.7</v>
      </c>
      <c r="F11" s="64">
        <v>5.25</v>
      </c>
      <c r="G11" s="64">
        <v>37.22</v>
      </c>
      <c r="H11" s="64">
        <v>11.27</v>
      </c>
      <c r="I11" s="64">
        <v>7.17</v>
      </c>
      <c r="J11" s="64">
        <v>0.75</v>
      </c>
      <c r="K11" s="64">
        <v>168.54</v>
      </c>
      <c r="L11" s="64">
        <v>25.62</v>
      </c>
      <c r="M11" s="64">
        <v>63.7</v>
      </c>
      <c r="N11" s="64">
        <v>17.600000000000001</v>
      </c>
      <c r="O11" s="64">
        <v>0</v>
      </c>
      <c r="P11" s="64">
        <v>0.36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6" t="s">
        <v>2265</v>
      </c>
      <c r="B12" s="64">
        <v>1.26</v>
      </c>
      <c r="C12" s="64">
        <v>3.15</v>
      </c>
      <c r="D12" s="64">
        <v>2.57</v>
      </c>
      <c r="E12" s="64">
        <v>1.48</v>
      </c>
      <c r="F12" s="64">
        <v>5.29</v>
      </c>
      <c r="G12" s="64">
        <v>25.86</v>
      </c>
      <c r="H12" s="64">
        <v>10.63</v>
      </c>
      <c r="I12" s="64">
        <v>6.96</v>
      </c>
      <c r="J12" s="64">
        <v>1.29</v>
      </c>
      <c r="K12" s="64">
        <v>161.94</v>
      </c>
      <c r="L12" s="64">
        <v>25.71</v>
      </c>
      <c r="M12" s="64">
        <v>62.43</v>
      </c>
      <c r="N12" s="64">
        <v>17.399999999999999</v>
      </c>
      <c r="O12" s="64">
        <v>0</v>
      </c>
      <c r="P12" s="64">
        <v>0.35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16" t="s">
        <v>2266</v>
      </c>
      <c r="B13" s="64">
        <v>1.25</v>
      </c>
      <c r="C13" s="64">
        <v>3.04</v>
      </c>
      <c r="D13" s="64">
        <v>2.5099999999999998</v>
      </c>
      <c r="E13" s="64">
        <v>1.85</v>
      </c>
      <c r="F13" s="64">
        <v>5.23</v>
      </c>
      <c r="G13" s="64">
        <v>25.2</v>
      </c>
      <c r="H13" s="64">
        <v>10.59</v>
      </c>
      <c r="I13" s="64">
        <v>6.73</v>
      </c>
      <c r="J13" s="64">
        <v>1.99</v>
      </c>
      <c r="K13" s="64">
        <v>157.29</v>
      </c>
      <c r="L13" s="64">
        <v>25.94</v>
      </c>
      <c r="M13" s="64">
        <v>61.6</v>
      </c>
      <c r="N13" s="64">
        <v>17.5</v>
      </c>
      <c r="O13" s="64">
        <v>0</v>
      </c>
      <c r="P13" s="64">
        <v>0.28999999999999998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16" t="s">
        <v>2267</v>
      </c>
      <c r="B14" s="64">
        <v>1.25</v>
      </c>
      <c r="C14" s="64">
        <v>3.11</v>
      </c>
      <c r="D14" s="64">
        <v>2.5499999999999998</v>
      </c>
      <c r="E14" s="64">
        <v>1.87</v>
      </c>
      <c r="F14" s="64">
        <v>5.72</v>
      </c>
      <c r="G14" s="64">
        <v>25.2</v>
      </c>
      <c r="H14" s="64">
        <v>10.59</v>
      </c>
      <c r="I14" s="64">
        <v>6.53</v>
      </c>
      <c r="J14" s="64">
        <v>1.33</v>
      </c>
      <c r="K14" s="64">
        <v>162</v>
      </c>
      <c r="L14" s="64">
        <v>25.96</v>
      </c>
      <c r="M14" s="64">
        <v>61.2</v>
      </c>
      <c r="N14" s="64">
        <v>17.7</v>
      </c>
      <c r="O14" s="64">
        <v>0</v>
      </c>
      <c r="P14" s="64">
        <v>0.31</v>
      </c>
      <c r="Q14" s="64">
        <v>9.39</v>
      </c>
      <c r="R14" s="198"/>
      <c r="S14" s="198"/>
      <c r="T14" s="198"/>
      <c r="U14" s="198"/>
    </row>
    <row r="15" spans="1:21" s="12" customFormat="1" x14ac:dyDescent="0.25">
      <c r="A15" s="216" t="s">
        <v>2268</v>
      </c>
      <c r="B15" s="64">
        <v>1.25</v>
      </c>
      <c r="C15" s="64">
        <v>3.33</v>
      </c>
      <c r="D15" s="64">
        <v>2.66</v>
      </c>
      <c r="E15" s="64">
        <v>1.73</v>
      </c>
      <c r="F15" s="64">
        <v>5.23</v>
      </c>
      <c r="G15" s="64">
        <v>25.2</v>
      </c>
      <c r="H15" s="64">
        <v>10.59</v>
      </c>
      <c r="I15" s="64">
        <v>6.32</v>
      </c>
      <c r="J15" s="64">
        <v>0.8</v>
      </c>
      <c r="K15" s="64">
        <v>163.38999999999999</v>
      </c>
      <c r="L15" s="64">
        <v>25.75</v>
      </c>
      <c r="M15" s="64">
        <v>62.62</v>
      </c>
      <c r="N15" s="64">
        <v>18</v>
      </c>
      <c r="O15" s="64">
        <v>0</v>
      </c>
      <c r="P15" s="64">
        <v>0.3</v>
      </c>
      <c r="Q15" s="64">
        <v>9.3800000000000008</v>
      </c>
      <c r="R15" s="198"/>
      <c r="S15" s="198"/>
      <c r="T15" s="198"/>
      <c r="U15" s="198"/>
    </row>
    <row r="16" spans="1:21" s="12" customFormat="1" x14ac:dyDescent="0.25">
      <c r="A16" s="216" t="s">
        <v>2269</v>
      </c>
      <c r="B16" s="64">
        <v>1.23</v>
      </c>
      <c r="C16" s="64">
        <v>2.87</v>
      </c>
      <c r="D16" s="64">
        <v>2.41</v>
      </c>
      <c r="E16" s="64">
        <v>1.9</v>
      </c>
      <c r="F16" s="64">
        <v>5.56</v>
      </c>
      <c r="G16" s="64">
        <v>21.33</v>
      </c>
      <c r="H16" s="64">
        <v>9.98</v>
      </c>
      <c r="I16" s="64">
        <v>6.3</v>
      </c>
      <c r="J16" s="64">
        <v>0.45</v>
      </c>
      <c r="K16" s="64">
        <v>178.61</v>
      </c>
      <c r="L16" s="64">
        <v>25.45</v>
      </c>
      <c r="M16" s="64">
        <v>64.86</v>
      </c>
      <c r="N16" s="64">
        <v>17.899999999999999</v>
      </c>
      <c r="O16" s="64">
        <v>0</v>
      </c>
      <c r="P16" s="64">
        <v>0.28999999999999998</v>
      </c>
      <c r="Q16" s="64">
        <v>9.3699999999999992</v>
      </c>
      <c r="R16" s="198"/>
      <c r="S16" s="198"/>
      <c r="T16" s="198"/>
      <c r="U16" s="198"/>
    </row>
    <row r="17" spans="1:21" s="12" customFormat="1" x14ac:dyDescent="0.25">
      <c r="A17" s="216" t="s">
        <v>2270</v>
      </c>
      <c r="B17" s="64">
        <v>1.23</v>
      </c>
      <c r="C17" s="64">
        <v>2.71</v>
      </c>
      <c r="D17" s="64">
        <v>2.3199999999999998</v>
      </c>
      <c r="E17" s="64">
        <v>1.82</v>
      </c>
      <c r="F17" s="64">
        <v>4.99</v>
      </c>
      <c r="G17" s="64">
        <v>21.1</v>
      </c>
      <c r="H17" s="64">
        <v>9.94</v>
      </c>
      <c r="I17" s="64">
        <v>6.18</v>
      </c>
      <c r="J17" s="64">
        <v>0.13</v>
      </c>
      <c r="K17" s="64">
        <v>225.33</v>
      </c>
      <c r="L17" s="64">
        <v>25.21</v>
      </c>
      <c r="M17" s="64">
        <v>67.55</v>
      </c>
      <c r="N17" s="64">
        <v>17.899999999999999</v>
      </c>
      <c r="O17" s="64">
        <v>0</v>
      </c>
      <c r="P17" s="64">
        <v>0.28000000000000003</v>
      </c>
      <c r="Q17" s="64">
        <v>9.3800000000000008</v>
      </c>
      <c r="R17" s="198"/>
      <c r="S17" s="198"/>
      <c r="T17" s="198"/>
      <c r="U17" s="198"/>
    </row>
    <row r="18" spans="1:21" s="12" customFormat="1" x14ac:dyDescent="0.25">
      <c r="A18" s="216" t="s">
        <v>2271</v>
      </c>
      <c r="B18" s="64">
        <v>1.24</v>
      </c>
      <c r="C18" s="64">
        <v>2.21</v>
      </c>
      <c r="D18" s="64">
        <v>2.06</v>
      </c>
      <c r="E18" s="64">
        <v>1.69</v>
      </c>
      <c r="F18" s="64">
        <v>5.48</v>
      </c>
      <c r="G18" s="64">
        <v>21.1</v>
      </c>
      <c r="H18" s="64">
        <v>9.94</v>
      </c>
      <c r="I18" s="64">
        <v>5.9</v>
      </c>
      <c r="J18" s="64">
        <v>0.41</v>
      </c>
      <c r="K18" s="64">
        <v>164.26</v>
      </c>
      <c r="L18" s="64">
        <v>24.57</v>
      </c>
      <c r="M18" s="64">
        <v>73.25</v>
      </c>
      <c r="N18" s="64">
        <v>18.2</v>
      </c>
      <c r="O18" s="64">
        <v>0</v>
      </c>
      <c r="P18" s="64">
        <v>0.26</v>
      </c>
      <c r="Q18" s="64">
        <v>9.35</v>
      </c>
      <c r="R18" s="198"/>
      <c r="S18" s="198"/>
      <c r="T18" s="198"/>
      <c r="U18" s="198"/>
    </row>
    <row r="19" spans="1:21" s="12" customFormat="1" x14ac:dyDescent="0.25">
      <c r="A19" s="216" t="s">
        <v>2272</v>
      </c>
      <c r="B19" s="64">
        <v>1.24</v>
      </c>
      <c r="C19" s="64">
        <v>1.46</v>
      </c>
      <c r="D19" s="64">
        <v>1.68</v>
      </c>
      <c r="E19" s="64">
        <v>1.44</v>
      </c>
      <c r="F19" s="64">
        <v>5.89</v>
      </c>
      <c r="G19" s="64">
        <v>21.1</v>
      </c>
      <c r="H19" s="64">
        <v>9.94</v>
      </c>
      <c r="I19" s="64">
        <v>5.53</v>
      </c>
      <c r="J19" s="64">
        <v>0.22</v>
      </c>
      <c r="K19" s="64">
        <v>197.69</v>
      </c>
      <c r="L19" s="64">
        <v>24.52</v>
      </c>
      <c r="M19" s="64">
        <v>73.900000000000006</v>
      </c>
      <c r="N19" s="64">
        <v>17.5</v>
      </c>
      <c r="O19" s="64">
        <v>0</v>
      </c>
      <c r="P19" s="64">
        <v>0.25</v>
      </c>
      <c r="Q19" s="64">
        <v>9.32</v>
      </c>
      <c r="R19" s="198"/>
      <c r="S19" s="198"/>
      <c r="T19" s="198"/>
      <c r="U19" s="198"/>
    </row>
    <row r="20" spans="1:21" s="12" customFormat="1" x14ac:dyDescent="0.25">
      <c r="A20" s="216" t="s">
        <v>2273</v>
      </c>
      <c r="B20" s="64">
        <v>1.26</v>
      </c>
      <c r="C20" s="64">
        <v>1.36</v>
      </c>
      <c r="D20" s="64">
        <v>1.64</v>
      </c>
      <c r="E20" s="64">
        <v>1.39</v>
      </c>
      <c r="F20" s="64">
        <v>5.12</v>
      </c>
      <c r="G20" s="64">
        <v>19.87</v>
      </c>
      <c r="H20" s="64">
        <v>8.09</v>
      </c>
      <c r="I20" s="64">
        <v>5.19</v>
      </c>
      <c r="J20" s="64">
        <v>0.08</v>
      </c>
      <c r="K20" s="64">
        <v>355.06</v>
      </c>
      <c r="L20" s="64">
        <v>24.51</v>
      </c>
      <c r="M20" s="64">
        <v>73.73</v>
      </c>
      <c r="N20" s="64">
        <v>17.399999999999999</v>
      </c>
      <c r="O20" s="64">
        <v>0</v>
      </c>
      <c r="P20" s="64">
        <v>0.24</v>
      </c>
      <c r="Q20" s="64">
        <v>9.3699999999999992</v>
      </c>
      <c r="R20" s="198"/>
      <c r="S20" s="198"/>
      <c r="T20" s="198"/>
      <c r="U20" s="198"/>
    </row>
    <row r="21" spans="1:21" s="12" customFormat="1" x14ac:dyDescent="0.25">
      <c r="A21" s="216" t="s">
        <v>2274</v>
      </c>
      <c r="B21" s="64">
        <v>1.26</v>
      </c>
      <c r="C21" s="64">
        <v>1.36</v>
      </c>
      <c r="D21" s="64">
        <v>1.64</v>
      </c>
      <c r="E21" s="64">
        <v>1.65</v>
      </c>
      <c r="F21" s="64">
        <v>6.04</v>
      </c>
      <c r="G21" s="64">
        <v>19.8</v>
      </c>
      <c r="H21" s="64">
        <v>7.98</v>
      </c>
      <c r="I21" s="64">
        <v>5.0199999999999996</v>
      </c>
      <c r="J21" s="64">
        <v>0.14000000000000001</v>
      </c>
      <c r="K21" s="64">
        <v>349.02</v>
      </c>
      <c r="L21" s="64">
        <v>24.69</v>
      </c>
      <c r="M21" s="64">
        <v>74.5</v>
      </c>
      <c r="N21" s="64">
        <v>17.399999999999999</v>
      </c>
      <c r="O21" s="64">
        <v>0</v>
      </c>
      <c r="P21" s="64">
        <v>0.24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6" t="s">
        <v>2275</v>
      </c>
      <c r="B22" s="64">
        <v>1.24</v>
      </c>
      <c r="C22" s="64">
        <v>1.26</v>
      </c>
      <c r="D22" s="64">
        <v>1.57</v>
      </c>
      <c r="E22" s="64">
        <v>1.59</v>
      </c>
      <c r="F22" s="64">
        <v>5.93</v>
      </c>
      <c r="G22" s="64">
        <v>19.8</v>
      </c>
      <c r="H22" s="64">
        <v>7.98</v>
      </c>
      <c r="I22" s="64">
        <v>4.91</v>
      </c>
      <c r="J22" s="64">
        <v>0.11</v>
      </c>
      <c r="K22" s="64">
        <v>28.75</v>
      </c>
      <c r="L22" s="64">
        <v>24.69</v>
      </c>
      <c r="M22" s="64">
        <v>74.12</v>
      </c>
      <c r="N22" s="64">
        <v>17.5</v>
      </c>
      <c r="O22" s="64">
        <v>0</v>
      </c>
      <c r="P22" s="64">
        <v>0.23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6" t="s">
        <v>2276</v>
      </c>
      <c r="B23" s="64">
        <v>1.23</v>
      </c>
      <c r="C23" s="64">
        <v>1.17</v>
      </c>
      <c r="D23" s="64">
        <v>1.52</v>
      </c>
      <c r="E23" s="64">
        <v>1.8</v>
      </c>
      <c r="F23" s="64">
        <v>5.34</v>
      </c>
      <c r="G23" s="64">
        <v>19.8</v>
      </c>
      <c r="H23" s="64">
        <v>7.98</v>
      </c>
      <c r="I23" s="64">
        <v>4.72</v>
      </c>
      <c r="J23" s="64">
        <v>0.17</v>
      </c>
      <c r="K23" s="64">
        <v>25.86</v>
      </c>
      <c r="L23" s="64">
        <v>24.85</v>
      </c>
      <c r="M23" s="64">
        <v>72.97</v>
      </c>
      <c r="N23" s="64">
        <v>17.3</v>
      </c>
      <c r="O23" s="64">
        <v>0</v>
      </c>
      <c r="P23" s="64">
        <v>0.23</v>
      </c>
      <c r="Q23" s="64">
        <v>9.43</v>
      </c>
      <c r="R23" s="198"/>
      <c r="S23" s="198"/>
      <c r="T23" s="198"/>
      <c r="U23" s="198"/>
    </row>
    <row r="24" spans="1:21" s="12" customFormat="1" x14ac:dyDescent="0.25">
      <c r="A24" s="216" t="s">
        <v>2277</v>
      </c>
      <c r="B24" s="64">
        <v>1.25</v>
      </c>
      <c r="C24" s="64">
        <v>1.21</v>
      </c>
      <c r="D24" s="64">
        <v>1.55</v>
      </c>
      <c r="E24" s="64">
        <v>1.08</v>
      </c>
      <c r="F24" s="64">
        <v>4.83</v>
      </c>
      <c r="G24" s="64">
        <v>21.46</v>
      </c>
      <c r="H24" s="64">
        <v>5.75</v>
      </c>
      <c r="I24" s="64">
        <v>4.5</v>
      </c>
      <c r="J24" s="64">
        <v>0.18</v>
      </c>
      <c r="K24" s="64">
        <v>357.33</v>
      </c>
      <c r="L24" s="64">
        <v>25.02</v>
      </c>
      <c r="M24" s="64">
        <v>71.86</v>
      </c>
      <c r="N24" s="64">
        <v>17.100000000000001</v>
      </c>
      <c r="O24" s="64">
        <v>0</v>
      </c>
      <c r="P24" s="64">
        <v>0.23</v>
      </c>
      <c r="Q24" s="64">
        <v>9.44</v>
      </c>
      <c r="R24" s="198"/>
      <c r="S24" s="198"/>
      <c r="T24" s="198"/>
      <c r="U24" s="198"/>
    </row>
    <row r="25" spans="1:21" s="12" customFormat="1" x14ac:dyDescent="0.25">
      <c r="A25" s="216" t="s">
        <v>2278</v>
      </c>
      <c r="B25" s="64">
        <v>1.24</v>
      </c>
      <c r="C25" s="64">
        <v>1.28</v>
      </c>
      <c r="D25" s="64">
        <v>1.58</v>
      </c>
      <c r="E25" s="64">
        <v>1.43</v>
      </c>
      <c r="F25" s="64">
        <v>4.72</v>
      </c>
      <c r="G25" s="64">
        <v>21.56</v>
      </c>
      <c r="H25" s="64">
        <v>5.61</v>
      </c>
      <c r="I25" s="64">
        <v>4.43</v>
      </c>
      <c r="J25" s="64">
        <v>0.13</v>
      </c>
      <c r="K25" s="64">
        <v>326.02</v>
      </c>
      <c r="L25" s="64">
        <v>25.04</v>
      </c>
      <c r="M25" s="64">
        <v>71.510000000000005</v>
      </c>
      <c r="N25" s="64">
        <v>17.600000000000001</v>
      </c>
      <c r="O25" s="64">
        <v>0</v>
      </c>
      <c r="P25" s="64">
        <v>0.23</v>
      </c>
      <c r="Q25" s="64">
        <v>9.44</v>
      </c>
      <c r="R25" s="198"/>
      <c r="S25" s="198"/>
      <c r="T25" s="198"/>
      <c r="U25" s="198"/>
    </row>
    <row r="26" spans="1:21" s="12" customFormat="1" x14ac:dyDescent="0.25">
      <c r="A26" s="216" t="s">
        <v>2279</v>
      </c>
      <c r="B26" s="64">
        <v>1.26</v>
      </c>
      <c r="C26" s="64">
        <v>1.65</v>
      </c>
      <c r="D26" s="64">
        <v>1.79</v>
      </c>
      <c r="E26" s="64">
        <v>1.34</v>
      </c>
      <c r="F26" s="64">
        <v>4.83</v>
      </c>
      <c r="G26" s="64">
        <v>21.56</v>
      </c>
      <c r="H26" s="64">
        <v>5.61</v>
      </c>
      <c r="I26" s="64">
        <v>4.3499999999999996</v>
      </c>
      <c r="J26" s="64">
        <v>0.26</v>
      </c>
      <c r="K26" s="64">
        <v>355.5</v>
      </c>
      <c r="L26" s="64">
        <v>25.02</v>
      </c>
      <c r="M26" s="64">
        <v>71.069999999999993</v>
      </c>
      <c r="N26" s="64">
        <v>17.2</v>
      </c>
      <c r="O26" s="64">
        <v>0</v>
      </c>
      <c r="P26" s="64">
        <v>0.23</v>
      </c>
      <c r="Q26" s="64">
        <v>9.42</v>
      </c>
      <c r="R26" s="198"/>
      <c r="S26" s="198"/>
      <c r="T26" s="198"/>
      <c r="U26" s="198"/>
    </row>
    <row r="27" spans="1:21" s="12" customFormat="1" x14ac:dyDescent="0.25">
      <c r="A27" s="216" t="s">
        <v>2280</v>
      </c>
      <c r="B27" s="64">
        <v>1.25</v>
      </c>
      <c r="C27" s="64">
        <v>1.71</v>
      </c>
      <c r="D27" s="64">
        <v>1.82</v>
      </c>
      <c r="E27" s="64">
        <v>1.46</v>
      </c>
      <c r="F27" s="64">
        <v>5.24</v>
      </c>
      <c r="G27" s="64">
        <v>21.56</v>
      </c>
      <c r="H27" s="64">
        <v>5.61</v>
      </c>
      <c r="I27" s="64">
        <v>4.24</v>
      </c>
      <c r="J27" s="64">
        <v>0.23</v>
      </c>
      <c r="K27" s="64">
        <v>351.45</v>
      </c>
      <c r="L27" s="64">
        <v>25.12</v>
      </c>
      <c r="M27" s="64">
        <v>68.790000000000006</v>
      </c>
      <c r="N27" s="64">
        <v>17.2</v>
      </c>
      <c r="O27" s="64">
        <v>0</v>
      </c>
      <c r="P27" s="64">
        <v>0.23</v>
      </c>
      <c r="Q27" s="64">
        <v>9.43</v>
      </c>
      <c r="R27" s="198"/>
      <c r="S27" s="198"/>
      <c r="T27" s="198"/>
      <c r="U27" s="198"/>
    </row>
    <row r="28" spans="1:21" s="12" customFormat="1" x14ac:dyDescent="0.25">
      <c r="A28" s="216" t="s">
        <v>2281</v>
      </c>
      <c r="B28" s="64">
        <v>1.25</v>
      </c>
      <c r="C28" s="64">
        <v>1.75</v>
      </c>
      <c r="D28" s="64">
        <v>1.84</v>
      </c>
      <c r="E28" s="64">
        <v>1.47</v>
      </c>
      <c r="F28" s="64">
        <v>5.09</v>
      </c>
      <c r="G28" s="64">
        <v>21.96</v>
      </c>
      <c r="H28" s="64">
        <v>6.84</v>
      </c>
      <c r="I28" s="64">
        <v>4.18</v>
      </c>
      <c r="J28" s="64">
        <v>0.38</v>
      </c>
      <c r="K28" s="64">
        <v>319.01</v>
      </c>
      <c r="L28" s="64">
        <v>25.01</v>
      </c>
      <c r="M28" s="64">
        <v>71.2</v>
      </c>
      <c r="N28" s="64">
        <v>17.5</v>
      </c>
      <c r="O28" s="64">
        <v>0</v>
      </c>
      <c r="P28" s="64">
        <v>0.23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16" t="s">
        <v>2282</v>
      </c>
      <c r="B29" s="64">
        <v>1.23</v>
      </c>
      <c r="C29" s="64">
        <v>1.66</v>
      </c>
      <c r="D29" s="64">
        <v>1.77</v>
      </c>
      <c r="E29" s="64">
        <v>1.41</v>
      </c>
      <c r="F29" s="64">
        <v>5.24</v>
      </c>
      <c r="G29" s="64">
        <v>21.98</v>
      </c>
      <c r="H29" s="64">
        <v>6.91</v>
      </c>
      <c r="I29" s="64">
        <v>4.03</v>
      </c>
      <c r="J29" s="64">
        <v>0.33</v>
      </c>
      <c r="K29" s="64">
        <v>331.64</v>
      </c>
      <c r="L29" s="64">
        <v>25.03</v>
      </c>
      <c r="M29" s="64">
        <v>69.75</v>
      </c>
      <c r="N29" s="64">
        <v>18.8</v>
      </c>
      <c r="O29" s="64">
        <v>0</v>
      </c>
      <c r="P29" s="64">
        <v>0.23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16" t="s">
        <v>2283</v>
      </c>
      <c r="B30" s="64">
        <v>1.24</v>
      </c>
      <c r="C30" s="64">
        <v>1.8</v>
      </c>
      <c r="D30" s="64">
        <v>1.86</v>
      </c>
      <c r="E30" s="64">
        <v>1.23</v>
      </c>
      <c r="F30" s="64">
        <v>5.31</v>
      </c>
      <c r="G30" s="64">
        <v>21.98</v>
      </c>
      <c r="H30" s="64">
        <v>6.91</v>
      </c>
      <c r="I30" s="64">
        <v>3.86</v>
      </c>
      <c r="J30" s="64">
        <v>0.2</v>
      </c>
      <c r="K30" s="64">
        <v>356.97</v>
      </c>
      <c r="L30" s="64">
        <v>25.32</v>
      </c>
      <c r="M30" s="64">
        <v>66.78</v>
      </c>
      <c r="N30" s="64">
        <v>23.5</v>
      </c>
      <c r="O30" s="64">
        <v>0</v>
      </c>
      <c r="P30" s="64">
        <v>0.23</v>
      </c>
      <c r="Q30" s="64">
        <v>9.4</v>
      </c>
      <c r="R30" s="198"/>
      <c r="S30" s="198"/>
      <c r="T30" s="198"/>
      <c r="U30" s="198"/>
    </row>
    <row r="31" spans="1:21" s="12" customFormat="1" x14ac:dyDescent="0.25">
      <c r="A31" s="216" t="s">
        <v>2284</v>
      </c>
      <c r="B31" s="64">
        <v>1.24</v>
      </c>
      <c r="C31" s="64">
        <v>1.75</v>
      </c>
      <c r="D31" s="64">
        <v>1.83</v>
      </c>
      <c r="E31" s="64">
        <v>1.47</v>
      </c>
      <c r="F31" s="64">
        <v>4.92</v>
      </c>
      <c r="G31" s="64">
        <v>21.98</v>
      </c>
      <c r="H31" s="64">
        <v>6.91</v>
      </c>
      <c r="I31" s="64">
        <v>3.67</v>
      </c>
      <c r="J31" s="64">
        <v>0.28999999999999998</v>
      </c>
      <c r="K31" s="64">
        <v>323.87</v>
      </c>
      <c r="L31" s="64">
        <v>25.21</v>
      </c>
      <c r="M31" s="64">
        <v>66.23</v>
      </c>
      <c r="N31" s="64">
        <v>37.700000000000003</v>
      </c>
      <c r="O31" s="64">
        <v>0</v>
      </c>
      <c r="P31" s="64">
        <v>0.24</v>
      </c>
      <c r="Q31" s="64">
        <v>9.3800000000000008</v>
      </c>
      <c r="R31" s="198"/>
      <c r="S31" s="198"/>
      <c r="T31" s="198"/>
      <c r="U31" s="198"/>
    </row>
    <row r="32" spans="1:21" s="12" customFormat="1" x14ac:dyDescent="0.25">
      <c r="A32" s="216" t="s">
        <v>2285</v>
      </c>
      <c r="B32" s="64">
        <v>1.25</v>
      </c>
      <c r="C32" s="64">
        <v>1.82</v>
      </c>
      <c r="D32" s="64">
        <v>1.87</v>
      </c>
      <c r="E32" s="64">
        <v>1.1200000000000001</v>
      </c>
      <c r="F32" s="64">
        <v>4.5</v>
      </c>
      <c r="G32" s="64">
        <v>23.94</v>
      </c>
      <c r="H32" s="64">
        <v>7.67</v>
      </c>
      <c r="I32" s="64">
        <v>3.49</v>
      </c>
      <c r="J32" s="64">
        <v>0.3</v>
      </c>
      <c r="K32" s="64">
        <v>324.97000000000003</v>
      </c>
      <c r="L32" s="64">
        <v>25.69</v>
      </c>
      <c r="M32" s="64">
        <v>65</v>
      </c>
      <c r="N32" s="64">
        <v>63.6</v>
      </c>
      <c r="O32" s="64">
        <v>0</v>
      </c>
      <c r="P32" s="64">
        <v>0.26</v>
      </c>
      <c r="Q32" s="64">
        <v>9.3699999999999992</v>
      </c>
      <c r="R32" s="198"/>
      <c r="S32" s="198"/>
      <c r="T32" s="198"/>
      <c r="U32" s="198"/>
    </row>
    <row r="33" spans="1:21" s="12" customFormat="1" x14ac:dyDescent="0.25">
      <c r="A33" s="216" t="s">
        <v>2286</v>
      </c>
      <c r="B33" s="64">
        <v>1.26</v>
      </c>
      <c r="C33" s="64">
        <v>1.86</v>
      </c>
      <c r="D33" s="64">
        <v>1.9</v>
      </c>
      <c r="E33" s="64">
        <v>1.19</v>
      </c>
      <c r="F33" s="64">
        <v>4.28</v>
      </c>
      <c r="G33" s="64">
        <v>24.06</v>
      </c>
      <c r="H33" s="64">
        <v>7.71</v>
      </c>
      <c r="I33" s="64">
        <v>3.47</v>
      </c>
      <c r="J33" s="64">
        <v>0.33</v>
      </c>
      <c r="K33" s="64">
        <v>320.02</v>
      </c>
      <c r="L33" s="64">
        <v>26.41</v>
      </c>
      <c r="M33" s="64">
        <v>62.54</v>
      </c>
      <c r="N33" s="64">
        <v>96.3</v>
      </c>
      <c r="O33" s="64">
        <v>0</v>
      </c>
      <c r="P33" s="64">
        <v>0.3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6" t="s">
        <v>2287</v>
      </c>
      <c r="B34" s="64">
        <v>1.27</v>
      </c>
      <c r="C34" s="64">
        <v>2.04</v>
      </c>
      <c r="D34" s="64">
        <v>2</v>
      </c>
      <c r="E34" s="64">
        <v>1.08</v>
      </c>
      <c r="F34" s="64">
        <v>4.28</v>
      </c>
      <c r="G34" s="64">
        <v>24.06</v>
      </c>
      <c r="H34" s="64">
        <v>7.71</v>
      </c>
      <c r="I34" s="64">
        <v>3.57</v>
      </c>
      <c r="J34" s="64">
        <v>0.23</v>
      </c>
      <c r="K34" s="64">
        <v>332.33</v>
      </c>
      <c r="L34" s="64">
        <v>27.3</v>
      </c>
      <c r="M34" s="64">
        <v>58.65</v>
      </c>
      <c r="N34" s="64">
        <v>136.4</v>
      </c>
      <c r="O34" s="64">
        <v>0</v>
      </c>
      <c r="P34" s="64">
        <v>0.33</v>
      </c>
      <c r="Q34" s="64">
        <v>9.39</v>
      </c>
      <c r="R34" s="198"/>
      <c r="S34" s="198"/>
      <c r="T34" s="198"/>
      <c r="U34" s="198"/>
    </row>
    <row r="35" spans="1:21" s="12" customFormat="1" x14ac:dyDescent="0.25">
      <c r="A35" s="216" t="s">
        <v>2288</v>
      </c>
      <c r="B35" s="64">
        <v>1.28</v>
      </c>
      <c r="C35" s="64">
        <v>2.08</v>
      </c>
      <c r="D35" s="64">
        <v>2.0299999999999998</v>
      </c>
      <c r="E35" s="64">
        <v>1.29</v>
      </c>
      <c r="F35" s="64">
        <v>4.62</v>
      </c>
      <c r="G35" s="64">
        <v>24.06</v>
      </c>
      <c r="H35" s="64">
        <v>7.71</v>
      </c>
      <c r="I35" s="64">
        <v>3.73</v>
      </c>
      <c r="J35" s="64">
        <v>0.2</v>
      </c>
      <c r="K35" s="64">
        <v>349.14</v>
      </c>
      <c r="L35" s="64">
        <v>28.14</v>
      </c>
      <c r="M35" s="64">
        <v>54.51</v>
      </c>
      <c r="N35" s="64">
        <v>178.7</v>
      </c>
      <c r="O35" s="64">
        <v>0</v>
      </c>
      <c r="P35" s="64">
        <v>0.34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6" t="s">
        <v>2289</v>
      </c>
      <c r="B36" s="64">
        <v>1.26</v>
      </c>
      <c r="C36" s="64">
        <v>2.1</v>
      </c>
      <c r="D36" s="64">
        <v>2.0299999999999998</v>
      </c>
      <c r="E36" s="64">
        <v>1.29</v>
      </c>
      <c r="F36" s="64">
        <v>5.21</v>
      </c>
      <c r="G36" s="64">
        <v>28.29</v>
      </c>
      <c r="H36" s="64">
        <v>9.3000000000000007</v>
      </c>
      <c r="I36" s="64">
        <v>3.92</v>
      </c>
      <c r="J36" s="64">
        <v>0.14000000000000001</v>
      </c>
      <c r="K36" s="64">
        <v>341.45</v>
      </c>
      <c r="L36" s="64">
        <v>29.21</v>
      </c>
      <c r="M36" s="64">
        <v>50.96</v>
      </c>
      <c r="N36" s="64">
        <v>228.2</v>
      </c>
      <c r="O36" s="64">
        <v>0</v>
      </c>
      <c r="P36" s="64">
        <v>0.35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6" t="s">
        <v>2290</v>
      </c>
      <c r="B37" s="64">
        <v>1.29</v>
      </c>
      <c r="C37" s="64">
        <v>2</v>
      </c>
      <c r="D37" s="64">
        <v>2</v>
      </c>
      <c r="E37" s="64">
        <v>1.27</v>
      </c>
      <c r="F37" s="64">
        <v>4.76</v>
      </c>
      <c r="G37" s="64">
        <v>28.54</v>
      </c>
      <c r="H37" s="64">
        <v>9.39</v>
      </c>
      <c r="I37" s="64">
        <v>3.95</v>
      </c>
      <c r="J37" s="64">
        <v>0.41</v>
      </c>
      <c r="K37" s="64">
        <v>351.88</v>
      </c>
      <c r="L37" s="64">
        <v>30.28</v>
      </c>
      <c r="M37" s="64">
        <v>48.76</v>
      </c>
      <c r="N37" s="64">
        <v>294.89999999999998</v>
      </c>
      <c r="O37" s="64">
        <v>0</v>
      </c>
      <c r="P37" s="64">
        <v>0.42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6" t="s">
        <v>2291</v>
      </c>
      <c r="B38" s="64">
        <v>1.38</v>
      </c>
      <c r="C38" s="64">
        <v>2.2799999999999998</v>
      </c>
      <c r="D38" s="64">
        <v>2.2200000000000002</v>
      </c>
      <c r="E38" s="64">
        <v>1.31</v>
      </c>
      <c r="F38" s="64">
        <v>4.07</v>
      </c>
      <c r="G38" s="64">
        <v>28.54</v>
      </c>
      <c r="H38" s="64">
        <v>9.39</v>
      </c>
      <c r="I38" s="64">
        <v>3.92</v>
      </c>
      <c r="J38" s="64">
        <v>0.49</v>
      </c>
      <c r="K38" s="64">
        <v>74.33</v>
      </c>
      <c r="L38" s="64">
        <v>30.51</v>
      </c>
      <c r="M38" s="64">
        <v>49.37</v>
      </c>
      <c r="N38" s="64">
        <v>385</v>
      </c>
      <c r="O38" s="64">
        <v>0</v>
      </c>
      <c r="P38" s="64">
        <v>0.49</v>
      </c>
      <c r="Q38" s="64">
        <v>9.41</v>
      </c>
      <c r="R38" s="198"/>
      <c r="S38" s="198"/>
      <c r="T38" s="198"/>
      <c r="U38" s="198"/>
    </row>
    <row r="39" spans="1:21" s="12" customFormat="1" x14ac:dyDescent="0.25">
      <c r="A39" s="216" t="s">
        <v>2292</v>
      </c>
      <c r="B39" s="64">
        <v>1.4</v>
      </c>
      <c r="C39" s="64">
        <v>2.21</v>
      </c>
      <c r="D39" s="64">
        <v>2.2000000000000002</v>
      </c>
      <c r="E39" s="64">
        <v>1.39</v>
      </c>
      <c r="F39" s="64">
        <v>4.05</v>
      </c>
      <c r="G39" s="64">
        <v>28.54</v>
      </c>
      <c r="H39" s="64">
        <v>9.39</v>
      </c>
      <c r="I39" s="64">
        <v>4.5199999999999996</v>
      </c>
      <c r="J39" s="64">
        <v>0.34</v>
      </c>
      <c r="K39" s="64">
        <v>22.12</v>
      </c>
      <c r="L39" s="64">
        <v>30.44</v>
      </c>
      <c r="M39" s="64">
        <v>49.82</v>
      </c>
      <c r="N39" s="64">
        <v>349.7</v>
      </c>
      <c r="O39" s="64">
        <v>0</v>
      </c>
      <c r="P39" s="64">
        <v>0.51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6" t="s">
        <v>2293</v>
      </c>
      <c r="B40" s="64">
        <v>1.45</v>
      </c>
      <c r="C40" s="64">
        <v>2.4</v>
      </c>
      <c r="D40" s="64">
        <v>2.34</v>
      </c>
      <c r="E40" s="64">
        <v>1.73</v>
      </c>
      <c r="F40" s="64">
        <v>3.9</v>
      </c>
      <c r="G40" s="64">
        <v>36.979999999999997</v>
      </c>
      <c r="H40" s="64">
        <v>11.68</v>
      </c>
      <c r="I40" s="64">
        <v>5.69</v>
      </c>
      <c r="J40" s="64">
        <v>0.59</v>
      </c>
      <c r="K40" s="64">
        <v>107.28</v>
      </c>
      <c r="L40" s="64">
        <v>29.89</v>
      </c>
      <c r="M40" s="64">
        <v>51.19</v>
      </c>
      <c r="N40" s="64">
        <v>447.6</v>
      </c>
      <c r="O40" s="64">
        <v>0</v>
      </c>
      <c r="P40" s="64">
        <v>0.52</v>
      </c>
      <c r="Q40" s="64">
        <v>9.43</v>
      </c>
      <c r="R40" s="198"/>
      <c r="S40" s="198"/>
      <c r="T40" s="198"/>
      <c r="U40" s="198"/>
    </row>
    <row r="41" spans="1:21" s="12" customFormat="1" x14ac:dyDescent="0.25">
      <c r="A41" s="216" t="s">
        <v>2294</v>
      </c>
      <c r="B41" s="64">
        <v>1.46</v>
      </c>
      <c r="C41" s="64">
        <v>2.36</v>
      </c>
      <c r="D41" s="64">
        <v>2.33</v>
      </c>
      <c r="E41" s="64">
        <v>1.68</v>
      </c>
      <c r="F41" s="64">
        <v>3.95</v>
      </c>
      <c r="G41" s="64">
        <v>37.479999999999997</v>
      </c>
      <c r="H41" s="64">
        <v>11.82</v>
      </c>
      <c r="I41" s="64">
        <v>6.14</v>
      </c>
      <c r="J41" s="64">
        <v>0.41</v>
      </c>
      <c r="K41" s="64">
        <v>345.8</v>
      </c>
      <c r="L41" s="64">
        <v>32.49</v>
      </c>
      <c r="M41" s="64">
        <v>43.34</v>
      </c>
      <c r="N41" s="64">
        <v>451.8</v>
      </c>
      <c r="O41" s="64">
        <v>0</v>
      </c>
      <c r="P41" s="64">
        <v>0.56999999999999995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16" t="s">
        <v>2295</v>
      </c>
      <c r="B42" s="64">
        <v>1.47</v>
      </c>
      <c r="C42" s="64">
        <v>2.48</v>
      </c>
      <c r="D42" s="64">
        <v>2.39</v>
      </c>
      <c r="E42" s="64">
        <v>1.69</v>
      </c>
      <c r="F42" s="64">
        <v>4.3600000000000003</v>
      </c>
      <c r="G42" s="64">
        <v>37.479999999999997</v>
      </c>
      <c r="H42" s="64">
        <v>11.82</v>
      </c>
      <c r="I42" s="64">
        <v>6.49</v>
      </c>
      <c r="J42" s="64">
        <v>0.34</v>
      </c>
      <c r="K42" s="64">
        <v>170.02</v>
      </c>
      <c r="L42" s="64">
        <v>31.65</v>
      </c>
      <c r="M42" s="64">
        <v>45.44</v>
      </c>
      <c r="N42" s="64">
        <v>404.1</v>
      </c>
      <c r="O42" s="64">
        <v>0</v>
      </c>
      <c r="P42" s="64">
        <v>0.61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6" t="s">
        <v>2296</v>
      </c>
      <c r="B43" s="64">
        <v>1.43</v>
      </c>
      <c r="C43" s="64">
        <v>2.4700000000000002</v>
      </c>
      <c r="D43" s="64">
        <v>2.36</v>
      </c>
      <c r="E43" s="64">
        <v>2.13</v>
      </c>
      <c r="F43" s="64">
        <v>4.42</v>
      </c>
      <c r="G43" s="64">
        <v>37.479999999999997</v>
      </c>
      <c r="H43" s="64">
        <v>11.82</v>
      </c>
      <c r="I43" s="64">
        <v>7.09</v>
      </c>
      <c r="J43" s="64">
        <v>0.05</v>
      </c>
      <c r="K43" s="64">
        <v>15.12</v>
      </c>
      <c r="L43" s="64">
        <v>31.14</v>
      </c>
      <c r="M43" s="64">
        <v>48.01</v>
      </c>
      <c r="N43" s="64">
        <v>551.29999999999995</v>
      </c>
      <c r="O43" s="64">
        <v>0</v>
      </c>
      <c r="P43" s="64">
        <v>0.65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6" t="s">
        <v>2297</v>
      </c>
      <c r="B44" s="64">
        <v>1.38</v>
      </c>
      <c r="C44" s="64">
        <v>2.64</v>
      </c>
      <c r="D44" s="64">
        <v>2.41</v>
      </c>
      <c r="E44" s="64">
        <v>2.2400000000000002</v>
      </c>
      <c r="F44" s="64">
        <v>4.55</v>
      </c>
      <c r="G44" s="64">
        <v>46.05</v>
      </c>
      <c r="H44" s="64">
        <v>12.86</v>
      </c>
      <c r="I44" s="64">
        <v>7.41</v>
      </c>
      <c r="J44" s="64">
        <v>0.46</v>
      </c>
      <c r="K44" s="64">
        <v>146.72</v>
      </c>
      <c r="L44" s="64">
        <v>31.49</v>
      </c>
      <c r="M44" s="64">
        <v>46.45</v>
      </c>
      <c r="N44" s="64">
        <v>569.4</v>
      </c>
      <c r="O44" s="64">
        <v>0</v>
      </c>
      <c r="P44" s="64">
        <v>0.7</v>
      </c>
      <c r="Q44" s="64">
        <v>9.4</v>
      </c>
      <c r="R44" s="198"/>
      <c r="S44" s="198"/>
      <c r="T44" s="198"/>
      <c r="U44" s="198"/>
    </row>
    <row r="45" spans="1:21" s="12" customFormat="1" x14ac:dyDescent="0.25">
      <c r="A45" s="216" t="s">
        <v>2298</v>
      </c>
      <c r="B45" s="64">
        <v>1.36</v>
      </c>
      <c r="C45" s="64">
        <v>2.99</v>
      </c>
      <c r="D45" s="64">
        <v>2.57</v>
      </c>
      <c r="E45" s="64">
        <v>1.73</v>
      </c>
      <c r="F45" s="64">
        <v>4.9000000000000004</v>
      </c>
      <c r="G45" s="64">
        <v>46.55</v>
      </c>
      <c r="H45" s="64">
        <v>12.92</v>
      </c>
      <c r="I45" s="64">
        <v>7.68</v>
      </c>
      <c r="J45" s="64">
        <v>0.36</v>
      </c>
      <c r="K45" s="64">
        <v>138.69</v>
      </c>
      <c r="L45" s="64">
        <v>31.7</v>
      </c>
      <c r="M45" s="64">
        <v>46.74</v>
      </c>
      <c r="N45" s="64">
        <v>675.1</v>
      </c>
      <c r="O45" s="64">
        <v>0</v>
      </c>
      <c r="P45" s="64">
        <v>0.75</v>
      </c>
      <c r="Q45" s="64">
        <v>9.3800000000000008</v>
      </c>
      <c r="R45" s="198"/>
      <c r="S45" s="198"/>
      <c r="T45" s="198"/>
      <c r="U45" s="198"/>
    </row>
    <row r="46" spans="1:21" s="12" customFormat="1" x14ac:dyDescent="0.25">
      <c r="A46" s="216" t="s">
        <v>2299</v>
      </c>
      <c r="B46" s="64">
        <v>1.31</v>
      </c>
      <c r="C46" s="64">
        <v>3.09</v>
      </c>
      <c r="D46" s="64">
        <v>2.58</v>
      </c>
      <c r="E46" s="64">
        <v>1.62</v>
      </c>
      <c r="F46" s="64">
        <v>5.18</v>
      </c>
      <c r="G46" s="64">
        <v>46.55</v>
      </c>
      <c r="H46" s="64">
        <v>12.92</v>
      </c>
      <c r="I46" s="64">
        <v>8.1</v>
      </c>
      <c r="J46" s="64">
        <v>0.37</v>
      </c>
      <c r="K46" s="64">
        <v>114.13</v>
      </c>
      <c r="L46" s="64">
        <v>31.27</v>
      </c>
      <c r="M46" s="64">
        <v>48.33</v>
      </c>
      <c r="N46" s="64">
        <v>505.4</v>
      </c>
      <c r="O46" s="64">
        <v>0</v>
      </c>
      <c r="P46" s="64">
        <v>0.79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16" t="s">
        <v>2300</v>
      </c>
      <c r="B47" s="64">
        <v>1.27</v>
      </c>
      <c r="C47" s="64">
        <v>2.95</v>
      </c>
      <c r="D47" s="64">
        <v>2.48</v>
      </c>
      <c r="E47" s="64">
        <v>1.82</v>
      </c>
      <c r="F47" s="64">
        <v>5.38</v>
      </c>
      <c r="G47" s="64">
        <v>46.55</v>
      </c>
      <c r="H47" s="64">
        <v>12.92</v>
      </c>
      <c r="I47" s="64">
        <v>8.4600000000000009</v>
      </c>
      <c r="J47" s="64">
        <v>0.17</v>
      </c>
      <c r="K47" s="64">
        <v>355.43</v>
      </c>
      <c r="L47" s="64">
        <v>30.37</v>
      </c>
      <c r="M47" s="64">
        <v>50.89</v>
      </c>
      <c r="N47" s="64">
        <v>362</v>
      </c>
      <c r="O47" s="64">
        <v>0</v>
      </c>
      <c r="P47" s="64">
        <v>0.83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6" t="s">
        <v>2301</v>
      </c>
      <c r="B48" s="64">
        <v>1.25</v>
      </c>
      <c r="C48" s="64">
        <v>2.71</v>
      </c>
      <c r="D48" s="64">
        <v>2.34</v>
      </c>
      <c r="E48" s="64">
        <v>1.91</v>
      </c>
      <c r="F48" s="64">
        <v>5.59</v>
      </c>
      <c r="G48" s="64">
        <v>50.21</v>
      </c>
      <c r="H48" s="64">
        <v>19.16</v>
      </c>
      <c r="I48" s="64">
        <v>9.01</v>
      </c>
      <c r="J48" s="64">
        <v>0.57999999999999996</v>
      </c>
      <c r="K48" s="64">
        <v>94.35</v>
      </c>
      <c r="L48" s="64">
        <v>30.19</v>
      </c>
      <c r="M48" s="64">
        <v>49.14</v>
      </c>
      <c r="N48" s="64">
        <v>246.9</v>
      </c>
      <c r="O48" s="64">
        <v>0</v>
      </c>
      <c r="P48" s="64">
        <v>0.85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6" t="s">
        <v>2302</v>
      </c>
      <c r="B49" s="64">
        <v>1.23</v>
      </c>
      <c r="C49" s="64">
        <v>2.67</v>
      </c>
      <c r="D49" s="64">
        <v>2.2999999999999998</v>
      </c>
      <c r="E49" s="64">
        <v>1.96</v>
      </c>
      <c r="F49" s="64">
        <v>5.31</v>
      </c>
      <c r="G49" s="64">
        <v>50.43</v>
      </c>
      <c r="H49" s="64">
        <v>19.53</v>
      </c>
      <c r="I49" s="64">
        <v>9.5399999999999991</v>
      </c>
      <c r="J49" s="64">
        <v>0.18</v>
      </c>
      <c r="K49" s="64">
        <v>350.6</v>
      </c>
      <c r="L49" s="64">
        <v>30.2</v>
      </c>
      <c r="M49" s="64">
        <v>50.19</v>
      </c>
      <c r="N49" s="64">
        <v>239.3</v>
      </c>
      <c r="O49" s="64">
        <v>0</v>
      </c>
      <c r="P49" s="64">
        <v>0.86</v>
      </c>
      <c r="Q49" s="64">
        <v>9.34</v>
      </c>
      <c r="R49" s="198"/>
      <c r="S49" s="198"/>
      <c r="T49" s="198"/>
      <c r="U49" s="198"/>
    </row>
    <row r="50" spans="1:21" s="12" customFormat="1" x14ac:dyDescent="0.25">
      <c r="A50" s="216" t="s">
        <v>2303</v>
      </c>
      <c r="B50" s="64">
        <v>1.22</v>
      </c>
      <c r="C50" s="64">
        <v>2.83</v>
      </c>
      <c r="D50" s="64">
        <v>2.38</v>
      </c>
      <c r="E50" s="64">
        <v>2</v>
      </c>
      <c r="F50" s="64">
        <v>5.26</v>
      </c>
      <c r="G50" s="64">
        <v>50.43</v>
      </c>
      <c r="H50" s="64">
        <v>19.53</v>
      </c>
      <c r="I50" s="64">
        <v>9.86</v>
      </c>
      <c r="J50" s="64">
        <v>0.51</v>
      </c>
      <c r="K50" s="64">
        <v>129.59</v>
      </c>
      <c r="L50" s="64">
        <v>31.24</v>
      </c>
      <c r="M50" s="64">
        <v>43.66</v>
      </c>
      <c r="N50" s="64">
        <v>312.3</v>
      </c>
      <c r="O50" s="64">
        <v>0</v>
      </c>
      <c r="P50" s="64">
        <v>0.88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6" t="s">
        <v>2304</v>
      </c>
      <c r="B51" s="64">
        <v>1.2</v>
      </c>
      <c r="C51" s="64">
        <v>2.61</v>
      </c>
      <c r="D51" s="64">
        <v>2.2400000000000002</v>
      </c>
      <c r="E51" s="64">
        <v>1.86</v>
      </c>
      <c r="F51" s="64">
        <v>5.74</v>
      </c>
      <c r="G51" s="64">
        <v>50.43</v>
      </c>
      <c r="H51" s="64">
        <v>19.53</v>
      </c>
      <c r="I51" s="64">
        <v>9.94</v>
      </c>
      <c r="J51" s="64">
        <v>0.48</v>
      </c>
      <c r="K51" s="64">
        <v>114.97</v>
      </c>
      <c r="L51" s="64">
        <v>32.130000000000003</v>
      </c>
      <c r="M51" s="64">
        <v>41.68</v>
      </c>
      <c r="N51" s="64">
        <v>397.3</v>
      </c>
      <c r="O51" s="64">
        <v>0</v>
      </c>
      <c r="P51" s="64">
        <v>0.87</v>
      </c>
      <c r="Q51" s="64">
        <v>9.33</v>
      </c>
      <c r="R51" s="198"/>
      <c r="S51" s="198"/>
      <c r="T51" s="198"/>
      <c r="U51" s="198"/>
    </row>
    <row r="52" spans="1:21" s="12" customFormat="1" x14ac:dyDescent="0.25">
      <c r="A52" s="216" t="s">
        <v>2305</v>
      </c>
      <c r="B52" s="64">
        <v>1.21</v>
      </c>
      <c r="C52" s="64">
        <v>2.54</v>
      </c>
      <c r="D52" s="64">
        <v>2.21</v>
      </c>
      <c r="E52" s="64">
        <v>1.83</v>
      </c>
      <c r="F52" s="64">
        <v>5.53</v>
      </c>
      <c r="G52" s="64">
        <v>49.44</v>
      </c>
      <c r="H52" s="64">
        <v>17.34</v>
      </c>
      <c r="I52" s="64">
        <v>9.8699999999999992</v>
      </c>
      <c r="J52" s="64">
        <v>0.37</v>
      </c>
      <c r="K52" s="64">
        <v>121.37</v>
      </c>
      <c r="L52" s="64">
        <v>32.21</v>
      </c>
      <c r="M52" s="64">
        <v>41.88</v>
      </c>
      <c r="N52" s="64">
        <v>344</v>
      </c>
      <c r="O52" s="64">
        <v>0</v>
      </c>
      <c r="P52" s="64">
        <v>0.87</v>
      </c>
      <c r="Q52" s="64">
        <v>9.34</v>
      </c>
      <c r="R52" s="198"/>
      <c r="S52" s="198"/>
      <c r="T52" s="198"/>
      <c r="U52" s="198"/>
    </row>
    <row r="53" spans="1:21" s="12" customFormat="1" x14ac:dyDescent="0.25">
      <c r="A53" s="216" t="s">
        <v>2306</v>
      </c>
      <c r="B53" s="64">
        <v>1.21</v>
      </c>
      <c r="C53" s="64">
        <v>2.61</v>
      </c>
      <c r="D53" s="64">
        <v>2.25</v>
      </c>
      <c r="E53" s="64">
        <v>1.88</v>
      </c>
      <c r="F53" s="64">
        <v>6.02</v>
      </c>
      <c r="G53" s="64">
        <v>49.38</v>
      </c>
      <c r="H53" s="64">
        <v>17.22</v>
      </c>
      <c r="I53" s="64">
        <v>9.7200000000000006</v>
      </c>
      <c r="J53" s="64">
        <v>0.2</v>
      </c>
      <c r="K53" s="64">
        <v>40.229999999999997</v>
      </c>
      <c r="L53" s="64">
        <v>32.89</v>
      </c>
      <c r="M53" s="64">
        <v>40.78</v>
      </c>
      <c r="N53" s="64">
        <v>370.2</v>
      </c>
      <c r="O53" s="64">
        <v>0</v>
      </c>
      <c r="P53" s="64">
        <v>0.87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6" t="s">
        <v>2307</v>
      </c>
      <c r="B54" s="64">
        <v>1.2</v>
      </c>
      <c r="C54" s="64">
        <v>2.84</v>
      </c>
      <c r="D54" s="64">
        <v>2.37</v>
      </c>
      <c r="E54" s="64">
        <v>1.73</v>
      </c>
      <c r="F54" s="64">
        <v>5.76</v>
      </c>
      <c r="G54" s="64">
        <v>49.38</v>
      </c>
      <c r="H54" s="64">
        <v>17.22</v>
      </c>
      <c r="I54" s="64">
        <v>9.68</v>
      </c>
      <c r="J54" s="64">
        <v>0.1</v>
      </c>
      <c r="K54" s="64">
        <v>323.27</v>
      </c>
      <c r="L54" s="64">
        <v>34.369999999999997</v>
      </c>
      <c r="M54" s="64">
        <v>37.36</v>
      </c>
      <c r="N54" s="64">
        <v>521.1</v>
      </c>
      <c r="O54" s="64">
        <v>0</v>
      </c>
      <c r="P54" s="64">
        <v>0.88</v>
      </c>
      <c r="Q54" s="64">
        <v>9.34</v>
      </c>
      <c r="R54" s="198"/>
      <c r="S54" s="198"/>
      <c r="T54" s="198"/>
      <c r="U54" s="198"/>
    </row>
    <row r="55" spans="1:21" s="12" customFormat="1" x14ac:dyDescent="0.25">
      <c r="A55" s="216" t="s">
        <v>2308</v>
      </c>
      <c r="B55" s="64">
        <v>1.23</v>
      </c>
      <c r="C55" s="64">
        <v>2.87</v>
      </c>
      <c r="D55" s="64">
        <v>2.4</v>
      </c>
      <c r="E55" s="64">
        <v>1.75</v>
      </c>
      <c r="F55" s="64">
        <v>5.42</v>
      </c>
      <c r="G55" s="64">
        <v>49.38</v>
      </c>
      <c r="H55" s="64">
        <v>17.22</v>
      </c>
      <c r="I55" s="64">
        <v>9.6</v>
      </c>
      <c r="J55" s="64">
        <v>0.19</v>
      </c>
      <c r="K55" s="64">
        <v>31.73</v>
      </c>
      <c r="L55" s="64">
        <v>34.97</v>
      </c>
      <c r="M55" s="64">
        <v>36.71</v>
      </c>
      <c r="N55" s="64">
        <v>648.6</v>
      </c>
      <c r="O55" s="64">
        <v>0</v>
      </c>
      <c r="P55" s="64">
        <v>0.89</v>
      </c>
      <c r="Q55" s="64">
        <v>9.33</v>
      </c>
      <c r="R55" s="198"/>
      <c r="S55" s="198"/>
      <c r="T55" s="198"/>
      <c r="U55" s="198"/>
    </row>
    <row r="56" spans="1:21" s="12" customFormat="1" x14ac:dyDescent="0.25">
      <c r="A56" s="216" t="s">
        <v>2309</v>
      </c>
      <c r="B56" s="64">
        <v>1.25</v>
      </c>
      <c r="C56" s="64">
        <v>2.79</v>
      </c>
      <c r="D56" s="64">
        <v>2.38</v>
      </c>
      <c r="E56" s="64">
        <v>0.93</v>
      </c>
      <c r="F56" s="64">
        <v>5.54</v>
      </c>
      <c r="G56" s="64">
        <v>52.5</v>
      </c>
      <c r="H56" s="64">
        <v>18.88</v>
      </c>
      <c r="I56" s="64">
        <v>9.19</v>
      </c>
      <c r="J56" s="64">
        <v>0.52</v>
      </c>
      <c r="K56" s="64">
        <v>4.09</v>
      </c>
      <c r="L56" s="64">
        <v>35.6</v>
      </c>
      <c r="M56" s="64">
        <v>35.450000000000003</v>
      </c>
      <c r="N56" s="64">
        <v>631.29999999999995</v>
      </c>
      <c r="O56" s="64">
        <v>0</v>
      </c>
      <c r="P56" s="64">
        <v>0.91</v>
      </c>
      <c r="Q56" s="64">
        <v>9.34</v>
      </c>
      <c r="R56" s="198"/>
      <c r="S56" s="198"/>
      <c r="T56" s="198"/>
      <c r="U56" s="198"/>
    </row>
    <row r="57" spans="1:21" s="12" customFormat="1" x14ac:dyDescent="0.25">
      <c r="A57" s="216" t="s">
        <v>2310</v>
      </c>
      <c r="B57" s="64">
        <v>1.27</v>
      </c>
      <c r="C57" s="64">
        <v>2.96</v>
      </c>
      <c r="D57" s="64">
        <v>2.48</v>
      </c>
      <c r="E57" s="64">
        <v>1.07</v>
      </c>
      <c r="F57" s="64">
        <v>5.73</v>
      </c>
      <c r="G57" s="64">
        <v>52.69</v>
      </c>
      <c r="H57" s="64">
        <v>18.98</v>
      </c>
      <c r="I57" s="64">
        <v>9.35</v>
      </c>
      <c r="J57" s="64">
        <v>0.73</v>
      </c>
      <c r="K57" s="64">
        <v>103.93</v>
      </c>
      <c r="L57" s="64">
        <v>36.33</v>
      </c>
      <c r="M57" s="64">
        <v>34.549999999999997</v>
      </c>
      <c r="N57" s="64">
        <v>855.8</v>
      </c>
      <c r="O57" s="64">
        <v>0</v>
      </c>
      <c r="P57" s="64">
        <v>0.91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6" t="s">
        <v>2311</v>
      </c>
      <c r="B58" s="64">
        <v>1.27</v>
      </c>
      <c r="C58" s="64">
        <v>2.96</v>
      </c>
      <c r="D58" s="64">
        <v>2.48</v>
      </c>
      <c r="E58" s="64">
        <v>0.99</v>
      </c>
      <c r="F58" s="64">
        <v>6.07</v>
      </c>
      <c r="G58" s="64">
        <v>52.69</v>
      </c>
      <c r="H58" s="64">
        <v>18.98</v>
      </c>
      <c r="I58" s="64">
        <v>9.76</v>
      </c>
      <c r="J58" s="64">
        <v>0.33</v>
      </c>
      <c r="K58" s="64">
        <v>62.07</v>
      </c>
      <c r="L58" s="64">
        <v>35.04</v>
      </c>
      <c r="M58" s="64">
        <v>36.29</v>
      </c>
      <c r="N58" s="64">
        <v>650.79999999999995</v>
      </c>
      <c r="O58" s="64">
        <v>0</v>
      </c>
      <c r="P58" s="64">
        <v>0.91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6" t="s">
        <v>2312</v>
      </c>
      <c r="B59" s="64">
        <v>1.27</v>
      </c>
      <c r="C59" s="64">
        <v>3.07</v>
      </c>
      <c r="D59" s="64">
        <v>2.5499999999999998</v>
      </c>
      <c r="E59" s="64">
        <v>1.21</v>
      </c>
      <c r="F59" s="64">
        <v>6.51</v>
      </c>
      <c r="G59" s="64">
        <v>52.69</v>
      </c>
      <c r="H59" s="64">
        <v>18.98</v>
      </c>
      <c r="I59" s="64">
        <v>9.67</v>
      </c>
      <c r="J59" s="64">
        <v>0.69</v>
      </c>
      <c r="K59" s="64">
        <v>346.72</v>
      </c>
      <c r="L59" s="64">
        <v>37.21</v>
      </c>
      <c r="M59" s="64">
        <v>31.71</v>
      </c>
      <c r="N59" s="64">
        <v>486.8</v>
      </c>
      <c r="O59" s="64">
        <v>0</v>
      </c>
      <c r="P59" s="64">
        <v>0.92</v>
      </c>
      <c r="Q59" s="64">
        <v>9.3800000000000008</v>
      </c>
      <c r="R59" s="198"/>
      <c r="S59" s="198"/>
      <c r="T59" s="198"/>
      <c r="U59" s="198"/>
    </row>
    <row r="60" spans="1:21" s="12" customFormat="1" x14ac:dyDescent="0.25">
      <c r="A60" s="216" t="s">
        <v>2313</v>
      </c>
      <c r="B60" s="64">
        <v>1.25</v>
      </c>
      <c r="C60" s="64">
        <v>3.24</v>
      </c>
      <c r="D60" s="64">
        <v>2.62</v>
      </c>
      <c r="E60" s="64">
        <v>1.04</v>
      </c>
      <c r="F60" s="64">
        <v>6.37</v>
      </c>
      <c r="G60" s="64">
        <v>56.22</v>
      </c>
      <c r="H60" s="64">
        <v>20.420000000000002</v>
      </c>
      <c r="I60" s="64">
        <v>9.84</v>
      </c>
      <c r="J60" s="64">
        <v>0.67</v>
      </c>
      <c r="K60" s="64">
        <v>123.97</v>
      </c>
      <c r="L60" s="64">
        <v>35.9</v>
      </c>
      <c r="M60" s="64">
        <v>33.44</v>
      </c>
      <c r="N60" s="64">
        <v>659.9</v>
      </c>
      <c r="O60" s="64">
        <v>0</v>
      </c>
      <c r="P60" s="64">
        <v>0.92</v>
      </c>
      <c r="Q60" s="64">
        <v>9.36</v>
      </c>
      <c r="R60" s="198"/>
      <c r="S60" s="198"/>
      <c r="T60" s="198"/>
      <c r="U60" s="198"/>
    </row>
    <row r="61" spans="1:21" s="12" customFormat="1" x14ac:dyDescent="0.25">
      <c r="A61" s="216" t="s">
        <v>2314</v>
      </c>
      <c r="B61" s="64">
        <v>1.23</v>
      </c>
      <c r="C61" s="64">
        <v>3.06</v>
      </c>
      <c r="D61" s="64">
        <v>2.5099999999999998</v>
      </c>
      <c r="E61" s="64">
        <v>1</v>
      </c>
      <c r="F61" s="64">
        <v>6.41</v>
      </c>
      <c r="G61" s="64">
        <v>56.43</v>
      </c>
      <c r="H61" s="64">
        <v>20.49</v>
      </c>
      <c r="I61" s="64">
        <v>10.11</v>
      </c>
      <c r="J61" s="64">
        <v>0.32</v>
      </c>
      <c r="K61" s="64">
        <v>69.16</v>
      </c>
      <c r="L61" s="64">
        <v>36.51</v>
      </c>
      <c r="M61" s="64">
        <v>32.67</v>
      </c>
      <c r="N61" s="64">
        <v>545</v>
      </c>
      <c r="O61" s="64">
        <v>0</v>
      </c>
      <c r="P61" s="64">
        <v>0.79</v>
      </c>
      <c r="Q61" s="64">
        <v>9.35</v>
      </c>
      <c r="R61" s="198"/>
      <c r="S61" s="198"/>
      <c r="T61" s="198"/>
      <c r="U61" s="198"/>
    </row>
    <row r="62" spans="1:21" s="12" customFormat="1" x14ac:dyDescent="0.25">
      <c r="A62" s="216" t="s">
        <v>2315</v>
      </c>
      <c r="B62" s="64">
        <v>1.21</v>
      </c>
      <c r="C62" s="64">
        <v>3.43</v>
      </c>
      <c r="D62" s="64">
        <v>2.68</v>
      </c>
      <c r="E62" s="64">
        <v>1.2</v>
      </c>
      <c r="F62" s="64">
        <v>9.92</v>
      </c>
      <c r="G62" s="64">
        <v>56.43</v>
      </c>
      <c r="H62" s="64">
        <v>20.49</v>
      </c>
      <c r="I62" s="64">
        <v>10.26</v>
      </c>
      <c r="J62" s="64">
        <v>0.1</v>
      </c>
      <c r="K62" s="64">
        <v>114.28</v>
      </c>
      <c r="L62" s="64">
        <v>35.729999999999997</v>
      </c>
      <c r="M62" s="64">
        <v>32.299999999999997</v>
      </c>
      <c r="N62" s="64">
        <v>434.8</v>
      </c>
      <c r="O62" s="64">
        <v>0</v>
      </c>
      <c r="P62" s="64">
        <v>0.82</v>
      </c>
      <c r="Q62" s="64">
        <v>9.36</v>
      </c>
      <c r="R62" s="198"/>
      <c r="S62" s="198"/>
      <c r="T62" s="198"/>
      <c r="U62" s="198"/>
    </row>
    <row r="63" spans="1:21" s="12" customFormat="1" x14ac:dyDescent="0.25">
      <c r="A63" s="216" t="s">
        <v>2316</v>
      </c>
      <c r="B63" s="64">
        <v>1.1299999999999999</v>
      </c>
      <c r="C63" s="64">
        <v>3.05</v>
      </c>
      <c r="D63" s="64">
        <v>2.42</v>
      </c>
      <c r="E63" s="64">
        <v>2.2200000000000002</v>
      </c>
      <c r="F63" s="64">
        <v>19.64</v>
      </c>
      <c r="G63" s="64">
        <v>56.43</v>
      </c>
      <c r="H63" s="64">
        <v>20.49</v>
      </c>
      <c r="I63" s="64">
        <v>10.41</v>
      </c>
      <c r="J63" s="64">
        <v>0.12</v>
      </c>
      <c r="K63" s="64">
        <v>123.97</v>
      </c>
      <c r="L63" s="64">
        <v>35.64</v>
      </c>
      <c r="M63" s="64">
        <v>31.63</v>
      </c>
      <c r="N63" s="64">
        <v>445</v>
      </c>
      <c r="O63" s="64">
        <v>0</v>
      </c>
      <c r="P63" s="64">
        <v>0.73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6" t="s">
        <v>2317</v>
      </c>
      <c r="B64" s="64">
        <v>1.1200000000000001</v>
      </c>
      <c r="C64" s="64">
        <v>2.91</v>
      </c>
      <c r="D64" s="64">
        <v>2.33</v>
      </c>
      <c r="E64" s="64">
        <v>2.0699999999999998</v>
      </c>
      <c r="F64" s="64">
        <v>24.68</v>
      </c>
      <c r="G64" s="64">
        <v>54.06</v>
      </c>
      <c r="H64" s="64">
        <v>22.05</v>
      </c>
      <c r="I64" s="64">
        <v>9.8800000000000008</v>
      </c>
      <c r="J64" s="64">
        <v>0.57999999999999996</v>
      </c>
      <c r="K64" s="64">
        <v>122.23</v>
      </c>
      <c r="L64" s="64">
        <v>35.700000000000003</v>
      </c>
      <c r="M64" s="64">
        <v>31.42</v>
      </c>
      <c r="N64" s="64">
        <v>450.9</v>
      </c>
      <c r="O64" s="64">
        <v>0</v>
      </c>
      <c r="P64" s="64">
        <v>0.64</v>
      </c>
      <c r="Q64" s="64">
        <v>9.34</v>
      </c>
      <c r="R64" s="198"/>
      <c r="S64" s="198"/>
      <c r="T64" s="198"/>
      <c r="U64" s="198"/>
    </row>
    <row r="65" spans="1:21" s="12" customFormat="1" x14ac:dyDescent="0.25">
      <c r="A65" s="216" t="s">
        <v>2318</v>
      </c>
      <c r="B65" s="64">
        <v>1.1200000000000001</v>
      </c>
      <c r="C65" s="64">
        <v>2.84</v>
      </c>
      <c r="D65" s="64">
        <v>2.2999999999999998</v>
      </c>
      <c r="E65" s="64">
        <v>1.39</v>
      </c>
      <c r="F65" s="64">
        <v>13.89</v>
      </c>
      <c r="G65" s="64">
        <v>53.92</v>
      </c>
      <c r="H65" s="64">
        <v>22.14</v>
      </c>
      <c r="I65" s="64">
        <v>8.61</v>
      </c>
      <c r="J65" s="64">
        <v>0.64</v>
      </c>
      <c r="K65" s="64">
        <v>98.9</v>
      </c>
      <c r="L65" s="64">
        <v>35.68</v>
      </c>
      <c r="M65" s="64">
        <v>32.99</v>
      </c>
      <c r="N65" s="64">
        <v>383.4</v>
      </c>
      <c r="O65" s="64">
        <v>0</v>
      </c>
      <c r="P65" s="64">
        <v>0.62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6" t="s">
        <v>2319</v>
      </c>
      <c r="B66" s="64">
        <v>1.17</v>
      </c>
      <c r="C66" s="64">
        <v>3.06</v>
      </c>
      <c r="D66" s="64">
        <v>2.46</v>
      </c>
      <c r="E66" s="64">
        <v>1.34</v>
      </c>
      <c r="F66" s="64">
        <v>8.43</v>
      </c>
      <c r="G66" s="64">
        <v>53.92</v>
      </c>
      <c r="H66" s="64">
        <v>22.14</v>
      </c>
      <c r="I66" s="64">
        <v>7.37</v>
      </c>
      <c r="J66" s="64">
        <v>0.42</v>
      </c>
      <c r="K66" s="64">
        <v>99.23</v>
      </c>
      <c r="L66" s="64">
        <v>35.03</v>
      </c>
      <c r="M66" s="64">
        <v>34.81</v>
      </c>
      <c r="N66" s="64">
        <v>324</v>
      </c>
      <c r="O66" s="64">
        <v>0</v>
      </c>
      <c r="P66" s="64">
        <v>0.61</v>
      </c>
      <c r="Q66" s="64">
        <v>9.2899999999999991</v>
      </c>
      <c r="R66" s="198"/>
      <c r="S66" s="198"/>
      <c r="T66" s="198"/>
      <c r="U66" s="198"/>
    </row>
    <row r="67" spans="1:21" s="12" customFormat="1" x14ac:dyDescent="0.25">
      <c r="A67" s="216" t="s">
        <v>2320</v>
      </c>
      <c r="B67" s="64">
        <v>1.18</v>
      </c>
      <c r="C67" s="64">
        <v>2.9</v>
      </c>
      <c r="D67" s="64">
        <v>2.38</v>
      </c>
      <c r="E67" s="64">
        <v>1.36</v>
      </c>
      <c r="F67" s="64">
        <v>7.43</v>
      </c>
      <c r="G67" s="64">
        <v>53.92</v>
      </c>
      <c r="H67" s="64">
        <v>22.14</v>
      </c>
      <c r="I67" s="64">
        <v>7.09</v>
      </c>
      <c r="J67" s="64">
        <v>0.76</v>
      </c>
      <c r="K67" s="64">
        <v>143.93</v>
      </c>
      <c r="L67" s="64">
        <v>35.630000000000003</v>
      </c>
      <c r="M67" s="64">
        <v>30.81</v>
      </c>
      <c r="N67" s="64">
        <v>274.8</v>
      </c>
      <c r="O67" s="64">
        <v>0</v>
      </c>
      <c r="P67" s="64">
        <v>0.6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6" t="s">
        <v>2321</v>
      </c>
      <c r="B68" s="64">
        <v>1.21</v>
      </c>
      <c r="C68" s="64">
        <v>2.77</v>
      </c>
      <c r="D68" s="64">
        <v>2.34</v>
      </c>
      <c r="E68" s="64">
        <v>1.45</v>
      </c>
      <c r="F68" s="64">
        <v>7.23</v>
      </c>
      <c r="G68" s="64">
        <v>62.41</v>
      </c>
      <c r="H68" s="64">
        <v>24.37</v>
      </c>
      <c r="I68" s="64">
        <v>7.48</v>
      </c>
      <c r="J68" s="64">
        <v>0.22</v>
      </c>
      <c r="K68" s="64">
        <v>142.13</v>
      </c>
      <c r="L68" s="64">
        <v>36.06</v>
      </c>
      <c r="M68" s="64">
        <v>30.33</v>
      </c>
      <c r="N68" s="64">
        <v>289.3</v>
      </c>
      <c r="O68" s="64">
        <v>0</v>
      </c>
      <c r="P68" s="64">
        <v>0.57999999999999996</v>
      </c>
      <c r="Q68" s="64">
        <v>9.26</v>
      </c>
      <c r="R68" s="198"/>
      <c r="S68" s="198"/>
      <c r="T68" s="198"/>
      <c r="U68" s="198"/>
    </row>
    <row r="69" spans="1:21" s="12" customFormat="1" x14ac:dyDescent="0.25">
      <c r="A69" s="216" t="s">
        <v>2322</v>
      </c>
      <c r="B69" s="64">
        <v>1.23</v>
      </c>
      <c r="C69" s="64">
        <v>2.79</v>
      </c>
      <c r="D69" s="64">
        <v>2.36</v>
      </c>
      <c r="E69" s="64">
        <v>1.39</v>
      </c>
      <c r="F69" s="64">
        <v>6.78</v>
      </c>
      <c r="G69" s="64">
        <v>62.91</v>
      </c>
      <c r="H69" s="64">
        <v>24.5</v>
      </c>
      <c r="I69" s="64">
        <v>7.99</v>
      </c>
      <c r="J69" s="64">
        <v>0.32</v>
      </c>
      <c r="K69" s="64">
        <v>333.61</v>
      </c>
      <c r="L69" s="64">
        <v>37.08</v>
      </c>
      <c r="M69" s="64">
        <v>29.3</v>
      </c>
      <c r="N69" s="64">
        <v>199.5</v>
      </c>
      <c r="O69" s="64">
        <v>0</v>
      </c>
      <c r="P69" s="64">
        <v>0.56999999999999995</v>
      </c>
      <c r="Q69" s="64">
        <v>9.25</v>
      </c>
      <c r="R69" s="198"/>
      <c r="S69" s="198"/>
      <c r="T69" s="198"/>
      <c r="U69" s="198"/>
    </row>
    <row r="70" spans="1:21" s="12" customFormat="1" x14ac:dyDescent="0.25">
      <c r="A70" s="216" t="s">
        <v>2323</v>
      </c>
      <c r="B70" s="64">
        <v>1.24</v>
      </c>
      <c r="C70" s="64">
        <v>3.17</v>
      </c>
      <c r="D70" s="64">
        <v>2.57</v>
      </c>
      <c r="E70" s="64">
        <v>1.39</v>
      </c>
      <c r="F70" s="64">
        <v>6.54</v>
      </c>
      <c r="G70" s="64">
        <v>62.91</v>
      </c>
      <c r="H70" s="64">
        <v>24.5</v>
      </c>
      <c r="I70" s="64">
        <v>7.93</v>
      </c>
      <c r="J70" s="64">
        <v>0.61</v>
      </c>
      <c r="K70" s="64">
        <v>82.86</v>
      </c>
      <c r="L70" s="64">
        <v>35.770000000000003</v>
      </c>
      <c r="M70" s="64">
        <v>30.94</v>
      </c>
      <c r="N70" s="64">
        <v>187.3</v>
      </c>
      <c r="O70" s="64">
        <v>0</v>
      </c>
      <c r="P70" s="64">
        <v>0.56999999999999995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6" t="s">
        <v>2324</v>
      </c>
      <c r="B71" s="64">
        <v>1.25</v>
      </c>
      <c r="C71" s="64">
        <v>3.24</v>
      </c>
      <c r="D71" s="64">
        <v>2.62</v>
      </c>
      <c r="E71" s="64">
        <v>1.1000000000000001</v>
      </c>
      <c r="F71" s="64">
        <v>6.16</v>
      </c>
      <c r="G71" s="64">
        <v>62.91</v>
      </c>
      <c r="H71" s="64">
        <v>24.5</v>
      </c>
      <c r="I71" s="64">
        <v>7.77</v>
      </c>
      <c r="J71" s="64">
        <v>0.48</v>
      </c>
      <c r="K71" s="64">
        <v>15.71</v>
      </c>
      <c r="L71" s="64">
        <v>36.46</v>
      </c>
      <c r="M71" s="64">
        <v>29.44</v>
      </c>
      <c r="N71" s="64">
        <v>150.4</v>
      </c>
      <c r="O71" s="64">
        <v>0</v>
      </c>
      <c r="P71" s="64">
        <v>0.55000000000000004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6" t="s">
        <v>2325</v>
      </c>
      <c r="B72" s="64">
        <v>1.27</v>
      </c>
      <c r="C72" s="64">
        <v>3.41</v>
      </c>
      <c r="D72" s="64">
        <v>2.72</v>
      </c>
      <c r="E72" s="64">
        <v>1.9</v>
      </c>
      <c r="F72" s="64">
        <v>6.04</v>
      </c>
      <c r="G72" s="64">
        <v>59.58</v>
      </c>
      <c r="H72" s="64">
        <v>21.94</v>
      </c>
      <c r="I72" s="64">
        <v>7.87</v>
      </c>
      <c r="J72" s="64">
        <v>0.8</v>
      </c>
      <c r="K72" s="64">
        <v>128.46</v>
      </c>
      <c r="L72" s="64">
        <v>35.909999999999997</v>
      </c>
      <c r="M72" s="64">
        <v>29.9</v>
      </c>
      <c r="N72" s="64">
        <v>131.30000000000001</v>
      </c>
      <c r="O72" s="64">
        <v>0</v>
      </c>
      <c r="P72" s="64">
        <v>0.54</v>
      </c>
      <c r="Q72" s="64">
        <v>9.27</v>
      </c>
      <c r="R72" s="198"/>
      <c r="S72" s="198"/>
      <c r="T72" s="198"/>
      <c r="U72" s="198"/>
    </row>
    <row r="73" spans="1:21" s="12" customFormat="1" x14ac:dyDescent="0.25">
      <c r="A73" s="216" t="s">
        <v>2326</v>
      </c>
      <c r="B73" s="64">
        <v>1.28</v>
      </c>
      <c r="C73" s="64">
        <v>3.6</v>
      </c>
      <c r="D73" s="64">
        <v>2.83</v>
      </c>
      <c r="E73" s="64">
        <v>2.33</v>
      </c>
      <c r="F73" s="64">
        <v>5.79</v>
      </c>
      <c r="G73" s="64">
        <v>59.38</v>
      </c>
      <c r="H73" s="64">
        <v>21.79</v>
      </c>
      <c r="I73" s="64">
        <v>7.89</v>
      </c>
      <c r="J73" s="64">
        <v>0.84</v>
      </c>
      <c r="K73" s="64">
        <v>143.41</v>
      </c>
      <c r="L73" s="64">
        <v>35.700000000000003</v>
      </c>
      <c r="M73" s="64">
        <v>30.33</v>
      </c>
      <c r="N73" s="64">
        <v>139.5</v>
      </c>
      <c r="O73" s="64">
        <v>0</v>
      </c>
      <c r="P73" s="64">
        <v>0.52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6" t="s">
        <v>2327</v>
      </c>
      <c r="B74" s="64">
        <v>1.3</v>
      </c>
      <c r="C74" s="64">
        <v>3.13</v>
      </c>
      <c r="D74" s="64">
        <v>2.59</v>
      </c>
      <c r="E74" s="64">
        <v>2.16</v>
      </c>
      <c r="F74" s="64">
        <v>5.37</v>
      </c>
      <c r="G74" s="64">
        <v>59.38</v>
      </c>
      <c r="H74" s="64">
        <v>21.79</v>
      </c>
      <c r="I74" s="64">
        <v>7.87</v>
      </c>
      <c r="J74" s="64">
        <v>1.33</v>
      </c>
      <c r="K74" s="64">
        <v>153.57</v>
      </c>
      <c r="L74" s="64">
        <v>35.83</v>
      </c>
      <c r="M74" s="64">
        <v>29.18</v>
      </c>
      <c r="N74" s="64">
        <v>109.8</v>
      </c>
      <c r="O74" s="64">
        <v>0</v>
      </c>
      <c r="P74" s="64">
        <v>0.5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6" t="s">
        <v>2328</v>
      </c>
      <c r="B75" s="64">
        <v>1.29</v>
      </c>
      <c r="C75" s="64">
        <v>2.94</v>
      </c>
      <c r="D75" s="64">
        <v>2.4900000000000002</v>
      </c>
      <c r="E75" s="64">
        <v>2.36</v>
      </c>
      <c r="F75" s="64">
        <v>5.26</v>
      </c>
      <c r="G75" s="64">
        <v>59.38</v>
      </c>
      <c r="H75" s="64">
        <v>21.79</v>
      </c>
      <c r="I75" s="64">
        <v>8.11</v>
      </c>
      <c r="J75" s="64">
        <v>0.67</v>
      </c>
      <c r="K75" s="64">
        <v>144.79</v>
      </c>
      <c r="L75" s="64">
        <v>35.76</v>
      </c>
      <c r="M75" s="64">
        <v>30.03</v>
      </c>
      <c r="N75" s="64">
        <v>88.5</v>
      </c>
      <c r="O75" s="64">
        <v>0</v>
      </c>
      <c r="P75" s="64">
        <v>0.48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6" t="s">
        <v>2329</v>
      </c>
      <c r="B76" s="64">
        <v>1.29</v>
      </c>
      <c r="C76" s="64">
        <v>2.92</v>
      </c>
      <c r="D76" s="64">
        <v>2.48</v>
      </c>
      <c r="E76" s="64">
        <v>2.1</v>
      </c>
      <c r="F76" s="64">
        <v>5.54</v>
      </c>
      <c r="G76" s="64">
        <v>54.6</v>
      </c>
      <c r="H76" s="64">
        <v>20.14</v>
      </c>
      <c r="I76" s="64">
        <v>8.49</v>
      </c>
      <c r="J76" s="64">
        <v>1.2</v>
      </c>
      <c r="K76" s="64">
        <v>148.31</v>
      </c>
      <c r="L76" s="64">
        <v>35.4</v>
      </c>
      <c r="M76" s="64">
        <v>30.21</v>
      </c>
      <c r="N76" s="64">
        <v>55.1</v>
      </c>
      <c r="O76" s="64">
        <v>0</v>
      </c>
      <c r="P76" s="64">
        <v>0.47</v>
      </c>
      <c r="Q76" s="64">
        <v>9.3699999999999992</v>
      </c>
      <c r="R76" s="198"/>
      <c r="S76" s="198"/>
      <c r="T76" s="198"/>
      <c r="U76" s="198"/>
    </row>
    <row r="77" spans="1:21" s="12" customFormat="1" x14ac:dyDescent="0.25">
      <c r="A77" s="216" t="s">
        <v>2330</v>
      </c>
      <c r="B77" s="64">
        <v>1.3</v>
      </c>
      <c r="C77" s="64">
        <v>2.97</v>
      </c>
      <c r="D77" s="64">
        <v>2.5099999999999998</v>
      </c>
      <c r="E77" s="64">
        <v>2.25</v>
      </c>
      <c r="F77" s="64">
        <v>5.69</v>
      </c>
      <c r="G77" s="64">
        <v>54.32</v>
      </c>
      <c r="H77" s="64">
        <v>20.04</v>
      </c>
      <c r="I77" s="64">
        <v>8.26</v>
      </c>
      <c r="J77" s="64">
        <v>0.39</v>
      </c>
      <c r="K77" s="64">
        <v>142.16999999999999</v>
      </c>
      <c r="L77" s="64">
        <v>34.700000000000003</v>
      </c>
      <c r="M77" s="64">
        <v>33.950000000000003</v>
      </c>
      <c r="N77" s="64">
        <v>40.1</v>
      </c>
      <c r="O77" s="64">
        <v>0</v>
      </c>
      <c r="P77" s="64">
        <v>0.45</v>
      </c>
      <c r="Q77" s="64">
        <v>9.36</v>
      </c>
      <c r="R77" s="198"/>
      <c r="S77" s="198"/>
      <c r="T77" s="198"/>
      <c r="U77" s="198"/>
    </row>
    <row r="78" spans="1:21" s="12" customFormat="1" x14ac:dyDescent="0.25">
      <c r="A78" s="216" t="s">
        <v>2331</v>
      </c>
      <c r="B78" s="64">
        <v>1.28</v>
      </c>
      <c r="C78" s="64">
        <v>3.27</v>
      </c>
      <c r="D78" s="64">
        <v>2.66</v>
      </c>
      <c r="E78" s="64">
        <v>2.42</v>
      </c>
      <c r="F78" s="64">
        <v>10.1</v>
      </c>
      <c r="G78" s="64">
        <v>54.32</v>
      </c>
      <c r="H78" s="64">
        <v>20.04</v>
      </c>
      <c r="I78" s="64">
        <v>8.1300000000000008</v>
      </c>
      <c r="J78" s="64">
        <v>1.04</v>
      </c>
      <c r="K78" s="64">
        <v>327.51</v>
      </c>
      <c r="L78" s="64">
        <v>33.58</v>
      </c>
      <c r="M78" s="64">
        <v>37.81</v>
      </c>
      <c r="N78" s="64">
        <v>27.1</v>
      </c>
      <c r="O78" s="64">
        <v>0</v>
      </c>
      <c r="P78" s="64">
        <v>0.46</v>
      </c>
      <c r="Q78" s="64">
        <v>9.3800000000000008</v>
      </c>
      <c r="R78" s="198"/>
      <c r="S78" s="198"/>
      <c r="T78" s="198"/>
      <c r="U78" s="198"/>
    </row>
    <row r="79" spans="1:21" s="12" customFormat="1" x14ac:dyDescent="0.25">
      <c r="A79" s="216" t="s">
        <v>2332</v>
      </c>
      <c r="B79" s="64">
        <v>1.26</v>
      </c>
      <c r="C79" s="64">
        <v>3.93</v>
      </c>
      <c r="D79" s="64">
        <v>2.98</v>
      </c>
      <c r="E79" s="64">
        <v>2.54</v>
      </c>
      <c r="F79" s="64">
        <v>15.16</v>
      </c>
      <c r="G79" s="64">
        <v>54.32</v>
      </c>
      <c r="H79" s="64">
        <v>20.04</v>
      </c>
      <c r="I79" s="64">
        <v>7.25</v>
      </c>
      <c r="J79" s="64">
        <v>4.88</v>
      </c>
      <c r="K79" s="64">
        <v>323.33</v>
      </c>
      <c r="L79" s="64">
        <v>28.66</v>
      </c>
      <c r="M79" s="64">
        <v>62.12</v>
      </c>
      <c r="N79" s="64">
        <v>43.5</v>
      </c>
      <c r="O79" s="64">
        <v>4</v>
      </c>
      <c r="P79" s="64">
        <v>0.47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6" t="s">
        <v>2333</v>
      </c>
      <c r="B80" s="64">
        <v>1.2</v>
      </c>
      <c r="C80" s="64">
        <v>3.31</v>
      </c>
      <c r="D80" s="64">
        <v>2.61</v>
      </c>
      <c r="E80" s="64">
        <v>2.71</v>
      </c>
      <c r="F80" s="64">
        <v>15.44</v>
      </c>
      <c r="G80" s="64">
        <v>67.44</v>
      </c>
      <c r="H80" s="64">
        <v>21.3</v>
      </c>
      <c r="I80" s="64">
        <v>7.14</v>
      </c>
      <c r="J80" s="64">
        <v>2.4900000000000002</v>
      </c>
      <c r="K80" s="64">
        <v>318.56</v>
      </c>
      <c r="L80" s="64">
        <v>22.2</v>
      </c>
      <c r="M80" s="64">
        <v>98.08</v>
      </c>
      <c r="N80" s="64">
        <v>21.5</v>
      </c>
      <c r="O80" s="64">
        <v>3</v>
      </c>
      <c r="P80" s="64">
        <v>0.39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6" t="s">
        <v>2334</v>
      </c>
      <c r="B81" s="64">
        <v>1.1399999999999999</v>
      </c>
      <c r="C81" s="64">
        <v>2.92</v>
      </c>
      <c r="D81" s="64">
        <v>2.36</v>
      </c>
      <c r="E81" s="64">
        <v>2.42</v>
      </c>
      <c r="F81" s="64">
        <v>9.15</v>
      </c>
      <c r="G81" s="64">
        <v>68.209999999999994</v>
      </c>
      <c r="H81" s="64">
        <v>21.37</v>
      </c>
      <c r="I81" s="64">
        <v>6.93</v>
      </c>
      <c r="J81" s="64">
        <v>0.18</v>
      </c>
      <c r="K81" s="64">
        <v>13.6</v>
      </c>
      <c r="L81" s="64">
        <v>21.72</v>
      </c>
      <c r="M81" s="64">
        <v>98.1</v>
      </c>
      <c r="N81" s="64">
        <v>19.100000000000001</v>
      </c>
      <c r="O81" s="64">
        <v>0.2</v>
      </c>
      <c r="P81" s="64">
        <v>0.37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16" t="s">
        <v>2335</v>
      </c>
      <c r="B82" s="64">
        <v>1.1599999999999999</v>
      </c>
      <c r="C82" s="64">
        <v>3.16</v>
      </c>
      <c r="D82" s="64">
        <v>2.5</v>
      </c>
      <c r="E82" s="64">
        <v>2.5499999999999998</v>
      </c>
      <c r="F82" s="64">
        <v>7.4</v>
      </c>
      <c r="G82" s="64">
        <v>68.209999999999994</v>
      </c>
      <c r="H82" s="64">
        <v>21.37</v>
      </c>
      <c r="I82" s="64">
        <v>5.98</v>
      </c>
      <c r="J82" s="64">
        <v>0.14000000000000001</v>
      </c>
      <c r="K82" s="64">
        <v>123.16</v>
      </c>
      <c r="L82" s="64">
        <v>22.59</v>
      </c>
      <c r="M82" s="64">
        <v>87.63</v>
      </c>
      <c r="N82" s="64">
        <v>19.899999999999999</v>
      </c>
      <c r="O82" s="64">
        <v>0.8</v>
      </c>
      <c r="P82" s="64">
        <v>0.36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16" t="s">
        <v>2336</v>
      </c>
      <c r="B83" s="64">
        <v>1.19</v>
      </c>
      <c r="C83" s="64">
        <v>3.11</v>
      </c>
      <c r="D83" s="64">
        <v>2.5</v>
      </c>
      <c r="E83" s="64">
        <v>2.5499999999999998</v>
      </c>
      <c r="F83" s="64">
        <v>5.53</v>
      </c>
      <c r="G83" s="64">
        <v>68.209999999999994</v>
      </c>
      <c r="H83" s="64">
        <v>21.37</v>
      </c>
      <c r="I83" s="64">
        <v>5.42</v>
      </c>
      <c r="J83" s="64">
        <v>0.12</v>
      </c>
      <c r="K83" s="64">
        <v>233.9</v>
      </c>
      <c r="L83" s="64">
        <v>22.67</v>
      </c>
      <c r="M83" s="64">
        <v>87.26</v>
      </c>
      <c r="N83" s="64">
        <v>19.2</v>
      </c>
      <c r="O83" s="64">
        <v>0</v>
      </c>
      <c r="P83" s="64">
        <v>0.36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16" t="s">
        <v>2337</v>
      </c>
      <c r="B84" s="64">
        <v>1.22</v>
      </c>
      <c r="C84" s="64">
        <v>3.01</v>
      </c>
      <c r="D84" s="64">
        <v>2.4700000000000002</v>
      </c>
      <c r="E84" s="64">
        <v>2.34</v>
      </c>
      <c r="F84" s="64">
        <v>6.04</v>
      </c>
      <c r="G84" s="64">
        <v>56.78</v>
      </c>
      <c r="H84" s="64">
        <v>19.260000000000002</v>
      </c>
      <c r="I84" s="64">
        <v>5.09</v>
      </c>
      <c r="J84" s="64">
        <v>0.28999999999999998</v>
      </c>
      <c r="K84" s="64">
        <v>7.56</v>
      </c>
      <c r="L84" s="64">
        <v>22.98</v>
      </c>
      <c r="M84" s="64">
        <v>81.69</v>
      </c>
      <c r="N84" s="64">
        <v>19.8</v>
      </c>
      <c r="O84" s="64">
        <v>0</v>
      </c>
      <c r="P84" s="64">
        <v>0.35</v>
      </c>
      <c r="Q84" s="64">
        <v>9.39</v>
      </c>
      <c r="R84" s="198"/>
      <c r="S84" s="198"/>
      <c r="T84" s="198"/>
      <c r="U84" s="198"/>
    </row>
    <row r="85" spans="1:26" s="12" customFormat="1" x14ac:dyDescent="0.25">
      <c r="A85" s="216" t="s">
        <v>2338</v>
      </c>
      <c r="B85" s="64">
        <v>1.21</v>
      </c>
      <c r="C85" s="64">
        <v>2.76</v>
      </c>
      <c r="D85" s="64">
        <v>2.34</v>
      </c>
      <c r="E85" s="64">
        <v>2.4300000000000002</v>
      </c>
      <c r="F85" s="64">
        <v>5.26</v>
      </c>
      <c r="G85" s="64">
        <v>56.11</v>
      </c>
      <c r="H85" s="64">
        <v>19.16</v>
      </c>
      <c r="I85" s="64">
        <v>4.87</v>
      </c>
      <c r="J85" s="64">
        <v>1.38</v>
      </c>
      <c r="K85" s="64">
        <v>155.18</v>
      </c>
      <c r="L85" s="64">
        <v>23.15</v>
      </c>
      <c r="M85" s="64">
        <v>80.72</v>
      </c>
      <c r="N85" s="64">
        <v>20</v>
      </c>
      <c r="O85" s="64">
        <v>0</v>
      </c>
      <c r="P85" s="64">
        <v>0.4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6" t="s">
        <v>2339</v>
      </c>
      <c r="B86" s="64">
        <v>1.22</v>
      </c>
      <c r="C86" s="64">
        <v>2.74</v>
      </c>
      <c r="D86" s="64">
        <v>2.34</v>
      </c>
      <c r="E86" s="64">
        <v>2.4700000000000002</v>
      </c>
      <c r="F86" s="64">
        <v>5.24</v>
      </c>
      <c r="G86" s="64">
        <v>56.11</v>
      </c>
      <c r="H86" s="64">
        <v>19.16</v>
      </c>
      <c r="I86" s="64">
        <v>4.71</v>
      </c>
      <c r="J86" s="64">
        <v>0.37</v>
      </c>
      <c r="K86" s="64">
        <v>201.37</v>
      </c>
      <c r="L86" s="64">
        <v>24.35</v>
      </c>
      <c r="M86" s="64">
        <v>69.760000000000005</v>
      </c>
      <c r="N86" s="64">
        <v>20.100000000000001</v>
      </c>
      <c r="O86" s="64">
        <v>0</v>
      </c>
      <c r="P86" s="64">
        <v>0.41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6" t="s">
        <v>2340</v>
      </c>
      <c r="B87" s="64">
        <v>1.22</v>
      </c>
      <c r="C87" s="64">
        <v>2.61</v>
      </c>
      <c r="D87" s="64">
        <v>2.2599999999999998</v>
      </c>
      <c r="E87" s="64">
        <v>2.41</v>
      </c>
      <c r="F87" s="64">
        <v>5.56</v>
      </c>
      <c r="G87" s="64">
        <v>56.11</v>
      </c>
      <c r="H87" s="64">
        <v>19.16</v>
      </c>
      <c r="I87" s="64">
        <v>4.5999999999999996</v>
      </c>
      <c r="J87" s="64">
        <v>0.42</v>
      </c>
      <c r="K87" s="64">
        <v>157.02000000000001</v>
      </c>
      <c r="L87" s="64">
        <v>25.07</v>
      </c>
      <c r="M87" s="64">
        <v>65.83</v>
      </c>
      <c r="N87" s="64">
        <v>19.5</v>
      </c>
      <c r="O87" s="64">
        <v>0</v>
      </c>
      <c r="P87" s="64">
        <v>0.41</v>
      </c>
      <c r="Q87" s="64">
        <v>9.3699999999999992</v>
      </c>
      <c r="R87" s="198"/>
      <c r="S87" s="198"/>
      <c r="T87" s="198"/>
      <c r="U87" s="198"/>
    </row>
    <row r="88" spans="1:26" s="12" customFormat="1" x14ac:dyDescent="0.25">
      <c r="A88" s="216" t="s">
        <v>2341</v>
      </c>
      <c r="B88" s="64">
        <v>1.2</v>
      </c>
      <c r="C88" s="64">
        <v>2.59</v>
      </c>
      <c r="D88" s="64">
        <v>2.23</v>
      </c>
      <c r="E88" s="64">
        <v>1.75</v>
      </c>
      <c r="F88" s="64">
        <v>5.53</v>
      </c>
      <c r="G88" s="64">
        <v>35.83</v>
      </c>
      <c r="H88" s="64">
        <v>15.65</v>
      </c>
      <c r="I88" s="64">
        <v>4.3</v>
      </c>
      <c r="J88" s="64">
        <v>0.23</v>
      </c>
      <c r="K88" s="64">
        <v>21.57</v>
      </c>
      <c r="L88" s="64">
        <v>25.3</v>
      </c>
      <c r="M88" s="64">
        <v>66.02</v>
      </c>
      <c r="N88" s="64">
        <v>18.600000000000001</v>
      </c>
      <c r="O88" s="64">
        <v>0</v>
      </c>
      <c r="P88" s="64">
        <v>0.41</v>
      </c>
      <c r="Q88" s="64">
        <v>9.3699999999999992</v>
      </c>
      <c r="R88" s="198"/>
      <c r="S88" s="198"/>
      <c r="T88" s="198"/>
      <c r="U88" s="198"/>
    </row>
    <row r="89" spans="1:26" s="12" customFormat="1" x14ac:dyDescent="0.25">
      <c r="A89" s="216" t="s">
        <v>2342</v>
      </c>
      <c r="B89" s="64">
        <v>1.18</v>
      </c>
      <c r="C89" s="64">
        <v>2.44</v>
      </c>
      <c r="D89" s="64">
        <v>2.14</v>
      </c>
      <c r="E89" s="64">
        <v>1.6</v>
      </c>
      <c r="F89" s="64">
        <v>5.41</v>
      </c>
      <c r="G89" s="64">
        <v>34.64</v>
      </c>
      <c r="H89" s="64">
        <v>15.49</v>
      </c>
      <c r="I89" s="64">
        <v>4.1500000000000004</v>
      </c>
      <c r="J89" s="64">
        <v>0.11</v>
      </c>
      <c r="K89" s="64">
        <v>344.01</v>
      </c>
      <c r="L89" s="64">
        <v>24.97</v>
      </c>
      <c r="M89" s="64">
        <v>69.540000000000006</v>
      </c>
      <c r="N89" s="64">
        <v>18.399999999999999</v>
      </c>
      <c r="O89" s="64">
        <v>0</v>
      </c>
      <c r="P89" s="64">
        <v>0.41</v>
      </c>
      <c r="Q89" s="64">
        <v>9.34</v>
      </c>
      <c r="R89" s="198"/>
      <c r="S89" s="198"/>
      <c r="T89" s="198"/>
      <c r="U89" s="198"/>
    </row>
    <row r="90" spans="1:26" s="12" customFormat="1" x14ac:dyDescent="0.25">
      <c r="A90" s="216" t="s">
        <v>2343</v>
      </c>
      <c r="B90" s="64">
        <v>1.27</v>
      </c>
      <c r="C90" s="64">
        <v>2.75</v>
      </c>
      <c r="D90" s="64">
        <v>2.37</v>
      </c>
      <c r="E90" s="64">
        <v>1.52</v>
      </c>
      <c r="F90" s="64">
        <v>4.78</v>
      </c>
      <c r="G90" s="64">
        <v>34.64</v>
      </c>
      <c r="H90" s="64">
        <v>15.49</v>
      </c>
      <c r="I90" s="64">
        <v>4.1500000000000004</v>
      </c>
      <c r="J90" s="64">
        <v>0.32</v>
      </c>
      <c r="K90" s="64">
        <v>350</v>
      </c>
      <c r="L90" s="64">
        <v>24.89</v>
      </c>
      <c r="M90" s="64">
        <v>75.88</v>
      </c>
      <c r="N90" s="64">
        <v>18.8</v>
      </c>
      <c r="O90" s="64">
        <v>0</v>
      </c>
      <c r="P90" s="64">
        <v>0.45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16" t="s">
        <v>2344</v>
      </c>
      <c r="B91" s="64">
        <v>1.55</v>
      </c>
      <c r="C91" s="64">
        <v>3.34</v>
      </c>
      <c r="D91" s="64">
        <v>2.91</v>
      </c>
      <c r="E91" s="64">
        <v>1.58</v>
      </c>
      <c r="F91" s="64">
        <v>3.02</v>
      </c>
      <c r="G91" s="64">
        <v>34.64</v>
      </c>
      <c r="H91" s="64">
        <v>15.49</v>
      </c>
      <c r="I91" s="64">
        <v>4.08</v>
      </c>
      <c r="J91" s="64">
        <v>0.79</v>
      </c>
      <c r="K91" s="64">
        <v>100.34</v>
      </c>
      <c r="L91" s="64">
        <v>25.45</v>
      </c>
      <c r="M91" s="64">
        <v>69.69</v>
      </c>
      <c r="N91" s="64">
        <v>17.399999999999999</v>
      </c>
      <c r="O91" s="64">
        <v>0</v>
      </c>
      <c r="P91" s="64">
        <v>0.48</v>
      </c>
      <c r="Q91" s="64">
        <v>9.36</v>
      </c>
      <c r="R91" s="198"/>
      <c r="S91" s="198"/>
      <c r="T91" s="198"/>
      <c r="U91" s="198"/>
    </row>
    <row r="92" spans="1:26" s="12" customFormat="1" x14ac:dyDescent="0.25">
      <c r="A92" s="216" t="s">
        <v>2345</v>
      </c>
      <c r="B92" s="64">
        <v>1.7</v>
      </c>
      <c r="C92" s="64">
        <v>3.16</v>
      </c>
      <c r="D92" s="64">
        <v>2.94</v>
      </c>
      <c r="E92" s="64">
        <v>1.72</v>
      </c>
      <c r="F92" s="64">
        <v>3.45</v>
      </c>
      <c r="G92" s="64">
        <v>34.71</v>
      </c>
      <c r="H92" s="64">
        <v>15.19</v>
      </c>
      <c r="I92" s="64">
        <v>4.25</v>
      </c>
      <c r="J92" s="64">
        <v>0.54</v>
      </c>
      <c r="K92" s="64">
        <v>346.23</v>
      </c>
      <c r="L92" s="64">
        <v>25.6</v>
      </c>
      <c r="M92" s="64">
        <v>72.319999999999993</v>
      </c>
      <c r="N92" s="64">
        <v>18.7</v>
      </c>
      <c r="O92" s="64">
        <v>0</v>
      </c>
      <c r="P92" s="64">
        <v>0.52</v>
      </c>
      <c r="Q92" s="64">
        <v>9.34</v>
      </c>
      <c r="R92" s="198"/>
      <c r="S92" s="198"/>
      <c r="T92" s="198"/>
      <c r="U92" s="198"/>
    </row>
    <row r="93" spans="1:26" s="12" customFormat="1" x14ac:dyDescent="0.25">
      <c r="A93" s="216" t="s">
        <v>2346</v>
      </c>
      <c r="B93" s="64">
        <v>1.81</v>
      </c>
      <c r="C93" s="64">
        <v>3.16</v>
      </c>
      <c r="D93" s="64">
        <v>3.02</v>
      </c>
      <c r="E93" s="64">
        <v>1.55</v>
      </c>
      <c r="F93" s="64">
        <v>3.71</v>
      </c>
      <c r="G93" s="64">
        <v>34.71</v>
      </c>
      <c r="H93" s="64">
        <v>15.17</v>
      </c>
      <c r="I93" s="64">
        <v>4.5599999999999996</v>
      </c>
      <c r="J93" s="64">
        <v>1.2</v>
      </c>
      <c r="K93" s="64">
        <v>350.57</v>
      </c>
      <c r="L93" s="64">
        <v>25.73</v>
      </c>
      <c r="M93" s="64">
        <v>69.19</v>
      </c>
      <c r="N93" s="64">
        <v>18.100000000000001</v>
      </c>
      <c r="O93" s="64">
        <v>0</v>
      </c>
      <c r="P93" s="64">
        <v>0.54</v>
      </c>
      <c r="Q93" s="64">
        <v>9.3800000000000008</v>
      </c>
      <c r="R93" s="198"/>
      <c r="S93" s="198"/>
      <c r="T93" s="198"/>
      <c r="U93" s="198"/>
    </row>
    <row r="94" spans="1:26" s="12" customFormat="1" x14ac:dyDescent="0.25">
      <c r="A94" s="216" t="s">
        <v>2347</v>
      </c>
      <c r="B94" s="64">
        <v>1.85</v>
      </c>
      <c r="C94" s="64">
        <v>3.21</v>
      </c>
      <c r="D94" s="64">
        <v>3.08</v>
      </c>
      <c r="E94" s="64">
        <v>1.27</v>
      </c>
      <c r="F94" s="64">
        <v>3.64</v>
      </c>
      <c r="G94" s="64">
        <v>34.71</v>
      </c>
      <c r="H94" s="64">
        <v>15.17</v>
      </c>
      <c r="I94" s="64">
        <v>4.95</v>
      </c>
      <c r="J94" s="64">
        <v>0.52</v>
      </c>
      <c r="K94" s="64">
        <v>339.03</v>
      </c>
      <c r="L94" s="64">
        <v>26.05</v>
      </c>
      <c r="M94" s="64">
        <v>65.38</v>
      </c>
      <c r="N94" s="64">
        <v>18.899999999999999</v>
      </c>
      <c r="O94" s="64">
        <v>0</v>
      </c>
      <c r="P94" s="64">
        <v>0.56999999999999995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6" t="s">
        <v>2348</v>
      </c>
      <c r="B95" s="64">
        <v>1.85</v>
      </c>
      <c r="C95" s="64">
        <v>3.39</v>
      </c>
      <c r="D95" s="64">
        <v>3.17</v>
      </c>
      <c r="E95" s="64">
        <v>1.3</v>
      </c>
      <c r="F95" s="64">
        <v>3.53</v>
      </c>
      <c r="G95" s="64">
        <v>34.71</v>
      </c>
      <c r="H95" s="64">
        <v>15.17</v>
      </c>
      <c r="I95" s="64">
        <v>5.24</v>
      </c>
      <c r="J95" s="64">
        <v>0.45</v>
      </c>
      <c r="K95" s="64">
        <v>342.62</v>
      </c>
      <c r="L95" s="64">
        <v>26.14</v>
      </c>
      <c r="M95" s="64">
        <v>66.459999999999994</v>
      </c>
      <c r="N95" s="64">
        <v>18.899999999999999</v>
      </c>
      <c r="O95" s="64">
        <v>0</v>
      </c>
      <c r="P95" s="64">
        <v>0.59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6" t="s">
        <v>2349</v>
      </c>
      <c r="B96" s="64">
        <v>1.88</v>
      </c>
      <c r="C96" s="64">
        <v>3.4</v>
      </c>
      <c r="D96" s="64">
        <v>3.2</v>
      </c>
      <c r="E96" s="64">
        <v>1.49</v>
      </c>
      <c r="F96" s="64">
        <v>3.29</v>
      </c>
      <c r="G96" s="64">
        <v>50.66</v>
      </c>
      <c r="H96" s="64">
        <v>14.86</v>
      </c>
      <c r="I96" s="64">
        <v>5.34</v>
      </c>
      <c r="J96" s="64">
        <v>0.33</v>
      </c>
      <c r="K96" s="64">
        <v>103.81</v>
      </c>
      <c r="L96" s="64">
        <v>26.22</v>
      </c>
      <c r="M96" s="64">
        <v>66.28</v>
      </c>
      <c r="N96" s="64">
        <v>18.8</v>
      </c>
      <c r="O96" s="64">
        <v>0</v>
      </c>
      <c r="P96" s="64">
        <v>0.6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2350</v>
      </c>
      <c r="B97" s="64">
        <v>1.86</v>
      </c>
      <c r="C97" s="64">
        <v>3.27</v>
      </c>
      <c r="D97" s="64">
        <v>3.12</v>
      </c>
      <c r="E97" s="64">
        <v>1.62</v>
      </c>
      <c r="F97" s="64">
        <v>3.57</v>
      </c>
      <c r="G97" s="64">
        <v>51.6</v>
      </c>
      <c r="H97" s="64">
        <v>14.85</v>
      </c>
      <c r="I97" s="64">
        <v>5.09</v>
      </c>
      <c r="J97" s="64">
        <v>0.13</v>
      </c>
      <c r="K97" s="64">
        <v>44.7</v>
      </c>
      <c r="L97" s="64">
        <v>26.45</v>
      </c>
      <c r="M97" s="64">
        <v>67.77</v>
      </c>
      <c r="N97" s="64">
        <v>18.899999999999999</v>
      </c>
      <c r="O97" s="64">
        <v>0</v>
      </c>
      <c r="P97" s="64">
        <v>0.59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16" t="s">
        <v>2351</v>
      </c>
      <c r="B98" s="64">
        <v>1.92</v>
      </c>
      <c r="C98" s="64">
        <v>3.33</v>
      </c>
      <c r="D98" s="64">
        <v>3.2</v>
      </c>
      <c r="E98" s="64">
        <v>1.19</v>
      </c>
      <c r="F98" s="64">
        <v>3.65</v>
      </c>
      <c r="G98" s="64">
        <v>51.6</v>
      </c>
      <c r="H98" s="64">
        <v>14.85</v>
      </c>
      <c r="I98" s="64">
        <v>4.84</v>
      </c>
      <c r="J98" s="64">
        <v>0.14000000000000001</v>
      </c>
      <c r="K98" s="64">
        <v>239.7</v>
      </c>
      <c r="L98" s="64">
        <v>25.96</v>
      </c>
      <c r="M98" s="64">
        <v>74.849999999999994</v>
      </c>
      <c r="N98" s="64">
        <v>19.3</v>
      </c>
      <c r="O98" s="64">
        <v>0</v>
      </c>
      <c r="P98" s="64">
        <v>0.64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16" t="s">
        <v>2352</v>
      </c>
      <c r="B99" s="64">
        <v>2.04</v>
      </c>
      <c r="C99" s="64">
        <v>3.53</v>
      </c>
      <c r="D99" s="64">
        <v>3.4</v>
      </c>
      <c r="E99" s="64">
        <v>1.62</v>
      </c>
      <c r="F99" s="64">
        <v>3.4</v>
      </c>
      <c r="G99" s="64">
        <v>51.6</v>
      </c>
      <c r="H99" s="64">
        <v>14.85</v>
      </c>
      <c r="I99" s="64">
        <v>4.92</v>
      </c>
      <c r="J99" s="64">
        <v>0.41</v>
      </c>
      <c r="K99" s="64">
        <v>146.32</v>
      </c>
      <c r="L99" s="64">
        <v>26.01</v>
      </c>
      <c r="M99" s="64">
        <v>72.010000000000005</v>
      </c>
      <c r="N99" s="64">
        <v>18.8</v>
      </c>
      <c r="O99" s="64">
        <v>0</v>
      </c>
      <c r="P99" s="64">
        <v>0.63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6" t="s">
        <v>2353</v>
      </c>
      <c r="B100" s="64">
        <v>2.0499999999999998</v>
      </c>
      <c r="C100" s="64">
        <v>3.64</v>
      </c>
      <c r="D100" s="64">
        <v>3.46</v>
      </c>
      <c r="E100" s="64">
        <v>1.79</v>
      </c>
      <c r="F100" s="64">
        <v>3.3</v>
      </c>
      <c r="G100" s="64">
        <v>61.03</v>
      </c>
      <c r="H100" s="64">
        <v>17.96</v>
      </c>
      <c r="I100" s="64">
        <v>5.58</v>
      </c>
      <c r="J100" s="64">
        <v>0.28000000000000003</v>
      </c>
      <c r="K100" s="64">
        <v>197.61</v>
      </c>
      <c r="L100" s="64">
        <v>25.58</v>
      </c>
      <c r="M100" s="64">
        <v>75.180000000000007</v>
      </c>
      <c r="N100" s="64">
        <v>19.399999999999999</v>
      </c>
      <c r="O100" s="64">
        <v>0</v>
      </c>
      <c r="P100" s="64">
        <v>0.62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2354</v>
      </c>
      <c r="B101" s="64">
        <v>1.96</v>
      </c>
      <c r="C101" s="64">
        <v>3.43</v>
      </c>
      <c r="D101" s="64">
        <v>3.28</v>
      </c>
      <c r="E101" s="64">
        <v>1.65</v>
      </c>
      <c r="F101" s="64">
        <v>3.77</v>
      </c>
      <c r="G101" s="64">
        <v>61.58</v>
      </c>
      <c r="H101" s="64">
        <v>18.149999999999999</v>
      </c>
      <c r="I101" s="64">
        <v>6.04</v>
      </c>
      <c r="J101" s="64">
        <v>0.15</v>
      </c>
      <c r="K101" s="64">
        <v>217.88</v>
      </c>
      <c r="L101" s="64">
        <v>25.32</v>
      </c>
      <c r="M101" s="64">
        <v>75.39</v>
      </c>
      <c r="N101" s="64">
        <v>19.100000000000001</v>
      </c>
      <c r="O101" s="64">
        <v>0</v>
      </c>
      <c r="P101" s="64">
        <v>0.62</v>
      </c>
      <c r="Q101" s="64">
        <v>9.5</v>
      </c>
      <c r="R101" s="198"/>
      <c r="S101" s="198"/>
      <c r="T101" s="198"/>
      <c r="U101" s="198"/>
    </row>
    <row r="102" spans="1:33" s="12" customFormat="1" x14ac:dyDescent="0.25">
      <c r="A102" s="216" t="s">
        <v>2355</v>
      </c>
      <c r="B102" s="64">
        <v>1.92</v>
      </c>
      <c r="C102" s="64">
        <v>3.59</v>
      </c>
      <c r="D102" s="64">
        <v>3.33</v>
      </c>
      <c r="E102" s="64">
        <v>1.87</v>
      </c>
      <c r="F102" s="64">
        <v>3.77</v>
      </c>
      <c r="G102" s="64">
        <v>61.58</v>
      </c>
      <c r="H102" s="64">
        <v>18.149999999999999</v>
      </c>
      <c r="I102" s="64">
        <v>6</v>
      </c>
      <c r="J102" s="64">
        <v>0.14000000000000001</v>
      </c>
      <c r="K102" s="64">
        <v>152.30000000000001</v>
      </c>
      <c r="L102" s="64">
        <v>25.34</v>
      </c>
      <c r="M102" s="64">
        <v>75.819999999999993</v>
      </c>
      <c r="N102" s="64">
        <v>18.8</v>
      </c>
      <c r="O102" s="64">
        <v>0</v>
      </c>
      <c r="P102" s="64">
        <v>0.61</v>
      </c>
      <c r="Q102" s="64">
        <v>9.4600000000000009</v>
      </c>
      <c r="R102" s="198"/>
      <c r="S102" s="198"/>
      <c r="T102" s="198"/>
      <c r="U102" s="198"/>
    </row>
    <row r="103" spans="1:33" s="12" customFormat="1" x14ac:dyDescent="0.25">
      <c r="A103" s="216" t="s">
        <v>2356</v>
      </c>
      <c r="B103" s="64">
        <v>1.97</v>
      </c>
      <c r="C103" s="64">
        <v>3.64</v>
      </c>
      <c r="D103" s="64">
        <v>3.4</v>
      </c>
      <c r="E103" s="64">
        <v>1.72</v>
      </c>
      <c r="F103" s="64">
        <v>3.94</v>
      </c>
      <c r="G103" s="64">
        <v>61.58</v>
      </c>
      <c r="H103" s="64">
        <v>18.149999999999999</v>
      </c>
      <c r="I103" s="64">
        <v>5.95</v>
      </c>
      <c r="J103" s="64">
        <v>0.17</v>
      </c>
      <c r="K103" s="64">
        <v>342.48</v>
      </c>
      <c r="L103" s="64">
        <v>25.17</v>
      </c>
      <c r="M103" s="64">
        <v>78.45</v>
      </c>
      <c r="N103" s="64">
        <v>19</v>
      </c>
      <c r="O103" s="64">
        <v>0</v>
      </c>
      <c r="P103" s="64">
        <v>0.61</v>
      </c>
      <c r="Q103" s="64">
        <v>9.3800000000000008</v>
      </c>
      <c r="R103" s="198"/>
      <c r="S103" s="198"/>
      <c r="T103" s="198"/>
      <c r="U103" s="198"/>
    </row>
    <row r="104" spans="1:33" s="12" customFormat="1" x14ac:dyDescent="0.25">
      <c r="A104" s="216" t="s">
        <v>2357</v>
      </c>
      <c r="B104" s="64">
        <v>1.99</v>
      </c>
      <c r="C104" s="64">
        <v>3.47</v>
      </c>
      <c r="D104" s="64">
        <v>3.33</v>
      </c>
      <c r="E104" s="64">
        <v>1.91</v>
      </c>
      <c r="F104" s="64">
        <v>3.55</v>
      </c>
      <c r="G104" s="64">
        <v>57.34</v>
      </c>
      <c r="H104" s="64">
        <v>15.69</v>
      </c>
      <c r="I104" s="64">
        <v>5.89</v>
      </c>
      <c r="J104" s="64">
        <v>0.15</v>
      </c>
      <c r="K104" s="64">
        <v>11.49</v>
      </c>
      <c r="L104" s="64">
        <v>25.18</v>
      </c>
      <c r="M104" s="64">
        <v>78.86</v>
      </c>
      <c r="N104" s="64">
        <v>18.899999999999999</v>
      </c>
      <c r="O104" s="64">
        <v>0</v>
      </c>
      <c r="P104" s="64">
        <v>0.6</v>
      </c>
      <c r="Q104" s="64">
        <v>9.36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1.1200000000000001</v>
      </c>
      <c r="C106" s="67">
        <f>MIN(C9:C104)</f>
        <v>1.17</v>
      </c>
      <c r="D106" s="67">
        <f t="shared" ref="D106:Q106" si="0">MIN(D9:D104)</f>
        <v>1.52</v>
      </c>
      <c r="E106" s="67">
        <f t="shared" si="0"/>
        <v>0.93</v>
      </c>
      <c r="F106" s="67">
        <f t="shared" si="0"/>
        <v>3.02</v>
      </c>
      <c r="G106" s="67">
        <f t="shared" si="0"/>
        <v>19.8</v>
      </c>
      <c r="H106" s="67">
        <f t="shared" si="0"/>
        <v>5.61</v>
      </c>
      <c r="I106" s="67">
        <f t="shared" si="0"/>
        <v>3.47</v>
      </c>
      <c r="J106" s="67">
        <f t="shared" si="0"/>
        <v>0.05</v>
      </c>
      <c r="K106" s="67">
        <f t="shared" si="0"/>
        <v>4.09</v>
      </c>
      <c r="L106" s="67">
        <f t="shared" si="0"/>
        <v>21.72</v>
      </c>
      <c r="M106" s="67">
        <f t="shared" si="0"/>
        <v>29.18</v>
      </c>
      <c r="N106" s="67">
        <f t="shared" si="0"/>
        <v>17.100000000000001</v>
      </c>
      <c r="O106" s="67">
        <f t="shared" si="0"/>
        <v>0</v>
      </c>
      <c r="P106" s="67">
        <f t="shared" si="0"/>
        <v>0.23</v>
      </c>
      <c r="Q106" s="67">
        <f t="shared" si="0"/>
        <v>9.25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2.0499999999999998</v>
      </c>
      <c r="C107" s="66">
        <f t="shared" ref="C107:Q107" si="1">MAX(C9:C104)</f>
        <v>3.93</v>
      </c>
      <c r="D107" s="66">
        <f t="shared" si="1"/>
        <v>3.46</v>
      </c>
      <c r="E107" s="66">
        <f t="shared" si="1"/>
        <v>2.71</v>
      </c>
      <c r="F107" s="66">
        <f t="shared" si="1"/>
        <v>24.68</v>
      </c>
      <c r="G107" s="66">
        <f t="shared" si="1"/>
        <v>68.209999999999994</v>
      </c>
      <c r="H107" s="66">
        <f t="shared" si="1"/>
        <v>24.5</v>
      </c>
      <c r="I107" s="66">
        <f t="shared" si="1"/>
        <v>10.41</v>
      </c>
      <c r="J107" s="66">
        <f t="shared" si="1"/>
        <v>4.88</v>
      </c>
      <c r="K107" s="66">
        <f t="shared" si="1"/>
        <v>357.33</v>
      </c>
      <c r="L107" s="66">
        <f t="shared" si="1"/>
        <v>37.21</v>
      </c>
      <c r="M107" s="66">
        <f t="shared" si="1"/>
        <v>98.1</v>
      </c>
      <c r="N107" s="66">
        <f t="shared" si="1"/>
        <v>855.8</v>
      </c>
      <c r="O107" s="66">
        <f t="shared" si="1"/>
        <v>4</v>
      </c>
      <c r="P107" s="66">
        <f t="shared" si="1"/>
        <v>0.92</v>
      </c>
      <c r="Q107" s="66">
        <f t="shared" si="1"/>
        <v>9.52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1.3456250000000001</v>
      </c>
      <c r="C108" s="67">
        <f t="shared" ref="C108:Q108" si="2">AVERAGE(C9:C104)</f>
        <v>2.7197916666666675</v>
      </c>
      <c r="D108" s="67">
        <f t="shared" si="2"/>
        <v>2.4194791666666671</v>
      </c>
      <c r="E108" s="67">
        <f t="shared" si="2"/>
        <v>1.6872916666666669</v>
      </c>
      <c r="F108" s="67">
        <f t="shared" si="2"/>
        <v>5.9377083333333331</v>
      </c>
      <c r="G108" s="67">
        <f t="shared" si="2"/>
        <v>43.103645833333339</v>
      </c>
      <c r="H108" s="67">
        <f t="shared" si="2"/>
        <v>15.167395833333336</v>
      </c>
      <c r="I108" s="67">
        <f t="shared" si="2"/>
        <v>6.5344791666666673</v>
      </c>
      <c r="J108" s="67">
        <f t="shared" si="2"/>
        <v>0.5179166666666668</v>
      </c>
      <c r="K108" s="67">
        <f t="shared" si="2"/>
        <v>191.76552083333334</v>
      </c>
      <c r="L108" s="67">
        <f t="shared" si="2"/>
        <v>29.031666666666666</v>
      </c>
      <c r="M108" s="67">
        <f t="shared" si="2"/>
        <v>56.493541666666665</v>
      </c>
      <c r="N108" s="67">
        <f t="shared" si="2"/>
        <v>180.13124999999988</v>
      </c>
      <c r="O108" s="67">
        <f t="shared" si="2"/>
        <v>8.3333333333333329E-2</v>
      </c>
      <c r="P108" s="67">
        <f t="shared" si="2"/>
        <v>0.51749999999999996</v>
      </c>
      <c r="Q108" s="67">
        <f t="shared" si="2"/>
        <v>9.3822916666666654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0.23655782646777465</v>
      </c>
      <c r="C109" s="67">
        <f t="shared" ref="C109:Q109" si="3">STDEV(C9:C104)</f>
        <v>0.64018250550204314</v>
      </c>
      <c r="D109" s="67">
        <f t="shared" si="3"/>
        <v>0.44537948288164736</v>
      </c>
      <c r="E109" s="67">
        <f t="shared" si="3"/>
        <v>0.42072238419342789</v>
      </c>
      <c r="F109" s="67">
        <f t="shared" si="3"/>
        <v>3.1946908191286041</v>
      </c>
      <c r="G109" s="67">
        <f t="shared" si="3"/>
        <v>15.278765596308146</v>
      </c>
      <c r="H109" s="67">
        <f t="shared" si="3"/>
        <v>5.4577013177019316</v>
      </c>
      <c r="I109" s="67">
        <f t="shared" si="3"/>
        <v>2.0445279315087079</v>
      </c>
      <c r="J109" s="67">
        <f t="shared" si="3"/>
        <v>0.60864978551175775</v>
      </c>
      <c r="K109" s="67">
        <f t="shared" si="3"/>
        <v>116.82758302522288</v>
      </c>
      <c r="L109" s="67">
        <f t="shared" si="3"/>
        <v>4.6591609063089052</v>
      </c>
      <c r="M109" s="67">
        <f t="shared" si="3"/>
        <v>18.149534950061675</v>
      </c>
      <c r="N109" s="67">
        <f t="shared" si="3"/>
        <v>215.75732777090593</v>
      </c>
      <c r="O109" s="67">
        <f t="shared" si="3"/>
        <v>0.51312595492143553</v>
      </c>
      <c r="P109" s="67">
        <f t="shared" si="3"/>
        <v>0.212983814556782</v>
      </c>
      <c r="Q109" s="67">
        <f t="shared" si="3"/>
        <v>5.7316832590833429E-2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2358</v>
      </c>
      <c r="B9" s="64">
        <v>1.92</v>
      </c>
      <c r="C9" s="64">
        <v>3.35</v>
      </c>
      <c r="D9" s="64">
        <v>3.21</v>
      </c>
      <c r="E9" s="64">
        <v>1.64</v>
      </c>
      <c r="F9" s="64">
        <v>3.27</v>
      </c>
      <c r="G9" s="64">
        <v>57.09</v>
      </c>
      <c r="H9" s="64">
        <v>15.58</v>
      </c>
      <c r="I9" s="64">
        <v>5.82</v>
      </c>
      <c r="J9" s="64">
        <v>0.22</v>
      </c>
      <c r="K9" s="64">
        <v>5.0999999999999996</v>
      </c>
      <c r="L9" s="64">
        <v>25.14</v>
      </c>
      <c r="M9" s="64">
        <v>78.760000000000005</v>
      </c>
      <c r="N9" s="64">
        <v>18.899999999999999</v>
      </c>
      <c r="O9" s="64">
        <v>0</v>
      </c>
      <c r="P9" s="64">
        <v>0.6</v>
      </c>
      <c r="Q9" s="64">
        <v>9.3800000000000008</v>
      </c>
      <c r="S9" s="198"/>
      <c r="T9" s="198"/>
      <c r="U9" s="198"/>
    </row>
    <row r="10" spans="1:21" s="12" customFormat="1" x14ac:dyDescent="0.25">
      <c r="A10" s="216" t="s">
        <v>2359</v>
      </c>
      <c r="B10" s="64">
        <v>1.83</v>
      </c>
      <c r="C10" s="64">
        <v>3.51</v>
      </c>
      <c r="D10" s="64">
        <v>3.22</v>
      </c>
      <c r="E10" s="64">
        <v>1.64</v>
      </c>
      <c r="F10" s="64">
        <v>3.27</v>
      </c>
      <c r="G10" s="64">
        <v>57.09</v>
      </c>
      <c r="H10" s="64">
        <v>15.58</v>
      </c>
      <c r="I10" s="64">
        <v>5.76</v>
      </c>
      <c r="J10" s="64">
        <v>0.14000000000000001</v>
      </c>
      <c r="K10" s="64">
        <v>6.92</v>
      </c>
      <c r="L10" s="64">
        <v>24.96</v>
      </c>
      <c r="M10" s="64">
        <v>78.430000000000007</v>
      </c>
      <c r="N10" s="64">
        <v>18.8</v>
      </c>
      <c r="O10" s="64">
        <v>0</v>
      </c>
      <c r="P10" s="64">
        <v>0.57999999999999996</v>
      </c>
      <c r="Q10" s="64">
        <v>9.39</v>
      </c>
      <c r="S10" s="198"/>
      <c r="T10" s="198"/>
      <c r="U10" s="198"/>
    </row>
    <row r="11" spans="1:21" s="12" customFormat="1" x14ac:dyDescent="0.25">
      <c r="A11" s="216" t="s">
        <v>2360</v>
      </c>
      <c r="B11" s="64">
        <v>1.75</v>
      </c>
      <c r="C11" s="64">
        <v>3.17</v>
      </c>
      <c r="D11" s="64">
        <v>2.98</v>
      </c>
      <c r="E11" s="64">
        <v>1.41</v>
      </c>
      <c r="F11" s="64">
        <v>3.25</v>
      </c>
      <c r="G11" s="64">
        <v>57.09</v>
      </c>
      <c r="H11" s="64">
        <v>15.58</v>
      </c>
      <c r="I11" s="64">
        <v>5.57</v>
      </c>
      <c r="J11" s="64">
        <v>0.05</v>
      </c>
      <c r="K11" s="64">
        <v>233.18</v>
      </c>
      <c r="L11" s="64">
        <v>24.93</v>
      </c>
      <c r="M11" s="64">
        <v>76.540000000000006</v>
      </c>
      <c r="N11" s="64">
        <v>18.600000000000001</v>
      </c>
      <c r="O11" s="64">
        <v>0</v>
      </c>
      <c r="P11" s="64">
        <v>0.57999999999999996</v>
      </c>
      <c r="Q11" s="64">
        <v>9.3699999999999992</v>
      </c>
      <c r="S11" s="198"/>
      <c r="T11" s="198"/>
      <c r="U11" s="198"/>
    </row>
    <row r="12" spans="1:21" s="12" customFormat="1" x14ac:dyDescent="0.25">
      <c r="A12" s="216" t="s">
        <v>2361</v>
      </c>
      <c r="B12" s="64">
        <v>1.74</v>
      </c>
      <c r="C12" s="64">
        <v>2.99</v>
      </c>
      <c r="D12" s="64">
        <v>2.88</v>
      </c>
      <c r="E12" s="64">
        <v>1.69</v>
      </c>
      <c r="F12" s="64">
        <v>3.14</v>
      </c>
      <c r="G12" s="64">
        <v>54.24</v>
      </c>
      <c r="H12" s="64">
        <v>10.43</v>
      </c>
      <c r="I12" s="64">
        <v>5.44</v>
      </c>
      <c r="J12" s="64">
        <v>7.0000000000000007E-2</v>
      </c>
      <c r="K12" s="64">
        <v>310.29000000000002</v>
      </c>
      <c r="L12" s="64">
        <v>24.78</v>
      </c>
      <c r="M12" s="64">
        <v>77.25</v>
      </c>
      <c r="N12" s="64">
        <v>18.7</v>
      </c>
      <c r="O12" s="64">
        <v>0</v>
      </c>
      <c r="P12" s="64">
        <v>0.56999999999999995</v>
      </c>
      <c r="Q12" s="64">
        <v>9.4</v>
      </c>
      <c r="S12" s="198"/>
      <c r="T12" s="198"/>
      <c r="U12" s="198"/>
    </row>
    <row r="13" spans="1:21" s="12" customFormat="1" x14ac:dyDescent="0.25">
      <c r="A13" s="216" t="s">
        <v>2362</v>
      </c>
      <c r="B13" s="64">
        <v>1.76</v>
      </c>
      <c r="C13" s="64">
        <v>3.05</v>
      </c>
      <c r="D13" s="64">
        <v>2.93</v>
      </c>
      <c r="E13" s="64">
        <v>1.8</v>
      </c>
      <c r="F13" s="64">
        <v>3.32</v>
      </c>
      <c r="G13" s="64">
        <v>54.08</v>
      </c>
      <c r="H13" s="64">
        <v>10.130000000000001</v>
      </c>
      <c r="I13" s="64">
        <v>5.35</v>
      </c>
      <c r="J13" s="64">
        <v>0.09</v>
      </c>
      <c r="K13" s="64">
        <v>336.77</v>
      </c>
      <c r="L13" s="64">
        <v>24.42</v>
      </c>
      <c r="M13" s="64">
        <v>78.56</v>
      </c>
      <c r="N13" s="64">
        <v>18.8</v>
      </c>
      <c r="O13" s="64">
        <v>0</v>
      </c>
      <c r="P13" s="64">
        <v>0.54</v>
      </c>
      <c r="Q13" s="64">
        <v>9.39</v>
      </c>
      <c r="S13" s="198"/>
      <c r="T13" s="198"/>
      <c r="U13" s="198"/>
    </row>
    <row r="14" spans="1:21" s="12" customFormat="1" x14ac:dyDescent="0.25">
      <c r="A14" s="216" t="s">
        <v>2363</v>
      </c>
      <c r="B14" s="64">
        <v>1.78</v>
      </c>
      <c r="C14" s="64">
        <v>2.76</v>
      </c>
      <c r="D14" s="64">
        <v>2.79</v>
      </c>
      <c r="E14" s="64">
        <v>1.42</v>
      </c>
      <c r="F14" s="64">
        <v>3.41</v>
      </c>
      <c r="G14" s="64">
        <v>54.08</v>
      </c>
      <c r="H14" s="64">
        <v>10.130000000000001</v>
      </c>
      <c r="I14" s="64">
        <v>5.27</v>
      </c>
      <c r="J14" s="64">
        <v>0.02</v>
      </c>
      <c r="K14" s="64">
        <v>203.64</v>
      </c>
      <c r="L14" s="64">
        <v>24.15</v>
      </c>
      <c r="M14" s="64">
        <v>83.23</v>
      </c>
      <c r="N14" s="64">
        <v>18.8</v>
      </c>
      <c r="O14" s="64">
        <v>0</v>
      </c>
      <c r="P14" s="64">
        <v>0.54</v>
      </c>
      <c r="Q14" s="64">
        <v>9.34</v>
      </c>
      <c r="S14" s="198"/>
      <c r="T14" s="198"/>
      <c r="U14" s="198"/>
    </row>
    <row r="15" spans="1:21" s="12" customFormat="1" x14ac:dyDescent="0.25">
      <c r="A15" s="216" t="s">
        <v>2364</v>
      </c>
      <c r="B15" s="64">
        <v>1.76</v>
      </c>
      <c r="C15" s="64">
        <v>2.17</v>
      </c>
      <c r="D15" s="64">
        <v>2.46</v>
      </c>
      <c r="E15" s="64">
        <v>1.22</v>
      </c>
      <c r="F15" s="64">
        <v>3.51</v>
      </c>
      <c r="G15" s="64">
        <v>54.08</v>
      </c>
      <c r="H15" s="64">
        <v>10.130000000000001</v>
      </c>
      <c r="I15" s="64">
        <v>4.84</v>
      </c>
      <c r="J15" s="64">
        <v>0.1</v>
      </c>
      <c r="K15" s="64">
        <v>192.05</v>
      </c>
      <c r="L15" s="64">
        <v>23.89</v>
      </c>
      <c r="M15" s="64">
        <v>86.58</v>
      </c>
      <c r="N15" s="64">
        <v>18.600000000000001</v>
      </c>
      <c r="O15" s="64">
        <v>0</v>
      </c>
      <c r="P15" s="64">
        <v>0.54</v>
      </c>
      <c r="Q15" s="64">
        <v>9.3000000000000007</v>
      </c>
      <c r="S15" s="198"/>
      <c r="T15" s="198"/>
      <c r="U15" s="198"/>
    </row>
    <row r="16" spans="1:21" s="12" customFormat="1" x14ac:dyDescent="0.25">
      <c r="A16" s="216" t="s">
        <v>2365</v>
      </c>
      <c r="B16" s="64">
        <v>1.71</v>
      </c>
      <c r="C16" s="64">
        <v>1.61</v>
      </c>
      <c r="D16" s="64">
        <v>2.13</v>
      </c>
      <c r="E16" s="64">
        <v>1.45</v>
      </c>
      <c r="F16" s="64">
        <v>3.43</v>
      </c>
      <c r="G16" s="64">
        <v>44.39</v>
      </c>
      <c r="H16" s="64">
        <v>18.75</v>
      </c>
      <c r="I16" s="64">
        <v>4.7300000000000004</v>
      </c>
      <c r="J16" s="64">
        <v>0.19</v>
      </c>
      <c r="K16" s="64">
        <v>206.15</v>
      </c>
      <c r="L16" s="64">
        <v>23.89</v>
      </c>
      <c r="M16" s="64">
        <v>85.86</v>
      </c>
      <c r="N16" s="64">
        <v>18.399999999999999</v>
      </c>
      <c r="O16" s="64">
        <v>0</v>
      </c>
      <c r="P16" s="64">
        <v>0.53</v>
      </c>
      <c r="Q16" s="64">
        <v>9.3800000000000008</v>
      </c>
      <c r="S16" s="198"/>
      <c r="T16" s="198"/>
      <c r="U16" s="198"/>
    </row>
    <row r="17" spans="1:21" s="12" customFormat="1" x14ac:dyDescent="0.25">
      <c r="A17" s="216" t="s">
        <v>2366</v>
      </c>
      <c r="B17" s="64">
        <v>1.79</v>
      </c>
      <c r="C17" s="64">
        <v>1.83</v>
      </c>
      <c r="D17" s="64">
        <v>2.31</v>
      </c>
      <c r="E17" s="64">
        <v>1.29</v>
      </c>
      <c r="F17" s="64">
        <v>3.5</v>
      </c>
      <c r="G17" s="64">
        <v>43.82</v>
      </c>
      <c r="H17" s="64">
        <v>19.260000000000002</v>
      </c>
      <c r="I17" s="64">
        <v>4.9000000000000004</v>
      </c>
      <c r="J17" s="64">
        <v>0.18</v>
      </c>
      <c r="K17" s="64">
        <v>304.87</v>
      </c>
      <c r="L17" s="64">
        <v>23.88</v>
      </c>
      <c r="M17" s="64">
        <v>88.9</v>
      </c>
      <c r="N17" s="64">
        <v>18.600000000000001</v>
      </c>
      <c r="O17" s="64">
        <v>0</v>
      </c>
      <c r="P17" s="64">
        <v>0.53</v>
      </c>
      <c r="Q17" s="64">
        <v>9.42</v>
      </c>
      <c r="S17" s="198"/>
      <c r="T17" s="198"/>
      <c r="U17" s="198"/>
    </row>
    <row r="18" spans="1:21" s="12" customFormat="1" x14ac:dyDescent="0.25">
      <c r="A18" s="216" t="s">
        <v>2367</v>
      </c>
      <c r="B18" s="64">
        <v>1.84</v>
      </c>
      <c r="C18" s="64">
        <v>1.92</v>
      </c>
      <c r="D18" s="64">
        <v>2.4</v>
      </c>
      <c r="E18" s="64">
        <v>1.19</v>
      </c>
      <c r="F18" s="64">
        <v>3.22</v>
      </c>
      <c r="G18" s="64">
        <v>43.82</v>
      </c>
      <c r="H18" s="64">
        <v>19.260000000000002</v>
      </c>
      <c r="I18" s="64">
        <v>4.97</v>
      </c>
      <c r="J18" s="64">
        <v>0.16</v>
      </c>
      <c r="K18" s="64">
        <v>34.47</v>
      </c>
      <c r="L18" s="64">
        <v>23.66</v>
      </c>
      <c r="M18" s="64">
        <v>89.48</v>
      </c>
      <c r="N18" s="64">
        <v>18.399999999999999</v>
      </c>
      <c r="O18" s="64">
        <v>0</v>
      </c>
      <c r="P18" s="64">
        <v>0.52</v>
      </c>
      <c r="Q18" s="64">
        <v>9.43</v>
      </c>
      <c r="S18" s="198"/>
      <c r="T18" s="198"/>
      <c r="U18" s="198"/>
    </row>
    <row r="19" spans="1:21" s="12" customFormat="1" x14ac:dyDescent="0.25">
      <c r="A19" s="216" t="s">
        <v>2368</v>
      </c>
      <c r="B19" s="64">
        <v>1.92</v>
      </c>
      <c r="C19" s="64">
        <v>2.0499999999999998</v>
      </c>
      <c r="D19" s="64">
        <v>2.5299999999999998</v>
      </c>
      <c r="E19" s="64">
        <v>1.51</v>
      </c>
      <c r="F19" s="64">
        <v>3.36</v>
      </c>
      <c r="G19" s="64">
        <v>43.82</v>
      </c>
      <c r="H19" s="64">
        <v>19.260000000000002</v>
      </c>
      <c r="I19" s="64">
        <v>5.07</v>
      </c>
      <c r="J19" s="64">
        <v>0.14000000000000001</v>
      </c>
      <c r="K19" s="64">
        <v>13.47</v>
      </c>
      <c r="L19" s="64">
        <v>23.7</v>
      </c>
      <c r="M19" s="64">
        <v>90.27</v>
      </c>
      <c r="N19" s="64">
        <v>18.5</v>
      </c>
      <c r="O19" s="64">
        <v>0</v>
      </c>
      <c r="P19" s="64">
        <v>0.52</v>
      </c>
      <c r="Q19" s="64">
        <v>9.4600000000000009</v>
      </c>
      <c r="S19" s="198"/>
      <c r="T19" s="198"/>
      <c r="U19" s="198"/>
    </row>
    <row r="20" spans="1:21" s="12" customFormat="1" x14ac:dyDescent="0.25">
      <c r="A20" s="216" t="s">
        <v>2369</v>
      </c>
      <c r="B20" s="64">
        <v>1.96</v>
      </c>
      <c r="C20" s="64">
        <v>2.04</v>
      </c>
      <c r="D20" s="64">
        <v>2.56</v>
      </c>
      <c r="E20" s="64">
        <v>1.34</v>
      </c>
      <c r="F20" s="64">
        <v>3.3</v>
      </c>
      <c r="G20" s="64">
        <v>52.6</v>
      </c>
      <c r="H20" s="64">
        <v>19.38</v>
      </c>
      <c r="I20" s="64">
        <v>5.29</v>
      </c>
      <c r="J20" s="64">
        <v>0.37</v>
      </c>
      <c r="K20" s="64">
        <v>355.72</v>
      </c>
      <c r="L20" s="64">
        <v>23.67</v>
      </c>
      <c r="M20" s="64">
        <v>87.3</v>
      </c>
      <c r="N20" s="64">
        <v>18.2</v>
      </c>
      <c r="O20" s="64">
        <v>0</v>
      </c>
      <c r="P20" s="64">
        <v>0.52</v>
      </c>
      <c r="Q20" s="64">
        <v>9.44</v>
      </c>
      <c r="S20" s="198"/>
      <c r="T20" s="198"/>
      <c r="U20" s="198"/>
    </row>
    <row r="21" spans="1:21" s="12" customFormat="1" x14ac:dyDescent="0.25">
      <c r="A21" s="216" t="s">
        <v>2370</v>
      </c>
      <c r="B21" s="64">
        <v>1.93</v>
      </c>
      <c r="C21" s="64">
        <v>2.1</v>
      </c>
      <c r="D21" s="64">
        <v>2.57</v>
      </c>
      <c r="E21" s="64">
        <v>1.45</v>
      </c>
      <c r="F21" s="64">
        <v>3.45</v>
      </c>
      <c r="G21" s="64">
        <v>53.12</v>
      </c>
      <c r="H21" s="64">
        <v>19.39</v>
      </c>
      <c r="I21" s="64">
        <v>5.48</v>
      </c>
      <c r="J21" s="64">
        <v>0.9</v>
      </c>
      <c r="K21" s="64">
        <v>355.61</v>
      </c>
      <c r="L21" s="64">
        <v>24.07</v>
      </c>
      <c r="M21" s="64">
        <v>81.66</v>
      </c>
      <c r="N21" s="64">
        <v>17.5</v>
      </c>
      <c r="O21" s="64">
        <v>0</v>
      </c>
      <c r="P21" s="64">
        <v>0.52</v>
      </c>
      <c r="Q21" s="64">
        <v>9.44</v>
      </c>
      <c r="S21" s="198"/>
      <c r="T21" s="198"/>
      <c r="U21" s="198"/>
    </row>
    <row r="22" spans="1:21" s="12" customFormat="1" x14ac:dyDescent="0.25">
      <c r="A22" s="216" t="s">
        <v>2371</v>
      </c>
      <c r="B22" s="64">
        <v>1.89</v>
      </c>
      <c r="C22" s="64">
        <v>2.2000000000000002</v>
      </c>
      <c r="D22" s="64">
        <v>2.59</v>
      </c>
      <c r="E22" s="64">
        <v>1.29</v>
      </c>
      <c r="F22" s="64">
        <v>3.5</v>
      </c>
      <c r="G22" s="64">
        <v>53.12</v>
      </c>
      <c r="H22" s="64">
        <v>19.39</v>
      </c>
      <c r="I22" s="64">
        <v>5.92</v>
      </c>
      <c r="J22" s="64">
        <v>0.41</v>
      </c>
      <c r="K22" s="64">
        <v>354.82</v>
      </c>
      <c r="L22" s="64">
        <v>24.24</v>
      </c>
      <c r="M22" s="64">
        <v>80.400000000000006</v>
      </c>
      <c r="N22" s="64">
        <v>18.5</v>
      </c>
      <c r="O22" s="64">
        <v>0</v>
      </c>
      <c r="P22" s="64">
        <v>0.53</v>
      </c>
      <c r="Q22" s="64">
        <v>9.4499999999999993</v>
      </c>
      <c r="S22" s="198"/>
      <c r="T22" s="198"/>
      <c r="U22" s="198"/>
    </row>
    <row r="23" spans="1:21" s="12" customFormat="1" x14ac:dyDescent="0.25">
      <c r="A23" s="216" t="s">
        <v>2372</v>
      </c>
      <c r="B23" s="64">
        <v>2.0099999999999998</v>
      </c>
      <c r="C23" s="64">
        <v>2.4300000000000002</v>
      </c>
      <c r="D23" s="64">
        <v>2.8</v>
      </c>
      <c r="E23" s="64">
        <v>1.25</v>
      </c>
      <c r="F23" s="64">
        <v>3.48</v>
      </c>
      <c r="G23" s="64">
        <v>53.12</v>
      </c>
      <c r="H23" s="64">
        <v>19.39</v>
      </c>
      <c r="I23" s="64">
        <v>6.71</v>
      </c>
      <c r="J23" s="64">
        <v>0.47</v>
      </c>
      <c r="K23" s="64">
        <v>342.73</v>
      </c>
      <c r="L23" s="64">
        <v>24.1</v>
      </c>
      <c r="M23" s="64">
        <v>82.78</v>
      </c>
      <c r="N23" s="64">
        <v>18.5</v>
      </c>
      <c r="O23" s="64">
        <v>0</v>
      </c>
      <c r="P23" s="64">
        <v>0.55000000000000004</v>
      </c>
      <c r="Q23" s="64">
        <v>9.43</v>
      </c>
      <c r="S23" s="198"/>
      <c r="T23" s="198"/>
      <c r="U23" s="198"/>
    </row>
    <row r="24" spans="1:21" s="12" customFormat="1" x14ac:dyDescent="0.25">
      <c r="A24" s="216" t="s">
        <v>2373</v>
      </c>
      <c r="B24" s="64">
        <v>2.16</v>
      </c>
      <c r="C24" s="64">
        <v>2.42</v>
      </c>
      <c r="D24" s="64">
        <v>2.92</v>
      </c>
      <c r="E24" s="64">
        <v>1.44</v>
      </c>
      <c r="F24" s="64">
        <v>3.25</v>
      </c>
      <c r="G24" s="64">
        <v>74.069999999999993</v>
      </c>
      <c r="H24" s="64">
        <v>28.6</v>
      </c>
      <c r="I24" s="64">
        <v>7.07</v>
      </c>
      <c r="J24" s="64">
        <v>0.09</v>
      </c>
      <c r="K24" s="64">
        <v>149.27000000000001</v>
      </c>
      <c r="L24" s="64">
        <v>23.94</v>
      </c>
      <c r="M24" s="64">
        <v>80.91</v>
      </c>
      <c r="N24" s="64">
        <v>18.8</v>
      </c>
      <c r="O24" s="64">
        <v>0</v>
      </c>
      <c r="P24" s="64">
        <v>0.56999999999999995</v>
      </c>
      <c r="Q24" s="64">
        <v>9.44</v>
      </c>
      <c r="S24" s="198"/>
      <c r="T24" s="198"/>
      <c r="U24" s="198"/>
    </row>
    <row r="25" spans="1:21" s="12" customFormat="1" x14ac:dyDescent="0.25">
      <c r="A25" s="216" t="s">
        <v>2374</v>
      </c>
      <c r="B25" s="64">
        <v>2.25</v>
      </c>
      <c r="C25" s="64">
        <v>2.34</v>
      </c>
      <c r="D25" s="64">
        <v>2.95</v>
      </c>
      <c r="E25" s="64">
        <v>1.59</v>
      </c>
      <c r="F25" s="64">
        <v>3.09</v>
      </c>
      <c r="G25" s="64">
        <v>75.3</v>
      </c>
      <c r="H25" s="64">
        <v>29.14</v>
      </c>
      <c r="I25" s="64">
        <v>7.13</v>
      </c>
      <c r="J25" s="64">
        <v>0.11</v>
      </c>
      <c r="K25" s="64">
        <v>198.27</v>
      </c>
      <c r="L25" s="64">
        <v>23.76</v>
      </c>
      <c r="M25" s="64">
        <v>83.68</v>
      </c>
      <c r="N25" s="64">
        <v>18.8</v>
      </c>
      <c r="O25" s="64">
        <v>0</v>
      </c>
      <c r="P25" s="64">
        <v>0.59</v>
      </c>
      <c r="Q25" s="64">
        <v>9.4600000000000009</v>
      </c>
      <c r="S25" s="198"/>
      <c r="T25" s="198"/>
      <c r="U25" s="198"/>
    </row>
    <row r="26" spans="1:21" s="12" customFormat="1" x14ac:dyDescent="0.25">
      <c r="A26" s="216" t="s">
        <v>2375</v>
      </c>
      <c r="B26" s="64">
        <v>2.46</v>
      </c>
      <c r="C26" s="64">
        <v>2.36</v>
      </c>
      <c r="D26" s="64">
        <v>3.13</v>
      </c>
      <c r="E26" s="64">
        <v>1.46</v>
      </c>
      <c r="F26" s="64">
        <v>3.17</v>
      </c>
      <c r="G26" s="64">
        <v>75.3</v>
      </c>
      <c r="H26" s="64">
        <v>29.14</v>
      </c>
      <c r="I26" s="64">
        <v>7.33</v>
      </c>
      <c r="J26" s="64">
        <v>0.24</v>
      </c>
      <c r="K26" s="64">
        <v>140.55000000000001</v>
      </c>
      <c r="L26" s="64">
        <v>23.65</v>
      </c>
      <c r="M26" s="64">
        <v>85.7</v>
      </c>
      <c r="N26" s="64">
        <v>18.399999999999999</v>
      </c>
      <c r="O26" s="64">
        <v>0</v>
      </c>
      <c r="P26" s="64">
        <v>0.62</v>
      </c>
      <c r="Q26" s="64">
        <v>9.4600000000000009</v>
      </c>
      <c r="S26" s="198"/>
      <c r="T26" s="198"/>
      <c r="U26" s="198"/>
    </row>
    <row r="27" spans="1:21" s="12" customFormat="1" x14ac:dyDescent="0.25">
      <c r="A27" s="216" t="s">
        <v>2376</v>
      </c>
      <c r="B27" s="64">
        <v>2.71</v>
      </c>
      <c r="C27" s="64">
        <v>2.54</v>
      </c>
      <c r="D27" s="64">
        <v>3.42</v>
      </c>
      <c r="E27" s="64">
        <v>1.25</v>
      </c>
      <c r="F27" s="64">
        <v>3.26</v>
      </c>
      <c r="G27" s="64">
        <v>75.3</v>
      </c>
      <c r="H27" s="64">
        <v>29.14</v>
      </c>
      <c r="I27" s="64">
        <v>7.5</v>
      </c>
      <c r="J27" s="64">
        <v>0.13</v>
      </c>
      <c r="K27" s="64">
        <v>62.03</v>
      </c>
      <c r="L27" s="64">
        <v>23.75</v>
      </c>
      <c r="M27" s="64">
        <v>86.79</v>
      </c>
      <c r="N27" s="64">
        <v>18.399999999999999</v>
      </c>
      <c r="O27" s="64">
        <v>0</v>
      </c>
      <c r="P27" s="64">
        <v>0.63</v>
      </c>
      <c r="Q27" s="64">
        <v>9.48</v>
      </c>
      <c r="S27" s="198"/>
      <c r="T27" s="198"/>
      <c r="U27" s="198"/>
    </row>
    <row r="28" spans="1:21" s="12" customFormat="1" x14ac:dyDescent="0.25">
      <c r="A28" s="216" t="s">
        <v>2377</v>
      </c>
      <c r="B28" s="64">
        <v>3.02</v>
      </c>
      <c r="C28" s="64">
        <v>2.75</v>
      </c>
      <c r="D28" s="64">
        <v>3.78</v>
      </c>
      <c r="E28" s="64">
        <v>1.41</v>
      </c>
      <c r="F28" s="64">
        <v>3.13</v>
      </c>
      <c r="G28" s="64">
        <v>111.58</v>
      </c>
      <c r="H28" s="64">
        <v>35.21</v>
      </c>
      <c r="I28" s="64">
        <v>7.65</v>
      </c>
      <c r="J28" s="64">
        <v>0.18</v>
      </c>
      <c r="K28" s="64">
        <v>272.37</v>
      </c>
      <c r="L28" s="64">
        <v>23.47</v>
      </c>
      <c r="M28" s="64">
        <v>89.74</v>
      </c>
      <c r="N28" s="64">
        <v>18.7</v>
      </c>
      <c r="O28" s="64">
        <v>0</v>
      </c>
      <c r="P28" s="64">
        <v>0.66</v>
      </c>
      <c r="Q28" s="64">
        <v>9.51</v>
      </c>
      <c r="S28" s="198"/>
      <c r="T28" s="198"/>
      <c r="U28" s="198"/>
    </row>
    <row r="29" spans="1:21" s="12" customFormat="1" x14ac:dyDescent="0.25">
      <c r="A29" s="216" t="s">
        <v>2378</v>
      </c>
      <c r="B29" s="64">
        <v>3.26</v>
      </c>
      <c r="C29" s="64">
        <v>2.77</v>
      </c>
      <c r="D29" s="64">
        <v>3.98</v>
      </c>
      <c r="E29" s="64">
        <v>1.0900000000000001</v>
      </c>
      <c r="F29" s="64">
        <v>3.12</v>
      </c>
      <c r="G29" s="64">
        <v>113.71</v>
      </c>
      <c r="H29" s="64">
        <v>35.57</v>
      </c>
      <c r="I29" s="64">
        <v>7.81</v>
      </c>
      <c r="J29" s="64">
        <v>0.13</v>
      </c>
      <c r="K29" s="64">
        <v>280.18</v>
      </c>
      <c r="L29" s="64">
        <v>23.18</v>
      </c>
      <c r="M29" s="64">
        <v>93.2</v>
      </c>
      <c r="N29" s="64">
        <v>20</v>
      </c>
      <c r="O29" s="64">
        <v>0</v>
      </c>
      <c r="P29" s="64">
        <v>0.68</v>
      </c>
      <c r="Q29" s="64">
        <v>9.5399999999999991</v>
      </c>
      <c r="S29" s="198"/>
      <c r="T29" s="198"/>
      <c r="U29" s="198"/>
    </row>
    <row r="30" spans="1:21" s="12" customFormat="1" x14ac:dyDescent="0.25">
      <c r="A30" s="216" t="s">
        <v>2379</v>
      </c>
      <c r="B30" s="64">
        <v>3.58</v>
      </c>
      <c r="C30" s="64">
        <v>3.14</v>
      </c>
      <c r="D30" s="64">
        <v>4.43</v>
      </c>
      <c r="E30" s="64">
        <v>1.63</v>
      </c>
      <c r="F30" s="64">
        <v>3.24</v>
      </c>
      <c r="G30" s="64">
        <v>113.71</v>
      </c>
      <c r="H30" s="64">
        <v>35.57</v>
      </c>
      <c r="I30" s="64">
        <v>7.9</v>
      </c>
      <c r="J30" s="64">
        <v>0.19</v>
      </c>
      <c r="K30" s="64">
        <v>285.5</v>
      </c>
      <c r="L30" s="64">
        <v>23.11</v>
      </c>
      <c r="M30" s="64">
        <v>92.11</v>
      </c>
      <c r="N30" s="64">
        <v>26.1</v>
      </c>
      <c r="O30" s="64">
        <v>0</v>
      </c>
      <c r="P30" s="64">
        <v>0.71</v>
      </c>
      <c r="Q30" s="64">
        <v>9.57</v>
      </c>
      <c r="S30" s="198"/>
      <c r="T30" s="198"/>
      <c r="U30" s="198"/>
    </row>
    <row r="31" spans="1:21" s="12" customFormat="1" x14ac:dyDescent="0.25">
      <c r="A31" s="216" t="s">
        <v>2380</v>
      </c>
      <c r="B31" s="64">
        <v>3.87</v>
      </c>
      <c r="C31" s="64">
        <v>3.38</v>
      </c>
      <c r="D31" s="64">
        <v>4.79</v>
      </c>
      <c r="E31" s="64">
        <v>1.36</v>
      </c>
      <c r="F31" s="64">
        <v>3.28</v>
      </c>
      <c r="G31" s="64">
        <v>113.71</v>
      </c>
      <c r="H31" s="64">
        <v>35.57</v>
      </c>
      <c r="I31" s="64">
        <v>7.96</v>
      </c>
      <c r="J31" s="64">
        <v>0.19</v>
      </c>
      <c r="K31" s="64">
        <v>27.42</v>
      </c>
      <c r="L31" s="64">
        <v>23.51</v>
      </c>
      <c r="M31" s="64">
        <v>89.51</v>
      </c>
      <c r="N31" s="64">
        <v>39.799999999999997</v>
      </c>
      <c r="O31" s="64">
        <v>0</v>
      </c>
      <c r="P31" s="64">
        <v>0.73</v>
      </c>
      <c r="Q31" s="64">
        <v>9.59</v>
      </c>
      <c r="S31" s="198"/>
      <c r="T31" s="198"/>
      <c r="U31" s="198"/>
    </row>
    <row r="32" spans="1:21" s="12" customFormat="1" x14ac:dyDescent="0.25">
      <c r="A32" s="216" t="s">
        <v>2381</v>
      </c>
      <c r="B32" s="64">
        <v>4.03</v>
      </c>
      <c r="C32" s="64">
        <v>3.66</v>
      </c>
      <c r="D32" s="64">
        <v>5.07</v>
      </c>
      <c r="E32" s="64">
        <v>1.68</v>
      </c>
      <c r="F32" s="64">
        <v>2.91</v>
      </c>
      <c r="G32" s="64">
        <v>130.68</v>
      </c>
      <c r="H32" s="64">
        <v>40.93</v>
      </c>
      <c r="I32" s="64">
        <v>8.0500000000000007</v>
      </c>
      <c r="J32" s="64">
        <v>0.2</v>
      </c>
      <c r="K32" s="64">
        <v>316.14</v>
      </c>
      <c r="L32" s="64">
        <v>23.87</v>
      </c>
      <c r="M32" s="64">
        <v>88.23</v>
      </c>
      <c r="N32" s="64">
        <v>60.3</v>
      </c>
      <c r="O32" s="64">
        <v>0</v>
      </c>
      <c r="P32" s="64">
        <v>0.74</v>
      </c>
      <c r="Q32" s="64">
        <v>9.67</v>
      </c>
      <c r="S32" s="198"/>
      <c r="T32" s="198"/>
      <c r="U32" s="198"/>
    </row>
    <row r="33" spans="1:21" s="12" customFormat="1" x14ac:dyDescent="0.25">
      <c r="A33" s="216" t="s">
        <v>2382</v>
      </c>
      <c r="B33" s="64">
        <v>4.21</v>
      </c>
      <c r="C33" s="64">
        <v>3.81</v>
      </c>
      <c r="D33" s="64">
        <v>5.29</v>
      </c>
      <c r="E33" s="64">
        <v>1.71</v>
      </c>
      <c r="F33" s="64">
        <v>2.97</v>
      </c>
      <c r="G33" s="64">
        <v>131.66999999999999</v>
      </c>
      <c r="H33" s="64">
        <v>41.25</v>
      </c>
      <c r="I33" s="64">
        <v>8.0500000000000007</v>
      </c>
      <c r="J33" s="64">
        <v>0.1</v>
      </c>
      <c r="K33" s="64">
        <v>262.68</v>
      </c>
      <c r="L33" s="64">
        <v>24.6</v>
      </c>
      <c r="M33" s="64">
        <v>85.6</v>
      </c>
      <c r="N33" s="64">
        <v>89.6</v>
      </c>
      <c r="O33" s="64">
        <v>0</v>
      </c>
      <c r="P33" s="64">
        <v>0.77</v>
      </c>
      <c r="Q33" s="64">
        <v>9.7100000000000009</v>
      </c>
      <c r="S33" s="198"/>
      <c r="T33" s="198"/>
      <c r="U33" s="198"/>
    </row>
    <row r="34" spans="1:21" s="12" customFormat="1" x14ac:dyDescent="0.25">
      <c r="A34" s="216" t="s">
        <v>2383</v>
      </c>
      <c r="B34" s="64">
        <v>4.3099999999999996</v>
      </c>
      <c r="C34" s="64">
        <v>3.9</v>
      </c>
      <c r="D34" s="64">
        <v>5.41</v>
      </c>
      <c r="E34" s="64">
        <v>1.46</v>
      </c>
      <c r="F34" s="64">
        <v>2.96</v>
      </c>
      <c r="G34" s="64">
        <v>131.66999999999999</v>
      </c>
      <c r="H34" s="64">
        <v>41.25</v>
      </c>
      <c r="I34" s="64">
        <v>8.23</v>
      </c>
      <c r="J34" s="64">
        <v>0.13</v>
      </c>
      <c r="K34" s="64">
        <v>82.78</v>
      </c>
      <c r="L34" s="64">
        <v>25.73</v>
      </c>
      <c r="M34" s="64">
        <v>79.3</v>
      </c>
      <c r="N34" s="64">
        <v>126.7</v>
      </c>
      <c r="O34" s="64">
        <v>0</v>
      </c>
      <c r="P34" s="64">
        <v>0.79</v>
      </c>
      <c r="Q34" s="64">
        <v>9.75</v>
      </c>
      <c r="S34" s="198"/>
      <c r="T34" s="198"/>
      <c r="U34" s="198"/>
    </row>
    <row r="35" spans="1:21" s="12" customFormat="1" x14ac:dyDescent="0.25">
      <c r="A35" s="216" t="s">
        <v>2384</v>
      </c>
      <c r="B35" s="64">
        <v>4.43</v>
      </c>
      <c r="C35" s="64">
        <v>4.12</v>
      </c>
      <c r="D35" s="64">
        <v>5.62</v>
      </c>
      <c r="E35" s="64">
        <v>1.55</v>
      </c>
      <c r="F35" s="64">
        <v>3.24</v>
      </c>
      <c r="G35" s="64">
        <v>131.66999999999999</v>
      </c>
      <c r="H35" s="64">
        <v>41.25</v>
      </c>
      <c r="I35" s="64">
        <v>8.42</v>
      </c>
      <c r="J35" s="64">
        <v>0.22</v>
      </c>
      <c r="K35" s="64">
        <v>336.25</v>
      </c>
      <c r="L35" s="64">
        <v>27.07</v>
      </c>
      <c r="M35" s="64">
        <v>74.59</v>
      </c>
      <c r="N35" s="64">
        <v>167.2</v>
      </c>
      <c r="O35" s="64">
        <v>0</v>
      </c>
      <c r="P35" s="64">
        <v>0.81</v>
      </c>
      <c r="Q35" s="64">
        <v>9.76</v>
      </c>
      <c r="S35" s="198"/>
      <c r="T35" s="198"/>
      <c r="U35" s="198"/>
    </row>
    <row r="36" spans="1:21" s="12" customFormat="1" x14ac:dyDescent="0.25">
      <c r="A36" s="216" t="s">
        <v>2385</v>
      </c>
      <c r="B36" s="64">
        <v>4.5</v>
      </c>
      <c r="C36" s="64">
        <v>4.2</v>
      </c>
      <c r="D36" s="64">
        <v>5.72</v>
      </c>
      <c r="E36" s="64">
        <v>1.6</v>
      </c>
      <c r="F36" s="64">
        <v>3.3</v>
      </c>
      <c r="G36" s="64">
        <v>139.11000000000001</v>
      </c>
      <c r="H36" s="64">
        <v>46.63</v>
      </c>
      <c r="I36" s="64">
        <v>8.59</v>
      </c>
      <c r="J36" s="64">
        <v>0.23</v>
      </c>
      <c r="K36" s="64">
        <v>311.08999999999997</v>
      </c>
      <c r="L36" s="64">
        <v>28.28</v>
      </c>
      <c r="M36" s="64">
        <v>67.41</v>
      </c>
      <c r="N36" s="64">
        <v>219.8</v>
      </c>
      <c r="O36" s="64">
        <v>0</v>
      </c>
      <c r="P36" s="64">
        <v>0.83</v>
      </c>
      <c r="Q36" s="64">
        <v>9.7799999999999994</v>
      </c>
      <c r="S36" s="198"/>
      <c r="T36" s="198"/>
      <c r="U36" s="198"/>
    </row>
    <row r="37" spans="1:21" s="12" customFormat="1" x14ac:dyDescent="0.25">
      <c r="A37" s="216" t="s">
        <v>2386</v>
      </c>
      <c r="B37" s="64">
        <v>4.5199999999999996</v>
      </c>
      <c r="C37" s="64">
        <v>4.51</v>
      </c>
      <c r="D37" s="64">
        <v>5.9</v>
      </c>
      <c r="E37" s="64">
        <v>1.67</v>
      </c>
      <c r="F37" s="64">
        <v>3.17</v>
      </c>
      <c r="G37" s="64">
        <v>139.55000000000001</v>
      </c>
      <c r="H37" s="64">
        <v>46.95</v>
      </c>
      <c r="I37" s="64">
        <v>9.08</v>
      </c>
      <c r="J37" s="64">
        <v>0.22</v>
      </c>
      <c r="K37" s="64">
        <v>312.58999999999997</v>
      </c>
      <c r="L37" s="64">
        <v>29.36</v>
      </c>
      <c r="M37" s="64">
        <v>62.34</v>
      </c>
      <c r="N37" s="64">
        <v>275.39999999999998</v>
      </c>
      <c r="O37" s="64">
        <v>0</v>
      </c>
      <c r="P37" s="64">
        <v>0.79</v>
      </c>
      <c r="Q37" s="64">
        <v>9.7799999999999994</v>
      </c>
      <c r="S37" s="198"/>
      <c r="T37" s="198"/>
      <c r="U37" s="198"/>
    </row>
    <row r="38" spans="1:21" s="12" customFormat="1" x14ac:dyDescent="0.25">
      <c r="A38" s="216" t="s">
        <v>2387</v>
      </c>
      <c r="B38" s="64">
        <v>4.47</v>
      </c>
      <c r="C38" s="64">
        <v>4.7300000000000004</v>
      </c>
      <c r="D38" s="64">
        <v>5.98</v>
      </c>
      <c r="E38" s="64">
        <v>1.6</v>
      </c>
      <c r="F38" s="64">
        <v>3.3</v>
      </c>
      <c r="G38" s="64">
        <v>139.55000000000001</v>
      </c>
      <c r="H38" s="64">
        <v>46.95</v>
      </c>
      <c r="I38" s="64">
        <v>9.52</v>
      </c>
      <c r="J38" s="64">
        <v>0.17</v>
      </c>
      <c r="K38" s="64">
        <v>322.39999999999998</v>
      </c>
      <c r="L38" s="64">
        <v>29.62</v>
      </c>
      <c r="M38" s="64">
        <v>61.16</v>
      </c>
      <c r="N38" s="64">
        <v>331.1</v>
      </c>
      <c r="O38" s="64">
        <v>0</v>
      </c>
      <c r="P38" s="64">
        <v>0.82</v>
      </c>
      <c r="Q38" s="64">
        <v>9.75</v>
      </c>
      <c r="S38" s="198"/>
      <c r="T38" s="198"/>
      <c r="U38" s="198"/>
    </row>
    <row r="39" spans="1:21" s="12" customFormat="1" x14ac:dyDescent="0.25">
      <c r="A39" s="216" t="s">
        <v>2388</v>
      </c>
      <c r="B39" s="64">
        <v>4.2300000000000004</v>
      </c>
      <c r="C39" s="64">
        <v>4.57</v>
      </c>
      <c r="D39" s="64">
        <v>5.7</v>
      </c>
      <c r="E39" s="64">
        <v>1.65</v>
      </c>
      <c r="F39" s="64">
        <v>3.53</v>
      </c>
      <c r="G39" s="64">
        <v>139.55000000000001</v>
      </c>
      <c r="H39" s="64">
        <v>46.95</v>
      </c>
      <c r="I39" s="64">
        <v>9.51</v>
      </c>
      <c r="J39" s="64">
        <v>0.1</v>
      </c>
      <c r="K39" s="64">
        <v>355.68</v>
      </c>
      <c r="L39" s="64">
        <v>29.42</v>
      </c>
      <c r="M39" s="64">
        <v>58.69</v>
      </c>
      <c r="N39" s="64">
        <v>393.5</v>
      </c>
      <c r="O39" s="64">
        <v>0</v>
      </c>
      <c r="P39" s="64">
        <v>0.83</v>
      </c>
      <c r="Q39" s="64">
        <v>9.76</v>
      </c>
      <c r="S39" s="198"/>
      <c r="T39" s="198"/>
      <c r="U39" s="198"/>
    </row>
    <row r="40" spans="1:21" s="12" customFormat="1" x14ac:dyDescent="0.25">
      <c r="A40" s="216" t="s">
        <v>2389</v>
      </c>
      <c r="B40" s="64">
        <v>3.9</v>
      </c>
      <c r="C40" s="64">
        <v>4.62</v>
      </c>
      <c r="D40" s="64">
        <v>5.46</v>
      </c>
      <c r="E40" s="64">
        <v>1.87</v>
      </c>
      <c r="F40" s="64">
        <v>3.25</v>
      </c>
      <c r="G40" s="64">
        <v>116.89</v>
      </c>
      <c r="H40" s="64">
        <v>44.08</v>
      </c>
      <c r="I40" s="64">
        <v>9.2799999999999994</v>
      </c>
      <c r="J40" s="64">
        <v>0.15</v>
      </c>
      <c r="K40" s="64">
        <v>29.32</v>
      </c>
      <c r="L40" s="64">
        <v>28.99</v>
      </c>
      <c r="M40" s="64">
        <v>58.8</v>
      </c>
      <c r="N40" s="64">
        <v>449.4</v>
      </c>
      <c r="O40" s="64">
        <v>0</v>
      </c>
      <c r="P40" s="64">
        <v>0.82</v>
      </c>
      <c r="Q40" s="64">
        <v>9.7899999999999991</v>
      </c>
      <c r="S40" s="198"/>
      <c r="T40" s="198"/>
      <c r="U40" s="198"/>
    </row>
    <row r="41" spans="1:21" s="12" customFormat="1" x14ac:dyDescent="0.25">
      <c r="A41" s="216" t="s">
        <v>2390</v>
      </c>
      <c r="B41" s="64">
        <v>3.61</v>
      </c>
      <c r="C41" s="64">
        <v>4.8099999999999996</v>
      </c>
      <c r="D41" s="64">
        <v>5.33</v>
      </c>
      <c r="E41" s="64">
        <v>2.4500000000000002</v>
      </c>
      <c r="F41" s="64">
        <v>3.69</v>
      </c>
      <c r="G41" s="64">
        <v>115.56</v>
      </c>
      <c r="H41" s="64">
        <v>43.91</v>
      </c>
      <c r="I41" s="64">
        <v>9.5299999999999994</v>
      </c>
      <c r="J41" s="64">
        <v>0.19</v>
      </c>
      <c r="K41" s="64">
        <v>7.76</v>
      </c>
      <c r="L41" s="64">
        <v>30.05</v>
      </c>
      <c r="M41" s="64">
        <v>56.32</v>
      </c>
      <c r="N41" s="64">
        <v>502.9</v>
      </c>
      <c r="O41" s="64">
        <v>0</v>
      </c>
      <c r="P41" s="64">
        <v>0.82</v>
      </c>
      <c r="Q41" s="64">
        <v>9.8000000000000007</v>
      </c>
      <c r="S41" s="198"/>
      <c r="T41" s="198"/>
      <c r="U41" s="198"/>
    </row>
    <row r="42" spans="1:21" s="12" customFormat="1" x14ac:dyDescent="0.25">
      <c r="A42" s="216" t="s">
        <v>2391</v>
      </c>
      <c r="B42" s="64">
        <v>3.3</v>
      </c>
      <c r="C42" s="64">
        <v>4.88</v>
      </c>
      <c r="D42" s="64">
        <v>5.1100000000000003</v>
      </c>
      <c r="E42" s="64">
        <v>2.63</v>
      </c>
      <c r="F42" s="64">
        <v>4.6399999999999997</v>
      </c>
      <c r="G42" s="64">
        <v>115.56</v>
      </c>
      <c r="H42" s="64">
        <v>43.91</v>
      </c>
      <c r="I42" s="64">
        <v>9.64</v>
      </c>
      <c r="J42" s="64">
        <v>0.25</v>
      </c>
      <c r="K42" s="64">
        <v>321.19</v>
      </c>
      <c r="L42" s="64">
        <v>31.14</v>
      </c>
      <c r="M42" s="64">
        <v>53.36</v>
      </c>
      <c r="N42" s="64">
        <v>558.20000000000005</v>
      </c>
      <c r="O42" s="64">
        <v>0</v>
      </c>
      <c r="P42" s="64">
        <v>0.81</v>
      </c>
      <c r="Q42" s="64">
        <v>9.73</v>
      </c>
      <c r="S42" s="198"/>
      <c r="T42" s="198"/>
      <c r="U42" s="198"/>
    </row>
    <row r="43" spans="1:21" s="12" customFormat="1" x14ac:dyDescent="0.25">
      <c r="A43" s="216" t="s">
        <v>2392</v>
      </c>
      <c r="B43" s="64">
        <v>3.05</v>
      </c>
      <c r="C43" s="64">
        <v>5.43</v>
      </c>
      <c r="D43" s="64">
        <v>5.2</v>
      </c>
      <c r="E43" s="64">
        <v>2.41</v>
      </c>
      <c r="F43" s="64">
        <v>4.63</v>
      </c>
      <c r="G43" s="64">
        <v>115.56</v>
      </c>
      <c r="H43" s="64">
        <v>43.91</v>
      </c>
      <c r="I43" s="64">
        <v>9.4</v>
      </c>
      <c r="J43" s="64">
        <v>0.34</v>
      </c>
      <c r="K43" s="64">
        <v>313.14999999999998</v>
      </c>
      <c r="L43" s="64">
        <v>32.94</v>
      </c>
      <c r="M43" s="64">
        <v>49.85</v>
      </c>
      <c r="N43" s="64">
        <v>601.29999999999995</v>
      </c>
      <c r="O43" s="64">
        <v>0</v>
      </c>
      <c r="P43" s="64">
        <v>0.8</v>
      </c>
      <c r="Q43" s="64">
        <v>9.61</v>
      </c>
      <c r="S43" s="198"/>
      <c r="T43" s="198"/>
      <c r="U43" s="198"/>
    </row>
    <row r="44" spans="1:21" s="12" customFormat="1" x14ac:dyDescent="0.25">
      <c r="A44" s="216" t="s">
        <v>2393</v>
      </c>
      <c r="B44" s="64">
        <v>2.79</v>
      </c>
      <c r="C44" s="64">
        <v>5.46</v>
      </c>
      <c r="D44" s="64">
        <v>5.01</v>
      </c>
      <c r="E44" s="64">
        <v>2.4500000000000002</v>
      </c>
      <c r="F44" s="64">
        <v>4.96</v>
      </c>
      <c r="G44" s="64">
        <v>80.5</v>
      </c>
      <c r="H44" s="64">
        <v>35.94</v>
      </c>
      <c r="I44" s="64">
        <v>9.18</v>
      </c>
      <c r="J44" s="64">
        <v>0.36</v>
      </c>
      <c r="K44" s="64">
        <v>315.98</v>
      </c>
      <c r="L44" s="64">
        <v>33.549999999999997</v>
      </c>
      <c r="M44" s="64">
        <v>48.41</v>
      </c>
      <c r="N44" s="64">
        <v>634.1</v>
      </c>
      <c r="O44" s="64">
        <v>0</v>
      </c>
      <c r="P44" s="64">
        <v>0.84</v>
      </c>
      <c r="Q44" s="64">
        <v>9.5</v>
      </c>
      <c r="S44" s="198"/>
      <c r="T44" s="198"/>
      <c r="U44" s="198"/>
    </row>
    <row r="45" spans="1:21" s="12" customFormat="1" x14ac:dyDescent="0.25">
      <c r="A45" s="216" t="s">
        <v>2394</v>
      </c>
      <c r="B45" s="64">
        <v>2.44</v>
      </c>
      <c r="C45" s="64">
        <v>5.57</v>
      </c>
      <c r="D45" s="64">
        <v>4.79</v>
      </c>
      <c r="E45" s="64">
        <v>2.63</v>
      </c>
      <c r="F45" s="64">
        <v>3.99</v>
      </c>
      <c r="G45" s="64">
        <v>78.44</v>
      </c>
      <c r="H45" s="64">
        <v>35.47</v>
      </c>
      <c r="I45" s="64">
        <v>9.0399999999999991</v>
      </c>
      <c r="J45" s="64">
        <v>0.18</v>
      </c>
      <c r="K45" s="64">
        <v>340.7</v>
      </c>
      <c r="L45" s="64">
        <v>32.39</v>
      </c>
      <c r="M45" s="64">
        <v>51.27</v>
      </c>
      <c r="N45" s="64">
        <v>660.2</v>
      </c>
      <c r="O45" s="64">
        <v>0</v>
      </c>
      <c r="P45" s="64">
        <v>0.92</v>
      </c>
      <c r="Q45" s="64">
        <v>9.39</v>
      </c>
      <c r="S45" s="198"/>
      <c r="T45" s="198"/>
      <c r="U45" s="198"/>
    </row>
    <row r="46" spans="1:21" s="12" customFormat="1" x14ac:dyDescent="0.25">
      <c r="A46" s="216" t="s">
        <v>2395</v>
      </c>
      <c r="B46" s="64">
        <v>2.0499999999999998</v>
      </c>
      <c r="C46" s="64">
        <v>5.64</v>
      </c>
      <c r="D46" s="64">
        <v>4.51</v>
      </c>
      <c r="E46" s="64">
        <v>2.57</v>
      </c>
      <c r="F46" s="64">
        <v>4.25</v>
      </c>
      <c r="G46" s="64">
        <v>78.44</v>
      </c>
      <c r="H46" s="64">
        <v>35.47</v>
      </c>
      <c r="I46" s="64">
        <v>9.33</v>
      </c>
      <c r="J46" s="64">
        <v>0.39</v>
      </c>
      <c r="K46" s="64">
        <v>326.72000000000003</v>
      </c>
      <c r="L46" s="64">
        <v>32.450000000000003</v>
      </c>
      <c r="M46" s="64">
        <v>51.75</v>
      </c>
      <c r="N46" s="64">
        <v>707.1</v>
      </c>
      <c r="O46" s="64">
        <v>0</v>
      </c>
      <c r="P46" s="64">
        <v>1.03</v>
      </c>
      <c r="Q46" s="64">
        <v>9.41</v>
      </c>
      <c r="S46" s="198"/>
      <c r="T46" s="198"/>
      <c r="U46" s="198"/>
    </row>
    <row r="47" spans="1:21" s="12" customFormat="1" x14ac:dyDescent="0.25">
      <c r="A47" s="216" t="s">
        <v>2396</v>
      </c>
      <c r="B47" s="64">
        <v>1.75</v>
      </c>
      <c r="C47" s="64">
        <v>5.78</v>
      </c>
      <c r="D47" s="64">
        <v>4.3499999999999996</v>
      </c>
      <c r="E47" s="64">
        <v>2.2000000000000002</v>
      </c>
      <c r="F47" s="64">
        <v>3.81</v>
      </c>
      <c r="G47" s="64">
        <v>78.44</v>
      </c>
      <c r="H47" s="64">
        <v>35.47</v>
      </c>
      <c r="I47" s="64">
        <v>9.82</v>
      </c>
      <c r="J47" s="64">
        <v>0.25</v>
      </c>
      <c r="K47" s="64">
        <v>333.74</v>
      </c>
      <c r="L47" s="64">
        <v>33.69</v>
      </c>
      <c r="M47" s="64">
        <v>47.71</v>
      </c>
      <c r="N47" s="64">
        <v>742.7</v>
      </c>
      <c r="O47" s="64">
        <v>0</v>
      </c>
      <c r="P47" s="64">
        <v>1.08</v>
      </c>
      <c r="Q47" s="64">
        <v>9.42</v>
      </c>
      <c r="S47" s="198"/>
      <c r="T47" s="198"/>
      <c r="U47" s="198"/>
    </row>
    <row r="48" spans="1:21" s="12" customFormat="1" x14ac:dyDescent="0.25">
      <c r="A48" s="216" t="s">
        <v>2397</v>
      </c>
      <c r="B48" s="64">
        <v>1.56</v>
      </c>
      <c r="C48" s="64">
        <v>6</v>
      </c>
      <c r="D48" s="64">
        <v>4.3</v>
      </c>
      <c r="E48" s="64">
        <v>2.4700000000000002</v>
      </c>
      <c r="F48" s="64">
        <v>5.69</v>
      </c>
      <c r="G48" s="64">
        <v>88.04</v>
      </c>
      <c r="H48" s="64">
        <v>34.979999999999997</v>
      </c>
      <c r="I48" s="64">
        <v>10.210000000000001</v>
      </c>
      <c r="J48" s="64">
        <v>0.4</v>
      </c>
      <c r="K48" s="64">
        <v>341</v>
      </c>
      <c r="L48" s="64">
        <v>33.96</v>
      </c>
      <c r="M48" s="64">
        <v>46.88</v>
      </c>
      <c r="N48" s="64">
        <v>760.4</v>
      </c>
      <c r="O48" s="64">
        <v>0</v>
      </c>
      <c r="P48" s="64">
        <v>1.1100000000000001</v>
      </c>
      <c r="Q48" s="64">
        <v>9.42</v>
      </c>
      <c r="S48" s="198"/>
      <c r="T48" s="198"/>
      <c r="U48" s="198"/>
    </row>
    <row r="49" spans="1:21" s="12" customFormat="1" x14ac:dyDescent="0.25">
      <c r="A49" s="216" t="s">
        <v>2398</v>
      </c>
      <c r="B49" s="64">
        <v>1.37</v>
      </c>
      <c r="C49" s="64">
        <v>6.29</v>
      </c>
      <c r="D49" s="64">
        <v>4.3</v>
      </c>
      <c r="E49" s="64">
        <v>2.67</v>
      </c>
      <c r="F49" s="64">
        <v>13.22</v>
      </c>
      <c r="G49" s="64">
        <v>88.61</v>
      </c>
      <c r="H49" s="64">
        <v>34.950000000000003</v>
      </c>
      <c r="I49" s="64">
        <v>10.4</v>
      </c>
      <c r="J49" s="64">
        <v>0.56999999999999995</v>
      </c>
      <c r="K49" s="64">
        <v>318.04000000000002</v>
      </c>
      <c r="L49" s="64">
        <v>35.22</v>
      </c>
      <c r="M49" s="64">
        <v>43.2</v>
      </c>
      <c r="N49" s="64">
        <v>801.3</v>
      </c>
      <c r="O49" s="64">
        <v>0</v>
      </c>
      <c r="P49" s="64">
        <v>1.1599999999999999</v>
      </c>
      <c r="Q49" s="64">
        <v>9.41</v>
      </c>
      <c r="S49" s="198"/>
      <c r="T49" s="198"/>
      <c r="U49" s="198"/>
    </row>
    <row r="50" spans="1:21" s="12" customFormat="1" x14ac:dyDescent="0.25">
      <c r="A50" s="216" t="s">
        <v>2399</v>
      </c>
      <c r="B50" s="64">
        <v>1.1399999999999999</v>
      </c>
      <c r="C50" s="64">
        <v>5.92</v>
      </c>
      <c r="D50" s="64">
        <v>3.93</v>
      </c>
      <c r="E50" s="64">
        <v>3.39</v>
      </c>
      <c r="F50" s="64">
        <v>12.4</v>
      </c>
      <c r="G50" s="64">
        <v>88.61</v>
      </c>
      <c r="H50" s="64">
        <v>34.950000000000003</v>
      </c>
      <c r="I50" s="64">
        <v>10.37</v>
      </c>
      <c r="J50" s="64">
        <v>0.15</v>
      </c>
      <c r="K50" s="64">
        <v>337.31</v>
      </c>
      <c r="L50" s="64">
        <v>34.840000000000003</v>
      </c>
      <c r="M50" s="64">
        <v>41.37</v>
      </c>
      <c r="N50" s="64">
        <v>847.7</v>
      </c>
      <c r="O50" s="64">
        <v>0</v>
      </c>
      <c r="P50" s="64">
        <v>1.1599999999999999</v>
      </c>
      <c r="Q50" s="64">
        <v>9.3699999999999992</v>
      </c>
      <c r="S50" s="198"/>
      <c r="T50" s="198"/>
      <c r="U50" s="198"/>
    </row>
    <row r="51" spans="1:21" s="12" customFormat="1" x14ac:dyDescent="0.25">
      <c r="A51" s="216" t="s">
        <v>2400</v>
      </c>
      <c r="B51" s="64">
        <v>1.1299999999999999</v>
      </c>
      <c r="C51" s="64">
        <v>5.19</v>
      </c>
      <c r="D51" s="64">
        <v>3.53</v>
      </c>
      <c r="E51" s="64">
        <v>3.25</v>
      </c>
      <c r="F51" s="64">
        <v>10.210000000000001</v>
      </c>
      <c r="G51" s="64">
        <v>88.61</v>
      </c>
      <c r="H51" s="64">
        <v>34.950000000000003</v>
      </c>
      <c r="I51" s="64">
        <v>9.98</v>
      </c>
      <c r="J51" s="64">
        <v>0.31</v>
      </c>
      <c r="K51" s="64">
        <v>326.58999999999997</v>
      </c>
      <c r="L51" s="64">
        <v>35.04</v>
      </c>
      <c r="M51" s="64">
        <v>39.01</v>
      </c>
      <c r="N51" s="64">
        <v>869.3</v>
      </c>
      <c r="O51" s="64">
        <v>0</v>
      </c>
      <c r="P51" s="64">
        <v>1.1299999999999999</v>
      </c>
      <c r="Q51" s="64">
        <v>9.3000000000000007</v>
      </c>
      <c r="S51" s="198"/>
      <c r="T51" s="198"/>
      <c r="U51" s="198"/>
    </row>
    <row r="52" spans="1:21" s="12" customFormat="1" x14ac:dyDescent="0.25">
      <c r="A52" s="216" t="s">
        <v>2401</v>
      </c>
      <c r="B52" s="64">
        <v>1.1499999999999999</v>
      </c>
      <c r="C52" s="64">
        <v>4.49</v>
      </c>
      <c r="D52" s="64">
        <v>3.19</v>
      </c>
      <c r="E52" s="64">
        <v>2.83</v>
      </c>
      <c r="F52" s="64">
        <v>7.7</v>
      </c>
      <c r="G52" s="64">
        <v>73.97</v>
      </c>
      <c r="H52" s="64">
        <v>33.65</v>
      </c>
      <c r="I52" s="64">
        <v>9.56</v>
      </c>
      <c r="J52" s="64">
        <v>0.08</v>
      </c>
      <c r="K52" s="64">
        <v>343.02</v>
      </c>
      <c r="L52" s="64">
        <v>34.25</v>
      </c>
      <c r="M52" s="64">
        <v>38.119999999999997</v>
      </c>
      <c r="N52" s="64">
        <v>886.1</v>
      </c>
      <c r="O52" s="64">
        <v>0</v>
      </c>
      <c r="P52" s="64">
        <v>1.1100000000000001</v>
      </c>
      <c r="Q52" s="64">
        <v>9.34</v>
      </c>
      <c r="S52" s="198"/>
      <c r="T52" s="198"/>
      <c r="U52" s="198"/>
    </row>
    <row r="53" spans="1:21" s="12" customFormat="1" x14ac:dyDescent="0.25">
      <c r="A53" s="216" t="s">
        <v>2402</v>
      </c>
      <c r="B53" s="64">
        <v>1.1299999999999999</v>
      </c>
      <c r="C53" s="64">
        <v>2.89</v>
      </c>
      <c r="D53" s="64">
        <v>2.34</v>
      </c>
      <c r="E53" s="64">
        <v>2.4</v>
      </c>
      <c r="F53" s="64">
        <v>5.82</v>
      </c>
      <c r="G53" s="64">
        <v>73.11</v>
      </c>
      <c r="H53" s="64">
        <v>33.57</v>
      </c>
      <c r="I53" s="64">
        <v>9.3800000000000008</v>
      </c>
      <c r="J53" s="64">
        <v>0.15</v>
      </c>
      <c r="K53" s="64">
        <v>311.73</v>
      </c>
      <c r="L53" s="64">
        <v>33.79</v>
      </c>
      <c r="M53" s="64">
        <v>40.85</v>
      </c>
      <c r="N53" s="64">
        <v>896.2</v>
      </c>
      <c r="O53" s="64">
        <v>0</v>
      </c>
      <c r="P53" s="64">
        <v>1.1000000000000001</v>
      </c>
      <c r="Q53" s="64">
        <v>9.3800000000000008</v>
      </c>
      <c r="S53" s="198"/>
      <c r="T53" s="198"/>
      <c r="U53" s="198"/>
    </row>
    <row r="54" spans="1:21" s="12" customFormat="1" x14ac:dyDescent="0.25">
      <c r="A54" s="216" t="s">
        <v>2403</v>
      </c>
      <c r="B54" s="64">
        <v>1.1599999999999999</v>
      </c>
      <c r="C54" s="64">
        <v>3.08</v>
      </c>
      <c r="D54" s="64">
        <v>2.46</v>
      </c>
      <c r="E54" s="64">
        <v>2.71</v>
      </c>
      <c r="F54" s="64">
        <v>10.74</v>
      </c>
      <c r="G54" s="64">
        <v>73.11</v>
      </c>
      <c r="H54" s="64">
        <v>33.57</v>
      </c>
      <c r="I54" s="64">
        <v>9.35</v>
      </c>
      <c r="J54" s="64">
        <v>0.56999999999999995</v>
      </c>
      <c r="K54" s="64">
        <v>311.39</v>
      </c>
      <c r="L54" s="64">
        <v>36.11</v>
      </c>
      <c r="M54" s="64">
        <v>35.409999999999997</v>
      </c>
      <c r="N54" s="64">
        <v>912.5</v>
      </c>
      <c r="O54" s="64">
        <v>0</v>
      </c>
      <c r="P54" s="64">
        <v>1.04</v>
      </c>
      <c r="Q54" s="64">
        <v>9.3800000000000008</v>
      </c>
      <c r="S54" s="198"/>
      <c r="T54" s="198"/>
      <c r="U54" s="198"/>
    </row>
    <row r="55" spans="1:21" s="12" customFormat="1" x14ac:dyDescent="0.25">
      <c r="A55" s="216" t="s">
        <v>2404</v>
      </c>
      <c r="B55" s="64">
        <v>1.17</v>
      </c>
      <c r="C55" s="64">
        <v>3.82</v>
      </c>
      <c r="D55" s="64">
        <v>2.85</v>
      </c>
      <c r="E55" s="64">
        <v>2.6</v>
      </c>
      <c r="F55" s="64">
        <v>10.26</v>
      </c>
      <c r="G55" s="64">
        <v>73.11</v>
      </c>
      <c r="H55" s="64">
        <v>33.57</v>
      </c>
      <c r="I55" s="64">
        <v>9.35</v>
      </c>
      <c r="J55" s="64">
        <v>0.41</v>
      </c>
      <c r="K55" s="64">
        <v>328.02</v>
      </c>
      <c r="L55" s="64">
        <v>36.93</v>
      </c>
      <c r="M55" s="64">
        <v>32.450000000000003</v>
      </c>
      <c r="N55" s="64">
        <v>916.5</v>
      </c>
      <c r="O55" s="64">
        <v>0</v>
      </c>
      <c r="P55" s="64">
        <v>0.96</v>
      </c>
      <c r="Q55" s="64">
        <v>9.42</v>
      </c>
      <c r="S55" s="198"/>
      <c r="T55" s="198"/>
      <c r="U55" s="198"/>
    </row>
    <row r="56" spans="1:21" s="12" customFormat="1" x14ac:dyDescent="0.25">
      <c r="A56" s="216" t="s">
        <v>2405</v>
      </c>
      <c r="B56" s="64">
        <v>1.08</v>
      </c>
      <c r="C56" s="64">
        <v>2.02</v>
      </c>
      <c r="D56" s="64">
        <v>1.84</v>
      </c>
      <c r="E56" s="64">
        <v>2.3199999999999998</v>
      </c>
      <c r="F56" s="64">
        <v>9.8000000000000007</v>
      </c>
      <c r="G56" s="64">
        <v>57.89</v>
      </c>
      <c r="H56" s="64">
        <v>29.83</v>
      </c>
      <c r="I56" s="64">
        <v>8.8800000000000008</v>
      </c>
      <c r="J56" s="64">
        <v>0.6</v>
      </c>
      <c r="K56" s="64">
        <v>336.08</v>
      </c>
      <c r="L56" s="64">
        <v>35.49</v>
      </c>
      <c r="M56" s="64">
        <v>36.19</v>
      </c>
      <c r="N56" s="64">
        <v>903.8</v>
      </c>
      <c r="O56" s="64">
        <v>0</v>
      </c>
      <c r="P56" s="64">
        <v>0.91</v>
      </c>
      <c r="Q56" s="64">
        <v>9.4700000000000006</v>
      </c>
      <c r="S56" s="198"/>
      <c r="T56" s="198"/>
      <c r="U56" s="198"/>
    </row>
    <row r="57" spans="1:21" s="12" customFormat="1" x14ac:dyDescent="0.25">
      <c r="A57" s="216" t="s">
        <v>2406</v>
      </c>
      <c r="B57" s="64">
        <v>1.18</v>
      </c>
      <c r="C57" s="64">
        <v>3.68</v>
      </c>
      <c r="D57" s="64">
        <v>2.79</v>
      </c>
      <c r="E57" s="64">
        <v>2.29</v>
      </c>
      <c r="F57" s="64">
        <v>8.39</v>
      </c>
      <c r="G57" s="64">
        <v>57</v>
      </c>
      <c r="H57" s="64">
        <v>29.61</v>
      </c>
      <c r="I57" s="64">
        <v>8.36</v>
      </c>
      <c r="J57" s="64">
        <v>0.61</v>
      </c>
      <c r="K57" s="64">
        <v>314.64999999999998</v>
      </c>
      <c r="L57" s="64">
        <v>36.83</v>
      </c>
      <c r="M57" s="64">
        <v>34.130000000000003</v>
      </c>
      <c r="N57" s="64">
        <v>895.9</v>
      </c>
      <c r="O57" s="64">
        <v>0</v>
      </c>
      <c r="P57" s="64">
        <v>0.88</v>
      </c>
      <c r="Q57" s="64">
        <v>9.4600000000000009</v>
      </c>
      <c r="S57" s="198"/>
      <c r="T57" s="198"/>
      <c r="U57" s="198"/>
    </row>
    <row r="58" spans="1:21" s="12" customFormat="1" x14ac:dyDescent="0.25">
      <c r="A58" s="216" t="s">
        <v>2407</v>
      </c>
      <c r="B58" s="64">
        <v>1.2</v>
      </c>
      <c r="C58" s="64">
        <v>3.99</v>
      </c>
      <c r="D58" s="64">
        <v>2.97</v>
      </c>
      <c r="E58" s="64">
        <v>2.11</v>
      </c>
      <c r="F58" s="64">
        <v>9.9499999999999993</v>
      </c>
      <c r="G58" s="64">
        <v>57</v>
      </c>
      <c r="H58" s="64">
        <v>29.61</v>
      </c>
      <c r="I58" s="64">
        <v>8</v>
      </c>
      <c r="J58" s="64">
        <v>0.64</v>
      </c>
      <c r="K58" s="64">
        <v>312.68</v>
      </c>
      <c r="L58" s="64">
        <v>37.15</v>
      </c>
      <c r="M58" s="64">
        <v>32.47</v>
      </c>
      <c r="N58" s="64">
        <v>892.8</v>
      </c>
      <c r="O58" s="64">
        <v>0</v>
      </c>
      <c r="P58" s="64">
        <v>0.85</v>
      </c>
      <c r="Q58" s="64">
        <v>9.4700000000000006</v>
      </c>
      <c r="S58" s="198"/>
      <c r="T58" s="198"/>
      <c r="U58" s="198"/>
    </row>
    <row r="59" spans="1:21" s="12" customFormat="1" x14ac:dyDescent="0.25">
      <c r="A59" s="216" t="s">
        <v>2408</v>
      </c>
      <c r="B59" s="64">
        <v>1.18</v>
      </c>
      <c r="C59" s="64">
        <v>4.5999999999999996</v>
      </c>
      <c r="D59" s="64">
        <v>3.27</v>
      </c>
      <c r="E59" s="64">
        <v>2.09</v>
      </c>
      <c r="F59" s="64">
        <v>10.32</v>
      </c>
      <c r="G59" s="64">
        <v>57</v>
      </c>
      <c r="H59" s="64">
        <v>29.61</v>
      </c>
      <c r="I59" s="64">
        <v>7.88</v>
      </c>
      <c r="J59" s="64">
        <v>0.93</v>
      </c>
      <c r="K59" s="64">
        <v>319.57</v>
      </c>
      <c r="L59" s="64">
        <v>37.96</v>
      </c>
      <c r="M59" s="64">
        <v>31.54</v>
      </c>
      <c r="N59" s="64">
        <v>879.4</v>
      </c>
      <c r="O59" s="64">
        <v>0</v>
      </c>
      <c r="P59" s="64">
        <v>0.79</v>
      </c>
      <c r="Q59" s="64">
        <v>9.4600000000000009</v>
      </c>
      <c r="S59" s="198"/>
      <c r="T59" s="198"/>
      <c r="U59" s="198"/>
    </row>
    <row r="60" spans="1:21" s="12" customFormat="1" x14ac:dyDescent="0.25">
      <c r="A60" s="216" t="s">
        <v>2409</v>
      </c>
      <c r="B60" s="64">
        <v>1.1399999999999999</v>
      </c>
      <c r="C60" s="64">
        <v>4.1500000000000004</v>
      </c>
      <c r="D60" s="64">
        <v>3</v>
      </c>
      <c r="E60" s="64">
        <v>2.4300000000000002</v>
      </c>
      <c r="F60" s="64">
        <v>12.2</v>
      </c>
      <c r="G60" s="64">
        <v>37.07</v>
      </c>
      <c r="H60" s="64">
        <v>24.04</v>
      </c>
      <c r="I60" s="64">
        <v>7.52</v>
      </c>
      <c r="J60" s="64">
        <v>0.7</v>
      </c>
      <c r="K60" s="64">
        <v>328.08</v>
      </c>
      <c r="L60" s="64">
        <v>38.32</v>
      </c>
      <c r="M60" s="64">
        <v>31.32</v>
      </c>
      <c r="N60" s="64">
        <v>858.6</v>
      </c>
      <c r="O60" s="64">
        <v>0</v>
      </c>
      <c r="P60" s="64">
        <v>0.74</v>
      </c>
      <c r="Q60" s="64">
        <v>9.4499999999999993</v>
      </c>
      <c r="S60" s="198"/>
      <c r="T60" s="198"/>
      <c r="U60" s="198"/>
    </row>
    <row r="61" spans="1:21" s="12" customFormat="1" x14ac:dyDescent="0.25">
      <c r="A61" s="216" t="s">
        <v>2410</v>
      </c>
      <c r="B61" s="64">
        <v>1.1399999999999999</v>
      </c>
      <c r="C61" s="64">
        <v>3.72</v>
      </c>
      <c r="D61" s="64">
        <v>2.78</v>
      </c>
      <c r="E61" s="64">
        <v>1.97</v>
      </c>
      <c r="F61" s="64">
        <v>8.6999999999999993</v>
      </c>
      <c r="G61" s="64">
        <v>35.89</v>
      </c>
      <c r="H61" s="64">
        <v>23.71</v>
      </c>
      <c r="I61" s="64">
        <v>6.84</v>
      </c>
      <c r="J61" s="64">
        <v>0.65</v>
      </c>
      <c r="K61" s="64">
        <v>325.76</v>
      </c>
      <c r="L61" s="64">
        <v>37.76</v>
      </c>
      <c r="M61" s="64">
        <v>32.44</v>
      </c>
      <c r="N61" s="64">
        <v>833.9</v>
      </c>
      <c r="O61" s="64">
        <v>0</v>
      </c>
      <c r="P61" s="64">
        <v>0.61</v>
      </c>
      <c r="Q61" s="64">
        <v>9.41</v>
      </c>
      <c r="S61" s="198"/>
      <c r="T61" s="198"/>
      <c r="U61" s="198"/>
    </row>
    <row r="62" spans="1:21" s="12" customFormat="1" x14ac:dyDescent="0.25">
      <c r="A62" s="216" t="s">
        <v>2411</v>
      </c>
      <c r="B62" s="64">
        <v>1.18</v>
      </c>
      <c r="C62" s="64">
        <v>3.53</v>
      </c>
      <c r="D62" s="64">
        <v>2.71</v>
      </c>
      <c r="E62" s="64">
        <v>1.98</v>
      </c>
      <c r="F62" s="64">
        <v>6.75</v>
      </c>
      <c r="G62" s="64">
        <v>35.89</v>
      </c>
      <c r="H62" s="64">
        <v>23.71</v>
      </c>
      <c r="I62" s="64">
        <v>6.31</v>
      </c>
      <c r="J62" s="64">
        <v>0.7</v>
      </c>
      <c r="K62" s="64">
        <v>311.29000000000002</v>
      </c>
      <c r="L62" s="64">
        <v>38.33</v>
      </c>
      <c r="M62" s="64">
        <v>31.54</v>
      </c>
      <c r="N62" s="64">
        <v>802.5</v>
      </c>
      <c r="O62" s="64">
        <v>0</v>
      </c>
      <c r="P62" s="64">
        <v>0.62</v>
      </c>
      <c r="Q62" s="64">
        <v>9.42</v>
      </c>
      <c r="S62" s="198"/>
      <c r="T62" s="198"/>
      <c r="U62" s="198"/>
    </row>
    <row r="63" spans="1:21" s="12" customFormat="1" x14ac:dyDescent="0.25">
      <c r="A63" s="216" t="s">
        <v>2412</v>
      </c>
      <c r="B63" s="64">
        <v>1.17</v>
      </c>
      <c r="C63" s="64">
        <v>3.19</v>
      </c>
      <c r="D63" s="64">
        <v>2.5299999999999998</v>
      </c>
      <c r="E63" s="64">
        <v>2.73</v>
      </c>
      <c r="F63" s="64">
        <v>6.98</v>
      </c>
      <c r="G63" s="64">
        <v>35.89</v>
      </c>
      <c r="H63" s="64">
        <v>23.71</v>
      </c>
      <c r="I63" s="64">
        <v>6.02</v>
      </c>
      <c r="J63" s="64">
        <v>0.26</v>
      </c>
      <c r="K63" s="64">
        <v>333.2</v>
      </c>
      <c r="L63" s="64">
        <v>36.81</v>
      </c>
      <c r="M63" s="64">
        <v>33.299999999999997</v>
      </c>
      <c r="N63" s="64">
        <v>757</v>
      </c>
      <c r="O63" s="64">
        <v>0</v>
      </c>
      <c r="P63" s="64">
        <v>0.59</v>
      </c>
      <c r="Q63" s="64">
        <v>9.39</v>
      </c>
      <c r="S63" s="198"/>
      <c r="T63" s="198"/>
      <c r="U63" s="198"/>
    </row>
    <row r="64" spans="1:21" s="12" customFormat="1" x14ac:dyDescent="0.25">
      <c r="A64" s="216" t="s">
        <v>2413</v>
      </c>
      <c r="B64" s="64">
        <v>1.18</v>
      </c>
      <c r="C64" s="64">
        <v>3.49</v>
      </c>
      <c r="D64" s="64">
        <v>2.69</v>
      </c>
      <c r="E64" s="64">
        <v>1.98</v>
      </c>
      <c r="F64" s="64">
        <v>8.67</v>
      </c>
      <c r="G64" s="64">
        <v>39.15</v>
      </c>
      <c r="H64" s="64">
        <v>17.510000000000002</v>
      </c>
      <c r="I64" s="64">
        <v>5.75</v>
      </c>
      <c r="J64" s="64">
        <v>0.62</v>
      </c>
      <c r="K64" s="64">
        <v>325.88</v>
      </c>
      <c r="L64" s="64">
        <v>37.590000000000003</v>
      </c>
      <c r="M64" s="64">
        <v>31.94</v>
      </c>
      <c r="N64" s="64">
        <v>711.7</v>
      </c>
      <c r="O64" s="64">
        <v>0</v>
      </c>
      <c r="P64" s="64">
        <v>0.55000000000000004</v>
      </c>
      <c r="Q64" s="64">
        <v>9.4</v>
      </c>
      <c r="S64" s="198"/>
      <c r="T64" s="198"/>
      <c r="U64" s="198"/>
    </row>
    <row r="65" spans="1:21" s="12" customFormat="1" x14ac:dyDescent="0.25">
      <c r="A65" s="216" t="s">
        <v>2414</v>
      </c>
      <c r="B65" s="64">
        <v>1.2</v>
      </c>
      <c r="C65" s="64">
        <v>3.74</v>
      </c>
      <c r="D65" s="64">
        <v>2.83</v>
      </c>
      <c r="E65" s="64">
        <v>2.21</v>
      </c>
      <c r="F65" s="64">
        <v>8.9499999999999993</v>
      </c>
      <c r="G65" s="64">
        <v>39.340000000000003</v>
      </c>
      <c r="H65" s="64">
        <v>17.149999999999999</v>
      </c>
      <c r="I65" s="64">
        <v>5.43</v>
      </c>
      <c r="J65" s="64">
        <v>0.44</v>
      </c>
      <c r="K65" s="64">
        <v>312.20999999999998</v>
      </c>
      <c r="L65" s="64">
        <v>37.200000000000003</v>
      </c>
      <c r="M65" s="64">
        <v>32.700000000000003</v>
      </c>
      <c r="N65" s="64">
        <v>433.5</v>
      </c>
      <c r="O65" s="64">
        <v>0</v>
      </c>
      <c r="P65" s="64">
        <v>0.53</v>
      </c>
      <c r="Q65" s="64">
        <v>9.3800000000000008</v>
      </c>
      <c r="S65" s="198"/>
      <c r="T65" s="198"/>
      <c r="U65" s="198"/>
    </row>
    <row r="66" spans="1:21" s="12" customFormat="1" x14ac:dyDescent="0.25">
      <c r="A66" s="216" t="s">
        <v>2415</v>
      </c>
      <c r="B66" s="64">
        <v>1.2</v>
      </c>
      <c r="C66" s="64">
        <v>4</v>
      </c>
      <c r="D66" s="64">
        <v>2.97</v>
      </c>
      <c r="E66" s="64">
        <v>2.2200000000000002</v>
      </c>
      <c r="F66" s="64">
        <v>8.3800000000000008</v>
      </c>
      <c r="G66" s="64">
        <v>39.340000000000003</v>
      </c>
      <c r="H66" s="64">
        <v>17.149999999999999</v>
      </c>
      <c r="I66" s="64">
        <v>5.07</v>
      </c>
      <c r="J66" s="64">
        <v>0.57999999999999996</v>
      </c>
      <c r="K66" s="64">
        <v>320.23</v>
      </c>
      <c r="L66" s="64">
        <v>36.29</v>
      </c>
      <c r="M66" s="64">
        <v>34.81</v>
      </c>
      <c r="N66" s="64">
        <v>484.7</v>
      </c>
      <c r="O66" s="64">
        <v>0</v>
      </c>
      <c r="P66" s="64">
        <v>0.5</v>
      </c>
      <c r="Q66" s="64">
        <v>9.3699999999999992</v>
      </c>
      <c r="S66" s="198"/>
      <c r="T66" s="198"/>
      <c r="U66" s="198"/>
    </row>
    <row r="67" spans="1:21" s="12" customFormat="1" x14ac:dyDescent="0.25">
      <c r="A67" s="216" t="s">
        <v>2416</v>
      </c>
      <c r="B67" s="64">
        <v>1.2</v>
      </c>
      <c r="C67" s="64">
        <v>3.73</v>
      </c>
      <c r="D67" s="64">
        <v>2.83</v>
      </c>
      <c r="E67" s="64">
        <v>2.11</v>
      </c>
      <c r="F67" s="64">
        <v>7.83</v>
      </c>
      <c r="G67" s="64">
        <v>39.340000000000003</v>
      </c>
      <c r="H67" s="64">
        <v>17.149999999999999</v>
      </c>
      <c r="I67" s="64">
        <v>4.7</v>
      </c>
      <c r="J67" s="64">
        <v>0.56000000000000005</v>
      </c>
      <c r="K67" s="64">
        <v>321.11</v>
      </c>
      <c r="L67" s="64">
        <v>36.659999999999997</v>
      </c>
      <c r="M67" s="64">
        <v>31.75</v>
      </c>
      <c r="N67" s="64">
        <v>280.3</v>
      </c>
      <c r="O67" s="64">
        <v>0</v>
      </c>
      <c r="P67" s="64">
        <v>0.48</v>
      </c>
      <c r="Q67" s="64">
        <v>9.35</v>
      </c>
      <c r="S67" s="198"/>
      <c r="T67" s="198"/>
      <c r="U67" s="198"/>
    </row>
    <row r="68" spans="1:21" s="12" customFormat="1" x14ac:dyDescent="0.25">
      <c r="A68" s="216" t="s">
        <v>2417</v>
      </c>
      <c r="B68" s="64">
        <v>1.18</v>
      </c>
      <c r="C68" s="64">
        <v>3.24</v>
      </c>
      <c r="D68" s="64">
        <v>2.56</v>
      </c>
      <c r="E68" s="64">
        <v>1.75</v>
      </c>
      <c r="F68" s="64">
        <v>7.86</v>
      </c>
      <c r="G68" s="64">
        <v>44.94</v>
      </c>
      <c r="H68" s="64">
        <v>22.08</v>
      </c>
      <c r="I68" s="64">
        <v>4.3899999999999997</v>
      </c>
      <c r="J68" s="64">
        <v>0.27</v>
      </c>
      <c r="K68" s="64">
        <v>320.64</v>
      </c>
      <c r="L68" s="64">
        <v>36.35</v>
      </c>
      <c r="M68" s="64">
        <v>31.47</v>
      </c>
      <c r="N68" s="64">
        <v>372.4</v>
      </c>
      <c r="O68" s="64">
        <v>0</v>
      </c>
      <c r="P68" s="64">
        <v>0.46</v>
      </c>
      <c r="Q68" s="64">
        <v>9.4</v>
      </c>
      <c r="S68" s="198"/>
      <c r="T68" s="198"/>
      <c r="U68" s="198"/>
    </row>
    <row r="69" spans="1:21" s="12" customFormat="1" x14ac:dyDescent="0.25">
      <c r="A69" s="216" t="s">
        <v>2418</v>
      </c>
      <c r="B69" s="64">
        <v>1.21</v>
      </c>
      <c r="C69" s="64">
        <v>3.64</v>
      </c>
      <c r="D69" s="64">
        <v>2.79</v>
      </c>
      <c r="E69" s="64">
        <v>1.89</v>
      </c>
      <c r="F69" s="64">
        <v>6.78</v>
      </c>
      <c r="G69" s="64">
        <v>45.27</v>
      </c>
      <c r="H69" s="64">
        <v>22.37</v>
      </c>
      <c r="I69" s="64">
        <v>4.1399999999999997</v>
      </c>
      <c r="J69" s="64">
        <v>0.3</v>
      </c>
      <c r="K69" s="64">
        <v>333.62</v>
      </c>
      <c r="L69" s="64">
        <v>36.479999999999997</v>
      </c>
      <c r="M69" s="64">
        <v>31.98</v>
      </c>
      <c r="N69" s="64">
        <v>262.3</v>
      </c>
      <c r="O69" s="64">
        <v>0</v>
      </c>
      <c r="P69" s="64">
        <v>0.45</v>
      </c>
      <c r="Q69" s="64">
        <v>9.43</v>
      </c>
      <c r="S69" s="198"/>
      <c r="T69" s="198"/>
      <c r="U69" s="198"/>
    </row>
    <row r="70" spans="1:21" s="12" customFormat="1" x14ac:dyDescent="0.25">
      <c r="A70" s="216" t="s">
        <v>2419</v>
      </c>
      <c r="B70" s="64">
        <v>1.29</v>
      </c>
      <c r="C70" s="64">
        <v>3.88</v>
      </c>
      <c r="D70" s="64">
        <v>2.98</v>
      </c>
      <c r="E70" s="64">
        <v>1.98</v>
      </c>
      <c r="F70" s="64">
        <v>6.23</v>
      </c>
      <c r="G70" s="64">
        <v>45.27</v>
      </c>
      <c r="H70" s="64">
        <v>22.37</v>
      </c>
      <c r="I70" s="64">
        <v>3.98</v>
      </c>
      <c r="J70" s="64">
        <v>0.42</v>
      </c>
      <c r="K70" s="64">
        <v>320.89</v>
      </c>
      <c r="L70" s="64">
        <v>36.340000000000003</v>
      </c>
      <c r="M70" s="64">
        <v>32.69</v>
      </c>
      <c r="N70" s="64">
        <v>174.8</v>
      </c>
      <c r="O70" s="64">
        <v>0</v>
      </c>
      <c r="P70" s="64">
        <v>0.43</v>
      </c>
      <c r="Q70" s="64">
        <v>9.4499999999999993</v>
      </c>
      <c r="S70" s="198"/>
      <c r="T70" s="198"/>
      <c r="U70" s="198"/>
    </row>
    <row r="71" spans="1:21" s="12" customFormat="1" x14ac:dyDescent="0.25">
      <c r="A71" s="216" t="s">
        <v>2420</v>
      </c>
      <c r="B71" s="64">
        <v>1.24</v>
      </c>
      <c r="C71" s="64">
        <v>3.86</v>
      </c>
      <c r="D71" s="64">
        <v>2.93</v>
      </c>
      <c r="E71" s="64">
        <v>2.02</v>
      </c>
      <c r="F71" s="64">
        <v>7.76</v>
      </c>
      <c r="G71" s="64">
        <v>45.27</v>
      </c>
      <c r="H71" s="64">
        <v>22.37</v>
      </c>
      <c r="I71" s="64">
        <v>3.96</v>
      </c>
      <c r="J71" s="64">
        <v>0.64</v>
      </c>
      <c r="K71" s="64">
        <v>328.24</v>
      </c>
      <c r="L71" s="64">
        <v>36.18</v>
      </c>
      <c r="M71" s="64">
        <v>32.83</v>
      </c>
      <c r="N71" s="64">
        <v>154.4</v>
      </c>
      <c r="O71" s="64">
        <v>0</v>
      </c>
      <c r="P71" s="64">
        <v>0.42</v>
      </c>
      <c r="Q71" s="64">
        <v>9.5</v>
      </c>
      <c r="S71" s="198"/>
      <c r="T71" s="198"/>
      <c r="U71" s="198"/>
    </row>
    <row r="72" spans="1:21" s="12" customFormat="1" x14ac:dyDescent="0.25">
      <c r="A72" s="216" t="s">
        <v>2421</v>
      </c>
      <c r="B72" s="64">
        <v>1.23</v>
      </c>
      <c r="C72" s="64">
        <v>3.8</v>
      </c>
      <c r="D72" s="64">
        <v>2.89</v>
      </c>
      <c r="E72" s="64">
        <v>2.11</v>
      </c>
      <c r="F72" s="64">
        <v>7.59</v>
      </c>
      <c r="G72" s="64">
        <v>36.58</v>
      </c>
      <c r="H72" s="64">
        <v>17.420000000000002</v>
      </c>
      <c r="I72" s="64">
        <v>3.91</v>
      </c>
      <c r="J72" s="64">
        <v>0.32</v>
      </c>
      <c r="K72" s="64">
        <v>325.89999999999998</v>
      </c>
      <c r="L72" s="64">
        <v>35.979999999999997</v>
      </c>
      <c r="M72" s="64">
        <v>32.32</v>
      </c>
      <c r="N72" s="64">
        <v>140.5</v>
      </c>
      <c r="O72" s="64">
        <v>0</v>
      </c>
      <c r="P72" s="64">
        <v>0.41</v>
      </c>
      <c r="Q72" s="64">
        <v>9.5</v>
      </c>
      <c r="S72" s="198"/>
      <c r="T72" s="198"/>
      <c r="U72" s="198"/>
    </row>
    <row r="73" spans="1:21" s="12" customFormat="1" x14ac:dyDescent="0.25">
      <c r="A73" s="216" t="s">
        <v>2422</v>
      </c>
      <c r="B73" s="64">
        <v>1.2</v>
      </c>
      <c r="C73" s="64">
        <v>3.22</v>
      </c>
      <c r="D73" s="64">
        <v>2.57</v>
      </c>
      <c r="E73" s="64">
        <v>2.09</v>
      </c>
      <c r="F73" s="64">
        <v>5.88</v>
      </c>
      <c r="G73" s="64">
        <v>36.07</v>
      </c>
      <c r="H73" s="64">
        <v>17.13</v>
      </c>
      <c r="I73" s="64">
        <v>3.81</v>
      </c>
      <c r="J73" s="64">
        <v>0.17</v>
      </c>
      <c r="K73" s="64">
        <v>305.37</v>
      </c>
      <c r="L73" s="64">
        <v>35.68</v>
      </c>
      <c r="M73" s="64">
        <v>31.87</v>
      </c>
      <c r="N73" s="64">
        <v>156.80000000000001</v>
      </c>
      <c r="O73" s="64">
        <v>0</v>
      </c>
      <c r="P73" s="64">
        <v>0.4</v>
      </c>
      <c r="Q73" s="64">
        <v>9.49</v>
      </c>
      <c r="S73" s="198"/>
      <c r="T73" s="198"/>
      <c r="U73" s="198"/>
    </row>
    <row r="74" spans="1:21" s="12" customFormat="1" x14ac:dyDescent="0.25">
      <c r="A74" s="216" t="s">
        <v>2423</v>
      </c>
      <c r="B74" s="64">
        <v>1.24</v>
      </c>
      <c r="C74" s="64">
        <v>3.07</v>
      </c>
      <c r="D74" s="64">
        <v>2.52</v>
      </c>
      <c r="E74" s="64">
        <v>1.82</v>
      </c>
      <c r="F74" s="64">
        <v>6.04</v>
      </c>
      <c r="G74" s="64">
        <v>36.07</v>
      </c>
      <c r="H74" s="64">
        <v>17.13</v>
      </c>
      <c r="I74" s="64">
        <v>3.8</v>
      </c>
      <c r="J74" s="64">
        <v>0.45</v>
      </c>
      <c r="K74" s="64">
        <v>320.95</v>
      </c>
      <c r="L74" s="64">
        <v>35.700000000000003</v>
      </c>
      <c r="M74" s="64">
        <v>31.68</v>
      </c>
      <c r="N74" s="64">
        <v>119.4</v>
      </c>
      <c r="O74" s="64">
        <v>0</v>
      </c>
      <c r="P74" s="64">
        <v>0.39</v>
      </c>
      <c r="Q74" s="64">
        <v>9.48</v>
      </c>
      <c r="S74" s="198"/>
      <c r="T74" s="198"/>
      <c r="U74" s="198"/>
    </row>
    <row r="75" spans="1:21" s="12" customFormat="1" x14ac:dyDescent="0.25">
      <c r="A75" s="216" t="s">
        <v>2424</v>
      </c>
      <c r="B75" s="64">
        <v>1.22</v>
      </c>
      <c r="C75" s="64">
        <v>2.83</v>
      </c>
      <c r="D75" s="64">
        <v>2.38</v>
      </c>
      <c r="E75" s="64">
        <v>1.96</v>
      </c>
      <c r="F75" s="64">
        <v>7.97</v>
      </c>
      <c r="G75" s="64">
        <v>36.07</v>
      </c>
      <c r="H75" s="64">
        <v>17.13</v>
      </c>
      <c r="I75" s="64">
        <v>3.88</v>
      </c>
      <c r="J75" s="64">
        <v>0.77</v>
      </c>
      <c r="K75" s="64">
        <v>323.5</v>
      </c>
      <c r="L75" s="64">
        <v>35.700000000000003</v>
      </c>
      <c r="M75" s="64">
        <v>31.96</v>
      </c>
      <c r="N75" s="64">
        <v>107</v>
      </c>
      <c r="O75" s="64">
        <v>0</v>
      </c>
      <c r="P75" s="64">
        <v>0.39</v>
      </c>
      <c r="Q75" s="64">
        <v>9.4700000000000006</v>
      </c>
      <c r="S75" s="198"/>
      <c r="T75" s="198"/>
      <c r="U75" s="198"/>
    </row>
    <row r="76" spans="1:21" s="12" customFormat="1" x14ac:dyDescent="0.25">
      <c r="A76" s="216" t="s">
        <v>2425</v>
      </c>
      <c r="B76" s="64">
        <v>1.23</v>
      </c>
      <c r="C76" s="64">
        <v>3.12</v>
      </c>
      <c r="D76" s="64">
        <v>2.54</v>
      </c>
      <c r="E76" s="64">
        <v>1.81</v>
      </c>
      <c r="F76" s="64">
        <v>5.93</v>
      </c>
      <c r="G76" s="64">
        <v>38.31</v>
      </c>
      <c r="H76" s="64">
        <v>16.920000000000002</v>
      </c>
      <c r="I76" s="64">
        <v>4.01</v>
      </c>
      <c r="J76" s="64">
        <v>0.47</v>
      </c>
      <c r="K76" s="64">
        <v>318.61</v>
      </c>
      <c r="L76" s="64">
        <v>35.450000000000003</v>
      </c>
      <c r="M76" s="64">
        <v>32.93</v>
      </c>
      <c r="N76" s="64">
        <v>95.3</v>
      </c>
      <c r="O76" s="64">
        <v>0</v>
      </c>
      <c r="P76" s="64">
        <v>0.4</v>
      </c>
      <c r="Q76" s="64">
        <v>9.4600000000000009</v>
      </c>
      <c r="S76" s="198"/>
      <c r="T76" s="198"/>
      <c r="U76" s="198"/>
    </row>
    <row r="77" spans="1:21" s="12" customFormat="1" x14ac:dyDescent="0.25">
      <c r="A77" s="216" t="s">
        <v>2426</v>
      </c>
      <c r="B77" s="64">
        <v>1.24</v>
      </c>
      <c r="C77" s="64">
        <v>3.04</v>
      </c>
      <c r="D77" s="64">
        <v>2.5</v>
      </c>
      <c r="E77" s="64">
        <v>1.81</v>
      </c>
      <c r="F77" s="64">
        <v>5.29</v>
      </c>
      <c r="G77" s="64">
        <v>38.44</v>
      </c>
      <c r="H77" s="64">
        <v>16.91</v>
      </c>
      <c r="I77" s="64">
        <v>4.13</v>
      </c>
      <c r="J77" s="64">
        <v>0.28999999999999998</v>
      </c>
      <c r="K77" s="64">
        <v>316.73</v>
      </c>
      <c r="L77" s="64">
        <v>34.57</v>
      </c>
      <c r="M77" s="64">
        <v>34.56</v>
      </c>
      <c r="N77" s="64">
        <v>78.7</v>
      </c>
      <c r="O77" s="64">
        <v>0</v>
      </c>
      <c r="P77" s="64">
        <v>0.4</v>
      </c>
      <c r="Q77" s="64">
        <v>9.4499999999999993</v>
      </c>
      <c r="S77" s="198"/>
      <c r="T77" s="198"/>
      <c r="U77" s="198"/>
    </row>
    <row r="78" spans="1:21" s="12" customFormat="1" x14ac:dyDescent="0.25">
      <c r="A78" s="216" t="s">
        <v>2427</v>
      </c>
      <c r="B78" s="64">
        <v>1.28</v>
      </c>
      <c r="C78" s="64">
        <v>3.18</v>
      </c>
      <c r="D78" s="64">
        <v>2.61</v>
      </c>
      <c r="E78" s="64">
        <v>1.97</v>
      </c>
      <c r="F78" s="64">
        <v>4.91</v>
      </c>
      <c r="G78" s="64">
        <v>38.44</v>
      </c>
      <c r="H78" s="64">
        <v>16.91</v>
      </c>
      <c r="I78" s="64">
        <v>4.2</v>
      </c>
      <c r="J78" s="64">
        <v>0.34</v>
      </c>
      <c r="K78" s="64">
        <v>320.39999999999998</v>
      </c>
      <c r="L78" s="64">
        <v>34.71</v>
      </c>
      <c r="M78" s="64">
        <v>32.909999999999997</v>
      </c>
      <c r="N78" s="64">
        <v>70.7</v>
      </c>
      <c r="O78" s="64">
        <v>0</v>
      </c>
      <c r="P78" s="64">
        <v>0.41</v>
      </c>
      <c r="Q78" s="64">
        <v>9.41</v>
      </c>
      <c r="S78" s="198"/>
      <c r="T78" s="198"/>
      <c r="U78" s="198"/>
    </row>
    <row r="79" spans="1:21" s="12" customFormat="1" x14ac:dyDescent="0.25">
      <c r="A79" s="216" t="s">
        <v>2428</v>
      </c>
      <c r="B79" s="64">
        <v>1.34</v>
      </c>
      <c r="C79" s="64">
        <v>3.73</v>
      </c>
      <c r="D79" s="64">
        <v>2.94</v>
      </c>
      <c r="E79" s="64">
        <v>2</v>
      </c>
      <c r="F79" s="64">
        <v>5.19</v>
      </c>
      <c r="G79" s="64">
        <v>38.44</v>
      </c>
      <c r="H79" s="64">
        <v>16.91</v>
      </c>
      <c r="I79" s="64">
        <v>4.18</v>
      </c>
      <c r="J79" s="64">
        <v>0.28000000000000003</v>
      </c>
      <c r="K79" s="64">
        <v>316.69</v>
      </c>
      <c r="L79" s="64">
        <v>33.79</v>
      </c>
      <c r="M79" s="64">
        <v>37.18</v>
      </c>
      <c r="N79" s="64">
        <v>57.5</v>
      </c>
      <c r="O79" s="64">
        <v>0</v>
      </c>
      <c r="P79" s="64">
        <v>0.43</v>
      </c>
      <c r="Q79" s="64">
        <v>9.43</v>
      </c>
      <c r="S79" s="198"/>
      <c r="T79" s="198"/>
      <c r="U79" s="198"/>
    </row>
    <row r="80" spans="1:21" s="12" customFormat="1" x14ac:dyDescent="0.25">
      <c r="A80" s="216" t="s">
        <v>2429</v>
      </c>
      <c r="B80" s="64">
        <v>1.28</v>
      </c>
      <c r="C80" s="64">
        <v>3.73</v>
      </c>
      <c r="D80" s="64">
        <v>2.9</v>
      </c>
      <c r="E80" s="64">
        <v>1.86</v>
      </c>
      <c r="F80" s="64">
        <v>5.29</v>
      </c>
      <c r="G80" s="64">
        <v>26.37</v>
      </c>
      <c r="H80" s="64">
        <v>15.85</v>
      </c>
      <c r="I80" s="64">
        <v>4.2</v>
      </c>
      <c r="J80" s="64">
        <v>0.19</v>
      </c>
      <c r="K80" s="64">
        <v>309.69</v>
      </c>
      <c r="L80" s="64">
        <v>34.020000000000003</v>
      </c>
      <c r="M80" s="64">
        <v>33.94</v>
      </c>
      <c r="N80" s="64">
        <v>47.6</v>
      </c>
      <c r="O80" s="64">
        <v>0</v>
      </c>
      <c r="P80" s="64">
        <v>0.46</v>
      </c>
      <c r="Q80" s="64">
        <v>9.43</v>
      </c>
      <c r="S80" s="198"/>
      <c r="T80" s="198"/>
      <c r="U80" s="198"/>
    </row>
    <row r="81" spans="1:26" s="12" customFormat="1" x14ac:dyDescent="0.25">
      <c r="A81" s="216" t="s">
        <v>2430</v>
      </c>
      <c r="B81" s="64">
        <v>1.37</v>
      </c>
      <c r="C81" s="64">
        <v>4.47</v>
      </c>
      <c r="D81" s="64">
        <v>3.36</v>
      </c>
      <c r="E81" s="64">
        <v>1.74</v>
      </c>
      <c r="F81" s="64">
        <v>4.66</v>
      </c>
      <c r="G81" s="64">
        <v>25.66</v>
      </c>
      <c r="H81" s="64">
        <v>15.79</v>
      </c>
      <c r="I81" s="64">
        <v>4.13</v>
      </c>
      <c r="J81" s="64">
        <v>0.2</v>
      </c>
      <c r="K81" s="64">
        <v>322.64</v>
      </c>
      <c r="L81" s="64">
        <v>33.799999999999997</v>
      </c>
      <c r="M81" s="64">
        <v>34.32</v>
      </c>
      <c r="N81" s="64">
        <v>36.1</v>
      </c>
      <c r="O81" s="64">
        <v>0</v>
      </c>
      <c r="P81" s="64">
        <v>0.49</v>
      </c>
      <c r="Q81" s="64">
        <v>9.42</v>
      </c>
      <c r="S81" s="198"/>
      <c r="T81" s="198"/>
      <c r="U81" s="198"/>
    </row>
    <row r="82" spans="1:26" s="12" customFormat="1" x14ac:dyDescent="0.25">
      <c r="A82" s="216" t="s">
        <v>2431</v>
      </c>
      <c r="B82" s="64">
        <v>1.6</v>
      </c>
      <c r="C82" s="64">
        <v>5.32</v>
      </c>
      <c r="D82" s="64">
        <v>3.98</v>
      </c>
      <c r="E82" s="64">
        <v>2.04</v>
      </c>
      <c r="F82" s="64">
        <v>3.88</v>
      </c>
      <c r="G82" s="64">
        <v>25.66</v>
      </c>
      <c r="H82" s="64">
        <v>15.79</v>
      </c>
      <c r="I82" s="64">
        <v>4.16</v>
      </c>
      <c r="J82" s="64">
        <v>0.15</v>
      </c>
      <c r="K82" s="64">
        <v>282.49</v>
      </c>
      <c r="L82" s="64">
        <v>33.619999999999997</v>
      </c>
      <c r="M82" s="64">
        <v>34.549999999999997</v>
      </c>
      <c r="N82" s="64">
        <v>23.6</v>
      </c>
      <c r="O82" s="64">
        <v>0</v>
      </c>
      <c r="P82" s="64">
        <v>0.54</v>
      </c>
      <c r="Q82" s="64">
        <v>9.42</v>
      </c>
      <c r="S82" s="198"/>
      <c r="T82" s="198"/>
      <c r="U82" s="198"/>
    </row>
    <row r="83" spans="1:26" s="12" customFormat="1" x14ac:dyDescent="0.25">
      <c r="A83" s="216" t="s">
        <v>2432</v>
      </c>
      <c r="B83" s="64">
        <v>1.72</v>
      </c>
      <c r="C83" s="64">
        <v>5.72</v>
      </c>
      <c r="D83" s="64">
        <v>4.29</v>
      </c>
      <c r="E83" s="64">
        <v>1.85</v>
      </c>
      <c r="F83" s="64">
        <v>3.59</v>
      </c>
      <c r="G83" s="64">
        <v>25.66</v>
      </c>
      <c r="H83" s="64">
        <v>15.79</v>
      </c>
      <c r="I83" s="64">
        <v>4.4400000000000004</v>
      </c>
      <c r="J83" s="64">
        <v>7.0000000000000007E-2</v>
      </c>
      <c r="K83" s="64">
        <v>330.69</v>
      </c>
      <c r="L83" s="64">
        <v>33.479999999999997</v>
      </c>
      <c r="M83" s="64">
        <v>36.770000000000003</v>
      </c>
      <c r="N83" s="64">
        <v>20.3</v>
      </c>
      <c r="O83" s="64">
        <v>0</v>
      </c>
      <c r="P83" s="64">
        <v>0.62</v>
      </c>
      <c r="Q83" s="64">
        <v>9.4600000000000009</v>
      </c>
      <c r="S83" s="198"/>
      <c r="T83" s="198"/>
      <c r="U83" s="198"/>
    </row>
    <row r="84" spans="1:26" s="12" customFormat="1" x14ac:dyDescent="0.25">
      <c r="A84" s="216" t="s">
        <v>2433</v>
      </c>
      <c r="B84" s="64">
        <v>1.85</v>
      </c>
      <c r="C84" s="64">
        <v>6.45</v>
      </c>
      <c r="D84" s="64">
        <v>4.78</v>
      </c>
      <c r="E84" s="64">
        <v>1.75</v>
      </c>
      <c r="F84" s="64">
        <v>3.37</v>
      </c>
      <c r="G84" s="64">
        <v>61.57</v>
      </c>
      <c r="H84" s="64">
        <v>19.02</v>
      </c>
      <c r="I84" s="64">
        <v>4.88</v>
      </c>
      <c r="J84" s="64">
        <v>0.12</v>
      </c>
      <c r="K84" s="64">
        <v>240.57</v>
      </c>
      <c r="L84" s="64">
        <v>33.549999999999997</v>
      </c>
      <c r="M84" s="64">
        <v>35.06</v>
      </c>
      <c r="N84" s="64">
        <v>19.5</v>
      </c>
      <c r="O84" s="64">
        <v>0</v>
      </c>
      <c r="P84" s="64">
        <v>0.68</v>
      </c>
      <c r="Q84" s="64">
        <v>9.51</v>
      </c>
      <c r="S84" s="198"/>
      <c r="T84" s="198"/>
      <c r="U84" s="198"/>
    </row>
    <row r="85" spans="1:26" s="12" customFormat="1" x14ac:dyDescent="0.25">
      <c r="A85" s="216" t="s">
        <v>2434</v>
      </c>
      <c r="B85" s="64">
        <v>1.87</v>
      </c>
      <c r="C85" s="64">
        <v>6.46</v>
      </c>
      <c r="D85" s="64">
        <v>4.79</v>
      </c>
      <c r="E85" s="64">
        <v>1.9</v>
      </c>
      <c r="F85" s="64">
        <v>3.83</v>
      </c>
      <c r="G85" s="64">
        <v>63.68</v>
      </c>
      <c r="H85" s="64">
        <v>19.21</v>
      </c>
      <c r="I85" s="64">
        <v>5.46</v>
      </c>
      <c r="J85" s="64">
        <v>0.02</v>
      </c>
      <c r="K85" s="64">
        <v>238.66</v>
      </c>
      <c r="L85" s="64">
        <v>33</v>
      </c>
      <c r="M85" s="64">
        <v>38.74</v>
      </c>
      <c r="N85" s="64">
        <v>19.7</v>
      </c>
      <c r="O85" s="64">
        <v>0</v>
      </c>
      <c r="P85" s="64">
        <v>0.68</v>
      </c>
      <c r="Q85" s="64">
        <v>9.5399999999999991</v>
      </c>
      <c r="S85" s="198"/>
      <c r="T85" s="198"/>
      <c r="U85" s="198"/>
    </row>
    <row r="86" spans="1:26" s="12" customFormat="1" x14ac:dyDescent="0.25">
      <c r="A86" s="216" t="s">
        <v>2435</v>
      </c>
      <c r="B86" s="64">
        <v>2.06</v>
      </c>
      <c r="C86" s="64">
        <v>6.92</v>
      </c>
      <c r="D86" s="64">
        <v>5.19</v>
      </c>
      <c r="E86" s="64">
        <v>1.86</v>
      </c>
      <c r="F86" s="64">
        <v>3.88</v>
      </c>
      <c r="G86" s="64">
        <v>63.68</v>
      </c>
      <c r="H86" s="64">
        <v>19.21</v>
      </c>
      <c r="I86" s="64">
        <v>5.7</v>
      </c>
      <c r="J86" s="64">
        <v>0.1</v>
      </c>
      <c r="K86" s="64">
        <v>151.02000000000001</v>
      </c>
      <c r="L86" s="64">
        <v>32.36</v>
      </c>
      <c r="M86" s="64">
        <v>45.38</v>
      </c>
      <c r="N86" s="64">
        <v>19.8</v>
      </c>
      <c r="O86" s="64">
        <v>0</v>
      </c>
      <c r="P86" s="64">
        <v>0.8</v>
      </c>
      <c r="Q86" s="64">
        <v>9.5399999999999991</v>
      </c>
      <c r="S86" s="198"/>
      <c r="T86" s="198"/>
      <c r="U86" s="198"/>
    </row>
    <row r="87" spans="1:26" s="12" customFormat="1" x14ac:dyDescent="0.25">
      <c r="A87" s="216" t="s">
        <v>2436</v>
      </c>
      <c r="B87" s="64">
        <v>2.46</v>
      </c>
      <c r="C87" s="64">
        <v>7.22</v>
      </c>
      <c r="D87" s="64">
        <v>5.67</v>
      </c>
      <c r="E87" s="64">
        <v>1.81</v>
      </c>
      <c r="F87" s="64">
        <v>3.55</v>
      </c>
      <c r="G87" s="64">
        <v>63.68</v>
      </c>
      <c r="H87" s="64">
        <v>19.21</v>
      </c>
      <c r="I87" s="64">
        <v>6.07</v>
      </c>
      <c r="J87" s="64">
        <v>0.21</v>
      </c>
      <c r="K87" s="64">
        <v>176.63</v>
      </c>
      <c r="L87" s="64">
        <v>32.11</v>
      </c>
      <c r="M87" s="64">
        <v>45.38</v>
      </c>
      <c r="N87" s="64">
        <v>19.5</v>
      </c>
      <c r="O87" s="64">
        <v>0</v>
      </c>
      <c r="P87" s="64">
        <v>0.8</v>
      </c>
      <c r="Q87" s="64">
        <v>9.5</v>
      </c>
      <c r="S87" s="198"/>
      <c r="T87" s="198"/>
      <c r="U87" s="198"/>
    </row>
    <row r="88" spans="1:26" s="12" customFormat="1" x14ac:dyDescent="0.25">
      <c r="A88" s="216" t="s">
        <v>2437</v>
      </c>
      <c r="B88" s="64">
        <v>2.5499999999999998</v>
      </c>
      <c r="C88" s="64">
        <v>6.96</v>
      </c>
      <c r="D88" s="64">
        <v>5.6</v>
      </c>
      <c r="E88" s="64">
        <v>2.87</v>
      </c>
      <c r="F88" s="64">
        <v>3.69</v>
      </c>
      <c r="G88" s="64">
        <v>73.959999999999994</v>
      </c>
      <c r="H88" s="64">
        <v>23.12</v>
      </c>
      <c r="I88" s="64">
        <v>6.26</v>
      </c>
      <c r="J88" s="64">
        <v>0.13</v>
      </c>
      <c r="K88" s="64">
        <v>166.29</v>
      </c>
      <c r="L88" s="64">
        <v>31.97</v>
      </c>
      <c r="M88" s="64">
        <v>44.65</v>
      </c>
      <c r="N88" s="64">
        <v>19.5</v>
      </c>
      <c r="O88" s="64">
        <v>0</v>
      </c>
      <c r="P88" s="64">
        <v>0.81</v>
      </c>
      <c r="Q88" s="64">
        <v>9.56</v>
      </c>
      <c r="S88" s="198"/>
      <c r="T88" s="198"/>
      <c r="U88" s="198"/>
    </row>
    <row r="89" spans="1:26" s="12" customFormat="1" x14ac:dyDescent="0.25">
      <c r="A89" s="216" t="s">
        <v>2438</v>
      </c>
      <c r="B89" s="64">
        <v>2.58</v>
      </c>
      <c r="C89" s="64">
        <v>6.68</v>
      </c>
      <c r="D89" s="64">
        <v>5.48</v>
      </c>
      <c r="E89" s="64">
        <v>2.85</v>
      </c>
      <c r="F89" s="64">
        <v>3.6</v>
      </c>
      <c r="G89" s="64">
        <v>74.69</v>
      </c>
      <c r="H89" s="64">
        <v>23.36</v>
      </c>
      <c r="I89" s="64">
        <v>6.33</v>
      </c>
      <c r="J89" s="64">
        <v>0.16</v>
      </c>
      <c r="K89" s="64">
        <v>301.14999999999998</v>
      </c>
      <c r="L89" s="64">
        <v>31.38</v>
      </c>
      <c r="M89" s="64">
        <v>49.54</v>
      </c>
      <c r="N89" s="64">
        <v>19.600000000000001</v>
      </c>
      <c r="O89" s="64">
        <v>0</v>
      </c>
      <c r="P89" s="64">
        <v>0.94</v>
      </c>
      <c r="Q89" s="64">
        <v>9.6199999999999992</v>
      </c>
      <c r="S89" s="198"/>
      <c r="T89" s="198"/>
      <c r="U89" s="198"/>
    </row>
    <row r="90" spans="1:26" s="12" customFormat="1" x14ac:dyDescent="0.25">
      <c r="A90" s="216" t="s">
        <v>2439</v>
      </c>
      <c r="B90" s="64">
        <v>2.7</v>
      </c>
      <c r="C90" s="64">
        <v>6.2</v>
      </c>
      <c r="D90" s="64">
        <v>5.32</v>
      </c>
      <c r="E90" s="64">
        <v>3.09</v>
      </c>
      <c r="F90" s="64">
        <v>3.48</v>
      </c>
      <c r="G90" s="64">
        <v>74.69</v>
      </c>
      <c r="H90" s="64">
        <v>23.36</v>
      </c>
      <c r="I90" s="64">
        <v>6.4</v>
      </c>
      <c r="J90" s="64">
        <v>0.39</v>
      </c>
      <c r="K90" s="64">
        <v>151.75</v>
      </c>
      <c r="L90" s="64">
        <v>31.53</v>
      </c>
      <c r="M90" s="64">
        <v>45.51</v>
      </c>
      <c r="N90" s="64">
        <v>18.8</v>
      </c>
      <c r="O90" s="64">
        <v>0</v>
      </c>
      <c r="P90" s="64">
        <v>0.9</v>
      </c>
      <c r="Q90" s="64">
        <v>9.69</v>
      </c>
      <c r="S90" s="198"/>
      <c r="T90" s="198"/>
      <c r="U90" s="198"/>
    </row>
    <row r="91" spans="1:26" s="12" customFormat="1" x14ac:dyDescent="0.25">
      <c r="A91" s="216" t="s">
        <v>2440</v>
      </c>
      <c r="B91" s="64">
        <v>2.5299999999999998</v>
      </c>
      <c r="C91" s="64">
        <v>5.34</v>
      </c>
      <c r="D91" s="64">
        <v>4.74</v>
      </c>
      <c r="E91" s="64">
        <v>2.92</v>
      </c>
      <c r="F91" s="64">
        <v>3.49</v>
      </c>
      <c r="G91" s="64">
        <v>74.69</v>
      </c>
      <c r="H91" s="64">
        <v>23.36</v>
      </c>
      <c r="I91" s="64">
        <v>7.03</v>
      </c>
      <c r="J91" s="64">
        <v>0.85</v>
      </c>
      <c r="K91" s="64">
        <v>148.09</v>
      </c>
      <c r="L91" s="64">
        <v>31.45</v>
      </c>
      <c r="M91" s="64">
        <v>46.57</v>
      </c>
      <c r="N91" s="64">
        <v>18.600000000000001</v>
      </c>
      <c r="O91" s="64">
        <v>0</v>
      </c>
      <c r="P91" s="64">
        <v>0.89</v>
      </c>
      <c r="Q91" s="64">
        <v>9.74</v>
      </c>
      <c r="S91" s="198"/>
      <c r="T91" s="198"/>
      <c r="U91" s="198"/>
    </row>
    <row r="92" spans="1:26" s="12" customFormat="1" x14ac:dyDescent="0.25">
      <c r="A92" s="216" t="s">
        <v>2441</v>
      </c>
      <c r="B92" s="64">
        <v>2.5499999999999998</v>
      </c>
      <c r="C92" s="64">
        <v>5.64</v>
      </c>
      <c r="D92" s="64">
        <v>4.92</v>
      </c>
      <c r="E92" s="64">
        <v>2.5499999999999998</v>
      </c>
      <c r="F92" s="64">
        <v>3.52</v>
      </c>
      <c r="G92" s="64">
        <v>74.989999999999995</v>
      </c>
      <c r="H92" s="64">
        <v>23.24</v>
      </c>
      <c r="I92" s="64">
        <v>7.14</v>
      </c>
      <c r="J92" s="64">
        <v>0.06</v>
      </c>
      <c r="K92" s="64">
        <v>294.75</v>
      </c>
      <c r="L92" s="64">
        <v>31.35</v>
      </c>
      <c r="M92" s="64">
        <v>47.52</v>
      </c>
      <c r="N92" s="64">
        <v>19.7</v>
      </c>
      <c r="O92" s="64">
        <v>0</v>
      </c>
      <c r="P92" s="64">
        <v>0.89</v>
      </c>
      <c r="Q92" s="64">
        <v>9.76</v>
      </c>
      <c r="S92" s="198"/>
      <c r="T92" s="198"/>
      <c r="U92" s="198"/>
    </row>
    <row r="93" spans="1:26" s="12" customFormat="1" x14ac:dyDescent="0.25">
      <c r="A93" s="216" t="s">
        <v>2442</v>
      </c>
      <c r="B93" s="64">
        <v>2.59</v>
      </c>
      <c r="C93" s="64">
        <v>6.01</v>
      </c>
      <c r="D93" s="64">
        <v>5.14</v>
      </c>
      <c r="E93" s="64">
        <v>2.81</v>
      </c>
      <c r="F93" s="64">
        <v>3.41</v>
      </c>
      <c r="G93" s="64">
        <v>75</v>
      </c>
      <c r="H93" s="64">
        <v>23.23</v>
      </c>
      <c r="I93" s="64">
        <v>6.91</v>
      </c>
      <c r="J93" s="64">
        <v>0.18</v>
      </c>
      <c r="K93" s="64">
        <v>331.25</v>
      </c>
      <c r="L93" s="64">
        <v>30.98</v>
      </c>
      <c r="M93" s="64">
        <v>50.72</v>
      </c>
      <c r="N93" s="64">
        <v>19.8</v>
      </c>
      <c r="O93" s="64">
        <v>0</v>
      </c>
      <c r="P93" s="64">
        <v>0.94</v>
      </c>
      <c r="Q93" s="64">
        <v>9.77</v>
      </c>
      <c r="S93" s="198"/>
      <c r="T93" s="198"/>
      <c r="U93" s="198"/>
    </row>
    <row r="94" spans="1:26" s="12" customFormat="1" x14ac:dyDescent="0.25">
      <c r="A94" s="216" t="s">
        <v>2443</v>
      </c>
      <c r="B94" s="64">
        <v>2.67</v>
      </c>
      <c r="C94" s="64">
        <v>6.05</v>
      </c>
      <c r="D94" s="64">
        <v>5.22</v>
      </c>
      <c r="E94" s="64">
        <v>2.82</v>
      </c>
      <c r="F94" s="64">
        <v>3.42</v>
      </c>
      <c r="G94" s="64">
        <v>75</v>
      </c>
      <c r="H94" s="64">
        <v>23.23</v>
      </c>
      <c r="I94" s="64">
        <v>7.01</v>
      </c>
      <c r="J94" s="64">
        <v>0.28000000000000003</v>
      </c>
      <c r="K94" s="64">
        <v>158.19</v>
      </c>
      <c r="L94" s="64">
        <v>30.72</v>
      </c>
      <c r="M94" s="64">
        <v>49.92</v>
      </c>
      <c r="N94" s="64">
        <v>19.2</v>
      </c>
      <c r="O94" s="64">
        <v>0</v>
      </c>
      <c r="P94" s="64">
        <v>0.98</v>
      </c>
      <c r="Q94" s="64">
        <v>9.77</v>
      </c>
      <c r="S94" s="198"/>
      <c r="T94" s="198"/>
      <c r="U94" s="198"/>
    </row>
    <row r="95" spans="1:26" s="12" customFormat="1" x14ac:dyDescent="0.25">
      <c r="A95" s="216" t="s">
        <v>2444</v>
      </c>
      <c r="B95" s="64">
        <v>2.66</v>
      </c>
      <c r="C95" s="64">
        <v>6.34</v>
      </c>
      <c r="D95" s="64">
        <v>5.37</v>
      </c>
      <c r="E95" s="64">
        <v>2.73</v>
      </c>
      <c r="F95" s="64">
        <v>3.65</v>
      </c>
      <c r="G95" s="64">
        <v>75</v>
      </c>
      <c r="H95" s="64">
        <v>23.23</v>
      </c>
      <c r="I95" s="64">
        <v>7.47</v>
      </c>
      <c r="J95" s="64">
        <v>0.33</v>
      </c>
      <c r="K95" s="64">
        <v>151.79</v>
      </c>
      <c r="L95" s="64">
        <v>30.73</v>
      </c>
      <c r="M95" s="64">
        <v>49.2</v>
      </c>
      <c r="N95" s="64">
        <v>19.2</v>
      </c>
      <c r="O95" s="64">
        <v>0</v>
      </c>
      <c r="P95" s="64">
        <v>0.95</v>
      </c>
      <c r="Q95" s="64">
        <v>9.81</v>
      </c>
      <c r="S95" s="198"/>
      <c r="T95" s="198"/>
      <c r="U95" s="198"/>
    </row>
    <row r="96" spans="1:26" s="12" customFormat="1" x14ac:dyDescent="0.25">
      <c r="A96" s="216" t="s">
        <v>2445</v>
      </c>
      <c r="B96" s="64">
        <v>2.76</v>
      </c>
      <c r="C96" s="64">
        <v>6.64</v>
      </c>
      <c r="D96" s="64">
        <v>5.6</v>
      </c>
      <c r="E96" s="64">
        <v>3.1</v>
      </c>
      <c r="F96" s="64">
        <v>2.65</v>
      </c>
      <c r="G96" s="64">
        <v>75.45</v>
      </c>
      <c r="H96" s="64">
        <v>24.27</v>
      </c>
      <c r="I96" s="64">
        <v>7.63</v>
      </c>
      <c r="J96" s="64">
        <v>0.47</v>
      </c>
      <c r="K96" s="64">
        <v>147.22999999999999</v>
      </c>
      <c r="L96" s="64">
        <v>30.77</v>
      </c>
      <c r="M96" s="64">
        <v>49.66</v>
      </c>
      <c r="N96" s="64">
        <v>19</v>
      </c>
      <c r="O96" s="64">
        <v>0</v>
      </c>
      <c r="P96" s="64">
        <v>0.95</v>
      </c>
      <c r="Q96" s="64">
        <v>9.7799999999999994</v>
      </c>
      <c r="S96" s="198"/>
      <c r="T96" s="198"/>
      <c r="U96" s="198"/>
      <c r="Z96" s="109"/>
    </row>
    <row r="97" spans="1:33" s="12" customFormat="1" x14ac:dyDescent="0.25">
      <c r="A97" s="216" t="s">
        <v>2446</v>
      </c>
      <c r="B97" s="64">
        <v>2.68</v>
      </c>
      <c r="C97" s="64">
        <v>6.3</v>
      </c>
      <c r="D97" s="64">
        <v>5.36</v>
      </c>
      <c r="E97" s="64">
        <v>3.08</v>
      </c>
      <c r="F97" s="64">
        <v>3.15</v>
      </c>
      <c r="G97" s="64">
        <v>75.48</v>
      </c>
      <c r="H97" s="64">
        <v>24.34</v>
      </c>
      <c r="I97" s="64">
        <v>7.6</v>
      </c>
      <c r="J97" s="64">
        <v>0.64</v>
      </c>
      <c r="K97" s="64">
        <v>150.21</v>
      </c>
      <c r="L97" s="64">
        <v>30.7</v>
      </c>
      <c r="M97" s="64">
        <v>49.45</v>
      </c>
      <c r="N97" s="64">
        <v>19.399999999999999</v>
      </c>
      <c r="O97" s="64">
        <v>0</v>
      </c>
      <c r="P97" s="64">
        <v>0.93</v>
      </c>
      <c r="Q97" s="64">
        <v>9.7100000000000009</v>
      </c>
      <c r="S97" s="198"/>
      <c r="T97" s="198"/>
      <c r="U97" s="198"/>
    </row>
    <row r="98" spans="1:33" s="12" customFormat="1" x14ac:dyDescent="0.25">
      <c r="A98" s="216" t="s">
        <v>2447</v>
      </c>
      <c r="B98" s="64">
        <v>2.6</v>
      </c>
      <c r="C98" s="64">
        <v>6.07</v>
      </c>
      <c r="D98" s="64">
        <v>5.18</v>
      </c>
      <c r="E98" s="64">
        <v>2.93</v>
      </c>
      <c r="F98" s="64">
        <v>3.02</v>
      </c>
      <c r="G98" s="64">
        <v>75.48</v>
      </c>
      <c r="H98" s="64">
        <v>24.34</v>
      </c>
      <c r="I98" s="64">
        <v>7.94</v>
      </c>
      <c r="J98" s="64">
        <v>1.1000000000000001</v>
      </c>
      <c r="K98" s="64">
        <v>144.86000000000001</v>
      </c>
      <c r="L98" s="64">
        <v>30.44</v>
      </c>
      <c r="M98" s="64">
        <v>50.43</v>
      </c>
      <c r="N98" s="64">
        <v>19.5</v>
      </c>
      <c r="O98" s="64">
        <v>0</v>
      </c>
      <c r="P98" s="64">
        <v>0.91</v>
      </c>
      <c r="Q98" s="64">
        <v>9.68</v>
      </c>
      <c r="S98" s="198"/>
      <c r="T98" s="198"/>
      <c r="U98" s="198"/>
    </row>
    <row r="99" spans="1:33" s="12" customFormat="1" x14ac:dyDescent="0.25">
      <c r="A99" s="216" t="s">
        <v>2448</v>
      </c>
      <c r="B99" s="64">
        <v>2.4700000000000002</v>
      </c>
      <c r="C99" s="64">
        <v>5.57</v>
      </c>
      <c r="D99" s="64">
        <v>4.8099999999999996</v>
      </c>
      <c r="E99" s="64">
        <v>2.99</v>
      </c>
      <c r="F99" s="64">
        <v>3.43</v>
      </c>
      <c r="G99" s="64">
        <v>75.48</v>
      </c>
      <c r="H99" s="64">
        <v>24.34</v>
      </c>
      <c r="I99" s="64">
        <v>7.93</v>
      </c>
      <c r="J99" s="64">
        <v>0.88</v>
      </c>
      <c r="K99" s="64">
        <v>155.61000000000001</v>
      </c>
      <c r="L99" s="64">
        <v>30.1</v>
      </c>
      <c r="M99" s="64">
        <v>50.6</v>
      </c>
      <c r="N99" s="64">
        <v>19.600000000000001</v>
      </c>
      <c r="O99" s="64">
        <v>0</v>
      </c>
      <c r="P99" s="64">
        <v>0.89</v>
      </c>
      <c r="Q99" s="64">
        <v>9.68</v>
      </c>
      <c r="S99" s="198"/>
      <c r="T99" s="198"/>
      <c r="U99" s="198"/>
    </row>
    <row r="100" spans="1:33" s="12" customFormat="1" x14ac:dyDescent="0.25">
      <c r="A100" s="216" t="s">
        <v>2449</v>
      </c>
      <c r="B100" s="64">
        <v>2.2400000000000002</v>
      </c>
      <c r="C100" s="64">
        <v>4.63</v>
      </c>
      <c r="D100" s="64">
        <v>4.13</v>
      </c>
      <c r="E100" s="64">
        <v>3</v>
      </c>
      <c r="F100" s="64">
        <v>3.51</v>
      </c>
      <c r="G100" s="64">
        <v>69.23</v>
      </c>
      <c r="H100" s="64">
        <v>24.6</v>
      </c>
      <c r="I100" s="64">
        <v>8.09</v>
      </c>
      <c r="J100" s="64">
        <v>0.85</v>
      </c>
      <c r="K100" s="64">
        <v>155.13</v>
      </c>
      <c r="L100" s="64">
        <v>29.92</v>
      </c>
      <c r="M100" s="64">
        <v>50.85</v>
      </c>
      <c r="N100" s="64">
        <v>19.5</v>
      </c>
      <c r="O100" s="64">
        <v>0</v>
      </c>
      <c r="P100" s="64">
        <v>0.87</v>
      </c>
      <c r="Q100" s="64">
        <v>9.59</v>
      </c>
      <c r="S100" s="198"/>
      <c r="T100" s="198"/>
      <c r="U100" s="198"/>
      <c r="AB100" s="110"/>
      <c r="AG100" s="109"/>
    </row>
    <row r="101" spans="1:33" s="12" customFormat="1" x14ac:dyDescent="0.25">
      <c r="A101" s="216" t="s">
        <v>2450</v>
      </c>
      <c r="B101" s="64">
        <v>2.1800000000000002</v>
      </c>
      <c r="C101" s="64">
        <v>4.41</v>
      </c>
      <c r="D101" s="64">
        <v>3.97</v>
      </c>
      <c r="E101" s="64">
        <v>2.88</v>
      </c>
      <c r="F101" s="64">
        <v>3.37</v>
      </c>
      <c r="G101" s="64">
        <v>68.86</v>
      </c>
      <c r="H101" s="64">
        <v>24.62</v>
      </c>
      <c r="I101" s="64">
        <v>8.26</v>
      </c>
      <c r="J101" s="64">
        <v>0.68</v>
      </c>
      <c r="K101" s="64">
        <v>158.61000000000001</v>
      </c>
      <c r="L101" s="64">
        <v>29.73</v>
      </c>
      <c r="M101" s="64">
        <v>51.51</v>
      </c>
      <c r="N101" s="64">
        <v>19.399999999999999</v>
      </c>
      <c r="O101" s="64">
        <v>0</v>
      </c>
      <c r="P101" s="64">
        <v>0.84</v>
      </c>
      <c r="Q101" s="64">
        <v>9.56</v>
      </c>
      <c r="S101" s="198"/>
      <c r="T101" s="198"/>
      <c r="U101" s="198"/>
    </row>
    <row r="102" spans="1:33" s="12" customFormat="1" x14ac:dyDescent="0.25">
      <c r="A102" s="216" t="s">
        <v>2451</v>
      </c>
      <c r="B102" s="64">
        <v>2.11</v>
      </c>
      <c r="C102" s="64">
        <v>4.4400000000000004</v>
      </c>
      <c r="D102" s="64">
        <v>3.93</v>
      </c>
      <c r="E102" s="64">
        <v>2.81</v>
      </c>
      <c r="F102" s="64">
        <v>3.43</v>
      </c>
      <c r="G102" s="64">
        <v>68.86</v>
      </c>
      <c r="H102" s="64">
        <v>24.62</v>
      </c>
      <c r="I102" s="64">
        <v>8.0299999999999994</v>
      </c>
      <c r="J102" s="64">
        <v>0.4</v>
      </c>
      <c r="K102" s="64">
        <v>138.55000000000001</v>
      </c>
      <c r="L102" s="64">
        <v>29.6</v>
      </c>
      <c r="M102" s="64">
        <v>51.87</v>
      </c>
      <c r="N102" s="64">
        <v>19.5</v>
      </c>
      <c r="O102" s="64">
        <v>0</v>
      </c>
      <c r="P102" s="64">
        <v>0.8</v>
      </c>
      <c r="Q102" s="64">
        <v>9.5399999999999991</v>
      </c>
      <c r="S102" s="198"/>
      <c r="T102" s="198"/>
      <c r="U102" s="198"/>
    </row>
    <row r="103" spans="1:33" s="12" customFormat="1" x14ac:dyDescent="0.25">
      <c r="A103" s="216" t="s">
        <v>2452</v>
      </c>
      <c r="B103" s="64">
        <v>1.99</v>
      </c>
      <c r="C103" s="64">
        <v>4.0999999999999996</v>
      </c>
      <c r="D103" s="64">
        <v>3.66</v>
      </c>
      <c r="E103" s="64">
        <v>2.5099999999999998</v>
      </c>
      <c r="F103" s="64">
        <v>3.73</v>
      </c>
      <c r="G103" s="64">
        <v>68.86</v>
      </c>
      <c r="H103" s="64">
        <v>24.62</v>
      </c>
      <c r="I103" s="64">
        <v>7.77</v>
      </c>
      <c r="J103" s="64">
        <v>0.25</v>
      </c>
      <c r="K103" s="64">
        <v>124.43</v>
      </c>
      <c r="L103" s="64">
        <v>29.55</v>
      </c>
      <c r="M103" s="64">
        <v>51.82</v>
      </c>
      <c r="N103" s="64">
        <v>19.600000000000001</v>
      </c>
      <c r="O103" s="64">
        <v>0</v>
      </c>
      <c r="P103" s="64">
        <v>0.78</v>
      </c>
      <c r="Q103" s="64">
        <v>9.52</v>
      </c>
      <c r="S103" s="198"/>
      <c r="T103" s="198"/>
      <c r="U103" s="198"/>
    </row>
    <row r="104" spans="1:33" s="12" customFormat="1" x14ac:dyDescent="0.25">
      <c r="A104" s="216" t="s">
        <v>2453</v>
      </c>
      <c r="B104" s="64">
        <v>1.88</v>
      </c>
      <c r="C104" s="64">
        <v>3.72</v>
      </c>
      <c r="D104" s="64">
        <v>3.37</v>
      </c>
      <c r="E104" s="64">
        <v>1.55</v>
      </c>
      <c r="F104" s="64">
        <v>3.7</v>
      </c>
      <c r="G104" s="64">
        <v>51.83</v>
      </c>
      <c r="H104" s="64">
        <v>17.68</v>
      </c>
      <c r="I104" s="64">
        <v>7.53</v>
      </c>
      <c r="J104" s="64">
        <v>0.28999999999999998</v>
      </c>
      <c r="K104" s="64">
        <v>156.85</v>
      </c>
      <c r="L104" s="64">
        <v>29.35</v>
      </c>
      <c r="M104" s="64">
        <v>52.11</v>
      </c>
      <c r="N104" s="64">
        <v>19.5</v>
      </c>
      <c r="O104" s="64">
        <v>0</v>
      </c>
      <c r="P104" s="64">
        <v>0.74</v>
      </c>
      <c r="Q104" s="64">
        <v>9.52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1.08</v>
      </c>
      <c r="C106" s="67">
        <f>MIN(C9:C104)</f>
        <v>1.61</v>
      </c>
      <c r="D106" s="67">
        <f t="shared" ref="D106:Q106" si="0">MIN(D9:D104)</f>
        <v>1.84</v>
      </c>
      <c r="E106" s="67">
        <f t="shared" si="0"/>
        <v>1.0900000000000001</v>
      </c>
      <c r="F106" s="67">
        <f t="shared" si="0"/>
        <v>2.65</v>
      </c>
      <c r="G106" s="67">
        <f t="shared" si="0"/>
        <v>25.66</v>
      </c>
      <c r="H106" s="67">
        <f t="shared" si="0"/>
        <v>10.130000000000001</v>
      </c>
      <c r="I106" s="67">
        <f t="shared" si="0"/>
        <v>3.8</v>
      </c>
      <c r="J106" s="67">
        <f t="shared" si="0"/>
        <v>0.02</v>
      </c>
      <c r="K106" s="67">
        <f t="shared" si="0"/>
        <v>5.0999999999999996</v>
      </c>
      <c r="L106" s="67">
        <f t="shared" si="0"/>
        <v>23.11</v>
      </c>
      <c r="M106" s="67">
        <f t="shared" si="0"/>
        <v>31.32</v>
      </c>
      <c r="N106" s="67">
        <f t="shared" si="0"/>
        <v>17.5</v>
      </c>
      <c r="O106" s="67">
        <f t="shared" si="0"/>
        <v>0</v>
      </c>
      <c r="P106" s="67">
        <f t="shared" si="0"/>
        <v>0.39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4.5199999999999996</v>
      </c>
      <c r="C107" s="66">
        <f t="shared" ref="C107:Q107" si="1">MAX(C9:C104)</f>
        <v>7.22</v>
      </c>
      <c r="D107" s="66">
        <f t="shared" si="1"/>
        <v>5.98</v>
      </c>
      <c r="E107" s="66">
        <f t="shared" si="1"/>
        <v>3.39</v>
      </c>
      <c r="F107" s="66">
        <f t="shared" si="1"/>
        <v>13.22</v>
      </c>
      <c r="G107" s="66">
        <f t="shared" si="1"/>
        <v>139.55000000000001</v>
      </c>
      <c r="H107" s="66">
        <f t="shared" si="1"/>
        <v>46.95</v>
      </c>
      <c r="I107" s="66">
        <f t="shared" si="1"/>
        <v>10.4</v>
      </c>
      <c r="J107" s="66">
        <f t="shared" si="1"/>
        <v>1.1000000000000001</v>
      </c>
      <c r="K107" s="66">
        <f t="shared" si="1"/>
        <v>355.72</v>
      </c>
      <c r="L107" s="66">
        <f t="shared" si="1"/>
        <v>38.33</v>
      </c>
      <c r="M107" s="66">
        <f t="shared" si="1"/>
        <v>93.2</v>
      </c>
      <c r="N107" s="66">
        <f t="shared" si="1"/>
        <v>916.5</v>
      </c>
      <c r="O107" s="66">
        <f t="shared" si="1"/>
        <v>0</v>
      </c>
      <c r="P107" s="66">
        <f t="shared" si="1"/>
        <v>1.1599999999999999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2.1166666666666671</v>
      </c>
      <c r="C108" s="67">
        <f t="shared" ref="C108:Q108" si="2">AVERAGE(C9:C104)</f>
        <v>4.146770833333334</v>
      </c>
      <c r="D108" s="67">
        <f t="shared" si="2"/>
        <v>3.7842708333333359</v>
      </c>
      <c r="E108" s="67">
        <f t="shared" si="2"/>
        <v>2.0752083333333338</v>
      </c>
      <c r="F108" s="67">
        <f t="shared" si="2"/>
        <v>5.0545833333333334</v>
      </c>
      <c r="G108" s="67">
        <f t="shared" si="2"/>
        <v>69.080520833333296</v>
      </c>
      <c r="H108" s="67">
        <f t="shared" si="2"/>
        <v>25.957916666666666</v>
      </c>
      <c r="I108" s="67">
        <f t="shared" si="2"/>
        <v>6.8568749999999996</v>
      </c>
      <c r="J108" s="67">
        <f t="shared" si="2"/>
        <v>0.33229166666666671</v>
      </c>
      <c r="K108" s="67">
        <f t="shared" si="2"/>
        <v>253.91729166666673</v>
      </c>
      <c r="L108" s="67">
        <f t="shared" si="2"/>
        <v>30.881979166666664</v>
      </c>
      <c r="M108" s="67">
        <f t="shared" si="2"/>
        <v>54.107291666666676</v>
      </c>
      <c r="N108" s="67">
        <f t="shared" si="2"/>
        <v>259.6427083333333</v>
      </c>
      <c r="O108" s="67">
        <f t="shared" si="2"/>
        <v>0</v>
      </c>
      <c r="P108" s="67">
        <f t="shared" si="2"/>
        <v>0.71614583333333315</v>
      </c>
      <c r="Q108" s="67">
        <f t="shared" si="2"/>
        <v>9.5137499999999964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0.96606163763980191</v>
      </c>
      <c r="C109" s="67">
        <f t="shared" ref="C109:Q109" si="3">STDEV(C9:C104)</f>
        <v>1.4180449809447009</v>
      </c>
      <c r="D109" s="67">
        <f t="shared" si="3"/>
        <v>1.1755507061455388</v>
      </c>
      <c r="E109" s="67">
        <f t="shared" si="3"/>
        <v>0.56971457150265581</v>
      </c>
      <c r="F109" s="67">
        <f t="shared" si="3"/>
        <v>2.5573785577656087</v>
      </c>
      <c r="G109" s="67">
        <f t="shared" si="3"/>
        <v>30.096622519716476</v>
      </c>
      <c r="H109" s="67">
        <f t="shared" si="3"/>
        <v>9.6139050521043412</v>
      </c>
      <c r="I109" s="67">
        <f t="shared" si="3"/>
        <v>1.938608460509212</v>
      </c>
      <c r="J109" s="67">
        <f t="shared" si="3"/>
        <v>0.23956750138384433</v>
      </c>
      <c r="K109" s="67">
        <f t="shared" si="3"/>
        <v>100.37107168144813</v>
      </c>
      <c r="L109" s="67">
        <f t="shared" si="3"/>
        <v>4.8469796606897724</v>
      </c>
      <c r="M109" s="67">
        <f t="shared" si="3"/>
        <v>20.794040061070447</v>
      </c>
      <c r="N109" s="67">
        <f t="shared" si="3"/>
        <v>327.19913033753676</v>
      </c>
      <c r="O109" s="67">
        <f t="shared" si="3"/>
        <v>0</v>
      </c>
      <c r="P109" s="67">
        <f t="shared" si="3"/>
        <v>0.20973853292369246</v>
      </c>
      <c r="Q109" s="67">
        <f t="shared" si="3"/>
        <v>0.13930844233305864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5" sqref="G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2454</v>
      </c>
      <c r="B9" s="64">
        <v>1.74</v>
      </c>
      <c r="C9" s="64">
        <v>3.23</v>
      </c>
      <c r="D9" s="64">
        <v>3</v>
      </c>
      <c r="E9" s="64">
        <v>1.68</v>
      </c>
      <c r="F9" s="64">
        <v>3.68</v>
      </c>
      <c r="G9" s="64">
        <v>50.82</v>
      </c>
      <c r="H9" s="64">
        <v>17.27</v>
      </c>
      <c r="I9" s="64">
        <v>7.25</v>
      </c>
      <c r="J9" s="64">
        <v>0.28000000000000003</v>
      </c>
      <c r="K9" s="64">
        <v>147.84</v>
      </c>
      <c r="L9" s="64">
        <v>29.21</v>
      </c>
      <c r="M9" s="64">
        <v>53.32</v>
      </c>
      <c r="N9" s="64">
        <v>19.5</v>
      </c>
      <c r="O9" s="64">
        <v>0</v>
      </c>
      <c r="P9" s="64">
        <v>0.7</v>
      </c>
      <c r="Q9" s="64">
        <v>9.5</v>
      </c>
      <c r="R9" s="198"/>
      <c r="S9" s="198"/>
      <c r="T9" s="198"/>
      <c r="U9" s="198"/>
    </row>
    <row r="10" spans="1:21" s="12" customFormat="1" x14ac:dyDescent="0.25">
      <c r="A10" s="216" t="s">
        <v>2455</v>
      </c>
      <c r="B10" s="64">
        <v>1.71</v>
      </c>
      <c r="C10" s="64">
        <v>2.82</v>
      </c>
      <c r="D10" s="64">
        <v>2.77</v>
      </c>
      <c r="E10" s="64">
        <v>1.62</v>
      </c>
      <c r="F10" s="64">
        <v>3.71</v>
      </c>
      <c r="G10" s="64">
        <v>50.82</v>
      </c>
      <c r="H10" s="64">
        <v>17.27</v>
      </c>
      <c r="I10" s="64">
        <v>6.85</v>
      </c>
      <c r="J10" s="64">
        <v>1.1200000000000001</v>
      </c>
      <c r="K10" s="64">
        <v>90.94</v>
      </c>
      <c r="L10" s="64">
        <v>29.24</v>
      </c>
      <c r="M10" s="64">
        <v>53.16</v>
      </c>
      <c r="N10" s="64">
        <v>18.7</v>
      </c>
      <c r="O10" s="64">
        <v>0</v>
      </c>
      <c r="P10" s="64">
        <v>0.68</v>
      </c>
      <c r="Q10" s="64">
        <v>9.4700000000000006</v>
      </c>
      <c r="R10" s="198"/>
      <c r="S10" s="198"/>
      <c r="T10" s="198"/>
      <c r="U10" s="198"/>
    </row>
    <row r="11" spans="1:21" s="12" customFormat="1" x14ac:dyDescent="0.25">
      <c r="A11" s="216" t="s">
        <v>2456</v>
      </c>
      <c r="B11" s="64">
        <v>1.72</v>
      </c>
      <c r="C11" s="64">
        <v>2.92</v>
      </c>
      <c r="D11" s="64">
        <v>2.83</v>
      </c>
      <c r="E11" s="64">
        <v>1.81</v>
      </c>
      <c r="F11" s="64">
        <v>3.62</v>
      </c>
      <c r="G11" s="64">
        <v>50.82</v>
      </c>
      <c r="H11" s="64">
        <v>17.27</v>
      </c>
      <c r="I11" s="64">
        <v>6.1</v>
      </c>
      <c r="J11" s="64">
        <v>0.6</v>
      </c>
      <c r="K11" s="64">
        <v>92</v>
      </c>
      <c r="L11" s="64">
        <v>29.22</v>
      </c>
      <c r="M11" s="64">
        <v>53.28</v>
      </c>
      <c r="N11" s="64">
        <v>19.399999999999999</v>
      </c>
      <c r="O11" s="64">
        <v>0</v>
      </c>
      <c r="P11" s="64">
        <v>0.66</v>
      </c>
      <c r="Q11" s="64">
        <v>9.4700000000000006</v>
      </c>
      <c r="R11" s="198"/>
      <c r="S11" s="198"/>
      <c r="T11" s="198"/>
      <c r="U11" s="198"/>
    </row>
    <row r="12" spans="1:21" s="12" customFormat="1" x14ac:dyDescent="0.25">
      <c r="A12" s="216" t="s">
        <v>2457</v>
      </c>
      <c r="B12" s="64">
        <v>1.71</v>
      </c>
      <c r="C12" s="64">
        <v>2.94</v>
      </c>
      <c r="D12" s="64">
        <v>2.83</v>
      </c>
      <c r="E12" s="64">
        <v>1.65</v>
      </c>
      <c r="F12" s="64">
        <v>3.8</v>
      </c>
      <c r="G12" s="64">
        <v>47.11</v>
      </c>
      <c r="H12" s="64">
        <v>16.61</v>
      </c>
      <c r="I12" s="64">
        <v>6.7</v>
      </c>
      <c r="J12" s="64">
        <v>1.01</v>
      </c>
      <c r="K12" s="64">
        <v>107.13</v>
      </c>
      <c r="L12" s="64">
        <v>29.02</v>
      </c>
      <c r="M12" s="64">
        <v>55.51</v>
      </c>
      <c r="N12" s="64">
        <v>19.399999999999999</v>
      </c>
      <c r="O12" s="64">
        <v>0</v>
      </c>
      <c r="P12" s="64">
        <v>0.63</v>
      </c>
      <c r="Q12" s="64">
        <v>9.49</v>
      </c>
      <c r="R12" s="198"/>
      <c r="S12" s="198"/>
      <c r="T12" s="198"/>
      <c r="U12" s="198"/>
    </row>
    <row r="13" spans="1:21" s="12" customFormat="1" x14ac:dyDescent="0.25">
      <c r="A13" s="216" t="s">
        <v>2458</v>
      </c>
      <c r="B13" s="64">
        <v>1.71</v>
      </c>
      <c r="C13" s="64">
        <v>2.87</v>
      </c>
      <c r="D13" s="64">
        <v>2.79</v>
      </c>
      <c r="E13" s="64">
        <v>1.9</v>
      </c>
      <c r="F13" s="64">
        <v>3.68</v>
      </c>
      <c r="G13" s="64">
        <v>46.89</v>
      </c>
      <c r="H13" s="64">
        <v>16.57</v>
      </c>
      <c r="I13" s="64">
        <v>6.75</v>
      </c>
      <c r="J13" s="64">
        <v>0.83</v>
      </c>
      <c r="K13" s="64">
        <v>106.69</v>
      </c>
      <c r="L13" s="64">
        <v>28.94</v>
      </c>
      <c r="M13" s="64">
        <v>55.9</v>
      </c>
      <c r="N13" s="64">
        <v>19.3</v>
      </c>
      <c r="O13" s="64">
        <v>0</v>
      </c>
      <c r="P13" s="64">
        <v>0.6</v>
      </c>
      <c r="Q13" s="64">
        <v>9.49</v>
      </c>
      <c r="R13" s="198"/>
      <c r="S13" s="198"/>
      <c r="T13" s="198"/>
      <c r="U13" s="198"/>
    </row>
    <row r="14" spans="1:21" s="12" customFormat="1" x14ac:dyDescent="0.25">
      <c r="A14" s="216" t="s">
        <v>2459</v>
      </c>
      <c r="B14" s="64">
        <v>1.65</v>
      </c>
      <c r="C14" s="64">
        <v>2.5099999999999998</v>
      </c>
      <c r="D14" s="64">
        <v>2.5499999999999998</v>
      </c>
      <c r="E14" s="64">
        <v>1.99</v>
      </c>
      <c r="F14" s="64">
        <v>3.75</v>
      </c>
      <c r="G14" s="64">
        <v>46.89</v>
      </c>
      <c r="H14" s="64">
        <v>16.57</v>
      </c>
      <c r="I14" s="64">
        <v>7.07</v>
      </c>
      <c r="J14" s="64">
        <v>1.37</v>
      </c>
      <c r="K14" s="64">
        <v>108.49</v>
      </c>
      <c r="L14" s="64">
        <v>28.93</v>
      </c>
      <c r="M14" s="64">
        <v>56.28</v>
      </c>
      <c r="N14" s="64">
        <v>19.100000000000001</v>
      </c>
      <c r="O14" s="64">
        <v>0</v>
      </c>
      <c r="P14" s="64">
        <v>0.63</v>
      </c>
      <c r="Q14" s="64">
        <v>9.49</v>
      </c>
      <c r="R14" s="198"/>
      <c r="S14" s="198"/>
      <c r="T14" s="198"/>
      <c r="U14" s="198"/>
    </row>
    <row r="15" spans="1:21" s="12" customFormat="1" x14ac:dyDescent="0.25">
      <c r="A15" s="216" t="s">
        <v>2460</v>
      </c>
      <c r="B15" s="64">
        <v>1.59</v>
      </c>
      <c r="C15" s="64">
        <v>2.19</v>
      </c>
      <c r="D15" s="64">
        <v>2.34</v>
      </c>
      <c r="E15" s="64">
        <v>1.77</v>
      </c>
      <c r="F15" s="64">
        <v>3.69</v>
      </c>
      <c r="G15" s="64">
        <v>46.89</v>
      </c>
      <c r="H15" s="64">
        <v>16.57</v>
      </c>
      <c r="I15" s="64">
        <v>7.21</v>
      </c>
      <c r="J15" s="64">
        <v>1.71</v>
      </c>
      <c r="K15" s="64">
        <v>106.44</v>
      </c>
      <c r="L15" s="64">
        <v>28.88</v>
      </c>
      <c r="M15" s="64">
        <v>57.57</v>
      </c>
      <c r="N15" s="64">
        <v>19.2</v>
      </c>
      <c r="O15" s="64">
        <v>0</v>
      </c>
      <c r="P15" s="64">
        <v>0.61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6" t="s">
        <v>2461</v>
      </c>
      <c r="B16" s="64">
        <v>1.6</v>
      </c>
      <c r="C16" s="64">
        <v>2.2999999999999998</v>
      </c>
      <c r="D16" s="64">
        <v>2.4</v>
      </c>
      <c r="E16" s="64">
        <v>2.11</v>
      </c>
      <c r="F16" s="64">
        <v>3.54</v>
      </c>
      <c r="G16" s="64">
        <v>39.9</v>
      </c>
      <c r="H16" s="64">
        <v>16.47</v>
      </c>
      <c r="I16" s="64">
        <v>7.83</v>
      </c>
      <c r="J16" s="64">
        <v>2.06</v>
      </c>
      <c r="K16" s="64">
        <v>108.2</v>
      </c>
      <c r="L16" s="64">
        <v>28.52</v>
      </c>
      <c r="M16" s="64">
        <v>60.37</v>
      </c>
      <c r="N16" s="64">
        <v>19.8</v>
      </c>
      <c r="O16" s="64">
        <v>0</v>
      </c>
      <c r="P16" s="64">
        <v>0.59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16" t="s">
        <v>2462</v>
      </c>
      <c r="B17" s="64">
        <v>1.59</v>
      </c>
      <c r="C17" s="64">
        <v>2.46</v>
      </c>
      <c r="D17" s="64">
        <v>2.48</v>
      </c>
      <c r="E17" s="64">
        <v>2.14</v>
      </c>
      <c r="F17" s="64">
        <v>3.5</v>
      </c>
      <c r="G17" s="64">
        <v>39.4</v>
      </c>
      <c r="H17" s="64">
        <v>16.46</v>
      </c>
      <c r="I17" s="64">
        <v>8.68</v>
      </c>
      <c r="J17" s="64">
        <v>2.34</v>
      </c>
      <c r="K17" s="64">
        <v>107.16</v>
      </c>
      <c r="L17" s="64">
        <v>28.13</v>
      </c>
      <c r="M17" s="64">
        <v>61.68</v>
      </c>
      <c r="N17" s="64">
        <v>20</v>
      </c>
      <c r="O17" s="64">
        <v>0</v>
      </c>
      <c r="P17" s="64">
        <v>0.56999999999999995</v>
      </c>
      <c r="Q17" s="64">
        <v>9.5</v>
      </c>
      <c r="R17" s="198"/>
      <c r="S17" s="198"/>
      <c r="T17" s="198"/>
      <c r="U17" s="198"/>
    </row>
    <row r="18" spans="1:21" s="12" customFormat="1" x14ac:dyDescent="0.25">
      <c r="A18" s="216" t="s">
        <v>2463</v>
      </c>
      <c r="B18" s="64">
        <v>1.55</v>
      </c>
      <c r="C18" s="64">
        <v>2.54</v>
      </c>
      <c r="D18" s="64">
        <v>2.4900000000000002</v>
      </c>
      <c r="E18" s="64">
        <v>2.15</v>
      </c>
      <c r="F18" s="64">
        <v>3.94</v>
      </c>
      <c r="G18" s="64">
        <v>39.4</v>
      </c>
      <c r="H18" s="64">
        <v>16.46</v>
      </c>
      <c r="I18" s="64">
        <v>8.86</v>
      </c>
      <c r="J18" s="64">
        <v>2.23</v>
      </c>
      <c r="K18" s="64">
        <v>103.07</v>
      </c>
      <c r="L18" s="64">
        <v>27.85</v>
      </c>
      <c r="M18" s="64">
        <v>61.63</v>
      </c>
      <c r="N18" s="64">
        <v>19.8</v>
      </c>
      <c r="O18" s="64">
        <v>0</v>
      </c>
      <c r="P18" s="64">
        <v>0.54</v>
      </c>
      <c r="Q18" s="64">
        <v>9.48</v>
      </c>
      <c r="R18" s="198"/>
      <c r="S18" s="198"/>
      <c r="T18" s="198"/>
      <c r="U18" s="198"/>
    </row>
    <row r="19" spans="1:21" s="12" customFormat="1" x14ac:dyDescent="0.25">
      <c r="A19" s="216" t="s">
        <v>2464</v>
      </c>
      <c r="B19" s="64">
        <v>1.53</v>
      </c>
      <c r="C19" s="64">
        <v>2.89</v>
      </c>
      <c r="D19" s="64">
        <v>2.66</v>
      </c>
      <c r="E19" s="64">
        <v>2.2799999999999998</v>
      </c>
      <c r="F19" s="64">
        <v>3.85</v>
      </c>
      <c r="G19" s="64">
        <v>39.4</v>
      </c>
      <c r="H19" s="64">
        <v>16.46</v>
      </c>
      <c r="I19" s="64">
        <v>9.1300000000000008</v>
      </c>
      <c r="J19" s="64">
        <v>2.21</v>
      </c>
      <c r="K19" s="64">
        <v>101.21</v>
      </c>
      <c r="L19" s="64">
        <v>27.66</v>
      </c>
      <c r="M19" s="64">
        <v>61.89</v>
      </c>
      <c r="N19" s="64">
        <v>19.7</v>
      </c>
      <c r="O19" s="64">
        <v>0</v>
      </c>
      <c r="P19" s="64">
        <v>0.52</v>
      </c>
      <c r="Q19" s="64">
        <v>9.4</v>
      </c>
      <c r="R19" s="198"/>
      <c r="S19" s="198"/>
      <c r="T19" s="198"/>
      <c r="U19" s="198"/>
    </row>
    <row r="20" spans="1:21" s="12" customFormat="1" x14ac:dyDescent="0.25">
      <c r="A20" s="216" t="s">
        <v>2465</v>
      </c>
      <c r="B20" s="64">
        <v>1.53</v>
      </c>
      <c r="C20" s="64">
        <v>2.76</v>
      </c>
      <c r="D20" s="64">
        <v>2.59</v>
      </c>
      <c r="E20" s="64">
        <v>2.23</v>
      </c>
      <c r="F20" s="64">
        <v>3.6</v>
      </c>
      <c r="G20" s="64">
        <v>39.04</v>
      </c>
      <c r="H20" s="64">
        <v>13.27</v>
      </c>
      <c r="I20" s="64">
        <v>9.02</v>
      </c>
      <c r="J20" s="64">
        <v>2.1</v>
      </c>
      <c r="K20" s="64">
        <v>104.62</v>
      </c>
      <c r="L20" s="64">
        <v>27.46</v>
      </c>
      <c r="M20" s="64">
        <v>62.3</v>
      </c>
      <c r="N20" s="64">
        <v>19.600000000000001</v>
      </c>
      <c r="O20" s="64">
        <v>0</v>
      </c>
      <c r="P20" s="64">
        <v>0.48</v>
      </c>
      <c r="Q20" s="64">
        <v>9.33</v>
      </c>
      <c r="R20" s="198"/>
      <c r="S20" s="198"/>
      <c r="T20" s="198"/>
      <c r="U20" s="198"/>
    </row>
    <row r="21" spans="1:21" s="12" customFormat="1" x14ac:dyDescent="0.25">
      <c r="A21" s="216" t="s">
        <v>2466</v>
      </c>
      <c r="B21" s="64">
        <v>1.51</v>
      </c>
      <c r="C21" s="64">
        <v>2.4900000000000002</v>
      </c>
      <c r="D21" s="64">
        <v>2.4300000000000002</v>
      </c>
      <c r="E21" s="64">
        <v>2</v>
      </c>
      <c r="F21" s="64">
        <v>3.95</v>
      </c>
      <c r="G21" s="64">
        <v>39.01</v>
      </c>
      <c r="H21" s="64">
        <v>13.08</v>
      </c>
      <c r="I21" s="64">
        <v>8.85</v>
      </c>
      <c r="J21" s="64">
        <v>2.35</v>
      </c>
      <c r="K21" s="64">
        <v>108.96</v>
      </c>
      <c r="L21" s="64">
        <v>27.23</v>
      </c>
      <c r="M21" s="64">
        <v>63.23</v>
      </c>
      <c r="N21" s="64">
        <v>19.7</v>
      </c>
      <c r="O21" s="64">
        <v>0</v>
      </c>
      <c r="P21" s="64">
        <v>0.45</v>
      </c>
      <c r="Q21" s="64">
        <v>9.32</v>
      </c>
      <c r="R21" s="198"/>
      <c r="S21" s="198"/>
      <c r="T21" s="198"/>
      <c r="U21" s="198"/>
    </row>
    <row r="22" spans="1:21" s="12" customFormat="1" x14ac:dyDescent="0.25">
      <c r="A22" s="216" t="s">
        <v>2467</v>
      </c>
      <c r="B22" s="64">
        <v>1.52</v>
      </c>
      <c r="C22" s="64">
        <v>2.4</v>
      </c>
      <c r="D22" s="64">
        <v>2.39</v>
      </c>
      <c r="E22" s="64">
        <v>2.0499999999999998</v>
      </c>
      <c r="F22" s="64">
        <v>3.53</v>
      </c>
      <c r="G22" s="64">
        <v>39.01</v>
      </c>
      <c r="H22" s="64">
        <v>13.08</v>
      </c>
      <c r="I22" s="64">
        <v>8.86</v>
      </c>
      <c r="J22" s="64">
        <v>2.5099999999999998</v>
      </c>
      <c r="K22" s="64">
        <v>106.36</v>
      </c>
      <c r="L22" s="64">
        <v>26.98</v>
      </c>
      <c r="M22" s="64">
        <v>63.84</v>
      </c>
      <c r="N22" s="64">
        <v>19.7</v>
      </c>
      <c r="O22" s="64">
        <v>0</v>
      </c>
      <c r="P22" s="64">
        <v>0.43</v>
      </c>
      <c r="Q22" s="64">
        <v>9.32</v>
      </c>
      <c r="R22" s="198"/>
      <c r="S22" s="198"/>
      <c r="T22" s="198"/>
      <c r="U22" s="198"/>
    </row>
    <row r="23" spans="1:21" s="12" customFormat="1" x14ac:dyDescent="0.25">
      <c r="A23" s="216" t="s">
        <v>2468</v>
      </c>
      <c r="B23" s="64">
        <v>1.5</v>
      </c>
      <c r="C23" s="64">
        <v>2.3199999999999998</v>
      </c>
      <c r="D23" s="64">
        <v>2.33</v>
      </c>
      <c r="E23" s="64">
        <v>1.98</v>
      </c>
      <c r="F23" s="64">
        <v>3.27</v>
      </c>
      <c r="G23" s="64">
        <v>39.01</v>
      </c>
      <c r="H23" s="64">
        <v>13.08</v>
      </c>
      <c r="I23" s="64">
        <v>8.81</v>
      </c>
      <c r="J23" s="64">
        <v>1.97</v>
      </c>
      <c r="K23" s="64">
        <v>99.97</v>
      </c>
      <c r="L23" s="64">
        <v>26.78</v>
      </c>
      <c r="M23" s="64">
        <v>64.95</v>
      </c>
      <c r="N23" s="64">
        <v>19.7</v>
      </c>
      <c r="O23" s="64">
        <v>0</v>
      </c>
      <c r="P23" s="64">
        <v>0.41</v>
      </c>
      <c r="Q23" s="64">
        <v>9.34</v>
      </c>
      <c r="R23" s="198"/>
      <c r="S23" s="198"/>
      <c r="T23" s="198"/>
      <c r="U23" s="198"/>
    </row>
    <row r="24" spans="1:21" s="12" customFormat="1" x14ac:dyDescent="0.25">
      <c r="A24" s="216" t="s">
        <v>2469</v>
      </c>
      <c r="B24" s="64">
        <v>1.51</v>
      </c>
      <c r="C24" s="64">
        <v>2.4300000000000002</v>
      </c>
      <c r="D24" s="64">
        <v>2.4</v>
      </c>
      <c r="E24" s="64">
        <v>1.31</v>
      </c>
      <c r="F24" s="64">
        <v>3.17</v>
      </c>
      <c r="G24" s="64">
        <v>33.51</v>
      </c>
      <c r="H24" s="64">
        <v>9.77</v>
      </c>
      <c r="I24" s="64">
        <v>8.76</v>
      </c>
      <c r="J24" s="64">
        <v>1.7</v>
      </c>
      <c r="K24" s="64">
        <v>99.8</v>
      </c>
      <c r="L24" s="64">
        <v>26.56</v>
      </c>
      <c r="M24" s="64">
        <v>66.09</v>
      </c>
      <c r="N24" s="64">
        <v>19.7</v>
      </c>
      <c r="O24" s="64">
        <v>0</v>
      </c>
      <c r="P24" s="64">
        <v>0.38</v>
      </c>
      <c r="Q24" s="64">
        <v>9.33</v>
      </c>
      <c r="R24" s="198"/>
      <c r="S24" s="198"/>
      <c r="T24" s="198"/>
      <c r="U24" s="198"/>
    </row>
    <row r="25" spans="1:21" s="12" customFormat="1" x14ac:dyDescent="0.25">
      <c r="A25" s="216" t="s">
        <v>2470</v>
      </c>
      <c r="B25" s="64">
        <v>1.49</v>
      </c>
      <c r="C25" s="64">
        <v>2.21</v>
      </c>
      <c r="D25" s="64">
        <v>2.27</v>
      </c>
      <c r="E25" s="64">
        <v>1.01</v>
      </c>
      <c r="F25" s="64">
        <v>3.55</v>
      </c>
      <c r="G25" s="64">
        <v>33.18</v>
      </c>
      <c r="H25" s="64">
        <v>9.58</v>
      </c>
      <c r="I25" s="64">
        <v>8.69</v>
      </c>
      <c r="J25" s="64">
        <v>0.93</v>
      </c>
      <c r="K25" s="64">
        <v>95.67</v>
      </c>
      <c r="L25" s="64">
        <v>26.38</v>
      </c>
      <c r="M25" s="64">
        <v>67.09</v>
      </c>
      <c r="N25" s="64">
        <v>19.7</v>
      </c>
      <c r="O25" s="64">
        <v>0</v>
      </c>
      <c r="P25" s="64">
        <v>0.37</v>
      </c>
      <c r="Q25" s="64">
        <v>9.31</v>
      </c>
      <c r="R25" s="198"/>
      <c r="S25" s="198"/>
      <c r="T25" s="198"/>
      <c r="U25" s="198"/>
    </row>
    <row r="26" spans="1:21" s="12" customFormat="1" x14ac:dyDescent="0.25">
      <c r="A26" s="216" t="s">
        <v>2471</v>
      </c>
      <c r="B26" s="64">
        <v>1.49</v>
      </c>
      <c r="C26" s="64">
        <v>2.0099999999999998</v>
      </c>
      <c r="D26" s="64">
        <v>2.17</v>
      </c>
      <c r="E26" s="64">
        <v>0.99</v>
      </c>
      <c r="F26" s="64">
        <v>3.68</v>
      </c>
      <c r="G26" s="64">
        <v>33.18</v>
      </c>
      <c r="H26" s="64">
        <v>9.58</v>
      </c>
      <c r="I26" s="64">
        <v>8.5500000000000007</v>
      </c>
      <c r="J26" s="64">
        <v>0.44</v>
      </c>
      <c r="K26" s="64">
        <v>93.98</v>
      </c>
      <c r="L26" s="64">
        <v>26.23</v>
      </c>
      <c r="M26" s="64">
        <v>68.05</v>
      </c>
      <c r="N26" s="64">
        <v>19.7</v>
      </c>
      <c r="O26" s="64">
        <v>0</v>
      </c>
      <c r="P26" s="64">
        <v>0.35</v>
      </c>
      <c r="Q26" s="64">
        <v>9.2799999999999994</v>
      </c>
      <c r="R26" s="198"/>
      <c r="S26" s="198"/>
      <c r="T26" s="198"/>
      <c r="U26" s="198"/>
    </row>
    <row r="27" spans="1:21" s="12" customFormat="1" x14ac:dyDescent="0.25">
      <c r="A27" s="216" t="s">
        <v>2472</v>
      </c>
      <c r="B27" s="64">
        <v>1.5</v>
      </c>
      <c r="C27" s="64">
        <v>1.96</v>
      </c>
      <c r="D27" s="64">
        <v>2.15</v>
      </c>
      <c r="E27" s="64">
        <v>0.73</v>
      </c>
      <c r="F27" s="64">
        <v>3.56</v>
      </c>
      <c r="G27" s="64">
        <v>33.18</v>
      </c>
      <c r="H27" s="64">
        <v>9.58</v>
      </c>
      <c r="I27" s="64">
        <v>8.31</v>
      </c>
      <c r="J27" s="64">
        <v>0.61</v>
      </c>
      <c r="K27" s="64">
        <v>153.51</v>
      </c>
      <c r="L27" s="64">
        <v>26.14</v>
      </c>
      <c r="M27" s="64">
        <v>68.19</v>
      </c>
      <c r="N27" s="64">
        <v>19.600000000000001</v>
      </c>
      <c r="O27" s="64">
        <v>0</v>
      </c>
      <c r="P27" s="64">
        <v>0.34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16" t="s">
        <v>2473</v>
      </c>
      <c r="B28" s="64">
        <v>1.47</v>
      </c>
      <c r="C28" s="64">
        <v>1.68</v>
      </c>
      <c r="D28" s="64">
        <v>1.98</v>
      </c>
      <c r="E28" s="64">
        <v>0.96</v>
      </c>
      <c r="F28" s="64">
        <v>2.79</v>
      </c>
      <c r="G28" s="64">
        <v>24.98</v>
      </c>
      <c r="H28" s="64">
        <v>8.58</v>
      </c>
      <c r="I28" s="64">
        <v>7.99</v>
      </c>
      <c r="J28" s="64">
        <v>0.6</v>
      </c>
      <c r="K28" s="64">
        <v>182.87</v>
      </c>
      <c r="L28" s="64">
        <v>25.98</v>
      </c>
      <c r="M28" s="64">
        <v>68.75</v>
      </c>
      <c r="N28" s="64">
        <v>19.7</v>
      </c>
      <c r="O28" s="64">
        <v>0</v>
      </c>
      <c r="P28" s="64">
        <v>0.32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6" t="s">
        <v>2474</v>
      </c>
      <c r="B29" s="64">
        <v>1.5</v>
      </c>
      <c r="C29" s="64">
        <v>1.45</v>
      </c>
      <c r="D29" s="64">
        <v>1.89</v>
      </c>
      <c r="E29" s="64">
        <v>0.96</v>
      </c>
      <c r="F29" s="64">
        <v>3.46</v>
      </c>
      <c r="G29" s="64">
        <v>24.5</v>
      </c>
      <c r="H29" s="64">
        <v>8.52</v>
      </c>
      <c r="I29" s="64">
        <v>7.64</v>
      </c>
      <c r="J29" s="64">
        <v>0.36</v>
      </c>
      <c r="K29" s="64">
        <v>125.23</v>
      </c>
      <c r="L29" s="64">
        <v>25.78</v>
      </c>
      <c r="M29" s="64">
        <v>70.28</v>
      </c>
      <c r="N29" s="64">
        <v>21.3</v>
      </c>
      <c r="O29" s="64">
        <v>0</v>
      </c>
      <c r="P29" s="64">
        <v>0.31</v>
      </c>
      <c r="Q29" s="64">
        <v>9.33</v>
      </c>
      <c r="R29" s="198"/>
      <c r="S29" s="198"/>
      <c r="T29" s="198"/>
      <c r="U29" s="198"/>
    </row>
    <row r="30" spans="1:21" s="12" customFormat="1" x14ac:dyDescent="0.25">
      <c r="A30" s="216" t="s">
        <v>2475</v>
      </c>
      <c r="B30" s="64">
        <v>1.53</v>
      </c>
      <c r="C30" s="64">
        <v>1.38</v>
      </c>
      <c r="D30" s="64">
        <v>1.87</v>
      </c>
      <c r="E30" s="64">
        <v>0.87</v>
      </c>
      <c r="F30" s="64">
        <v>3.45</v>
      </c>
      <c r="G30" s="64">
        <v>24.5</v>
      </c>
      <c r="H30" s="64">
        <v>8.52</v>
      </c>
      <c r="I30" s="64">
        <v>7.31</v>
      </c>
      <c r="J30" s="64">
        <v>0.25</v>
      </c>
      <c r="K30" s="64">
        <v>90.31</v>
      </c>
      <c r="L30" s="64">
        <v>25.74</v>
      </c>
      <c r="M30" s="64">
        <v>70.61</v>
      </c>
      <c r="N30" s="64">
        <v>27.3</v>
      </c>
      <c r="O30" s="64">
        <v>0</v>
      </c>
      <c r="P30" s="64">
        <v>0.3</v>
      </c>
      <c r="Q30" s="64">
        <v>9.35</v>
      </c>
      <c r="R30" s="198"/>
      <c r="S30" s="198"/>
      <c r="T30" s="198"/>
      <c r="U30" s="198"/>
    </row>
    <row r="31" spans="1:21" s="12" customFormat="1" x14ac:dyDescent="0.25">
      <c r="A31" s="216" t="s">
        <v>2476</v>
      </c>
      <c r="B31" s="64">
        <v>1.55</v>
      </c>
      <c r="C31" s="64">
        <v>1.41</v>
      </c>
      <c r="D31" s="64">
        <v>1.9</v>
      </c>
      <c r="E31" s="64">
        <v>0.52</v>
      </c>
      <c r="F31" s="64">
        <v>3.53</v>
      </c>
      <c r="G31" s="64">
        <v>24.5</v>
      </c>
      <c r="H31" s="64">
        <v>8.52</v>
      </c>
      <c r="I31" s="64">
        <v>7.05</v>
      </c>
      <c r="J31" s="64">
        <v>0.72</v>
      </c>
      <c r="K31" s="64">
        <v>93</v>
      </c>
      <c r="L31" s="64">
        <v>25.9</v>
      </c>
      <c r="M31" s="64">
        <v>69.87</v>
      </c>
      <c r="N31" s="64">
        <v>40.700000000000003</v>
      </c>
      <c r="O31" s="64">
        <v>0</v>
      </c>
      <c r="P31" s="64">
        <v>0.3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6" t="s">
        <v>2477</v>
      </c>
      <c r="B32" s="64">
        <v>1.56</v>
      </c>
      <c r="C32" s="64">
        <v>1.43</v>
      </c>
      <c r="D32" s="64">
        <v>1.92</v>
      </c>
      <c r="E32" s="64">
        <v>0.99</v>
      </c>
      <c r="F32" s="64">
        <v>3.28</v>
      </c>
      <c r="G32" s="64">
        <v>24.94</v>
      </c>
      <c r="H32" s="64">
        <v>9.56</v>
      </c>
      <c r="I32" s="64">
        <v>6.81</v>
      </c>
      <c r="J32" s="64">
        <v>0.37</v>
      </c>
      <c r="K32" s="64">
        <v>154.36000000000001</v>
      </c>
      <c r="L32" s="64">
        <v>26.06</v>
      </c>
      <c r="M32" s="64">
        <v>70.040000000000006</v>
      </c>
      <c r="N32" s="64">
        <v>61.9</v>
      </c>
      <c r="O32" s="64">
        <v>0</v>
      </c>
      <c r="P32" s="64">
        <v>0.28999999999999998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6" t="s">
        <v>2478</v>
      </c>
      <c r="B33" s="64">
        <v>1.6</v>
      </c>
      <c r="C33" s="64">
        <v>1.48</v>
      </c>
      <c r="D33" s="64">
        <v>1.98</v>
      </c>
      <c r="E33" s="64">
        <v>1.04</v>
      </c>
      <c r="F33" s="64">
        <v>3.23</v>
      </c>
      <c r="G33" s="64">
        <v>24.96</v>
      </c>
      <c r="H33" s="64">
        <v>9.6199999999999992</v>
      </c>
      <c r="I33" s="64">
        <v>6.43</v>
      </c>
      <c r="J33" s="64">
        <v>0.46</v>
      </c>
      <c r="K33" s="64">
        <v>163.77000000000001</v>
      </c>
      <c r="L33" s="64">
        <v>26.32</v>
      </c>
      <c r="M33" s="64">
        <v>69.14</v>
      </c>
      <c r="N33" s="64">
        <v>90.3</v>
      </c>
      <c r="O33" s="64">
        <v>0</v>
      </c>
      <c r="P33" s="64">
        <v>0.28000000000000003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6" t="s">
        <v>2479</v>
      </c>
      <c r="B34" s="64">
        <v>1.64</v>
      </c>
      <c r="C34" s="64">
        <v>1.54</v>
      </c>
      <c r="D34" s="64">
        <v>2.04</v>
      </c>
      <c r="E34" s="64">
        <v>0.41</v>
      </c>
      <c r="F34" s="64">
        <v>3.33</v>
      </c>
      <c r="G34" s="64">
        <v>24.96</v>
      </c>
      <c r="H34" s="64">
        <v>9.6199999999999992</v>
      </c>
      <c r="I34" s="64">
        <v>6.38</v>
      </c>
      <c r="J34" s="64">
        <v>0.18</v>
      </c>
      <c r="K34" s="64">
        <v>125.7</v>
      </c>
      <c r="L34" s="64">
        <v>26.89</v>
      </c>
      <c r="M34" s="64">
        <v>67.48</v>
      </c>
      <c r="N34" s="64">
        <v>125.5</v>
      </c>
      <c r="O34" s="64">
        <v>0</v>
      </c>
      <c r="P34" s="64">
        <v>0.28000000000000003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6" t="s">
        <v>2480</v>
      </c>
      <c r="B35" s="64">
        <v>1.7</v>
      </c>
      <c r="C35" s="64">
        <v>1.62</v>
      </c>
      <c r="D35" s="64">
        <v>2.12</v>
      </c>
      <c r="E35" s="64">
        <v>0.72</v>
      </c>
      <c r="F35" s="64">
        <v>3.35</v>
      </c>
      <c r="G35" s="64">
        <v>24.96</v>
      </c>
      <c r="H35" s="64">
        <v>9.6199999999999992</v>
      </c>
      <c r="I35" s="64">
        <v>6.23</v>
      </c>
      <c r="J35" s="64">
        <v>0.46</v>
      </c>
      <c r="K35" s="64">
        <v>347.17</v>
      </c>
      <c r="L35" s="64">
        <v>28.48</v>
      </c>
      <c r="M35" s="64">
        <v>63.41</v>
      </c>
      <c r="N35" s="64">
        <v>166.2</v>
      </c>
      <c r="O35" s="64">
        <v>0</v>
      </c>
      <c r="P35" s="64">
        <v>0.28999999999999998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6" t="s">
        <v>2481</v>
      </c>
      <c r="B36" s="64">
        <v>1.74</v>
      </c>
      <c r="C36" s="64">
        <v>1.37</v>
      </c>
      <c r="D36" s="64">
        <v>2.04</v>
      </c>
      <c r="E36" s="64">
        <v>0.75</v>
      </c>
      <c r="F36" s="64">
        <v>3.38</v>
      </c>
      <c r="G36" s="64">
        <v>24.69</v>
      </c>
      <c r="H36" s="64">
        <v>9.6</v>
      </c>
      <c r="I36" s="64">
        <v>6.12</v>
      </c>
      <c r="J36" s="64">
        <v>0.43</v>
      </c>
      <c r="K36" s="64">
        <v>357.54</v>
      </c>
      <c r="L36" s="64">
        <v>29.62</v>
      </c>
      <c r="M36" s="64">
        <v>58.7</v>
      </c>
      <c r="N36" s="64">
        <v>213.6</v>
      </c>
      <c r="O36" s="64">
        <v>0</v>
      </c>
      <c r="P36" s="64">
        <v>0.3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6" t="s">
        <v>2482</v>
      </c>
      <c r="B37" s="64">
        <v>1.82</v>
      </c>
      <c r="C37" s="64">
        <v>1.31</v>
      </c>
      <c r="D37" s="64">
        <v>2.06</v>
      </c>
      <c r="E37" s="64">
        <v>0.78</v>
      </c>
      <c r="F37" s="64">
        <v>3.51</v>
      </c>
      <c r="G37" s="64">
        <v>24.67</v>
      </c>
      <c r="H37" s="64">
        <v>9.6</v>
      </c>
      <c r="I37" s="64">
        <v>6.62</v>
      </c>
      <c r="J37" s="64">
        <v>0.15</v>
      </c>
      <c r="K37" s="64">
        <v>45.22</v>
      </c>
      <c r="L37" s="64">
        <v>29.55</v>
      </c>
      <c r="M37" s="64">
        <v>54.99</v>
      </c>
      <c r="N37" s="64">
        <v>261.8</v>
      </c>
      <c r="O37" s="64">
        <v>0</v>
      </c>
      <c r="P37" s="64">
        <v>0.34</v>
      </c>
      <c r="Q37" s="64">
        <v>9.42</v>
      </c>
      <c r="R37" s="198"/>
      <c r="S37" s="198"/>
      <c r="T37" s="198"/>
      <c r="U37" s="198"/>
    </row>
    <row r="38" spans="1:21" s="12" customFormat="1" x14ac:dyDescent="0.25">
      <c r="A38" s="216" t="s">
        <v>2483</v>
      </c>
      <c r="B38" s="64">
        <v>1.91</v>
      </c>
      <c r="C38" s="64">
        <v>1.96</v>
      </c>
      <c r="D38" s="64">
        <v>2.48</v>
      </c>
      <c r="E38" s="64">
        <v>0.91</v>
      </c>
      <c r="F38" s="64">
        <v>3.51</v>
      </c>
      <c r="G38" s="64">
        <v>24.67</v>
      </c>
      <c r="H38" s="64">
        <v>9.6</v>
      </c>
      <c r="I38" s="64">
        <v>6.89</v>
      </c>
      <c r="J38" s="64">
        <v>0.35</v>
      </c>
      <c r="K38" s="64">
        <v>346.39</v>
      </c>
      <c r="L38" s="64">
        <v>30.75</v>
      </c>
      <c r="M38" s="64">
        <v>51.97</v>
      </c>
      <c r="N38" s="64">
        <v>309.3</v>
      </c>
      <c r="O38" s="64">
        <v>0</v>
      </c>
      <c r="P38" s="64">
        <v>0.36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6" t="s">
        <v>2484</v>
      </c>
      <c r="B39" s="64">
        <v>1.86</v>
      </c>
      <c r="C39" s="64">
        <v>2</v>
      </c>
      <c r="D39" s="64">
        <v>2.46</v>
      </c>
      <c r="E39" s="64">
        <v>0.74</v>
      </c>
      <c r="F39" s="64">
        <v>3.88</v>
      </c>
      <c r="G39" s="64">
        <v>24.67</v>
      </c>
      <c r="H39" s="64">
        <v>9.6</v>
      </c>
      <c r="I39" s="64">
        <v>6.85</v>
      </c>
      <c r="J39" s="64">
        <v>0.11</v>
      </c>
      <c r="K39" s="64">
        <v>310.64999999999998</v>
      </c>
      <c r="L39" s="64">
        <v>32.1</v>
      </c>
      <c r="M39" s="64">
        <v>48.32</v>
      </c>
      <c r="N39" s="64">
        <v>355.4</v>
      </c>
      <c r="O39" s="64">
        <v>0</v>
      </c>
      <c r="P39" s="64">
        <v>0.36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6" t="s">
        <v>2485</v>
      </c>
      <c r="B40" s="64">
        <v>1.89</v>
      </c>
      <c r="C40" s="64">
        <v>2.2799999999999998</v>
      </c>
      <c r="D40" s="64">
        <v>2.62</v>
      </c>
      <c r="E40" s="64">
        <v>1.23</v>
      </c>
      <c r="F40" s="64">
        <v>3.8</v>
      </c>
      <c r="G40" s="64">
        <v>27.82</v>
      </c>
      <c r="H40" s="64">
        <v>7.57</v>
      </c>
      <c r="I40" s="64">
        <v>6.63</v>
      </c>
      <c r="J40" s="64">
        <v>0.15</v>
      </c>
      <c r="K40" s="64">
        <v>16.52</v>
      </c>
      <c r="L40" s="64">
        <v>31.63</v>
      </c>
      <c r="M40" s="64">
        <v>50.11</v>
      </c>
      <c r="N40" s="64">
        <v>409.7</v>
      </c>
      <c r="O40" s="64">
        <v>0</v>
      </c>
      <c r="P40" s="64">
        <v>0.38</v>
      </c>
      <c r="Q40" s="64">
        <v>9.41</v>
      </c>
      <c r="R40" s="198"/>
      <c r="S40" s="198"/>
      <c r="T40" s="198"/>
      <c r="U40" s="198"/>
    </row>
    <row r="41" spans="1:21" s="12" customFormat="1" x14ac:dyDescent="0.25">
      <c r="A41" s="216" t="s">
        <v>2486</v>
      </c>
      <c r="B41" s="64">
        <v>1.88</v>
      </c>
      <c r="C41" s="64">
        <v>2.4500000000000002</v>
      </c>
      <c r="D41" s="64">
        <v>2.71</v>
      </c>
      <c r="E41" s="64">
        <v>1.36</v>
      </c>
      <c r="F41" s="64">
        <v>3.86</v>
      </c>
      <c r="G41" s="64">
        <v>28.01</v>
      </c>
      <c r="H41" s="64">
        <v>7.45</v>
      </c>
      <c r="I41" s="64">
        <v>6.47</v>
      </c>
      <c r="J41" s="64">
        <v>0.77</v>
      </c>
      <c r="K41" s="64">
        <v>347.71</v>
      </c>
      <c r="L41" s="64">
        <v>33.090000000000003</v>
      </c>
      <c r="M41" s="64">
        <v>47.53</v>
      </c>
      <c r="N41" s="64">
        <v>460.3</v>
      </c>
      <c r="O41" s="64">
        <v>0</v>
      </c>
      <c r="P41" s="64">
        <v>0.39</v>
      </c>
      <c r="Q41" s="64">
        <v>9.39</v>
      </c>
      <c r="R41" s="198"/>
      <c r="S41" s="198"/>
      <c r="T41" s="198"/>
      <c r="U41" s="198"/>
    </row>
    <row r="42" spans="1:21" s="12" customFormat="1" x14ac:dyDescent="0.25">
      <c r="A42" s="216" t="s">
        <v>2487</v>
      </c>
      <c r="B42" s="64">
        <v>1.82</v>
      </c>
      <c r="C42" s="64">
        <v>2.37</v>
      </c>
      <c r="D42" s="64">
        <v>2.62</v>
      </c>
      <c r="E42" s="64">
        <v>1.06</v>
      </c>
      <c r="F42" s="64">
        <v>3.92</v>
      </c>
      <c r="G42" s="64">
        <v>28.01</v>
      </c>
      <c r="H42" s="64">
        <v>7.45</v>
      </c>
      <c r="I42" s="64">
        <v>6.44</v>
      </c>
      <c r="J42" s="64">
        <v>0.44</v>
      </c>
      <c r="K42" s="64">
        <v>359.91</v>
      </c>
      <c r="L42" s="64">
        <v>31.71</v>
      </c>
      <c r="M42" s="64">
        <v>51.93</v>
      </c>
      <c r="N42" s="64">
        <v>513.20000000000005</v>
      </c>
      <c r="O42" s="64">
        <v>0</v>
      </c>
      <c r="P42" s="64">
        <v>0.4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16" t="s">
        <v>2488</v>
      </c>
      <c r="B43" s="64">
        <v>1.81</v>
      </c>
      <c r="C43" s="64">
        <v>2.58</v>
      </c>
      <c r="D43" s="64">
        <v>2.72</v>
      </c>
      <c r="E43" s="64">
        <v>1.1100000000000001</v>
      </c>
      <c r="F43" s="64">
        <v>3.55</v>
      </c>
      <c r="G43" s="64">
        <v>28.01</v>
      </c>
      <c r="H43" s="64">
        <v>7.45</v>
      </c>
      <c r="I43" s="64">
        <v>6.31</v>
      </c>
      <c r="J43" s="64">
        <v>0.71</v>
      </c>
      <c r="K43" s="64">
        <v>352.93</v>
      </c>
      <c r="L43" s="64">
        <v>32.729999999999997</v>
      </c>
      <c r="M43" s="64">
        <v>47.33</v>
      </c>
      <c r="N43" s="64">
        <v>560.70000000000005</v>
      </c>
      <c r="O43" s="64">
        <v>0</v>
      </c>
      <c r="P43" s="64">
        <v>0.42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16" t="s">
        <v>2489</v>
      </c>
      <c r="B44" s="64">
        <v>1.73</v>
      </c>
      <c r="C44" s="64">
        <v>2.4700000000000002</v>
      </c>
      <c r="D44" s="64">
        <v>2.59</v>
      </c>
      <c r="E44" s="64">
        <v>1.36</v>
      </c>
      <c r="F44" s="64">
        <v>3.74</v>
      </c>
      <c r="G44" s="64">
        <v>35.21</v>
      </c>
      <c r="H44" s="64">
        <v>9.84</v>
      </c>
      <c r="I44" s="64">
        <v>6.26</v>
      </c>
      <c r="J44" s="64">
        <v>0.36</v>
      </c>
      <c r="K44" s="64">
        <v>352.65</v>
      </c>
      <c r="L44" s="64">
        <v>33.9</v>
      </c>
      <c r="M44" s="64">
        <v>44.36</v>
      </c>
      <c r="N44" s="64">
        <v>598</v>
      </c>
      <c r="O44" s="64">
        <v>0</v>
      </c>
      <c r="P44" s="64">
        <v>0.42</v>
      </c>
      <c r="Q44" s="64">
        <v>9.42</v>
      </c>
      <c r="R44" s="198"/>
      <c r="S44" s="198"/>
      <c r="T44" s="198"/>
      <c r="U44" s="198"/>
    </row>
    <row r="45" spans="1:21" s="12" customFormat="1" x14ac:dyDescent="0.25">
      <c r="A45" s="216" t="s">
        <v>2490</v>
      </c>
      <c r="B45" s="64">
        <v>1.5</v>
      </c>
      <c r="C45" s="64">
        <v>1.7</v>
      </c>
      <c r="D45" s="64">
        <v>2.0099999999999998</v>
      </c>
      <c r="E45" s="64">
        <v>1.36</v>
      </c>
      <c r="F45" s="64">
        <v>4.05</v>
      </c>
      <c r="G45" s="64">
        <v>35.64</v>
      </c>
      <c r="H45" s="64">
        <v>9.98</v>
      </c>
      <c r="I45" s="64">
        <v>6.26</v>
      </c>
      <c r="J45" s="64">
        <v>0.34</v>
      </c>
      <c r="K45" s="64">
        <v>336.56</v>
      </c>
      <c r="L45" s="64">
        <v>33.51</v>
      </c>
      <c r="M45" s="64">
        <v>47.26</v>
      </c>
      <c r="N45" s="64">
        <v>641.6</v>
      </c>
      <c r="O45" s="64">
        <v>0</v>
      </c>
      <c r="P45" s="64">
        <v>0.44</v>
      </c>
      <c r="Q45" s="64">
        <v>9.41</v>
      </c>
      <c r="R45" s="198"/>
      <c r="S45" s="198"/>
      <c r="T45" s="198"/>
      <c r="U45" s="198"/>
    </row>
    <row r="46" spans="1:21" s="12" customFormat="1" x14ac:dyDescent="0.25">
      <c r="A46" s="216" t="s">
        <v>2491</v>
      </c>
      <c r="B46" s="64">
        <v>1.58</v>
      </c>
      <c r="C46" s="64">
        <v>2.76</v>
      </c>
      <c r="D46" s="64">
        <v>2.63</v>
      </c>
      <c r="E46" s="64">
        <v>1.1299999999999999</v>
      </c>
      <c r="F46" s="64">
        <v>3.97</v>
      </c>
      <c r="G46" s="64">
        <v>35.64</v>
      </c>
      <c r="H46" s="64">
        <v>9.98</v>
      </c>
      <c r="I46" s="64">
        <v>6.23</v>
      </c>
      <c r="J46" s="64">
        <v>0.79</v>
      </c>
      <c r="K46" s="64">
        <v>345.43</v>
      </c>
      <c r="L46" s="64">
        <v>33.39</v>
      </c>
      <c r="M46" s="64">
        <v>48.12</v>
      </c>
      <c r="N46" s="64">
        <v>679.8</v>
      </c>
      <c r="O46" s="64">
        <v>0</v>
      </c>
      <c r="P46" s="64">
        <v>0.46</v>
      </c>
      <c r="Q46" s="64">
        <v>9.43</v>
      </c>
      <c r="R46" s="198"/>
      <c r="S46" s="198"/>
      <c r="T46" s="198"/>
      <c r="U46" s="198"/>
    </row>
    <row r="47" spans="1:21" s="12" customFormat="1" x14ac:dyDescent="0.25">
      <c r="A47" s="216" t="s">
        <v>2492</v>
      </c>
      <c r="B47" s="64">
        <v>1.55</v>
      </c>
      <c r="C47" s="64">
        <v>2.94</v>
      </c>
      <c r="D47" s="64">
        <v>2.7</v>
      </c>
      <c r="E47" s="64">
        <v>1.23</v>
      </c>
      <c r="F47" s="64">
        <v>4.18</v>
      </c>
      <c r="G47" s="64">
        <v>35.64</v>
      </c>
      <c r="H47" s="64">
        <v>9.98</v>
      </c>
      <c r="I47" s="64">
        <v>6.22</v>
      </c>
      <c r="J47" s="64">
        <v>0.37</v>
      </c>
      <c r="K47" s="64">
        <v>334.74</v>
      </c>
      <c r="L47" s="64">
        <v>34.049999999999997</v>
      </c>
      <c r="M47" s="64">
        <v>46.94</v>
      </c>
      <c r="N47" s="64">
        <v>706.3</v>
      </c>
      <c r="O47" s="64">
        <v>0</v>
      </c>
      <c r="P47" s="64">
        <v>0.48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16" t="s">
        <v>2493</v>
      </c>
      <c r="B48" s="64">
        <v>1.45</v>
      </c>
      <c r="C48" s="64">
        <v>2.23</v>
      </c>
      <c r="D48" s="64">
        <v>2.2400000000000002</v>
      </c>
      <c r="E48" s="64">
        <v>1.27</v>
      </c>
      <c r="F48" s="64">
        <v>4.13</v>
      </c>
      <c r="G48" s="64">
        <v>42.26</v>
      </c>
      <c r="H48" s="64">
        <v>13.79</v>
      </c>
      <c r="I48" s="64">
        <v>6.26</v>
      </c>
      <c r="J48" s="64">
        <v>0.44</v>
      </c>
      <c r="K48" s="64">
        <v>316.38</v>
      </c>
      <c r="L48" s="64">
        <v>34.56</v>
      </c>
      <c r="M48" s="64">
        <v>45.15</v>
      </c>
      <c r="N48" s="64">
        <v>746.6</v>
      </c>
      <c r="O48" s="64">
        <v>0</v>
      </c>
      <c r="P48" s="64">
        <v>0.5</v>
      </c>
      <c r="Q48" s="64">
        <v>9.41</v>
      </c>
      <c r="R48" s="198"/>
      <c r="S48" s="198"/>
      <c r="T48" s="198"/>
      <c r="U48" s="198"/>
    </row>
    <row r="49" spans="1:21" s="12" customFormat="1" x14ac:dyDescent="0.25">
      <c r="A49" s="216" t="s">
        <v>2494</v>
      </c>
      <c r="B49" s="64">
        <v>1.35</v>
      </c>
      <c r="C49" s="64">
        <v>1.78</v>
      </c>
      <c r="D49" s="64">
        <v>1.93</v>
      </c>
      <c r="E49" s="64">
        <v>1.29</v>
      </c>
      <c r="F49" s="64">
        <v>4.62</v>
      </c>
      <c r="G49" s="64">
        <v>42.65</v>
      </c>
      <c r="H49" s="64">
        <v>14.01</v>
      </c>
      <c r="I49" s="64">
        <v>6.42</v>
      </c>
      <c r="J49" s="64">
        <v>0.37</v>
      </c>
      <c r="K49" s="64">
        <v>325.27999999999997</v>
      </c>
      <c r="L49" s="64">
        <v>34.729999999999997</v>
      </c>
      <c r="M49" s="64">
        <v>43.59</v>
      </c>
      <c r="N49" s="64">
        <v>773.1</v>
      </c>
      <c r="O49" s="64">
        <v>0</v>
      </c>
      <c r="P49" s="64">
        <v>0.52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6" t="s">
        <v>2495</v>
      </c>
      <c r="B50" s="64">
        <v>1.34</v>
      </c>
      <c r="C50" s="64">
        <v>2.08</v>
      </c>
      <c r="D50" s="64">
        <v>2.08</v>
      </c>
      <c r="E50" s="64">
        <v>1.45</v>
      </c>
      <c r="F50" s="64">
        <v>7.54</v>
      </c>
      <c r="G50" s="64">
        <v>42.65</v>
      </c>
      <c r="H50" s="64">
        <v>14.01</v>
      </c>
      <c r="I50" s="64">
        <v>6.49</v>
      </c>
      <c r="J50" s="64">
        <v>0.04</v>
      </c>
      <c r="K50" s="64">
        <v>40.659999999999997</v>
      </c>
      <c r="L50" s="64">
        <v>34.479999999999997</v>
      </c>
      <c r="M50" s="64">
        <v>43.28</v>
      </c>
      <c r="N50" s="64">
        <v>794.4</v>
      </c>
      <c r="O50" s="64">
        <v>0</v>
      </c>
      <c r="P50" s="64">
        <v>0.54</v>
      </c>
      <c r="Q50" s="64">
        <v>9.39</v>
      </c>
      <c r="R50" s="198"/>
      <c r="S50" s="198"/>
      <c r="T50" s="198"/>
      <c r="U50" s="198"/>
    </row>
    <row r="51" spans="1:21" s="12" customFormat="1" x14ac:dyDescent="0.25">
      <c r="A51" s="216" t="s">
        <v>2496</v>
      </c>
      <c r="B51" s="64">
        <v>1.19</v>
      </c>
      <c r="C51" s="64">
        <v>1.93</v>
      </c>
      <c r="D51" s="64">
        <v>1.89</v>
      </c>
      <c r="E51" s="64">
        <v>2.04</v>
      </c>
      <c r="F51" s="64">
        <v>12.56</v>
      </c>
      <c r="G51" s="64">
        <v>42.65</v>
      </c>
      <c r="H51" s="64">
        <v>14.01</v>
      </c>
      <c r="I51" s="64">
        <v>6.42</v>
      </c>
      <c r="J51" s="64">
        <v>0.12</v>
      </c>
      <c r="K51" s="64">
        <v>320.57</v>
      </c>
      <c r="L51" s="64">
        <v>35.15</v>
      </c>
      <c r="M51" s="64">
        <v>42.12</v>
      </c>
      <c r="N51" s="64">
        <v>808.3</v>
      </c>
      <c r="O51" s="64">
        <v>0</v>
      </c>
      <c r="P51" s="64">
        <v>0.56000000000000005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6" t="s">
        <v>2497</v>
      </c>
      <c r="B52" s="64">
        <v>1.1200000000000001</v>
      </c>
      <c r="C52" s="64">
        <v>1.43</v>
      </c>
      <c r="D52" s="64">
        <v>1.57</v>
      </c>
      <c r="E52" s="64">
        <v>1.07</v>
      </c>
      <c r="F52" s="64">
        <v>8.58</v>
      </c>
      <c r="G52" s="64">
        <v>42.65</v>
      </c>
      <c r="H52" s="64">
        <v>14.01</v>
      </c>
      <c r="I52" s="64">
        <v>6.28</v>
      </c>
      <c r="J52" s="64">
        <v>0.68</v>
      </c>
      <c r="K52" s="64">
        <v>342.08</v>
      </c>
      <c r="L52" s="64">
        <v>35.79</v>
      </c>
      <c r="M52" s="64">
        <v>41.29</v>
      </c>
      <c r="N52" s="64">
        <v>833.9</v>
      </c>
      <c r="O52" s="64">
        <v>0</v>
      </c>
      <c r="P52" s="64">
        <v>0.57999999999999996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6" t="s">
        <v>2498</v>
      </c>
      <c r="B53" s="64">
        <v>1.1200000000000001</v>
      </c>
      <c r="C53" s="64">
        <v>1.26</v>
      </c>
      <c r="D53" s="64">
        <v>1.48</v>
      </c>
      <c r="E53" s="64">
        <v>13.52</v>
      </c>
      <c r="F53" s="64">
        <v>8.49</v>
      </c>
      <c r="G53" s="64">
        <v>42.65</v>
      </c>
      <c r="H53" s="64">
        <v>14.01</v>
      </c>
      <c r="I53" s="64">
        <v>6.08</v>
      </c>
      <c r="J53" s="64">
        <v>0.41</v>
      </c>
      <c r="K53" s="64">
        <v>331.72</v>
      </c>
      <c r="L53" s="64">
        <v>37.75</v>
      </c>
      <c r="M53" s="64">
        <v>36.61</v>
      </c>
      <c r="N53" s="64">
        <v>850.4</v>
      </c>
      <c r="O53" s="64">
        <v>0</v>
      </c>
      <c r="P53" s="64">
        <v>0.62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6" t="s">
        <v>2499</v>
      </c>
      <c r="B54" s="64">
        <v>1.1499999999999999</v>
      </c>
      <c r="C54" s="64">
        <v>0.69</v>
      </c>
      <c r="D54" s="64">
        <v>0.98</v>
      </c>
      <c r="E54" s="213" t="s">
        <v>40</v>
      </c>
      <c r="F54" s="64">
        <v>8.84</v>
      </c>
      <c r="G54" s="64">
        <v>39.81</v>
      </c>
      <c r="H54" s="64">
        <v>13.08</v>
      </c>
      <c r="I54" s="64">
        <v>6.11</v>
      </c>
      <c r="J54" s="64">
        <v>0.23</v>
      </c>
      <c r="K54" s="64">
        <v>354.88</v>
      </c>
      <c r="L54" s="64">
        <v>36.44</v>
      </c>
      <c r="M54" s="64">
        <v>38.69</v>
      </c>
      <c r="N54" s="64">
        <v>866.5</v>
      </c>
      <c r="O54" s="64">
        <v>0</v>
      </c>
      <c r="P54" s="64">
        <v>0.63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6" t="s">
        <v>2500</v>
      </c>
      <c r="B55" s="213" t="s">
        <v>40</v>
      </c>
      <c r="C55" s="213" t="s">
        <v>40</v>
      </c>
      <c r="D55" s="213" t="s">
        <v>40</v>
      </c>
      <c r="E55" s="213" t="s">
        <v>40</v>
      </c>
      <c r="F55" s="64">
        <v>11.77</v>
      </c>
      <c r="G55" s="213" t="s">
        <v>40</v>
      </c>
      <c r="H55" s="213" t="s">
        <v>40</v>
      </c>
      <c r="I55" s="64">
        <v>6.81</v>
      </c>
      <c r="J55" s="64">
        <v>0.22</v>
      </c>
      <c r="K55" s="64">
        <v>159.27000000000001</v>
      </c>
      <c r="L55" s="64">
        <v>36.36</v>
      </c>
      <c r="M55" s="64">
        <v>37.96</v>
      </c>
      <c r="N55" s="64">
        <v>861.6</v>
      </c>
      <c r="O55" s="64">
        <v>0</v>
      </c>
      <c r="P55" s="64">
        <v>0.61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6" t="s">
        <v>2501</v>
      </c>
      <c r="B56" s="213" t="s">
        <v>40</v>
      </c>
      <c r="C56" s="213" t="s">
        <v>40</v>
      </c>
      <c r="D56" s="213" t="s">
        <v>40</v>
      </c>
      <c r="E56" s="213" t="s">
        <v>40</v>
      </c>
      <c r="F56" s="64">
        <v>12.19</v>
      </c>
      <c r="G56" s="213" t="s">
        <v>40</v>
      </c>
      <c r="H56" s="213" t="s">
        <v>40</v>
      </c>
      <c r="I56" s="64">
        <v>7.94</v>
      </c>
      <c r="J56" s="64">
        <v>0.48</v>
      </c>
      <c r="K56" s="64">
        <v>148.5</v>
      </c>
      <c r="L56" s="64">
        <v>35.25</v>
      </c>
      <c r="M56" s="64">
        <v>40.29</v>
      </c>
      <c r="N56" s="64">
        <v>853.5</v>
      </c>
      <c r="O56" s="64">
        <v>0</v>
      </c>
      <c r="P56" s="64">
        <v>0.57999999999999996</v>
      </c>
      <c r="Q56" s="64">
        <v>9.3000000000000007</v>
      </c>
      <c r="R56" s="198"/>
      <c r="S56" s="198"/>
      <c r="T56" s="198"/>
      <c r="U56" s="198"/>
    </row>
    <row r="57" spans="1:21" s="12" customFormat="1" x14ac:dyDescent="0.25">
      <c r="A57" s="216" t="s">
        <v>2502</v>
      </c>
      <c r="B57" s="213" t="s">
        <v>40</v>
      </c>
      <c r="C57" s="213" t="s">
        <v>40</v>
      </c>
      <c r="D57" s="213" t="s">
        <v>40</v>
      </c>
      <c r="E57" s="64">
        <v>2.88</v>
      </c>
      <c r="F57" s="64">
        <v>15.17</v>
      </c>
      <c r="G57" s="213" t="s">
        <v>40</v>
      </c>
      <c r="H57" s="213" t="s">
        <v>40</v>
      </c>
      <c r="I57" s="64">
        <v>8.91</v>
      </c>
      <c r="J57" s="64">
        <v>0.14000000000000001</v>
      </c>
      <c r="K57" s="64">
        <v>337.53</v>
      </c>
      <c r="L57" s="64">
        <v>36.08</v>
      </c>
      <c r="M57" s="64">
        <v>38.43</v>
      </c>
      <c r="N57" s="64">
        <v>846.4</v>
      </c>
      <c r="O57" s="64">
        <v>0</v>
      </c>
      <c r="P57" s="64">
        <v>0.56000000000000005</v>
      </c>
      <c r="Q57" s="64">
        <v>9.2799999999999994</v>
      </c>
      <c r="R57" s="198"/>
      <c r="S57" s="198"/>
      <c r="T57" s="198"/>
      <c r="U57" s="198"/>
    </row>
    <row r="58" spans="1:21" s="12" customFormat="1" x14ac:dyDescent="0.25">
      <c r="A58" s="216" t="s">
        <v>2503</v>
      </c>
      <c r="B58" s="64">
        <v>22.83</v>
      </c>
      <c r="C58" s="64">
        <v>19.39</v>
      </c>
      <c r="D58" s="64">
        <v>42.11</v>
      </c>
      <c r="E58" s="64">
        <v>2.73</v>
      </c>
      <c r="F58" s="64">
        <v>15.78</v>
      </c>
      <c r="G58" s="64">
        <v>6.69</v>
      </c>
      <c r="H58" s="64">
        <v>1.93</v>
      </c>
      <c r="I58" s="64">
        <v>9.83</v>
      </c>
      <c r="J58" s="64">
        <v>0.08</v>
      </c>
      <c r="K58" s="64">
        <v>68.67</v>
      </c>
      <c r="L58" s="64">
        <v>36.06</v>
      </c>
      <c r="M58" s="64">
        <v>37.31</v>
      </c>
      <c r="N58" s="64">
        <v>831.9</v>
      </c>
      <c r="O58" s="64">
        <v>0</v>
      </c>
      <c r="P58" s="64">
        <v>0.57999999999999996</v>
      </c>
      <c r="Q58" s="64">
        <v>9.2799999999999994</v>
      </c>
      <c r="R58" s="198"/>
      <c r="S58" s="198"/>
      <c r="T58" s="198"/>
      <c r="U58" s="198"/>
    </row>
    <row r="59" spans="1:21" s="12" customFormat="1" x14ac:dyDescent="0.25">
      <c r="A59" s="216" t="s">
        <v>2504</v>
      </c>
      <c r="B59" s="64">
        <v>12.86</v>
      </c>
      <c r="C59" s="64">
        <v>9.99</v>
      </c>
      <c r="D59" s="64">
        <v>22.74</v>
      </c>
      <c r="E59" s="64">
        <v>2.61</v>
      </c>
      <c r="F59" s="64">
        <v>12.74</v>
      </c>
      <c r="G59" s="64">
        <v>86.05</v>
      </c>
      <c r="H59" s="64">
        <v>24.81</v>
      </c>
      <c r="I59" s="64">
        <v>10.71</v>
      </c>
      <c r="J59" s="64">
        <v>0.25</v>
      </c>
      <c r="K59" s="64">
        <v>160.29</v>
      </c>
      <c r="L59" s="64">
        <v>36.270000000000003</v>
      </c>
      <c r="M59" s="64">
        <v>36.21</v>
      </c>
      <c r="N59" s="64">
        <v>816.1</v>
      </c>
      <c r="O59" s="64">
        <v>0</v>
      </c>
      <c r="P59" s="64">
        <v>0.56999999999999995</v>
      </c>
      <c r="Q59" s="64">
        <v>9.2799999999999994</v>
      </c>
      <c r="R59" s="198"/>
      <c r="S59" s="198"/>
      <c r="T59" s="198"/>
      <c r="U59" s="198"/>
    </row>
    <row r="60" spans="1:21" s="12" customFormat="1" x14ac:dyDescent="0.25">
      <c r="A60" s="216" t="s">
        <v>2505</v>
      </c>
      <c r="B60" s="64">
        <v>2.31</v>
      </c>
      <c r="C60" s="64">
        <v>2.2799999999999998</v>
      </c>
      <c r="D60" s="64">
        <v>2.89</v>
      </c>
      <c r="E60" s="64">
        <v>3.98</v>
      </c>
      <c r="F60" s="64">
        <v>24.24</v>
      </c>
      <c r="G60" s="64">
        <v>86.05</v>
      </c>
      <c r="H60" s="64">
        <v>24.81</v>
      </c>
      <c r="I60" s="64">
        <v>11.95</v>
      </c>
      <c r="J60" s="64">
        <v>0.27</v>
      </c>
      <c r="K60" s="64">
        <v>346.09</v>
      </c>
      <c r="L60" s="64">
        <v>36.57</v>
      </c>
      <c r="M60" s="64">
        <v>36.93</v>
      </c>
      <c r="N60" s="64">
        <v>795.1</v>
      </c>
      <c r="O60" s="64">
        <v>0</v>
      </c>
      <c r="P60" s="64">
        <v>0.59</v>
      </c>
      <c r="Q60" s="64">
        <v>9.26</v>
      </c>
      <c r="R60" s="198"/>
      <c r="S60" s="198"/>
      <c r="T60" s="198"/>
      <c r="U60" s="198"/>
    </row>
    <row r="61" spans="1:21" s="12" customFormat="1" x14ac:dyDescent="0.25">
      <c r="A61" s="216" t="s">
        <v>2506</v>
      </c>
      <c r="B61" s="64">
        <v>1.71</v>
      </c>
      <c r="C61" s="64">
        <v>4.45</v>
      </c>
      <c r="D61" s="64">
        <v>2.97</v>
      </c>
      <c r="E61" s="64">
        <v>6.81</v>
      </c>
      <c r="F61" s="64">
        <v>49.13</v>
      </c>
      <c r="G61" s="64">
        <v>86.05</v>
      </c>
      <c r="H61" s="64">
        <v>24.81</v>
      </c>
      <c r="I61" s="64">
        <v>13.11</v>
      </c>
      <c r="J61" s="64">
        <v>0.27</v>
      </c>
      <c r="K61" s="64">
        <v>85.52</v>
      </c>
      <c r="L61" s="64">
        <v>35.72</v>
      </c>
      <c r="M61" s="64">
        <v>38.729999999999997</v>
      </c>
      <c r="N61" s="64">
        <v>774.5</v>
      </c>
      <c r="O61" s="64">
        <v>0</v>
      </c>
      <c r="P61" s="64">
        <v>0.56999999999999995</v>
      </c>
      <c r="Q61" s="64">
        <v>9.36</v>
      </c>
      <c r="R61" s="198"/>
      <c r="S61" s="198"/>
      <c r="T61" s="198"/>
      <c r="U61" s="198"/>
    </row>
    <row r="62" spans="1:21" s="12" customFormat="1" x14ac:dyDescent="0.25">
      <c r="A62" s="216" t="s">
        <v>2507</v>
      </c>
      <c r="B62" s="64">
        <v>1.49</v>
      </c>
      <c r="C62" s="64">
        <v>0.81</v>
      </c>
      <c r="D62" s="64">
        <v>0.89</v>
      </c>
      <c r="E62" s="64">
        <v>6.52</v>
      </c>
      <c r="F62" s="64">
        <v>43.03</v>
      </c>
      <c r="G62" s="64">
        <v>85.01</v>
      </c>
      <c r="H62" s="64">
        <v>24.9</v>
      </c>
      <c r="I62" s="64">
        <v>11.04</v>
      </c>
      <c r="J62" s="64">
        <v>0.08</v>
      </c>
      <c r="K62" s="64">
        <v>146.85</v>
      </c>
      <c r="L62" s="64">
        <v>36.020000000000003</v>
      </c>
      <c r="M62" s="64">
        <v>37.659999999999997</v>
      </c>
      <c r="N62" s="64">
        <v>665.6</v>
      </c>
      <c r="O62" s="64">
        <v>0</v>
      </c>
      <c r="P62" s="64">
        <v>0.67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6" t="s">
        <v>2508</v>
      </c>
      <c r="B63" s="64">
        <v>1.63</v>
      </c>
      <c r="C63" s="64">
        <v>2.12</v>
      </c>
      <c r="D63" s="64">
        <v>1.68</v>
      </c>
      <c r="E63" s="64">
        <v>4.17</v>
      </c>
      <c r="F63" s="64">
        <v>23.4</v>
      </c>
      <c r="G63" s="64">
        <v>72.680000000000007</v>
      </c>
      <c r="H63" s="64">
        <v>25.97</v>
      </c>
      <c r="I63" s="64">
        <v>7.21</v>
      </c>
      <c r="J63" s="64">
        <v>0.49</v>
      </c>
      <c r="K63" s="64">
        <v>318.81</v>
      </c>
      <c r="L63" s="64">
        <v>37.24</v>
      </c>
      <c r="M63" s="64">
        <v>36.17</v>
      </c>
      <c r="N63" s="64">
        <v>683.8</v>
      </c>
      <c r="O63" s="64">
        <v>0</v>
      </c>
      <c r="P63" s="64">
        <v>0.68</v>
      </c>
      <c r="Q63" s="64">
        <v>9.26</v>
      </c>
      <c r="R63" s="198"/>
      <c r="S63" s="198"/>
      <c r="T63" s="198"/>
      <c r="U63" s="198"/>
    </row>
    <row r="64" spans="1:21" s="12" customFormat="1" x14ac:dyDescent="0.25">
      <c r="A64" s="216" t="s">
        <v>2509</v>
      </c>
      <c r="B64" s="64">
        <v>1.63</v>
      </c>
      <c r="C64" s="64">
        <v>2.42</v>
      </c>
      <c r="D64" s="64">
        <v>1.84</v>
      </c>
      <c r="E64" s="64">
        <v>3.7</v>
      </c>
      <c r="F64" s="64">
        <v>13.82</v>
      </c>
      <c r="G64" s="64">
        <v>72.680000000000007</v>
      </c>
      <c r="H64" s="64">
        <v>25.97</v>
      </c>
      <c r="I64" s="64">
        <v>5.39</v>
      </c>
      <c r="J64" s="64">
        <v>0.04</v>
      </c>
      <c r="K64" s="64">
        <v>251.91</v>
      </c>
      <c r="L64" s="64">
        <v>37.76</v>
      </c>
      <c r="M64" s="64">
        <v>34.58</v>
      </c>
      <c r="N64" s="64">
        <v>650.4</v>
      </c>
      <c r="O64" s="64">
        <v>0</v>
      </c>
      <c r="P64" s="64">
        <v>0.69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6" t="s">
        <v>2510</v>
      </c>
      <c r="B65" s="64">
        <v>1.48</v>
      </c>
      <c r="C65" s="64">
        <v>0.22</v>
      </c>
      <c r="D65" s="64">
        <v>0.54</v>
      </c>
      <c r="E65" s="64">
        <v>2.94</v>
      </c>
      <c r="F65" s="64">
        <v>8.83</v>
      </c>
      <c r="G65" s="64">
        <v>72.680000000000007</v>
      </c>
      <c r="H65" s="64">
        <v>25.97</v>
      </c>
      <c r="I65" s="64">
        <v>5.32</v>
      </c>
      <c r="J65" s="64">
        <v>0.42</v>
      </c>
      <c r="K65" s="64">
        <v>323.99</v>
      </c>
      <c r="L65" s="64">
        <v>37.85</v>
      </c>
      <c r="M65" s="64">
        <v>34.630000000000003</v>
      </c>
      <c r="N65" s="64">
        <v>434.8</v>
      </c>
      <c r="O65" s="64">
        <v>0</v>
      </c>
      <c r="P65" s="64">
        <v>0.68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6" t="s">
        <v>2511</v>
      </c>
      <c r="B66" s="64">
        <v>1.62</v>
      </c>
      <c r="C66" s="64">
        <v>0.98</v>
      </c>
      <c r="D66" s="64">
        <v>1.06</v>
      </c>
      <c r="E66" s="64">
        <v>2.91</v>
      </c>
      <c r="F66" s="64">
        <v>8.3000000000000007</v>
      </c>
      <c r="G66" s="64">
        <v>71.849999999999994</v>
      </c>
      <c r="H66" s="64">
        <v>25.89</v>
      </c>
      <c r="I66" s="64">
        <v>5.37</v>
      </c>
      <c r="J66" s="64">
        <v>0.34</v>
      </c>
      <c r="K66" s="64">
        <v>321.72000000000003</v>
      </c>
      <c r="L66" s="64">
        <v>38.04</v>
      </c>
      <c r="M66" s="64">
        <v>33.06</v>
      </c>
      <c r="N66" s="64">
        <v>399.2</v>
      </c>
      <c r="O66" s="64">
        <v>0</v>
      </c>
      <c r="P66" s="64">
        <v>0.68</v>
      </c>
      <c r="Q66" s="64">
        <v>9.26</v>
      </c>
      <c r="R66" s="198"/>
      <c r="S66" s="198"/>
      <c r="T66" s="198"/>
      <c r="U66" s="198"/>
    </row>
    <row r="67" spans="1:21" s="12" customFormat="1" x14ac:dyDescent="0.25">
      <c r="A67" s="216" t="s">
        <v>2512</v>
      </c>
      <c r="B67" s="64">
        <v>1.61</v>
      </c>
      <c r="C67" s="64">
        <v>0.97</v>
      </c>
      <c r="D67" s="64">
        <v>1.07</v>
      </c>
      <c r="E67" s="64">
        <v>2.91</v>
      </c>
      <c r="F67" s="64">
        <v>8.08</v>
      </c>
      <c r="G67" s="64">
        <v>62.03</v>
      </c>
      <c r="H67" s="64">
        <v>24.92</v>
      </c>
      <c r="I67" s="64">
        <v>5.51</v>
      </c>
      <c r="J67" s="64">
        <v>0.3</v>
      </c>
      <c r="K67" s="64">
        <v>332.12</v>
      </c>
      <c r="L67" s="64">
        <v>37.61</v>
      </c>
      <c r="M67" s="64">
        <v>32.869999999999997</v>
      </c>
      <c r="N67" s="64">
        <v>297.5</v>
      </c>
      <c r="O67" s="64">
        <v>0</v>
      </c>
      <c r="P67" s="64">
        <v>0.67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6" t="s">
        <v>2513</v>
      </c>
      <c r="B68" s="64">
        <v>1.65</v>
      </c>
      <c r="C68" s="64">
        <v>1.48</v>
      </c>
      <c r="D68" s="64">
        <v>1.37</v>
      </c>
      <c r="E68" s="64">
        <v>2.6</v>
      </c>
      <c r="F68" s="64">
        <v>6.06</v>
      </c>
      <c r="G68" s="64">
        <v>62.03</v>
      </c>
      <c r="H68" s="64">
        <v>24.92</v>
      </c>
      <c r="I68" s="64">
        <v>5.72</v>
      </c>
      <c r="J68" s="64">
        <v>0.8</v>
      </c>
      <c r="K68" s="64">
        <v>331.08</v>
      </c>
      <c r="L68" s="64">
        <v>37.6</v>
      </c>
      <c r="M68" s="64">
        <v>32.18</v>
      </c>
      <c r="N68" s="64">
        <v>323.5</v>
      </c>
      <c r="O68" s="64">
        <v>0</v>
      </c>
      <c r="P68" s="64">
        <v>0.65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6" t="s">
        <v>2514</v>
      </c>
      <c r="B69" s="64">
        <v>1.65</v>
      </c>
      <c r="C69" s="64">
        <v>1.1299999999999999</v>
      </c>
      <c r="D69" s="64">
        <v>1.19</v>
      </c>
      <c r="E69" s="64">
        <v>2.57</v>
      </c>
      <c r="F69" s="64">
        <v>5.63</v>
      </c>
      <c r="G69" s="64">
        <v>62.03</v>
      </c>
      <c r="H69" s="64">
        <v>24.92</v>
      </c>
      <c r="I69" s="64">
        <v>5.91</v>
      </c>
      <c r="J69" s="64">
        <v>0.32</v>
      </c>
      <c r="K69" s="64">
        <v>318.94</v>
      </c>
      <c r="L69" s="64">
        <v>37.31</v>
      </c>
      <c r="M69" s="64">
        <v>32.28</v>
      </c>
      <c r="N69" s="64">
        <v>295.39999999999998</v>
      </c>
      <c r="O69" s="64">
        <v>0</v>
      </c>
      <c r="P69" s="64">
        <v>0.64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16" t="s">
        <v>2515</v>
      </c>
      <c r="B70" s="64">
        <v>1.71</v>
      </c>
      <c r="C70" s="64">
        <v>1.8</v>
      </c>
      <c r="D70" s="64">
        <v>1.58</v>
      </c>
      <c r="E70" s="64">
        <v>2.91</v>
      </c>
      <c r="F70" s="64">
        <v>7.72</v>
      </c>
      <c r="G70" s="64">
        <v>62.17</v>
      </c>
      <c r="H70" s="64">
        <v>24.97</v>
      </c>
      <c r="I70" s="64">
        <v>5.88</v>
      </c>
      <c r="J70" s="64">
        <v>0.71</v>
      </c>
      <c r="K70" s="64">
        <v>317.13</v>
      </c>
      <c r="L70" s="64">
        <v>36.93</v>
      </c>
      <c r="M70" s="64">
        <v>32.54</v>
      </c>
      <c r="N70" s="64">
        <v>218.7</v>
      </c>
      <c r="O70" s="64">
        <v>0</v>
      </c>
      <c r="P70" s="64">
        <v>0.61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6" t="s">
        <v>2516</v>
      </c>
      <c r="B71" s="64">
        <v>1.59</v>
      </c>
      <c r="C71" s="64">
        <v>0.7</v>
      </c>
      <c r="D71" s="64">
        <v>0.92</v>
      </c>
      <c r="E71" s="64">
        <v>2.81</v>
      </c>
      <c r="F71" s="64">
        <v>7.06</v>
      </c>
      <c r="G71" s="64">
        <v>63.85</v>
      </c>
      <c r="H71" s="64">
        <v>25.56</v>
      </c>
      <c r="I71" s="64">
        <v>5.79</v>
      </c>
      <c r="J71" s="64">
        <v>0.66</v>
      </c>
      <c r="K71" s="64">
        <v>324.20999999999998</v>
      </c>
      <c r="L71" s="64">
        <v>36.72</v>
      </c>
      <c r="M71" s="64">
        <v>33.340000000000003</v>
      </c>
      <c r="N71" s="64">
        <v>170.7</v>
      </c>
      <c r="O71" s="64">
        <v>0</v>
      </c>
      <c r="P71" s="64">
        <v>0.6</v>
      </c>
      <c r="Q71" s="64">
        <v>9.41</v>
      </c>
      <c r="R71" s="198"/>
      <c r="S71" s="198"/>
      <c r="T71" s="198"/>
      <c r="U71" s="198"/>
    </row>
    <row r="72" spans="1:21" s="12" customFormat="1" x14ac:dyDescent="0.25">
      <c r="A72" s="216" t="s">
        <v>2517</v>
      </c>
      <c r="B72" s="64">
        <v>1.5</v>
      </c>
      <c r="C72" s="64">
        <v>0.01</v>
      </c>
      <c r="D72" s="64">
        <v>0.34</v>
      </c>
      <c r="E72" s="64">
        <v>0.4</v>
      </c>
      <c r="F72" s="64">
        <v>5.0599999999999996</v>
      </c>
      <c r="G72" s="64">
        <v>63.85</v>
      </c>
      <c r="H72" s="64">
        <v>25.56</v>
      </c>
      <c r="I72" s="64">
        <v>5.71</v>
      </c>
      <c r="J72" s="64">
        <v>0.66</v>
      </c>
      <c r="K72" s="64">
        <v>336.34</v>
      </c>
      <c r="L72" s="64">
        <v>36.880000000000003</v>
      </c>
      <c r="M72" s="64">
        <v>32.08</v>
      </c>
      <c r="N72" s="64">
        <v>176.7</v>
      </c>
      <c r="O72" s="64">
        <v>0</v>
      </c>
      <c r="P72" s="64">
        <v>0.59</v>
      </c>
      <c r="Q72" s="64">
        <v>9.4600000000000009</v>
      </c>
      <c r="R72" s="198"/>
      <c r="S72" s="198"/>
      <c r="T72" s="198"/>
      <c r="U72" s="198"/>
    </row>
    <row r="73" spans="1:21" s="12" customFormat="1" x14ac:dyDescent="0.25">
      <c r="A73" s="216" t="s">
        <v>2518</v>
      </c>
      <c r="B73" s="64">
        <v>1.77</v>
      </c>
      <c r="C73" s="64">
        <v>2.15</v>
      </c>
      <c r="D73" s="64">
        <v>1.81</v>
      </c>
      <c r="E73" s="64">
        <v>0.54</v>
      </c>
      <c r="F73" s="64">
        <v>5.32</v>
      </c>
      <c r="G73" s="64">
        <v>63.85</v>
      </c>
      <c r="H73" s="64">
        <v>25.56</v>
      </c>
      <c r="I73" s="64">
        <v>5.74</v>
      </c>
      <c r="J73" s="64">
        <v>1.19</v>
      </c>
      <c r="K73" s="64">
        <v>107.03</v>
      </c>
      <c r="L73" s="64">
        <v>36.200000000000003</v>
      </c>
      <c r="M73" s="64">
        <v>32.94</v>
      </c>
      <c r="N73" s="64">
        <v>195.4</v>
      </c>
      <c r="O73" s="64">
        <v>0</v>
      </c>
      <c r="P73" s="64">
        <v>0.57999999999999996</v>
      </c>
      <c r="Q73" s="64">
        <v>9.3800000000000008</v>
      </c>
      <c r="R73" s="198"/>
      <c r="S73" s="198"/>
      <c r="T73" s="198"/>
      <c r="U73" s="198"/>
    </row>
    <row r="74" spans="1:21" s="12" customFormat="1" x14ac:dyDescent="0.25">
      <c r="A74" s="216" t="s">
        <v>2519</v>
      </c>
      <c r="B74" s="64">
        <v>1.73</v>
      </c>
      <c r="C74" s="64">
        <v>2.35</v>
      </c>
      <c r="D74" s="64">
        <v>1.89</v>
      </c>
      <c r="E74" s="64">
        <v>0.71</v>
      </c>
      <c r="F74" s="64">
        <v>4.8499999999999996</v>
      </c>
      <c r="G74" s="64">
        <v>63.7</v>
      </c>
      <c r="H74" s="64">
        <v>25.37</v>
      </c>
      <c r="I74" s="64">
        <v>5.82</v>
      </c>
      <c r="J74" s="64">
        <v>2.39</v>
      </c>
      <c r="K74" s="64">
        <v>106.76</v>
      </c>
      <c r="L74" s="64">
        <v>32.75</v>
      </c>
      <c r="M74" s="64">
        <v>45.31</v>
      </c>
      <c r="N74" s="64">
        <v>183.8</v>
      </c>
      <c r="O74" s="64">
        <v>0</v>
      </c>
      <c r="P74" s="64">
        <v>0.56999999999999995</v>
      </c>
      <c r="Q74" s="64">
        <v>9.4</v>
      </c>
      <c r="R74" s="198"/>
      <c r="S74" s="198"/>
      <c r="T74" s="198"/>
      <c r="U74" s="198"/>
    </row>
    <row r="75" spans="1:21" s="12" customFormat="1" x14ac:dyDescent="0.25">
      <c r="A75" s="216" t="s">
        <v>2520</v>
      </c>
      <c r="B75" s="64">
        <v>1.85</v>
      </c>
      <c r="C75" s="64">
        <v>3.48</v>
      </c>
      <c r="D75" s="64">
        <v>2.57</v>
      </c>
      <c r="E75" s="64">
        <v>0.65</v>
      </c>
      <c r="F75" s="64">
        <v>4.58</v>
      </c>
      <c r="G75" s="64">
        <v>61.9</v>
      </c>
      <c r="H75" s="64">
        <v>23.06</v>
      </c>
      <c r="I75" s="64">
        <v>6.39</v>
      </c>
      <c r="J75" s="64">
        <v>1.04</v>
      </c>
      <c r="K75" s="64">
        <v>109.22</v>
      </c>
      <c r="L75" s="64">
        <v>32.799999999999997</v>
      </c>
      <c r="M75" s="64">
        <v>44.76</v>
      </c>
      <c r="N75" s="64">
        <v>149.9</v>
      </c>
      <c r="O75" s="64">
        <v>0</v>
      </c>
      <c r="P75" s="64">
        <v>0.56999999999999995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6" t="s">
        <v>2521</v>
      </c>
      <c r="B76" s="64">
        <v>1.85</v>
      </c>
      <c r="C76" s="64">
        <v>3.64</v>
      </c>
      <c r="D76" s="64">
        <v>2.66</v>
      </c>
      <c r="E76" s="64">
        <v>0.76</v>
      </c>
      <c r="F76" s="64">
        <v>5.37</v>
      </c>
      <c r="G76" s="64">
        <v>61.9</v>
      </c>
      <c r="H76" s="64">
        <v>23.06</v>
      </c>
      <c r="I76" s="64">
        <v>7.73</v>
      </c>
      <c r="J76" s="64">
        <v>0.88</v>
      </c>
      <c r="K76" s="64">
        <v>101</v>
      </c>
      <c r="L76" s="64">
        <v>33.090000000000003</v>
      </c>
      <c r="M76" s="64">
        <v>43.94</v>
      </c>
      <c r="N76" s="64">
        <v>127.1</v>
      </c>
      <c r="O76" s="64">
        <v>0</v>
      </c>
      <c r="P76" s="64">
        <v>0.56000000000000005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6" t="s">
        <v>2522</v>
      </c>
      <c r="B77" s="64">
        <v>1.76</v>
      </c>
      <c r="C77" s="64">
        <v>3.25</v>
      </c>
      <c r="D77" s="64">
        <v>2.38</v>
      </c>
      <c r="E77" s="64">
        <v>0.74</v>
      </c>
      <c r="F77" s="64">
        <v>8.02</v>
      </c>
      <c r="G77" s="64">
        <v>61.9</v>
      </c>
      <c r="H77" s="64">
        <v>23.06</v>
      </c>
      <c r="I77" s="64">
        <v>8.6199999999999992</v>
      </c>
      <c r="J77" s="64">
        <v>1.1000000000000001</v>
      </c>
      <c r="K77" s="64">
        <v>98.23</v>
      </c>
      <c r="L77" s="64">
        <v>33.47</v>
      </c>
      <c r="M77" s="64">
        <v>42.02</v>
      </c>
      <c r="N77" s="64">
        <v>106.6</v>
      </c>
      <c r="O77" s="64">
        <v>0</v>
      </c>
      <c r="P77" s="64">
        <v>0.55000000000000004</v>
      </c>
      <c r="Q77" s="64">
        <v>9.24</v>
      </c>
      <c r="R77" s="198"/>
      <c r="S77" s="198"/>
      <c r="T77" s="198"/>
      <c r="U77" s="198"/>
    </row>
    <row r="78" spans="1:21" s="12" customFormat="1" x14ac:dyDescent="0.25">
      <c r="A78" s="216" t="s">
        <v>2523</v>
      </c>
      <c r="B78" s="64">
        <v>1.83</v>
      </c>
      <c r="C78" s="64">
        <v>4.9000000000000004</v>
      </c>
      <c r="D78" s="64">
        <v>3.3</v>
      </c>
      <c r="E78" s="64">
        <v>1.17</v>
      </c>
      <c r="F78" s="64">
        <v>8.31</v>
      </c>
      <c r="G78" s="64">
        <v>60.8</v>
      </c>
      <c r="H78" s="64">
        <v>23.14</v>
      </c>
      <c r="I78" s="64">
        <v>8.6999999999999993</v>
      </c>
      <c r="J78" s="64">
        <v>0.86</v>
      </c>
      <c r="K78" s="64">
        <v>99.7</v>
      </c>
      <c r="L78" s="64">
        <v>33.61</v>
      </c>
      <c r="M78" s="64">
        <v>40.51</v>
      </c>
      <c r="N78" s="64">
        <v>81.099999999999994</v>
      </c>
      <c r="O78" s="64">
        <v>0</v>
      </c>
      <c r="P78" s="64">
        <v>0.55000000000000004</v>
      </c>
      <c r="Q78" s="64">
        <v>8.8699999999999992</v>
      </c>
      <c r="R78" s="198"/>
      <c r="S78" s="198"/>
      <c r="T78" s="198"/>
      <c r="U78" s="198"/>
    </row>
    <row r="79" spans="1:21" s="12" customFormat="1" x14ac:dyDescent="0.25">
      <c r="A79" s="216" t="s">
        <v>2524</v>
      </c>
      <c r="B79" s="64">
        <v>1.89</v>
      </c>
      <c r="C79" s="64">
        <v>5.29</v>
      </c>
      <c r="D79" s="64">
        <v>3.55</v>
      </c>
      <c r="E79" s="64">
        <v>0.96</v>
      </c>
      <c r="F79" s="64">
        <v>2.4900000000000002</v>
      </c>
      <c r="G79" s="64">
        <v>47.78</v>
      </c>
      <c r="H79" s="64">
        <v>24.08</v>
      </c>
      <c r="I79" s="64">
        <v>8.58</v>
      </c>
      <c r="J79" s="64">
        <v>0.38</v>
      </c>
      <c r="K79" s="64">
        <v>87.01</v>
      </c>
      <c r="L79" s="64">
        <v>33.54</v>
      </c>
      <c r="M79" s="64">
        <v>40.15</v>
      </c>
      <c r="N79" s="64">
        <v>54.4</v>
      </c>
      <c r="O79" s="64">
        <v>0</v>
      </c>
      <c r="P79" s="64">
        <v>0.54</v>
      </c>
      <c r="Q79" s="64">
        <v>8.6300000000000008</v>
      </c>
      <c r="R79" s="198"/>
      <c r="S79" s="198"/>
      <c r="T79" s="198"/>
      <c r="U79" s="198"/>
    </row>
    <row r="80" spans="1:21" s="12" customFormat="1" x14ac:dyDescent="0.25">
      <c r="A80" s="216" t="s">
        <v>2525</v>
      </c>
      <c r="B80" s="64">
        <v>1.9</v>
      </c>
      <c r="C80" s="64">
        <v>4.83</v>
      </c>
      <c r="D80" s="64">
        <v>3.32</v>
      </c>
      <c r="E80" s="64">
        <v>0.8</v>
      </c>
      <c r="F80" s="64">
        <v>4.2699999999999996</v>
      </c>
      <c r="G80" s="64">
        <v>47.78</v>
      </c>
      <c r="H80" s="64">
        <v>24.08</v>
      </c>
      <c r="I80" s="64">
        <v>8.2200000000000006</v>
      </c>
      <c r="J80" s="64">
        <v>1.07</v>
      </c>
      <c r="K80" s="64">
        <v>101.36</v>
      </c>
      <c r="L80" s="64">
        <v>33.22</v>
      </c>
      <c r="M80" s="64">
        <v>41.7</v>
      </c>
      <c r="N80" s="64">
        <v>38.5</v>
      </c>
      <c r="O80" s="64">
        <v>0</v>
      </c>
      <c r="P80" s="64">
        <v>0.53</v>
      </c>
      <c r="Q80" s="64">
        <v>8.81</v>
      </c>
      <c r="R80" s="198"/>
      <c r="S80" s="198"/>
      <c r="T80" s="198"/>
      <c r="U80" s="198"/>
    </row>
    <row r="81" spans="1:26" s="12" customFormat="1" x14ac:dyDescent="0.25">
      <c r="A81" s="216" t="s">
        <v>2526</v>
      </c>
      <c r="B81" s="64">
        <v>1.82</v>
      </c>
      <c r="C81" s="64">
        <v>3.83</v>
      </c>
      <c r="D81" s="64">
        <v>2.73</v>
      </c>
      <c r="E81" s="64">
        <v>0.3</v>
      </c>
      <c r="F81" s="64">
        <v>5.61</v>
      </c>
      <c r="G81" s="64">
        <v>47.78</v>
      </c>
      <c r="H81" s="64">
        <v>24.08</v>
      </c>
      <c r="I81" s="64">
        <v>8.15</v>
      </c>
      <c r="J81" s="64">
        <v>0.69</v>
      </c>
      <c r="K81" s="64">
        <v>102.36</v>
      </c>
      <c r="L81" s="64">
        <v>33.01</v>
      </c>
      <c r="M81" s="64">
        <v>41.8</v>
      </c>
      <c r="N81" s="64">
        <v>34.299999999999997</v>
      </c>
      <c r="O81" s="64">
        <v>0</v>
      </c>
      <c r="P81" s="64">
        <v>0.52</v>
      </c>
      <c r="Q81" s="64">
        <v>8.9499999999999993</v>
      </c>
      <c r="R81" s="198"/>
      <c r="S81" s="198"/>
      <c r="T81" s="198"/>
      <c r="U81" s="198"/>
    </row>
    <row r="82" spans="1:26" s="12" customFormat="1" x14ac:dyDescent="0.25">
      <c r="A82" s="216" t="s">
        <v>2527</v>
      </c>
      <c r="B82" s="64">
        <v>1.88</v>
      </c>
      <c r="C82" s="64">
        <v>4.4000000000000004</v>
      </c>
      <c r="D82" s="64">
        <v>3.08</v>
      </c>
      <c r="E82" s="64">
        <v>0.42</v>
      </c>
      <c r="F82" s="64">
        <v>5.87</v>
      </c>
      <c r="G82" s="64">
        <v>48.79</v>
      </c>
      <c r="H82" s="64">
        <v>24.2</v>
      </c>
      <c r="I82" s="64">
        <v>8.52</v>
      </c>
      <c r="J82" s="64">
        <v>2.1</v>
      </c>
      <c r="K82" s="64">
        <v>102.48</v>
      </c>
      <c r="L82" s="64">
        <v>32.31</v>
      </c>
      <c r="M82" s="64">
        <v>42.78</v>
      </c>
      <c r="N82" s="64">
        <v>28.3</v>
      </c>
      <c r="O82" s="64">
        <v>0</v>
      </c>
      <c r="P82" s="64">
        <v>0.53</v>
      </c>
      <c r="Q82" s="64">
        <v>9.34</v>
      </c>
      <c r="R82" s="198"/>
      <c r="S82" s="198"/>
      <c r="T82" s="198"/>
      <c r="U82" s="198"/>
    </row>
    <row r="83" spans="1:26" s="12" customFormat="1" x14ac:dyDescent="0.25">
      <c r="A83" s="216" t="s">
        <v>2528</v>
      </c>
      <c r="B83" s="64">
        <v>1.91</v>
      </c>
      <c r="C83" s="64">
        <v>4.67</v>
      </c>
      <c r="D83" s="64">
        <v>3.24</v>
      </c>
      <c r="E83" s="64">
        <v>0.7</v>
      </c>
      <c r="F83" s="64">
        <v>3.47</v>
      </c>
      <c r="G83" s="64">
        <v>60.79</v>
      </c>
      <c r="H83" s="64">
        <v>25.51</v>
      </c>
      <c r="I83" s="64">
        <v>8.65</v>
      </c>
      <c r="J83" s="64">
        <v>1.83</v>
      </c>
      <c r="K83" s="64">
        <v>97.63</v>
      </c>
      <c r="L83" s="64">
        <v>30.92</v>
      </c>
      <c r="M83" s="64">
        <v>47.57</v>
      </c>
      <c r="N83" s="64">
        <v>24.7</v>
      </c>
      <c r="O83" s="64">
        <v>0</v>
      </c>
      <c r="P83" s="64">
        <v>0.5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16" t="s">
        <v>2529</v>
      </c>
      <c r="B84" s="64">
        <v>1.93</v>
      </c>
      <c r="C84" s="64">
        <v>3.95</v>
      </c>
      <c r="D84" s="64">
        <v>2.88</v>
      </c>
      <c r="E84" s="64">
        <v>0.3</v>
      </c>
      <c r="F84" s="64">
        <v>5.6</v>
      </c>
      <c r="G84" s="64">
        <v>60.79</v>
      </c>
      <c r="H84" s="64">
        <v>25.51</v>
      </c>
      <c r="I84" s="64">
        <v>8.94</v>
      </c>
      <c r="J84" s="64">
        <v>0.84</v>
      </c>
      <c r="K84" s="64">
        <v>130.4</v>
      </c>
      <c r="L84" s="64">
        <v>30.36</v>
      </c>
      <c r="M84" s="64">
        <v>49.04</v>
      </c>
      <c r="N84" s="64">
        <v>22.1</v>
      </c>
      <c r="O84" s="64">
        <v>0</v>
      </c>
      <c r="P84" s="64">
        <v>0.49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16" t="s">
        <v>2530</v>
      </c>
      <c r="B85" s="64">
        <v>1.92</v>
      </c>
      <c r="C85" s="64">
        <v>3.7</v>
      </c>
      <c r="D85" s="64">
        <v>2.75</v>
      </c>
      <c r="E85" s="64">
        <v>0.1</v>
      </c>
      <c r="F85" s="64">
        <v>5.48</v>
      </c>
      <c r="G85" s="64">
        <v>60.79</v>
      </c>
      <c r="H85" s="64">
        <v>25.51</v>
      </c>
      <c r="I85" s="64">
        <v>9.42</v>
      </c>
      <c r="J85" s="64">
        <v>0.68</v>
      </c>
      <c r="K85" s="64">
        <v>157.97</v>
      </c>
      <c r="L85" s="64">
        <v>29.93</v>
      </c>
      <c r="M85" s="64">
        <v>51.1</v>
      </c>
      <c r="N85" s="64">
        <v>21.9</v>
      </c>
      <c r="O85" s="64">
        <v>0</v>
      </c>
      <c r="P85" s="64">
        <v>0.47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6" t="s">
        <v>2531</v>
      </c>
      <c r="B86" s="64">
        <v>1.91</v>
      </c>
      <c r="C86" s="64">
        <v>3.5</v>
      </c>
      <c r="D86" s="64">
        <v>2.63</v>
      </c>
      <c r="E86" s="64">
        <v>0.17</v>
      </c>
      <c r="F86" s="64">
        <v>4.75</v>
      </c>
      <c r="G86" s="64">
        <v>60.37</v>
      </c>
      <c r="H86" s="64">
        <v>25.61</v>
      </c>
      <c r="I86" s="64">
        <v>9.59</v>
      </c>
      <c r="J86" s="64">
        <v>0.51</v>
      </c>
      <c r="K86" s="64">
        <v>159.1</v>
      </c>
      <c r="L86" s="64">
        <v>29.71</v>
      </c>
      <c r="M86" s="64">
        <v>53.11</v>
      </c>
      <c r="N86" s="64">
        <v>21.4</v>
      </c>
      <c r="O86" s="64">
        <v>0</v>
      </c>
      <c r="P86" s="64">
        <v>0.47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6" t="s">
        <v>2532</v>
      </c>
      <c r="B87" s="64">
        <v>1.81</v>
      </c>
      <c r="C87" s="64">
        <v>2.41</v>
      </c>
      <c r="D87" s="64">
        <v>1.98</v>
      </c>
      <c r="E87" s="64">
        <v>0.33</v>
      </c>
      <c r="F87" s="64">
        <v>4.62</v>
      </c>
      <c r="G87" s="64">
        <v>55.39</v>
      </c>
      <c r="H87" s="64">
        <v>26.8</v>
      </c>
      <c r="I87" s="64">
        <v>9.06</v>
      </c>
      <c r="J87" s="64">
        <v>0.8</v>
      </c>
      <c r="K87" s="64">
        <v>141.91999999999999</v>
      </c>
      <c r="L87" s="64">
        <v>29.54</v>
      </c>
      <c r="M87" s="64">
        <v>54.88</v>
      </c>
      <c r="N87" s="64">
        <v>21.3</v>
      </c>
      <c r="O87" s="64">
        <v>0</v>
      </c>
      <c r="P87" s="64">
        <v>0.47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6" t="s">
        <v>2533</v>
      </c>
      <c r="B88" s="64">
        <v>1.75</v>
      </c>
      <c r="C88" s="64">
        <v>1.38</v>
      </c>
      <c r="D88" s="64">
        <v>1.4</v>
      </c>
      <c r="E88" s="64">
        <v>1.21</v>
      </c>
      <c r="F88" s="64">
        <v>4.78</v>
      </c>
      <c r="G88" s="64">
        <v>55.39</v>
      </c>
      <c r="H88" s="64">
        <v>26.8</v>
      </c>
      <c r="I88" s="64">
        <v>8.9600000000000009</v>
      </c>
      <c r="J88" s="64">
        <v>1.02</v>
      </c>
      <c r="K88" s="64">
        <v>173.74</v>
      </c>
      <c r="L88" s="64">
        <v>29.47</v>
      </c>
      <c r="M88" s="64">
        <v>55.62</v>
      </c>
      <c r="N88" s="64">
        <v>21.2</v>
      </c>
      <c r="O88" s="64">
        <v>0</v>
      </c>
      <c r="P88" s="64">
        <v>0.47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16" t="s">
        <v>2534</v>
      </c>
      <c r="B89" s="64">
        <v>1.89</v>
      </c>
      <c r="C89" s="64">
        <v>2.67</v>
      </c>
      <c r="D89" s="64">
        <v>2.1800000000000002</v>
      </c>
      <c r="E89" s="64">
        <v>0.82</v>
      </c>
      <c r="F89" s="64">
        <v>4.9800000000000004</v>
      </c>
      <c r="G89" s="64">
        <v>55.39</v>
      </c>
      <c r="H89" s="64">
        <v>26.8</v>
      </c>
      <c r="I89" s="64">
        <v>8.9600000000000009</v>
      </c>
      <c r="J89" s="64">
        <v>0.67</v>
      </c>
      <c r="K89" s="64">
        <v>155.53</v>
      </c>
      <c r="L89" s="64">
        <v>29.4</v>
      </c>
      <c r="M89" s="64">
        <v>55.51</v>
      </c>
      <c r="N89" s="64">
        <v>21.3</v>
      </c>
      <c r="O89" s="64">
        <v>0</v>
      </c>
      <c r="P89" s="64">
        <v>0.46</v>
      </c>
      <c r="Q89" s="64">
        <v>9.52</v>
      </c>
      <c r="R89" s="198"/>
      <c r="S89" s="198"/>
      <c r="T89" s="198"/>
      <c r="U89" s="198"/>
    </row>
    <row r="90" spans="1:26" s="12" customFormat="1" x14ac:dyDescent="0.25">
      <c r="A90" s="216" t="s">
        <v>2535</v>
      </c>
      <c r="B90" s="64">
        <v>1.74</v>
      </c>
      <c r="C90" s="64">
        <v>1.44</v>
      </c>
      <c r="D90" s="64">
        <v>1.42</v>
      </c>
      <c r="E90" s="64">
        <v>1.1599999999999999</v>
      </c>
      <c r="F90" s="64">
        <v>4.49</v>
      </c>
      <c r="G90" s="64">
        <v>55.36</v>
      </c>
      <c r="H90" s="64">
        <v>26.68</v>
      </c>
      <c r="I90" s="64">
        <v>8.89</v>
      </c>
      <c r="J90" s="64">
        <v>0.73</v>
      </c>
      <c r="K90" s="64">
        <v>154.69</v>
      </c>
      <c r="L90" s="64">
        <v>29.39</v>
      </c>
      <c r="M90" s="64">
        <v>54.89</v>
      </c>
      <c r="N90" s="64">
        <v>21.1</v>
      </c>
      <c r="O90" s="64">
        <v>0</v>
      </c>
      <c r="P90" s="64">
        <v>0.46</v>
      </c>
      <c r="Q90" s="64">
        <v>9.5500000000000007</v>
      </c>
      <c r="R90" s="198"/>
      <c r="S90" s="198"/>
      <c r="T90" s="198"/>
      <c r="U90" s="198"/>
    </row>
    <row r="91" spans="1:26" s="12" customFormat="1" x14ac:dyDescent="0.25">
      <c r="A91" s="216" t="s">
        <v>2536</v>
      </c>
      <c r="B91" s="64">
        <v>1.82</v>
      </c>
      <c r="C91" s="64">
        <v>2.56</v>
      </c>
      <c r="D91" s="64">
        <v>2.0699999999999998</v>
      </c>
      <c r="E91" s="64">
        <v>1.19</v>
      </c>
      <c r="F91" s="64">
        <v>4.0999999999999996</v>
      </c>
      <c r="G91" s="64">
        <v>55.01</v>
      </c>
      <c r="H91" s="64">
        <v>25.21</v>
      </c>
      <c r="I91" s="64">
        <v>8.77</v>
      </c>
      <c r="J91" s="64">
        <v>0.84</v>
      </c>
      <c r="K91" s="64">
        <v>160.93</v>
      </c>
      <c r="L91" s="64">
        <v>29.3</v>
      </c>
      <c r="M91" s="64">
        <v>55.49</v>
      </c>
      <c r="N91" s="64">
        <v>21.3</v>
      </c>
      <c r="O91" s="64">
        <v>0</v>
      </c>
      <c r="P91" s="64">
        <v>0.46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6" t="s">
        <v>2537</v>
      </c>
      <c r="B92" s="64">
        <v>1.83</v>
      </c>
      <c r="C92" s="64">
        <v>2.86</v>
      </c>
      <c r="D92" s="64">
        <v>2.23</v>
      </c>
      <c r="E92" s="64">
        <v>1.24</v>
      </c>
      <c r="F92" s="64">
        <v>4.08</v>
      </c>
      <c r="G92" s="64">
        <v>55.01</v>
      </c>
      <c r="H92" s="64">
        <v>25.21</v>
      </c>
      <c r="I92" s="64">
        <v>8.4</v>
      </c>
      <c r="J92" s="64">
        <v>0.78</v>
      </c>
      <c r="K92" s="64">
        <v>128.6</v>
      </c>
      <c r="L92" s="64">
        <v>29.17</v>
      </c>
      <c r="M92" s="64">
        <v>55.69</v>
      </c>
      <c r="N92" s="64">
        <v>21.2</v>
      </c>
      <c r="O92" s="64">
        <v>0</v>
      </c>
      <c r="P92" s="64">
        <v>0.47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6" t="s">
        <v>2538</v>
      </c>
      <c r="B93" s="64">
        <v>1.86</v>
      </c>
      <c r="C93" s="64">
        <v>2.95</v>
      </c>
      <c r="D93" s="64">
        <v>2.2999999999999998</v>
      </c>
      <c r="E93" s="64">
        <v>1.53</v>
      </c>
      <c r="F93" s="64">
        <v>4.2</v>
      </c>
      <c r="G93" s="64">
        <v>55.01</v>
      </c>
      <c r="H93" s="64">
        <v>25.21</v>
      </c>
      <c r="I93" s="64">
        <v>8.26</v>
      </c>
      <c r="J93" s="64">
        <v>0.89</v>
      </c>
      <c r="K93" s="64">
        <v>154.36000000000001</v>
      </c>
      <c r="L93" s="64">
        <v>29.27</v>
      </c>
      <c r="M93" s="64">
        <v>54.78</v>
      </c>
      <c r="N93" s="64">
        <v>21</v>
      </c>
      <c r="O93" s="64">
        <v>0</v>
      </c>
      <c r="P93" s="64">
        <v>0.47</v>
      </c>
      <c r="Q93" s="64">
        <v>9.56</v>
      </c>
      <c r="R93" s="198"/>
      <c r="S93" s="198"/>
      <c r="T93" s="198"/>
      <c r="U93" s="198"/>
    </row>
    <row r="94" spans="1:26" s="12" customFormat="1" x14ac:dyDescent="0.25">
      <c r="A94" s="216" t="s">
        <v>2539</v>
      </c>
      <c r="B94" s="64">
        <v>1.94</v>
      </c>
      <c r="C94" s="64">
        <v>3.28</v>
      </c>
      <c r="D94" s="64">
        <v>2.54</v>
      </c>
      <c r="E94" s="64">
        <v>1.21</v>
      </c>
      <c r="F94" s="64">
        <v>4.2300000000000004</v>
      </c>
      <c r="G94" s="64">
        <v>54.58</v>
      </c>
      <c r="H94" s="64">
        <v>25.14</v>
      </c>
      <c r="I94" s="64">
        <v>8.17</v>
      </c>
      <c r="J94" s="64">
        <v>1.43</v>
      </c>
      <c r="K94" s="64">
        <v>151.6</v>
      </c>
      <c r="L94" s="64">
        <v>29.37</v>
      </c>
      <c r="M94" s="64">
        <v>52.84</v>
      </c>
      <c r="N94" s="64">
        <v>21</v>
      </c>
      <c r="O94" s="64">
        <v>0</v>
      </c>
      <c r="P94" s="64">
        <v>0.47</v>
      </c>
      <c r="Q94" s="64">
        <v>9.51</v>
      </c>
      <c r="R94" s="198"/>
      <c r="S94" s="198"/>
      <c r="T94" s="198"/>
      <c r="U94" s="198"/>
    </row>
    <row r="95" spans="1:26" s="12" customFormat="1" x14ac:dyDescent="0.25">
      <c r="A95" s="216" t="s">
        <v>2540</v>
      </c>
      <c r="B95" s="64">
        <v>1.87</v>
      </c>
      <c r="C95" s="64">
        <v>2.46</v>
      </c>
      <c r="D95" s="64">
        <v>2.06</v>
      </c>
      <c r="E95" s="64">
        <v>0.99</v>
      </c>
      <c r="F95" s="64">
        <v>4.4400000000000004</v>
      </c>
      <c r="G95" s="64">
        <v>49.53</v>
      </c>
      <c r="H95" s="64">
        <v>24.23</v>
      </c>
      <c r="I95" s="64">
        <v>7.96</v>
      </c>
      <c r="J95" s="64">
        <v>1.61</v>
      </c>
      <c r="K95" s="64">
        <v>151.28</v>
      </c>
      <c r="L95" s="64">
        <v>29.19</v>
      </c>
      <c r="M95" s="64">
        <v>48.99</v>
      </c>
      <c r="N95" s="64">
        <v>21.5</v>
      </c>
      <c r="O95" s="64">
        <v>0</v>
      </c>
      <c r="P95" s="64">
        <v>0.47</v>
      </c>
      <c r="Q95" s="64">
        <v>9.5</v>
      </c>
      <c r="R95" s="198"/>
      <c r="S95" s="198"/>
      <c r="T95" s="198"/>
      <c r="U95" s="198"/>
    </row>
    <row r="96" spans="1:26" s="12" customFormat="1" x14ac:dyDescent="0.25">
      <c r="A96" s="216" t="s">
        <v>2541</v>
      </c>
      <c r="B96" s="64">
        <v>1.88</v>
      </c>
      <c r="C96" s="64">
        <v>2.72</v>
      </c>
      <c r="D96" s="64">
        <v>2.2000000000000002</v>
      </c>
      <c r="E96" s="64">
        <v>1.27</v>
      </c>
      <c r="F96" s="64">
        <v>4.6500000000000004</v>
      </c>
      <c r="G96" s="64">
        <v>49.53</v>
      </c>
      <c r="H96" s="64">
        <v>24.23</v>
      </c>
      <c r="I96" s="64">
        <v>7.81</v>
      </c>
      <c r="J96" s="64">
        <v>1.23</v>
      </c>
      <c r="K96" s="64">
        <v>158.35</v>
      </c>
      <c r="L96" s="64">
        <v>28.91</v>
      </c>
      <c r="M96" s="64">
        <v>49.09</v>
      </c>
      <c r="N96" s="64">
        <v>21.5</v>
      </c>
      <c r="O96" s="64">
        <v>0</v>
      </c>
      <c r="P96" s="64">
        <v>0.45</v>
      </c>
      <c r="Q96" s="64">
        <v>9.44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2542</v>
      </c>
      <c r="B97" s="64">
        <v>1.72</v>
      </c>
      <c r="C97" s="64">
        <v>1.52</v>
      </c>
      <c r="D97" s="64">
        <v>1.44</v>
      </c>
      <c r="E97" s="64">
        <v>0.96</v>
      </c>
      <c r="F97" s="64">
        <v>4.74</v>
      </c>
      <c r="G97" s="64">
        <v>49.53</v>
      </c>
      <c r="H97" s="64">
        <v>24.23</v>
      </c>
      <c r="I97" s="64">
        <v>7.71</v>
      </c>
      <c r="J97" s="64">
        <v>1.08</v>
      </c>
      <c r="K97" s="64">
        <v>150.99</v>
      </c>
      <c r="L97" s="64">
        <v>28.68</v>
      </c>
      <c r="M97" s="64">
        <v>49.9</v>
      </c>
      <c r="N97" s="64">
        <v>21.6</v>
      </c>
      <c r="O97" s="64">
        <v>0</v>
      </c>
      <c r="P97" s="64">
        <v>0.45</v>
      </c>
      <c r="Q97" s="64">
        <v>9.41</v>
      </c>
      <c r="R97" s="198"/>
      <c r="S97" s="198"/>
      <c r="T97" s="198"/>
      <c r="U97" s="198"/>
    </row>
    <row r="98" spans="1:33" s="12" customFormat="1" x14ac:dyDescent="0.25">
      <c r="A98" s="216" t="s">
        <v>2543</v>
      </c>
      <c r="B98" s="64">
        <v>1.76</v>
      </c>
      <c r="C98" s="64">
        <v>1.6</v>
      </c>
      <c r="D98" s="64">
        <v>1.52</v>
      </c>
      <c r="E98" s="64">
        <v>0.99</v>
      </c>
      <c r="F98" s="64">
        <v>4.03</v>
      </c>
      <c r="G98" s="64">
        <v>48.88</v>
      </c>
      <c r="H98" s="64">
        <v>24.06</v>
      </c>
      <c r="I98" s="64">
        <v>7.56</v>
      </c>
      <c r="J98" s="64">
        <v>1.07</v>
      </c>
      <c r="K98" s="64">
        <v>153.16</v>
      </c>
      <c r="L98" s="64">
        <v>28.27</v>
      </c>
      <c r="M98" s="64">
        <v>51.12</v>
      </c>
      <c r="N98" s="64">
        <v>21.7</v>
      </c>
      <c r="O98" s="64">
        <v>0</v>
      </c>
      <c r="P98" s="64">
        <v>0.43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6" t="s">
        <v>2544</v>
      </c>
      <c r="B99" s="64">
        <v>1.83</v>
      </c>
      <c r="C99" s="64">
        <v>2.06</v>
      </c>
      <c r="D99" s="64">
        <v>1.82</v>
      </c>
      <c r="E99" s="64">
        <v>0.97</v>
      </c>
      <c r="F99" s="64">
        <v>4.54</v>
      </c>
      <c r="G99" s="64">
        <v>41.11</v>
      </c>
      <c r="H99" s="64">
        <v>21.95</v>
      </c>
      <c r="I99" s="64">
        <v>7.36</v>
      </c>
      <c r="J99" s="64">
        <v>1.36</v>
      </c>
      <c r="K99" s="64">
        <v>152.87</v>
      </c>
      <c r="L99" s="64">
        <v>27.76</v>
      </c>
      <c r="M99" s="64">
        <v>51.89</v>
      </c>
      <c r="N99" s="64">
        <v>21.7</v>
      </c>
      <c r="O99" s="64">
        <v>0</v>
      </c>
      <c r="P99" s="64">
        <v>0.42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6" t="s">
        <v>2545</v>
      </c>
      <c r="B100" s="64">
        <v>1.81</v>
      </c>
      <c r="C100" s="64">
        <v>1.92</v>
      </c>
      <c r="D100" s="64">
        <v>1.73</v>
      </c>
      <c r="E100" s="64">
        <v>1.1100000000000001</v>
      </c>
      <c r="F100" s="64">
        <v>5.01</v>
      </c>
      <c r="G100" s="64">
        <v>41.11</v>
      </c>
      <c r="H100" s="64">
        <v>21.95</v>
      </c>
      <c r="I100" s="64">
        <v>7.18</v>
      </c>
      <c r="J100" s="64">
        <v>0.61</v>
      </c>
      <c r="K100" s="64">
        <v>148.66999999999999</v>
      </c>
      <c r="L100" s="64">
        <v>27.81</v>
      </c>
      <c r="M100" s="64">
        <v>52.83</v>
      </c>
      <c r="N100" s="64">
        <v>21.4</v>
      </c>
      <c r="O100" s="64">
        <v>0</v>
      </c>
      <c r="P100" s="64">
        <v>0.41</v>
      </c>
      <c r="Q100" s="64">
        <v>9.3699999999999992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2546</v>
      </c>
      <c r="B101" s="64">
        <v>1.6</v>
      </c>
      <c r="C101" s="64">
        <v>0.31</v>
      </c>
      <c r="D101" s="64">
        <v>0.72</v>
      </c>
      <c r="E101" s="64">
        <v>0.86</v>
      </c>
      <c r="F101" s="64">
        <v>4.88</v>
      </c>
      <c r="G101" s="64">
        <v>41.11</v>
      </c>
      <c r="H101" s="64">
        <v>21.95</v>
      </c>
      <c r="I101" s="64">
        <v>7.03</v>
      </c>
      <c r="J101" s="64">
        <v>0.78</v>
      </c>
      <c r="K101" s="64">
        <v>159.04</v>
      </c>
      <c r="L101" s="64">
        <v>27.58</v>
      </c>
      <c r="M101" s="64">
        <v>53.52</v>
      </c>
      <c r="N101" s="64">
        <v>21.4</v>
      </c>
      <c r="O101" s="64">
        <v>0</v>
      </c>
      <c r="P101" s="64">
        <v>0.39</v>
      </c>
      <c r="Q101" s="64">
        <v>9.3800000000000008</v>
      </c>
      <c r="R101" s="198"/>
      <c r="S101" s="198"/>
      <c r="T101" s="198"/>
      <c r="U101" s="198"/>
    </row>
    <row r="102" spans="1:33" s="12" customFormat="1" x14ac:dyDescent="0.25">
      <c r="A102" s="216" t="s">
        <v>2547</v>
      </c>
      <c r="B102" s="64">
        <v>1.57</v>
      </c>
      <c r="C102" s="64">
        <v>0.02</v>
      </c>
      <c r="D102" s="64">
        <v>0.41</v>
      </c>
      <c r="E102" s="64">
        <v>0.92</v>
      </c>
      <c r="F102" s="64">
        <v>4.79</v>
      </c>
      <c r="G102" s="64">
        <v>40.619999999999997</v>
      </c>
      <c r="H102" s="64">
        <v>21.75</v>
      </c>
      <c r="I102" s="64">
        <v>6.82</v>
      </c>
      <c r="J102" s="64">
        <v>1.18</v>
      </c>
      <c r="K102" s="64">
        <v>154.74</v>
      </c>
      <c r="L102" s="64">
        <v>27.53</v>
      </c>
      <c r="M102" s="64">
        <v>53.83</v>
      </c>
      <c r="N102" s="64">
        <v>21.3</v>
      </c>
      <c r="O102" s="64">
        <v>0</v>
      </c>
      <c r="P102" s="64">
        <v>0.39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6" t="s">
        <v>2548</v>
      </c>
      <c r="B103" s="64">
        <v>1.84</v>
      </c>
      <c r="C103" s="64">
        <v>1.65</v>
      </c>
      <c r="D103" s="64">
        <v>1.61</v>
      </c>
      <c r="E103" s="64">
        <v>0.73</v>
      </c>
      <c r="F103" s="64">
        <v>4.38</v>
      </c>
      <c r="G103" s="64">
        <v>34.86</v>
      </c>
      <c r="H103" s="64">
        <v>19.32</v>
      </c>
      <c r="I103" s="64">
        <v>6.57</v>
      </c>
      <c r="J103" s="64">
        <v>0.28999999999999998</v>
      </c>
      <c r="K103" s="64">
        <v>170.53</v>
      </c>
      <c r="L103" s="64">
        <v>27.48</v>
      </c>
      <c r="M103" s="64">
        <v>54.04</v>
      </c>
      <c r="N103" s="64">
        <v>21.3</v>
      </c>
      <c r="O103" s="64">
        <v>0</v>
      </c>
      <c r="P103" s="64">
        <v>0.37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6" t="s">
        <v>2549</v>
      </c>
      <c r="B104" s="64">
        <v>1.77</v>
      </c>
      <c r="C104" s="64">
        <v>1.35</v>
      </c>
      <c r="D104" s="64">
        <v>1.39</v>
      </c>
      <c r="E104" s="64">
        <v>1.07</v>
      </c>
      <c r="F104" s="64">
        <v>4.4400000000000004</v>
      </c>
      <c r="G104" s="64">
        <v>34.86</v>
      </c>
      <c r="H104" s="64">
        <v>19.32</v>
      </c>
      <c r="I104" s="64">
        <v>6.45</v>
      </c>
      <c r="J104" s="64">
        <v>0.08</v>
      </c>
      <c r="K104" s="64">
        <v>239.31</v>
      </c>
      <c r="L104" s="64">
        <v>27.44</v>
      </c>
      <c r="M104" s="64">
        <v>54.04</v>
      </c>
      <c r="N104" s="64">
        <v>21.4</v>
      </c>
      <c r="O104" s="64">
        <v>0</v>
      </c>
      <c r="P104" s="64">
        <v>0.37</v>
      </c>
      <c r="Q104" s="64">
        <v>9.48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1.1200000000000001</v>
      </c>
      <c r="C106" s="67">
        <f>MIN(C9:C104)</f>
        <v>0.01</v>
      </c>
      <c r="D106" s="67">
        <f t="shared" ref="D106:Q106" si="0">MIN(D9:D104)</f>
        <v>0.34</v>
      </c>
      <c r="E106" s="67">
        <f t="shared" si="0"/>
        <v>0.1</v>
      </c>
      <c r="F106" s="67">
        <f t="shared" si="0"/>
        <v>2.4900000000000002</v>
      </c>
      <c r="G106" s="67">
        <f t="shared" si="0"/>
        <v>6.69</v>
      </c>
      <c r="H106" s="67">
        <f t="shared" si="0"/>
        <v>1.93</v>
      </c>
      <c r="I106" s="67">
        <f t="shared" si="0"/>
        <v>5.32</v>
      </c>
      <c r="J106" s="67">
        <f t="shared" si="0"/>
        <v>0.04</v>
      </c>
      <c r="K106" s="67">
        <f t="shared" si="0"/>
        <v>16.52</v>
      </c>
      <c r="L106" s="67">
        <f t="shared" si="0"/>
        <v>25.74</v>
      </c>
      <c r="M106" s="67">
        <f t="shared" si="0"/>
        <v>32.08</v>
      </c>
      <c r="N106" s="67">
        <f t="shared" si="0"/>
        <v>18.7</v>
      </c>
      <c r="O106" s="67">
        <f t="shared" si="0"/>
        <v>0</v>
      </c>
      <c r="P106" s="67">
        <f t="shared" si="0"/>
        <v>0.28000000000000003</v>
      </c>
      <c r="Q106" s="67">
        <f t="shared" si="0"/>
        <v>8.6300000000000008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22.83</v>
      </c>
      <c r="C107" s="66">
        <f t="shared" ref="C107:Q107" si="1">MAX(C9:C104)</f>
        <v>19.39</v>
      </c>
      <c r="D107" s="66">
        <f t="shared" si="1"/>
        <v>42.11</v>
      </c>
      <c r="E107" s="66">
        <f t="shared" si="1"/>
        <v>13.52</v>
      </c>
      <c r="F107" s="66">
        <f t="shared" si="1"/>
        <v>49.13</v>
      </c>
      <c r="G107" s="66">
        <f t="shared" si="1"/>
        <v>86.05</v>
      </c>
      <c r="H107" s="66">
        <f t="shared" si="1"/>
        <v>26.8</v>
      </c>
      <c r="I107" s="66">
        <f t="shared" si="1"/>
        <v>13.11</v>
      </c>
      <c r="J107" s="66">
        <f t="shared" si="1"/>
        <v>2.5099999999999998</v>
      </c>
      <c r="K107" s="66">
        <f t="shared" si="1"/>
        <v>359.91</v>
      </c>
      <c r="L107" s="66">
        <f t="shared" si="1"/>
        <v>38.04</v>
      </c>
      <c r="M107" s="66">
        <f t="shared" si="1"/>
        <v>70.61</v>
      </c>
      <c r="N107" s="66">
        <f t="shared" si="1"/>
        <v>866.5</v>
      </c>
      <c r="O107" s="66">
        <f t="shared" si="1"/>
        <v>0</v>
      </c>
      <c r="P107" s="66">
        <f t="shared" si="1"/>
        <v>0.7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2.0217204301075267</v>
      </c>
      <c r="C108" s="67">
        <f t="shared" ref="C108:Q108" si="2">AVERAGE(C9:C104)</f>
        <v>2.5341935483870959</v>
      </c>
      <c r="D108" s="67">
        <f t="shared" si="2"/>
        <v>2.7782795698924723</v>
      </c>
      <c r="E108" s="67">
        <f t="shared" si="2"/>
        <v>1.654408602150538</v>
      </c>
      <c r="F108" s="67">
        <f t="shared" si="2"/>
        <v>6.5518750000000026</v>
      </c>
      <c r="G108" s="67">
        <f t="shared" si="2"/>
        <v>46.566236559139782</v>
      </c>
      <c r="H108" s="67">
        <f t="shared" si="2"/>
        <v>18.076989247311825</v>
      </c>
      <c r="I108" s="67">
        <f t="shared" si="2"/>
        <v>7.5268750000000004</v>
      </c>
      <c r="J108" s="67">
        <f t="shared" si="2"/>
        <v>0.80802083333333341</v>
      </c>
      <c r="K108" s="67">
        <f t="shared" si="2"/>
        <v>186.58125000000004</v>
      </c>
      <c r="L108" s="67">
        <f t="shared" si="2"/>
        <v>31.335312500000001</v>
      </c>
      <c r="M108" s="67">
        <f t="shared" si="2"/>
        <v>50.053437500000008</v>
      </c>
      <c r="N108" s="67">
        <f t="shared" si="2"/>
        <v>248.71041666666667</v>
      </c>
      <c r="O108" s="67">
        <f t="shared" si="2"/>
        <v>0</v>
      </c>
      <c r="P108" s="67">
        <f t="shared" si="2"/>
        <v>0.49520833333333325</v>
      </c>
      <c r="Q108" s="67">
        <f t="shared" si="2"/>
        <v>9.3802083333333321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2.4782030760630782</v>
      </c>
      <c r="C109" s="67">
        <f t="shared" ref="C109:Q109" si="3">STDEV(C9:C104)</f>
        <v>2.2057618828583867</v>
      </c>
      <c r="D109" s="67">
        <f t="shared" si="3"/>
        <v>4.690801735416998</v>
      </c>
      <c r="E109" s="67">
        <f t="shared" si="3"/>
        <v>1.6872994002287065</v>
      </c>
      <c r="F109" s="67">
        <f t="shared" si="3"/>
        <v>6.9538972507281223</v>
      </c>
      <c r="G109" s="67">
        <f t="shared" si="3"/>
        <v>16.228159497693021</v>
      </c>
      <c r="H109" s="67">
        <f t="shared" si="3"/>
        <v>6.9687641261227462</v>
      </c>
      <c r="I109" s="67">
        <f t="shared" si="3"/>
        <v>1.4722809460868931</v>
      </c>
      <c r="J109" s="67">
        <f t="shared" si="3"/>
        <v>0.62893999344204321</v>
      </c>
      <c r="K109" s="67">
        <f t="shared" si="3"/>
        <v>101.91345327492851</v>
      </c>
      <c r="L109" s="67">
        <f t="shared" si="3"/>
        <v>3.7971817674428232</v>
      </c>
      <c r="M109" s="67">
        <f t="shared" si="3"/>
        <v>10.904755102645893</v>
      </c>
      <c r="N109" s="67">
        <f t="shared" si="3"/>
        <v>303.54974186298978</v>
      </c>
      <c r="O109" s="67">
        <f t="shared" si="3"/>
        <v>0</v>
      </c>
      <c r="P109" s="67">
        <f t="shared" si="3"/>
        <v>0.1138510491981026</v>
      </c>
      <c r="Q109" s="67">
        <f t="shared" si="3"/>
        <v>0.1467183421724243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COUNT(E9:E104)+3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2550</v>
      </c>
      <c r="B9" s="64">
        <v>1.61</v>
      </c>
      <c r="C9" s="64">
        <v>0.15</v>
      </c>
      <c r="D9" s="64">
        <v>0.6</v>
      </c>
      <c r="E9" s="64">
        <v>1.0900000000000001</v>
      </c>
      <c r="F9" s="64">
        <v>4.3899999999999997</v>
      </c>
      <c r="G9" s="64">
        <v>34.86</v>
      </c>
      <c r="H9" s="64">
        <v>19.32</v>
      </c>
      <c r="I9" s="64">
        <v>6.36</v>
      </c>
      <c r="J9" s="64">
        <v>0.16</v>
      </c>
      <c r="K9" s="64">
        <v>352.96</v>
      </c>
      <c r="L9" s="64">
        <v>27.32</v>
      </c>
      <c r="M9" s="64">
        <v>54.83</v>
      </c>
      <c r="N9" s="64">
        <v>21.4</v>
      </c>
      <c r="O9" s="64">
        <v>0</v>
      </c>
      <c r="P9" s="64">
        <v>0.36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6" t="s">
        <v>2551</v>
      </c>
      <c r="B10" s="64">
        <v>1.8</v>
      </c>
      <c r="C10" s="64">
        <v>1.0900000000000001</v>
      </c>
      <c r="D10" s="64">
        <v>1.29</v>
      </c>
      <c r="E10" s="64">
        <v>1.22</v>
      </c>
      <c r="F10" s="64">
        <v>4.29</v>
      </c>
      <c r="G10" s="64">
        <v>34.51</v>
      </c>
      <c r="H10" s="64">
        <v>19.28</v>
      </c>
      <c r="I10" s="64">
        <v>5.99</v>
      </c>
      <c r="J10" s="64">
        <v>0.26</v>
      </c>
      <c r="K10" s="64">
        <v>349.82</v>
      </c>
      <c r="L10" s="64">
        <v>26.93</v>
      </c>
      <c r="M10" s="64">
        <v>61.24</v>
      </c>
      <c r="N10" s="64">
        <v>21.6</v>
      </c>
      <c r="O10" s="64">
        <v>0</v>
      </c>
      <c r="P10" s="64">
        <v>0.36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16" t="s">
        <v>2552</v>
      </c>
      <c r="B11" s="64">
        <v>1.65</v>
      </c>
      <c r="C11" s="64">
        <v>0.27</v>
      </c>
      <c r="D11" s="64">
        <v>0.74</v>
      </c>
      <c r="E11" s="64">
        <v>1.0900000000000001</v>
      </c>
      <c r="F11" s="64">
        <v>4.07</v>
      </c>
      <c r="G11" s="64">
        <v>30.31</v>
      </c>
      <c r="H11" s="64">
        <v>18.8</v>
      </c>
      <c r="I11" s="64">
        <v>5.64</v>
      </c>
      <c r="J11" s="64">
        <v>0.36</v>
      </c>
      <c r="K11" s="64">
        <v>334.05</v>
      </c>
      <c r="L11" s="64">
        <v>26.68</v>
      </c>
      <c r="M11" s="64">
        <v>60.68</v>
      </c>
      <c r="N11" s="64">
        <v>21.3</v>
      </c>
      <c r="O11" s="64">
        <v>0</v>
      </c>
      <c r="P11" s="64">
        <v>0.35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6" t="s">
        <v>2553</v>
      </c>
      <c r="B12" s="64">
        <v>1.7</v>
      </c>
      <c r="C12" s="64">
        <v>0.37</v>
      </c>
      <c r="D12" s="64">
        <v>0.77</v>
      </c>
      <c r="E12" s="64">
        <v>1.38</v>
      </c>
      <c r="F12" s="64">
        <v>4.6399999999999997</v>
      </c>
      <c r="G12" s="64">
        <v>30.31</v>
      </c>
      <c r="H12" s="64">
        <v>18.8</v>
      </c>
      <c r="I12" s="64">
        <v>5.48</v>
      </c>
      <c r="J12" s="64">
        <v>0.24</v>
      </c>
      <c r="K12" s="64">
        <v>88.87</v>
      </c>
      <c r="L12" s="64">
        <v>26.73</v>
      </c>
      <c r="M12" s="64">
        <v>58.24</v>
      </c>
      <c r="N12" s="64">
        <v>21.1</v>
      </c>
      <c r="O12" s="64">
        <v>0</v>
      </c>
      <c r="P12" s="64">
        <v>0.35</v>
      </c>
      <c r="Q12" s="64">
        <v>9.4499999999999993</v>
      </c>
      <c r="R12" s="198"/>
      <c r="S12" s="198"/>
      <c r="T12" s="198"/>
      <c r="U12" s="198"/>
    </row>
    <row r="13" spans="1:21" s="12" customFormat="1" x14ac:dyDescent="0.25">
      <c r="A13" s="216" t="s">
        <v>2554</v>
      </c>
      <c r="B13" s="64">
        <v>1.83</v>
      </c>
      <c r="C13" s="64">
        <v>1.25</v>
      </c>
      <c r="D13" s="64">
        <v>1.39</v>
      </c>
      <c r="E13" s="64">
        <v>1.1599999999999999</v>
      </c>
      <c r="F13" s="64">
        <v>4.8600000000000003</v>
      </c>
      <c r="G13" s="64">
        <v>30.31</v>
      </c>
      <c r="H13" s="64">
        <v>18.8</v>
      </c>
      <c r="I13" s="64">
        <v>5.01</v>
      </c>
      <c r="J13" s="64">
        <v>0.09</v>
      </c>
      <c r="K13" s="64">
        <v>32.799999999999997</v>
      </c>
      <c r="L13" s="64">
        <v>26.88</v>
      </c>
      <c r="M13" s="64">
        <v>61.17</v>
      </c>
      <c r="N13" s="64">
        <v>21.3</v>
      </c>
      <c r="O13" s="64">
        <v>0</v>
      </c>
      <c r="P13" s="64">
        <v>0.33</v>
      </c>
      <c r="Q13" s="64">
        <v>9.4499999999999993</v>
      </c>
      <c r="R13" s="198"/>
      <c r="S13" s="198"/>
      <c r="T13" s="198"/>
      <c r="U13" s="198"/>
    </row>
    <row r="14" spans="1:21" s="12" customFormat="1" x14ac:dyDescent="0.25">
      <c r="A14" s="216" t="s">
        <v>2555</v>
      </c>
      <c r="B14" s="64">
        <v>1.76</v>
      </c>
      <c r="C14" s="64">
        <v>1.27</v>
      </c>
      <c r="D14" s="64">
        <v>1.35</v>
      </c>
      <c r="E14" s="64">
        <v>1.62</v>
      </c>
      <c r="F14" s="64">
        <v>4.12</v>
      </c>
      <c r="G14" s="64">
        <v>30.39</v>
      </c>
      <c r="H14" s="64">
        <v>18.57</v>
      </c>
      <c r="I14" s="64">
        <v>5.35</v>
      </c>
      <c r="J14" s="64">
        <v>7.0000000000000007E-2</v>
      </c>
      <c r="K14" s="64">
        <v>19.100000000000001</v>
      </c>
      <c r="L14" s="64">
        <v>26.63</v>
      </c>
      <c r="M14" s="64">
        <v>60.11</v>
      </c>
      <c r="N14" s="64">
        <v>21.1</v>
      </c>
      <c r="O14" s="64">
        <v>0</v>
      </c>
      <c r="P14" s="64">
        <v>0.35</v>
      </c>
      <c r="Q14" s="64">
        <v>9.3800000000000008</v>
      </c>
      <c r="R14" s="198"/>
      <c r="S14" s="198"/>
      <c r="T14" s="198"/>
      <c r="U14" s="198"/>
    </row>
    <row r="15" spans="1:21" s="12" customFormat="1" x14ac:dyDescent="0.25">
      <c r="A15" s="216" t="s">
        <v>2556</v>
      </c>
      <c r="B15" s="64">
        <v>1.62</v>
      </c>
      <c r="C15" s="64">
        <v>0.37</v>
      </c>
      <c r="D15" s="64">
        <v>0.76</v>
      </c>
      <c r="E15" s="64">
        <v>1.6</v>
      </c>
      <c r="F15" s="64">
        <v>3.66</v>
      </c>
      <c r="G15" s="64">
        <v>31.24</v>
      </c>
      <c r="H15" s="64">
        <v>15.91</v>
      </c>
      <c r="I15" s="64">
        <v>6.07</v>
      </c>
      <c r="J15" s="64">
        <v>0.08</v>
      </c>
      <c r="K15" s="64">
        <v>347.44</v>
      </c>
      <c r="L15" s="64">
        <v>26.95</v>
      </c>
      <c r="M15" s="64">
        <v>59.78</v>
      </c>
      <c r="N15" s="64">
        <v>21</v>
      </c>
      <c r="O15" s="64">
        <v>0</v>
      </c>
      <c r="P15" s="64">
        <v>0.35</v>
      </c>
      <c r="Q15" s="64">
        <v>9.2799999999999994</v>
      </c>
      <c r="R15" s="198"/>
      <c r="S15" s="198"/>
      <c r="T15" s="198"/>
      <c r="U15" s="198"/>
    </row>
    <row r="16" spans="1:21" s="12" customFormat="1" x14ac:dyDescent="0.25">
      <c r="A16" s="216" t="s">
        <v>2557</v>
      </c>
      <c r="B16" s="64">
        <v>1.78</v>
      </c>
      <c r="C16" s="64">
        <v>1.42</v>
      </c>
      <c r="D16" s="64">
        <v>1.44</v>
      </c>
      <c r="E16" s="64">
        <v>1.42</v>
      </c>
      <c r="F16" s="64">
        <v>3.45</v>
      </c>
      <c r="G16" s="64">
        <v>31.24</v>
      </c>
      <c r="H16" s="64">
        <v>15.91</v>
      </c>
      <c r="I16" s="64">
        <v>5.88</v>
      </c>
      <c r="J16" s="64">
        <v>0.85</v>
      </c>
      <c r="K16" s="64">
        <v>93.98</v>
      </c>
      <c r="L16" s="64">
        <v>27.49</v>
      </c>
      <c r="M16" s="64">
        <v>53.45</v>
      </c>
      <c r="N16" s="64">
        <v>20</v>
      </c>
      <c r="O16" s="64">
        <v>0</v>
      </c>
      <c r="P16" s="64">
        <v>0.35</v>
      </c>
      <c r="Q16" s="64">
        <v>9.2200000000000006</v>
      </c>
      <c r="R16" s="198"/>
      <c r="S16" s="198"/>
      <c r="T16" s="198"/>
      <c r="U16" s="198"/>
    </row>
    <row r="17" spans="1:21" s="12" customFormat="1" x14ac:dyDescent="0.25">
      <c r="A17" s="216" t="s">
        <v>2558</v>
      </c>
      <c r="B17" s="64">
        <v>1.64</v>
      </c>
      <c r="C17" s="64">
        <v>0.56999999999999995</v>
      </c>
      <c r="D17" s="64">
        <v>0.89</v>
      </c>
      <c r="E17" s="64">
        <v>1.27</v>
      </c>
      <c r="F17" s="64">
        <v>4.26</v>
      </c>
      <c r="G17" s="64">
        <v>31.24</v>
      </c>
      <c r="H17" s="64">
        <v>15.91</v>
      </c>
      <c r="I17" s="64">
        <v>5.63</v>
      </c>
      <c r="J17" s="64">
        <v>0.16</v>
      </c>
      <c r="K17" s="64">
        <v>345</v>
      </c>
      <c r="L17" s="64">
        <v>27.41</v>
      </c>
      <c r="M17" s="64">
        <v>57.16</v>
      </c>
      <c r="N17" s="64">
        <v>21.6</v>
      </c>
      <c r="O17" s="64">
        <v>0</v>
      </c>
      <c r="P17" s="64">
        <v>0.33</v>
      </c>
      <c r="Q17" s="64">
        <v>9.2200000000000006</v>
      </c>
      <c r="R17" s="198"/>
      <c r="S17" s="198"/>
      <c r="T17" s="198"/>
      <c r="U17" s="198"/>
    </row>
    <row r="18" spans="1:21" s="12" customFormat="1" x14ac:dyDescent="0.25">
      <c r="A18" s="216" t="s">
        <v>2559</v>
      </c>
      <c r="B18" s="64">
        <v>1.83</v>
      </c>
      <c r="C18" s="64">
        <v>1.65</v>
      </c>
      <c r="D18" s="64">
        <v>1.6</v>
      </c>
      <c r="E18" s="64">
        <v>1.33</v>
      </c>
      <c r="F18" s="64">
        <v>4.47</v>
      </c>
      <c r="G18" s="64">
        <v>31.13</v>
      </c>
      <c r="H18" s="64">
        <v>15.83</v>
      </c>
      <c r="I18" s="64">
        <v>5.82</v>
      </c>
      <c r="J18" s="64">
        <v>0.2</v>
      </c>
      <c r="K18" s="64">
        <v>283.16000000000003</v>
      </c>
      <c r="L18" s="64">
        <v>26.88</v>
      </c>
      <c r="M18" s="64">
        <v>63.24</v>
      </c>
      <c r="N18" s="64">
        <v>21.6</v>
      </c>
      <c r="O18" s="64">
        <v>0</v>
      </c>
      <c r="P18" s="64">
        <v>0.33</v>
      </c>
      <c r="Q18" s="64">
        <v>9.2899999999999991</v>
      </c>
      <c r="R18" s="198"/>
      <c r="S18" s="198"/>
      <c r="T18" s="198"/>
      <c r="U18" s="198"/>
    </row>
    <row r="19" spans="1:21" s="12" customFormat="1" x14ac:dyDescent="0.25">
      <c r="A19" s="216" t="s">
        <v>2560</v>
      </c>
      <c r="B19" s="64">
        <v>1.61</v>
      </c>
      <c r="C19" s="64">
        <v>0.31</v>
      </c>
      <c r="D19" s="64">
        <v>0.71</v>
      </c>
      <c r="E19" s="64">
        <v>1.25</v>
      </c>
      <c r="F19" s="64">
        <v>4.25</v>
      </c>
      <c r="G19" s="64">
        <v>29.79</v>
      </c>
      <c r="H19" s="64">
        <v>15</v>
      </c>
      <c r="I19" s="64">
        <v>6.04</v>
      </c>
      <c r="J19" s="64">
        <v>0.12</v>
      </c>
      <c r="K19" s="64">
        <v>73.319999999999993</v>
      </c>
      <c r="L19" s="64">
        <v>26.64</v>
      </c>
      <c r="M19" s="64">
        <v>62.72</v>
      </c>
      <c r="N19" s="64">
        <v>21.4</v>
      </c>
      <c r="O19" s="64">
        <v>0</v>
      </c>
      <c r="P19" s="64">
        <v>0.33</v>
      </c>
      <c r="Q19" s="64">
        <v>9.3000000000000007</v>
      </c>
      <c r="R19" s="198"/>
      <c r="S19" s="198"/>
      <c r="T19" s="198"/>
      <c r="U19" s="198"/>
    </row>
    <row r="20" spans="1:21" s="12" customFormat="1" x14ac:dyDescent="0.25">
      <c r="A20" s="216" t="s">
        <v>2561</v>
      </c>
      <c r="B20" s="64">
        <v>1.79</v>
      </c>
      <c r="C20" s="64">
        <v>1.22</v>
      </c>
      <c r="D20" s="64">
        <v>1.34</v>
      </c>
      <c r="E20" s="64">
        <v>1.22</v>
      </c>
      <c r="F20" s="64">
        <v>3.97</v>
      </c>
      <c r="G20" s="64">
        <v>29.79</v>
      </c>
      <c r="H20" s="64">
        <v>15</v>
      </c>
      <c r="I20" s="64">
        <v>5.69</v>
      </c>
      <c r="J20" s="64">
        <v>0.1</v>
      </c>
      <c r="K20" s="64">
        <v>242.52</v>
      </c>
      <c r="L20" s="64">
        <v>26.74</v>
      </c>
      <c r="M20" s="64">
        <v>62.86</v>
      </c>
      <c r="N20" s="64">
        <v>21.2</v>
      </c>
      <c r="O20" s="64">
        <v>0</v>
      </c>
      <c r="P20" s="64">
        <v>0.32</v>
      </c>
      <c r="Q20" s="64">
        <v>9.31</v>
      </c>
      <c r="R20" s="198"/>
      <c r="S20" s="198"/>
      <c r="T20" s="198"/>
      <c r="U20" s="198"/>
    </row>
    <row r="21" spans="1:21" s="12" customFormat="1" x14ac:dyDescent="0.25">
      <c r="A21" s="216" t="s">
        <v>2562</v>
      </c>
      <c r="B21" s="64">
        <v>1.88</v>
      </c>
      <c r="C21" s="64">
        <v>1.77</v>
      </c>
      <c r="D21" s="64">
        <v>1.7</v>
      </c>
      <c r="E21" s="64">
        <v>1.31</v>
      </c>
      <c r="F21" s="64">
        <v>4.1100000000000003</v>
      </c>
      <c r="G21" s="64">
        <v>29.79</v>
      </c>
      <c r="H21" s="64">
        <v>15</v>
      </c>
      <c r="I21" s="64">
        <v>5.59</v>
      </c>
      <c r="J21" s="64">
        <v>0.11</v>
      </c>
      <c r="K21" s="64">
        <v>72.41</v>
      </c>
      <c r="L21" s="64">
        <v>26.67</v>
      </c>
      <c r="M21" s="64">
        <v>63.31</v>
      </c>
      <c r="N21" s="64">
        <v>21.3</v>
      </c>
      <c r="O21" s="64">
        <v>0</v>
      </c>
      <c r="P21" s="64">
        <v>0.32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16" t="s">
        <v>2563</v>
      </c>
      <c r="B22" s="64">
        <v>1.82</v>
      </c>
      <c r="C22" s="64">
        <v>1.37</v>
      </c>
      <c r="D22" s="64">
        <v>1.45</v>
      </c>
      <c r="E22" s="64">
        <v>1.25</v>
      </c>
      <c r="F22" s="64">
        <v>4.21</v>
      </c>
      <c r="G22" s="64">
        <v>30.06</v>
      </c>
      <c r="H22" s="64">
        <v>14.98</v>
      </c>
      <c r="I22" s="64">
        <v>5.37</v>
      </c>
      <c r="J22" s="64">
        <v>0.2</v>
      </c>
      <c r="K22" s="64">
        <v>325.66000000000003</v>
      </c>
      <c r="L22" s="64">
        <v>26.23</v>
      </c>
      <c r="M22" s="64">
        <v>69.819999999999993</v>
      </c>
      <c r="N22" s="64">
        <v>21.5</v>
      </c>
      <c r="O22" s="64">
        <v>0</v>
      </c>
      <c r="P22" s="64">
        <v>0.32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16" t="s">
        <v>2564</v>
      </c>
      <c r="B23" s="64">
        <v>1.77</v>
      </c>
      <c r="C23" s="64">
        <v>0.99</v>
      </c>
      <c r="D23" s="64">
        <v>1.21</v>
      </c>
      <c r="E23" s="64">
        <v>1.08</v>
      </c>
      <c r="F23" s="64">
        <v>3.74</v>
      </c>
      <c r="G23" s="64">
        <v>33.29</v>
      </c>
      <c r="H23" s="64">
        <v>14.8</v>
      </c>
      <c r="I23" s="64">
        <v>5.13</v>
      </c>
      <c r="J23" s="64">
        <v>0.18</v>
      </c>
      <c r="K23" s="64">
        <v>289.54000000000002</v>
      </c>
      <c r="L23" s="64">
        <v>25.85</v>
      </c>
      <c r="M23" s="64">
        <v>71.33</v>
      </c>
      <c r="N23" s="64">
        <v>21.4</v>
      </c>
      <c r="O23" s="64">
        <v>0</v>
      </c>
      <c r="P23" s="64">
        <v>0.32</v>
      </c>
      <c r="Q23" s="64">
        <v>9.3000000000000007</v>
      </c>
      <c r="R23" s="198"/>
      <c r="S23" s="198"/>
      <c r="T23" s="198"/>
      <c r="U23" s="198"/>
    </row>
    <row r="24" spans="1:21" s="12" customFormat="1" x14ac:dyDescent="0.25">
      <c r="A24" s="216" t="s">
        <v>2565</v>
      </c>
      <c r="B24" s="64">
        <v>1.7</v>
      </c>
      <c r="C24" s="64">
        <v>0.5</v>
      </c>
      <c r="D24" s="64">
        <v>0.89</v>
      </c>
      <c r="E24" s="64">
        <v>2.75</v>
      </c>
      <c r="F24" s="64">
        <v>3.57</v>
      </c>
      <c r="G24" s="64">
        <v>33.29</v>
      </c>
      <c r="H24" s="64">
        <v>14.8</v>
      </c>
      <c r="I24" s="64">
        <v>5.04</v>
      </c>
      <c r="J24" s="64">
        <v>0.21</v>
      </c>
      <c r="K24" s="64">
        <v>290.62</v>
      </c>
      <c r="L24" s="64">
        <v>26</v>
      </c>
      <c r="M24" s="64">
        <v>69.58</v>
      </c>
      <c r="N24" s="64">
        <v>21.2</v>
      </c>
      <c r="O24" s="64">
        <v>0</v>
      </c>
      <c r="P24" s="64">
        <v>0.32</v>
      </c>
      <c r="Q24" s="64">
        <v>9.33</v>
      </c>
      <c r="R24" s="198"/>
      <c r="S24" s="198"/>
      <c r="T24" s="198"/>
      <c r="U24" s="198"/>
    </row>
    <row r="25" spans="1:21" s="12" customFormat="1" x14ac:dyDescent="0.25">
      <c r="A25" s="216" t="s">
        <v>2566</v>
      </c>
      <c r="B25" s="64">
        <v>1.9</v>
      </c>
      <c r="C25" s="64">
        <v>1.48</v>
      </c>
      <c r="D25" s="64">
        <v>1.57</v>
      </c>
      <c r="E25" s="64">
        <v>1.46</v>
      </c>
      <c r="F25" s="64">
        <v>3.4</v>
      </c>
      <c r="G25" s="64">
        <v>33.29</v>
      </c>
      <c r="H25" s="64">
        <v>14.8</v>
      </c>
      <c r="I25" s="64">
        <v>4.97</v>
      </c>
      <c r="J25" s="64">
        <v>0.08</v>
      </c>
      <c r="K25" s="64">
        <v>154.13</v>
      </c>
      <c r="L25" s="64">
        <v>25.83</v>
      </c>
      <c r="M25" s="64">
        <v>72.34</v>
      </c>
      <c r="N25" s="64">
        <v>21.3</v>
      </c>
      <c r="O25" s="64">
        <v>0</v>
      </c>
      <c r="P25" s="64">
        <v>0.33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6" t="s">
        <v>2567</v>
      </c>
      <c r="B26" s="64">
        <v>1.9</v>
      </c>
      <c r="C26" s="64">
        <v>1.41</v>
      </c>
      <c r="D26" s="64">
        <v>1.53</v>
      </c>
      <c r="E26" s="64">
        <v>1.74</v>
      </c>
      <c r="F26" s="64">
        <v>3.36</v>
      </c>
      <c r="G26" s="64">
        <v>33.76</v>
      </c>
      <c r="H26" s="64">
        <v>14.71</v>
      </c>
      <c r="I26" s="64">
        <v>4.96</v>
      </c>
      <c r="J26" s="64">
        <v>0.21</v>
      </c>
      <c r="K26" s="64">
        <v>179.71</v>
      </c>
      <c r="L26" s="64">
        <v>26.1</v>
      </c>
      <c r="M26" s="64">
        <v>67.739999999999995</v>
      </c>
      <c r="N26" s="64">
        <v>20.8</v>
      </c>
      <c r="O26" s="64">
        <v>0</v>
      </c>
      <c r="P26" s="64">
        <v>0.32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6" t="s">
        <v>2568</v>
      </c>
      <c r="B27" s="64">
        <v>1.76</v>
      </c>
      <c r="C27" s="64">
        <v>0.5</v>
      </c>
      <c r="D27" s="64">
        <v>0.94</v>
      </c>
      <c r="E27" s="64">
        <v>1.88</v>
      </c>
      <c r="F27" s="64">
        <v>3.41</v>
      </c>
      <c r="G27" s="64">
        <v>39.409999999999997</v>
      </c>
      <c r="H27" s="64">
        <v>13.54</v>
      </c>
      <c r="I27" s="64">
        <v>4.96</v>
      </c>
      <c r="J27" s="64">
        <v>0.13</v>
      </c>
      <c r="K27" s="64">
        <v>292.25</v>
      </c>
      <c r="L27" s="64">
        <v>25.99</v>
      </c>
      <c r="M27" s="64">
        <v>71.569999999999993</v>
      </c>
      <c r="N27" s="64">
        <v>21.5</v>
      </c>
      <c r="O27" s="64">
        <v>0</v>
      </c>
      <c r="P27" s="64">
        <v>0.34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6" t="s">
        <v>2569</v>
      </c>
      <c r="B28" s="64">
        <v>1.87</v>
      </c>
      <c r="C28" s="64">
        <v>0.89</v>
      </c>
      <c r="D28" s="64">
        <v>1.24</v>
      </c>
      <c r="E28" s="64">
        <v>1.61</v>
      </c>
      <c r="F28" s="64">
        <v>3.36</v>
      </c>
      <c r="G28" s="64">
        <v>39.409999999999997</v>
      </c>
      <c r="H28" s="64">
        <v>13.54</v>
      </c>
      <c r="I28" s="64">
        <v>5.09</v>
      </c>
      <c r="J28" s="64">
        <v>0.34</v>
      </c>
      <c r="K28" s="64">
        <v>82.24</v>
      </c>
      <c r="L28" s="64">
        <v>26.15</v>
      </c>
      <c r="M28" s="64">
        <v>69.099999999999994</v>
      </c>
      <c r="N28" s="64">
        <v>20.9</v>
      </c>
      <c r="O28" s="64">
        <v>0</v>
      </c>
      <c r="P28" s="64">
        <v>0.33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16" t="s">
        <v>2570</v>
      </c>
      <c r="B29" s="64">
        <v>1.99</v>
      </c>
      <c r="C29" s="64">
        <v>1.54</v>
      </c>
      <c r="D29" s="64">
        <v>1.67</v>
      </c>
      <c r="E29" s="64">
        <v>1.68</v>
      </c>
      <c r="F29" s="64">
        <v>3.77</v>
      </c>
      <c r="G29" s="64">
        <v>39.409999999999997</v>
      </c>
      <c r="H29" s="64">
        <v>13.54</v>
      </c>
      <c r="I29" s="64">
        <v>5.15</v>
      </c>
      <c r="J29" s="64">
        <v>0.17</v>
      </c>
      <c r="K29" s="64">
        <v>62.14</v>
      </c>
      <c r="L29" s="64">
        <v>26.54</v>
      </c>
      <c r="M29" s="64">
        <v>67.05</v>
      </c>
      <c r="N29" s="64">
        <v>22.2</v>
      </c>
      <c r="O29" s="64">
        <v>0</v>
      </c>
      <c r="P29" s="64">
        <v>0.32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6" t="s">
        <v>2571</v>
      </c>
      <c r="B30" s="64">
        <v>2</v>
      </c>
      <c r="C30" s="64">
        <v>1.57</v>
      </c>
      <c r="D30" s="64">
        <v>1.7</v>
      </c>
      <c r="E30" s="64">
        <v>1.9</v>
      </c>
      <c r="F30" s="64">
        <v>3.71</v>
      </c>
      <c r="G30" s="64">
        <v>39.299999999999997</v>
      </c>
      <c r="H30" s="64">
        <v>13.7</v>
      </c>
      <c r="I30" s="64">
        <v>4.7699999999999996</v>
      </c>
      <c r="J30" s="64">
        <v>0.21</v>
      </c>
      <c r="K30" s="64">
        <v>79.66</v>
      </c>
      <c r="L30" s="64">
        <v>26.41</v>
      </c>
      <c r="M30" s="64">
        <v>67.349999999999994</v>
      </c>
      <c r="N30" s="64">
        <v>28.2</v>
      </c>
      <c r="O30" s="64">
        <v>0</v>
      </c>
      <c r="P30" s="64">
        <v>0.33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6" t="s">
        <v>2572</v>
      </c>
      <c r="B31" s="64">
        <v>1.71</v>
      </c>
      <c r="C31" s="64">
        <v>0.38</v>
      </c>
      <c r="D31" s="64">
        <v>0.83</v>
      </c>
      <c r="E31" s="64">
        <v>1.83</v>
      </c>
      <c r="F31" s="64">
        <v>3.64</v>
      </c>
      <c r="G31" s="64">
        <v>37.99</v>
      </c>
      <c r="H31" s="64">
        <v>15.64</v>
      </c>
      <c r="I31" s="64">
        <v>4.57</v>
      </c>
      <c r="J31" s="64">
        <v>0.59</v>
      </c>
      <c r="K31" s="64">
        <v>96.59</v>
      </c>
      <c r="L31" s="64">
        <v>26.68</v>
      </c>
      <c r="M31" s="64">
        <v>66.41</v>
      </c>
      <c r="N31" s="64">
        <v>39.799999999999997</v>
      </c>
      <c r="O31" s="64">
        <v>0</v>
      </c>
      <c r="P31" s="64">
        <v>0.33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6" t="s">
        <v>2573</v>
      </c>
      <c r="B32" s="64">
        <v>1.82</v>
      </c>
      <c r="C32" s="64">
        <v>0.82</v>
      </c>
      <c r="D32" s="64">
        <v>1.1200000000000001</v>
      </c>
      <c r="E32" s="64">
        <v>1.96</v>
      </c>
      <c r="F32" s="64">
        <v>3.93</v>
      </c>
      <c r="G32" s="64">
        <v>37.99</v>
      </c>
      <c r="H32" s="64">
        <v>15.64</v>
      </c>
      <c r="I32" s="64">
        <v>5.04</v>
      </c>
      <c r="J32" s="64">
        <v>0.67</v>
      </c>
      <c r="K32" s="64">
        <v>97.33</v>
      </c>
      <c r="L32" s="64">
        <v>26.65</v>
      </c>
      <c r="M32" s="64">
        <v>66.56</v>
      </c>
      <c r="N32" s="64">
        <v>64.5</v>
      </c>
      <c r="O32" s="64">
        <v>0</v>
      </c>
      <c r="P32" s="64">
        <v>0.33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6" t="s">
        <v>2574</v>
      </c>
      <c r="B33" s="64">
        <v>1.93</v>
      </c>
      <c r="C33" s="64">
        <v>1.35</v>
      </c>
      <c r="D33" s="64">
        <v>1.53</v>
      </c>
      <c r="E33" s="64">
        <v>2.11</v>
      </c>
      <c r="F33" s="64">
        <v>3.75</v>
      </c>
      <c r="G33" s="64">
        <v>37.99</v>
      </c>
      <c r="H33" s="64">
        <v>15.64</v>
      </c>
      <c r="I33" s="64">
        <v>6.02</v>
      </c>
      <c r="J33" s="64">
        <v>0.21</v>
      </c>
      <c r="K33" s="64">
        <v>40.97</v>
      </c>
      <c r="L33" s="64">
        <v>27.13</v>
      </c>
      <c r="M33" s="64">
        <v>66.88</v>
      </c>
      <c r="N33" s="64">
        <v>94.2</v>
      </c>
      <c r="O33" s="64">
        <v>0</v>
      </c>
      <c r="P33" s="64">
        <v>0.33</v>
      </c>
      <c r="Q33" s="64">
        <v>9.35</v>
      </c>
      <c r="R33" s="198"/>
      <c r="S33" s="198"/>
      <c r="T33" s="198"/>
      <c r="U33" s="198"/>
    </row>
    <row r="34" spans="1:21" s="12" customFormat="1" x14ac:dyDescent="0.25">
      <c r="A34" s="216" t="s">
        <v>2575</v>
      </c>
      <c r="B34" s="64">
        <v>1.97</v>
      </c>
      <c r="C34" s="64">
        <v>1.58</v>
      </c>
      <c r="D34" s="64">
        <v>1.68</v>
      </c>
      <c r="E34" s="64">
        <v>1.83</v>
      </c>
      <c r="F34" s="64">
        <v>3.65</v>
      </c>
      <c r="G34" s="64">
        <v>38.130000000000003</v>
      </c>
      <c r="H34" s="64">
        <v>15.58</v>
      </c>
      <c r="I34" s="64">
        <v>6.56</v>
      </c>
      <c r="J34" s="64">
        <v>0.66</v>
      </c>
      <c r="K34" s="64">
        <v>106.56</v>
      </c>
      <c r="L34" s="64">
        <v>27.26</v>
      </c>
      <c r="M34" s="64">
        <v>66.02</v>
      </c>
      <c r="N34" s="64">
        <v>128</v>
      </c>
      <c r="O34" s="64">
        <v>0</v>
      </c>
      <c r="P34" s="64">
        <v>0.34</v>
      </c>
      <c r="Q34" s="64">
        <v>9.35</v>
      </c>
      <c r="R34" s="198"/>
      <c r="S34" s="198"/>
      <c r="T34" s="198"/>
      <c r="U34" s="198"/>
    </row>
    <row r="35" spans="1:21" s="12" customFormat="1" x14ac:dyDescent="0.25">
      <c r="A35" s="216" t="s">
        <v>2576</v>
      </c>
      <c r="B35" s="64">
        <v>2.06</v>
      </c>
      <c r="C35" s="64">
        <v>2.11</v>
      </c>
      <c r="D35" s="64">
        <v>2.02</v>
      </c>
      <c r="E35" s="64">
        <v>2.38</v>
      </c>
      <c r="F35" s="64">
        <v>3.39</v>
      </c>
      <c r="G35" s="64">
        <v>39.869999999999997</v>
      </c>
      <c r="H35" s="64">
        <v>14.86</v>
      </c>
      <c r="I35" s="64">
        <v>6.63</v>
      </c>
      <c r="J35" s="64">
        <v>0.42</v>
      </c>
      <c r="K35" s="64">
        <v>91.71</v>
      </c>
      <c r="L35" s="64">
        <v>27.73</v>
      </c>
      <c r="M35" s="64">
        <v>63.92</v>
      </c>
      <c r="N35" s="64">
        <v>171.5</v>
      </c>
      <c r="O35" s="64">
        <v>0</v>
      </c>
      <c r="P35" s="64">
        <v>0.34</v>
      </c>
      <c r="Q35" s="64">
        <v>9.26</v>
      </c>
      <c r="R35" s="198"/>
      <c r="S35" s="198"/>
      <c r="T35" s="198"/>
      <c r="U35" s="198"/>
    </row>
    <row r="36" spans="1:21" s="12" customFormat="1" x14ac:dyDescent="0.25">
      <c r="A36" s="216" t="s">
        <v>2577</v>
      </c>
      <c r="B36" s="64">
        <v>2.11</v>
      </c>
      <c r="C36" s="64">
        <v>2.31</v>
      </c>
      <c r="D36" s="64">
        <v>2.17</v>
      </c>
      <c r="E36" s="64">
        <v>2.19</v>
      </c>
      <c r="F36" s="64">
        <v>3.88</v>
      </c>
      <c r="G36" s="64">
        <v>39.869999999999997</v>
      </c>
      <c r="H36" s="64">
        <v>14.86</v>
      </c>
      <c r="I36" s="64">
        <v>6.72</v>
      </c>
      <c r="J36" s="64">
        <v>0.7</v>
      </c>
      <c r="K36" s="64">
        <v>99.87</v>
      </c>
      <c r="L36" s="64">
        <v>28.45</v>
      </c>
      <c r="M36" s="64">
        <v>61.89</v>
      </c>
      <c r="N36" s="64">
        <v>219.2</v>
      </c>
      <c r="O36" s="64">
        <v>0</v>
      </c>
      <c r="P36" s="64">
        <v>0.35</v>
      </c>
      <c r="Q36" s="64">
        <v>9.16</v>
      </c>
      <c r="R36" s="198"/>
      <c r="S36" s="198"/>
      <c r="T36" s="198"/>
      <c r="U36" s="198"/>
    </row>
    <row r="37" spans="1:21" s="12" customFormat="1" x14ac:dyDescent="0.25">
      <c r="A37" s="216" t="s">
        <v>2578</v>
      </c>
      <c r="B37" s="64">
        <v>1.9</v>
      </c>
      <c r="C37" s="64">
        <v>1.43</v>
      </c>
      <c r="D37" s="64">
        <v>1.54</v>
      </c>
      <c r="E37" s="64">
        <v>2.0499999999999998</v>
      </c>
      <c r="F37" s="64">
        <v>5.21</v>
      </c>
      <c r="G37" s="64">
        <v>39.869999999999997</v>
      </c>
      <c r="H37" s="64">
        <v>14.86</v>
      </c>
      <c r="I37" s="64">
        <v>6.76</v>
      </c>
      <c r="J37" s="64">
        <v>0.88</v>
      </c>
      <c r="K37" s="64">
        <v>101.79</v>
      </c>
      <c r="L37" s="64">
        <v>28.61</v>
      </c>
      <c r="M37" s="64">
        <v>62.29</v>
      </c>
      <c r="N37" s="64">
        <v>269</v>
      </c>
      <c r="O37" s="64">
        <v>0</v>
      </c>
      <c r="P37" s="64">
        <v>0.38</v>
      </c>
      <c r="Q37" s="64">
        <v>9.14</v>
      </c>
      <c r="R37" s="198"/>
      <c r="S37" s="198"/>
      <c r="T37" s="198"/>
      <c r="U37" s="198"/>
    </row>
    <row r="38" spans="1:21" s="12" customFormat="1" x14ac:dyDescent="0.25">
      <c r="A38" s="216" t="s">
        <v>2579</v>
      </c>
      <c r="B38" s="64">
        <v>1.89</v>
      </c>
      <c r="C38" s="64">
        <v>1.54</v>
      </c>
      <c r="D38" s="64">
        <v>1.59</v>
      </c>
      <c r="E38" s="64">
        <v>2.16</v>
      </c>
      <c r="F38" s="64">
        <v>2.2999999999999998</v>
      </c>
      <c r="G38" s="64">
        <v>39.83</v>
      </c>
      <c r="H38" s="64">
        <v>14.79</v>
      </c>
      <c r="I38" s="64">
        <v>6.69</v>
      </c>
      <c r="J38" s="64">
        <v>0.82</v>
      </c>
      <c r="K38" s="64">
        <v>93.55</v>
      </c>
      <c r="L38" s="64">
        <v>28.59</v>
      </c>
      <c r="M38" s="64">
        <v>61.39</v>
      </c>
      <c r="N38" s="64">
        <v>310.5</v>
      </c>
      <c r="O38" s="64">
        <v>0</v>
      </c>
      <c r="P38" s="64">
        <v>0.4</v>
      </c>
      <c r="Q38" s="64">
        <v>9.06</v>
      </c>
      <c r="R38" s="198"/>
      <c r="S38" s="198"/>
      <c r="T38" s="198"/>
      <c r="U38" s="198"/>
    </row>
    <row r="39" spans="1:21" s="12" customFormat="1" x14ac:dyDescent="0.25">
      <c r="A39" s="216" t="s">
        <v>2580</v>
      </c>
      <c r="B39" s="64">
        <v>1.92</v>
      </c>
      <c r="C39" s="64">
        <v>1.45</v>
      </c>
      <c r="D39" s="64">
        <v>1.57</v>
      </c>
      <c r="E39" s="64">
        <v>2.12</v>
      </c>
      <c r="F39" s="64">
        <v>3.3</v>
      </c>
      <c r="G39" s="64">
        <v>39.270000000000003</v>
      </c>
      <c r="H39" s="64">
        <v>13.86</v>
      </c>
      <c r="I39" s="64">
        <v>6.81</v>
      </c>
      <c r="J39" s="64">
        <v>0.9</v>
      </c>
      <c r="K39" s="64">
        <v>92.4</v>
      </c>
      <c r="L39" s="64">
        <v>28.96</v>
      </c>
      <c r="M39" s="64">
        <v>60.87</v>
      </c>
      <c r="N39" s="64">
        <v>380</v>
      </c>
      <c r="O39" s="64">
        <v>0</v>
      </c>
      <c r="P39" s="64">
        <v>0.39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6" t="s">
        <v>2581</v>
      </c>
      <c r="B40" s="64">
        <v>1.98</v>
      </c>
      <c r="C40" s="64">
        <v>1.66</v>
      </c>
      <c r="D40" s="64">
        <v>1.72</v>
      </c>
      <c r="E40" s="64">
        <v>0.57999999999999996</v>
      </c>
      <c r="F40" s="64">
        <v>3.97</v>
      </c>
      <c r="G40" s="64">
        <v>39.270000000000003</v>
      </c>
      <c r="H40" s="64">
        <v>13.86</v>
      </c>
      <c r="I40" s="64">
        <v>7.08</v>
      </c>
      <c r="J40" s="64">
        <v>0.63</v>
      </c>
      <c r="K40" s="64">
        <v>120.79</v>
      </c>
      <c r="L40" s="64">
        <v>29.82</v>
      </c>
      <c r="M40" s="64">
        <v>59.18</v>
      </c>
      <c r="N40" s="64">
        <v>429.7</v>
      </c>
      <c r="O40" s="64">
        <v>0</v>
      </c>
      <c r="P40" s="64">
        <v>0.38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6" t="s">
        <v>2582</v>
      </c>
      <c r="B41" s="64">
        <v>2.0499999999999998</v>
      </c>
      <c r="C41" s="64">
        <v>2.2000000000000002</v>
      </c>
      <c r="D41" s="64">
        <v>2.0699999999999998</v>
      </c>
      <c r="E41" s="64">
        <v>0.94</v>
      </c>
      <c r="F41" s="64">
        <v>3.91</v>
      </c>
      <c r="G41" s="64">
        <v>39.270000000000003</v>
      </c>
      <c r="H41" s="64">
        <v>13.86</v>
      </c>
      <c r="I41" s="64">
        <v>7.25</v>
      </c>
      <c r="J41" s="64">
        <v>0.8</v>
      </c>
      <c r="K41" s="64">
        <v>110.38</v>
      </c>
      <c r="L41" s="64">
        <v>30.1</v>
      </c>
      <c r="M41" s="64">
        <v>58.84</v>
      </c>
      <c r="N41" s="64">
        <v>452.5</v>
      </c>
      <c r="O41" s="64">
        <v>0</v>
      </c>
      <c r="P41" s="64">
        <v>0.38</v>
      </c>
      <c r="Q41" s="64">
        <v>9.2100000000000009</v>
      </c>
      <c r="R41" s="198"/>
      <c r="S41" s="198"/>
      <c r="T41" s="198"/>
      <c r="U41" s="198"/>
    </row>
    <row r="42" spans="1:21" s="12" customFormat="1" x14ac:dyDescent="0.25">
      <c r="A42" s="216" t="s">
        <v>2583</v>
      </c>
      <c r="B42" s="64">
        <v>1.87</v>
      </c>
      <c r="C42" s="64">
        <v>1.24</v>
      </c>
      <c r="D42" s="64">
        <v>1.41</v>
      </c>
      <c r="E42" s="64">
        <v>1.06</v>
      </c>
      <c r="F42" s="64">
        <v>3.69</v>
      </c>
      <c r="G42" s="64">
        <v>38.82</v>
      </c>
      <c r="H42" s="64">
        <v>13.55</v>
      </c>
      <c r="I42" s="64">
        <v>7.31</v>
      </c>
      <c r="J42" s="64">
        <v>0.43</v>
      </c>
      <c r="K42" s="64">
        <v>122.71</v>
      </c>
      <c r="L42" s="64">
        <v>30.84</v>
      </c>
      <c r="M42" s="64">
        <v>56</v>
      </c>
      <c r="N42" s="64">
        <v>486.3</v>
      </c>
      <c r="O42" s="64">
        <v>0</v>
      </c>
      <c r="P42" s="64">
        <v>0.36</v>
      </c>
      <c r="Q42" s="64">
        <v>9.23</v>
      </c>
      <c r="R42" s="198"/>
      <c r="S42" s="198"/>
      <c r="T42" s="198"/>
      <c r="U42" s="198"/>
    </row>
    <row r="43" spans="1:21" s="12" customFormat="1" x14ac:dyDescent="0.25">
      <c r="A43" s="216" t="s">
        <v>2584</v>
      </c>
      <c r="B43" s="64">
        <v>1.96</v>
      </c>
      <c r="C43" s="64">
        <v>1.69</v>
      </c>
      <c r="D43" s="64">
        <v>1.72</v>
      </c>
      <c r="E43" s="64">
        <v>0.99</v>
      </c>
      <c r="F43" s="64">
        <v>3.94</v>
      </c>
      <c r="G43" s="64">
        <v>33.43</v>
      </c>
      <c r="H43" s="64">
        <v>9.91</v>
      </c>
      <c r="I43" s="64">
        <v>7.06</v>
      </c>
      <c r="J43" s="64">
        <v>0.3</v>
      </c>
      <c r="K43" s="64">
        <v>130.68</v>
      </c>
      <c r="L43" s="64">
        <v>30.4</v>
      </c>
      <c r="M43" s="64">
        <v>59.09</v>
      </c>
      <c r="N43" s="64">
        <v>422.3</v>
      </c>
      <c r="O43" s="64">
        <v>0</v>
      </c>
      <c r="P43" s="64">
        <v>0.35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6" t="s">
        <v>2585</v>
      </c>
      <c r="B44" s="64">
        <v>1.75</v>
      </c>
      <c r="C44" s="64">
        <v>0.55000000000000004</v>
      </c>
      <c r="D44" s="64">
        <v>0.96</v>
      </c>
      <c r="E44" s="64">
        <v>1.0900000000000001</v>
      </c>
      <c r="F44" s="64">
        <v>4.0599999999999996</v>
      </c>
      <c r="G44" s="64">
        <v>33.43</v>
      </c>
      <c r="H44" s="64">
        <v>9.91</v>
      </c>
      <c r="I44" s="64">
        <v>7.26</v>
      </c>
      <c r="J44" s="64">
        <v>0.64</v>
      </c>
      <c r="K44" s="64">
        <v>112.14</v>
      </c>
      <c r="L44" s="64">
        <v>30.11</v>
      </c>
      <c r="M44" s="64">
        <v>60.49</v>
      </c>
      <c r="N44" s="64">
        <v>470.9</v>
      </c>
      <c r="O44" s="64">
        <v>0</v>
      </c>
      <c r="P44" s="64">
        <v>0.35</v>
      </c>
      <c r="Q44" s="64">
        <v>9.31</v>
      </c>
      <c r="R44" s="198"/>
      <c r="S44" s="198"/>
      <c r="T44" s="198"/>
      <c r="U44" s="198"/>
    </row>
    <row r="45" spans="1:21" s="12" customFormat="1" x14ac:dyDescent="0.25">
      <c r="A45" s="216" t="s">
        <v>2586</v>
      </c>
      <c r="B45" s="64">
        <v>1.86</v>
      </c>
      <c r="C45" s="64">
        <v>1.02</v>
      </c>
      <c r="D45" s="64">
        <v>1.3</v>
      </c>
      <c r="E45" s="64">
        <v>0.89</v>
      </c>
      <c r="F45" s="64">
        <v>3.91</v>
      </c>
      <c r="G45" s="64">
        <v>33.43</v>
      </c>
      <c r="H45" s="64">
        <v>9.91</v>
      </c>
      <c r="I45" s="64">
        <v>7.57</v>
      </c>
      <c r="J45" s="64">
        <v>0.3</v>
      </c>
      <c r="K45" s="64">
        <v>340.49</v>
      </c>
      <c r="L45" s="64">
        <v>30.64</v>
      </c>
      <c r="M45" s="64">
        <v>61.69</v>
      </c>
      <c r="N45" s="64">
        <v>529.5</v>
      </c>
      <c r="O45" s="64">
        <v>0</v>
      </c>
      <c r="P45" s="64">
        <v>0.34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6" t="s">
        <v>2587</v>
      </c>
      <c r="B46" s="64">
        <v>1.75</v>
      </c>
      <c r="C46" s="64">
        <v>0.5</v>
      </c>
      <c r="D46" s="64">
        <v>0.93</v>
      </c>
      <c r="E46" s="64">
        <v>0.86</v>
      </c>
      <c r="F46" s="64">
        <v>4</v>
      </c>
      <c r="G46" s="64">
        <v>33.18</v>
      </c>
      <c r="H46" s="64">
        <v>9.82</v>
      </c>
      <c r="I46" s="64">
        <v>7.86</v>
      </c>
      <c r="J46" s="64">
        <v>0.61</v>
      </c>
      <c r="K46" s="64">
        <v>100.48</v>
      </c>
      <c r="L46" s="64">
        <v>30.69</v>
      </c>
      <c r="M46" s="64">
        <v>59.43</v>
      </c>
      <c r="N46" s="64">
        <v>664.3</v>
      </c>
      <c r="O46" s="64">
        <v>0</v>
      </c>
      <c r="P46" s="64">
        <v>0.34</v>
      </c>
      <c r="Q46" s="64">
        <v>9.34</v>
      </c>
      <c r="R46" s="198"/>
      <c r="S46" s="198"/>
      <c r="T46" s="198"/>
      <c r="U46" s="198"/>
    </row>
    <row r="47" spans="1:21" s="12" customFormat="1" x14ac:dyDescent="0.25">
      <c r="A47" s="216" t="s">
        <v>2588</v>
      </c>
      <c r="B47" s="64">
        <v>1.79</v>
      </c>
      <c r="C47" s="64">
        <v>0.73</v>
      </c>
      <c r="D47" s="64">
        <v>1.07</v>
      </c>
      <c r="E47" s="64">
        <v>0.83</v>
      </c>
      <c r="F47" s="64">
        <v>4.05</v>
      </c>
      <c r="G47" s="64">
        <v>30.16</v>
      </c>
      <c r="H47" s="64">
        <v>8.77</v>
      </c>
      <c r="I47" s="64">
        <v>8.1300000000000008</v>
      </c>
      <c r="J47" s="64">
        <v>0.3</v>
      </c>
      <c r="K47" s="64">
        <v>96.21</v>
      </c>
      <c r="L47" s="64">
        <v>31.17</v>
      </c>
      <c r="M47" s="64">
        <v>57.89</v>
      </c>
      <c r="N47" s="64">
        <v>643.79999999999995</v>
      </c>
      <c r="O47" s="64">
        <v>0</v>
      </c>
      <c r="P47" s="64">
        <v>0.33</v>
      </c>
      <c r="Q47" s="64">
        <v>9.33</v>
      </c>
      <c r="R47" s="198"/>
      <c r="S47" s="198"/>
      <c r="T47" s="198"/>
      <c r="U47" s="198"/>
    </row>
    <row r="48" spans="1:21" s="12" customFormat="1" x14ac:dyDescent="0.25">
      <c r="A48" s="216" t="s">
        <v>2589</v>
      </c>
      <c r="B48" s="64">
        <v>1.87</v>
      </c>
      <c r="C48" s="64">
        <v>1.24</v>
      </c>
      <c r="D48" s="64">
        <v>1.42</v>
      </c>
      <c r="E48" s="64">
        <v>0.64</v>
      </c>
      <c r="F48" s="64">
        <v>3.8</v>
      </c>
      <c r="G48" s="64">
        <v>30.16</v>
      </c>
      <c r="H48" s="64">
        <v>8.77</v>
      </c>
      <c r="I48" s="64">
        <v>8.39</v>
      </c>
      <c r="J48" s="64">
        <v>0.23</v>
      </c>
      <c r="K48" s="64">
        <v>77.22</v>
      </c>
      <c r="L48" s="64">
        <v>31.84</v>
      </c>
      <c r="M48" s="64">
        <v>56.81</v>
      </c>
      <c r="N48" s="64">
        <v>771.6</v>
      </c>
      <c r="O48" s="64">
        <v>0</v>
      </c>
      <c r="P48" s="64">
        <v>0.33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6" t="s">
        <v>2590</v>
      </c>
      <c r="B49" s="64">
        <v>1.69</v>
      </c>
      <c r="C49" s="64">
        <v>0.42</v>
      </c>
      <c r="D49" s="64">
        <v>0.84</v>
      </c>
      <c r="E49" s="64">
        <v>0.5</v>
      </c>
      <c r="F49" s="64">
        <v>4.1100000000000003</v>
      </c>
      <c r="G49" s="64">
        <v>30.16</v>
      </c>
      <c r="H49" s="64">
        <v>8.77</v>
      </c>
      <c r="I49" s="64">
        <v>8.59</v>
      </c>
      <c r="J49" s="64">
        <v>0.22</v>
      </c>
      <c r="K49" s="64">
        <v>61.96</v>
      </c>
      <c r="L49" s="64">
        <v>32.17</v>
      </c>
      <c r="M49" s="64">
        <v>54.68</v>
      </c>
      <c r="N49" s="64">
        <v>650.9</v>
      </c>
      <c r="O49" s="64">
        <v>0</v>
      </c>
      <c r="P49" s="64">
        <v>0.34</v>
      </c>
      <c r="Q49" s="64">
        <v>9.35</v>
      </c>
      <c r="R49" s="198"/>
      <c r="S49" s="198"/>
      <c r="T49" s="198"/>
      <c r="U49" s="198"/>
    </row>
    <row r="50" spans="1:21" s="12" customFormat="1" x14ac:dyDescent="0.25">
      <c r="A50" s="216" t="s">
        <v>2591</v>
      </c>
      <c r="B50" s="64">
        <v>1.73</v>
      </c>
      <c r="C50" s="64">
        <v>0.57999999999999996</v>
      </c>
      <c r="D50" s="64">
        <v>0.95</v>
      </c>
      <c r="E50" s="64">
        <v>0.8</v>
      </c>
      <c r="F50" s="64">
        <v>4.3</v>
      </c>
      <c r="G50" s="64">
        <v>29.92</v>
      </c>
      <c r="H50" s="64">
        <v>8.76</v>
      </c>
      <c r="I50" s="64">
        <v>8.69</v>
      </c>
      <c r="J50" s="64">
        <v>0.81</v>
      </c>
      <c r="K50" s="64">
        <v>89.36</v>
      </c>
      <c r="L50" s="64">
        <v>32.99</v>
      </c>
      <c r="M50" s="64">
        <v>49.17</v>
      </c>
      <c r="N50" s="64">
        <v>782.2</v>
      </c>
      <c r="O50" s="64">
        <v>0</v>
      </c>
      <c r="P50" s="64">
        <v>0.34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16" t="s">
        <v>2592</v>
      </c>
      <c r="B51" s="64">
        <v>1.68</v>
      </c>
      <c r="C51" s="64">
        <v>0.38</v>
      </c>
      <c r="D51" s="64">
        <v>0.82</v>
      </c>
      <c r="E51" s="64">
        <v>1.18</v>
      </c>
      <c r="F51" s="64">
        <v>4.24</v>
      </c>
      <c r="G51" s="64">
        <v>27.1</v>
      </c>
      <c r="H51" s="64">
        <v>8.7200000000000006</v>
      </c>
      <c r="I51" s="64">
        <v>8.81</v>
      </c>
      <c r="J51" s="64">
        <v>0.46</v>
      </c>
      <c r="K51" s="64">
        <v>57.22</v>
      </c>
      <c r="L51" s="64">
        <v>33.08</v>
      </c>
      <c r="M51" s="64">
        <v>48.5</v>
      </c>
      <c r="N51" s="64">
        <v>689.4</v>
      </c>
      <c r="O51" s="64">
        <v>0</v>
      </c>
      <c r="P51" s="64">
        <v>0.34</v>
      </c>
      <c r="Q51" s="64">
        <v>9.33</v>
      </c>
      <c r="R51" s="198"/>
      <c r="S51" s="198"/>
      <c r="T51" s="198"/>
      <c r="U51" s="198"/>
    </row>
    <row r="52" spans="1:21" s="12" customFormat="1" x14ac:dyDescent="0.25">
      <c r="A52" s="216" t="s">
        <v>2593</v>
      </c>
      <c r="B52" s="64">
        <v>1.74</v>
      </c>
      <c r="C52" s="64">
        <v>0.79</v>
      </c>
      <c r="D52" s="64">
        <v>1.0900000000000001</v>
      </c>
      <c r="E52" s="64">
        <v>0.96</v>
      </c>
      <c r="F52" s="64">
        <v>4.9000000000000004</v>
      </c>
      <c r="G52" s="64">
        <v>27.1</v>
      </c>
      <c r="H52" s="64">
        <v>8.7200000000000006</v>
      </c>
      <c r="I52" s="64">
        <v>8.7899999999999991</v>
      </c>
      <c r="J52" s="64">
        <v>0.56000000000000005</v>
      </c>
      <c r="K52" s="64">
        <v>75.06</v>
      </c>
      <c r="L52" s="64">
        <v>34.130000000000003</v>
      </c>
      <c r="M52" s="64">
        <v>45.14</v>
      </c>
      <c r="N52" s="64">
        <v>857.4</v>
      </c>
      <c r="O52" s="64">
        <v>0</v>
      </c>
      <c r="P52" s="64">
        <v>0.34</v>
      </c>
      <c r="Q52" s="64">
        <v>9.2899999999999991</v>
      </c>
      <c r="R52" s="198"/>
      <c r="S52" s="198"/>
      <c r="T52" s="198"/>
      <c r="U52" s="198"/>
    </row>
    <row r="53" spans="1:21" s="12" customFormat="1" x14ac:dyDescent="0.25">
      <c r="A53" s="216" t="s">
        <v>2594</v>
      </c>
      <c r="B53" s="64">
        <v>1.6</v>
      </c>
      <c r="C53" s="64">
        <v>0.22</v>
      </c>
      <c r="D53" s="64">
        <v>0.64</v>
      </c>
      <c r="E53" s="64">
        <v>0.99</v>
      </c>
      <c r="F53" s="64">
        <v>4.7</v>
      </c>
      <c r="G53" s="64">
        <v>27.1</v>
      </c>
      <c r="H53" s="64">
        <v>8.7200000000000006</v>
      </c>
      <c r="I53" s="64">
        <v>8.6199999999999992</v>
      </c>
      <c r="J53" s="64">
        <v>0.62</v>
      </c>
      <c r="K53" s="64">
        <v>90.63</v>
      </c>
      <c r="L53" s="64">
        <v>35.11</v>
      </c>
      <c r="M53" s="64">
        <v>41.84</v>
      </c>
      <c r="N53" s="64">
        <v>856.3</v>
      </c>
      <c r="O53" s="64">
        <v>0</v>
      </c>
      <c r="P53" s="64">
        <v>0.36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6" t="s">
        <v>2595</v>
      </c>
      <c r="B54" s="64">
        <v>1.5</v>
      </c>
      <c r="C54" s="64">
        <v>0</v>
      </c>
      <c r="D54" s="64">
        <v>0.33</v>
      </c>
      <c r="E54" s="64">
        <v>1.28</v>
      </c>
      <c r="F54" s="64">
        <v>4</v>
      </c>
      <c r="G54" s="64">
        <v>27.33</v>
      </c>
      <c r="H54" s="64">
        <v>8.9700000000000006</v>
      </c>
      <c r="I54" s="64">
        <v>8.4600000000000009</v>
      </c>
      <c r="J54" s="64">
        <v>0.23</v>
      </c>
      <c r="K54" s="64">
        <v>53.94</v>
      </c>
      <c r="L54" s="64">
        <v>35.14</v>
      </c>
      <c r="M54" s="64">
        <v>41.33</v>
      </c>
      <c r="N54" s="64">
        <v>873.2</v>
      </c>
      <c r="O54" s="64">
        <v>0</v>
      </c>
      <c r="P54" s="64">
        <v>0.36</v>
      </c>
      <c r="Q54" s="64">
        <v>9.25</v>
      </c>
      <c r="R54" s="198"/>
      <c r="S54" s="198"/>
      <c r="T54" s="198"/>
      <c r="U54" s="198"/>
    </row>
    <row r="55" spans="1:21" s="12" customFormat="1" x14ac:dyDescent="0.25">
      <c r="A55" s="216" t="s">
        <v>2596</v>
      </c>
      <c r="B55" s="64">
        <v>1.83</v>
      </c>
      <c r="C55" s="64">
        <v>1.78</v>
      </c>
      <c r="D55" s="64">
        <v>1.67</v>
      </c>
      <c r="E55" s="64">
        <v>1.07</v>
      </c>
      <c r="F55" s="64">
        <v>4.3499999999999996</v>
      </c>
      <c r="G55" s="64">
        <v>30.02</v>
      </c>
      <c r="H55" s="64">
        <v>11.87</v>
      </c>
      <c r="I55" s="64">
        <v>8.32</v>
      </c>
      <c r="J55" s="64">
        <v>0.21</v>
      </c>
      <c r="K55" s="64">
        <v>54.93</v>
      </c>
      <c r="L55" s="64">
        <v>35.020000000000003</v>
      </c>
      <c r="M55" s="64">
        <v>40.33</v>
      </c>
      <c r="N55" s="64">
        <v>678.2</v>
      </c>
      <c r="O55" s="64">
        <v>0</v>
      </c>
      <c r="P55" s="64">
        <v>0.36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16" t="s">
        <v>2597</v>
      </c>
      <c r="B56" s="64">
        <v>1.89</v>
      </c>
      <c r="C56" s="64">
        <v>2.36</v>
      </c>
      <c r="D56" s="64">
        <v>2.02</v>
      </c>
      <c r="E56" s="64">
        <v>2.09</v>
      </c>
      <c r="F56" s="64">
        <v>5.22</v>
      </c>
      <c r="G56" s="64">
        <v>30.02</v>
      </c>
      <c r="H56" s="64">
        <v>11.87</v>
      </c>
      <c r="I56" s="64">
        <v>8.16</v>
      </c>
      <c r="J56" s="64">
        <v>0.39</v>
      </c>
      <c r="K56" s="64">
        <v>0.55000000000000004</v>
      </c>
      <c r="L56" s="64">
        <v>35.950000000000003</v>
      </c>
      <c r="M56" s="64">
        <v>38.950000000000003</v>
      </c>
      <c r="N56" s="64">
        <v>782</v>
      </c>
      <c r="O56" s="64">
        <v>0</v>
      </c>
      <c r="P56" s="64">
        <v>0.36</v>
      </c>
      <c r="Q56" s="64">
        <v>9.19</v>
      </c>
      <c r="R56" s="198"/>
      <c r="S56" s="198"/>
      <c r="T56" s="198"/>
      <c r="U56" s="198"/>
    </row>
    <row r="57" spans="1:21" s="12" customFormat="1" x14ac:dyDescent="0.25">
      <c r="A57" s="216" t="s">
        <v>2598</v>
      </c>
      <c r="B57" s="64">
        <v>1.9</v>
      </c>
      <c r="C57" s="64">
        <v>2.62</v>
      </c>
      <c r="D57" s="64">
        <v>2.16</v>
      </c>
      <c r="E57" s="64">
        <v>1.98</v>
      </c>
      <c r="F57" s="64">
        <v>5.25</v>
      </c>
      <c r="G57" s="64">
        <v>30.02</v>
      </c>
      <c r="H57" s="64">
        <v>11.87</v>
      </c>
      <c r="I57" s="64">
        <v>7.99</v>
      </c>
      <c r="J57" s="64">
        <v>1.1000000000000001</v>
      </c>
      <c r="K57" s="64">
        <v>105.4</v>
      </c>
      <c r="L57" s="64">
        <v>34.97</v>
      </c>
      <c r="M57" s="64">
        <v>41.84</v>
      </c>
      <c r="N57" s="64">
        <v>722.4</v>
      </c>
      <c r="O57" s="64">
        <v>0</v>
      </c>
      <c r="P57" s="64">
        <v>0.36</v>
      </c>
      <c r="Q57" s="64">
        <v>9.2200000000000006</v>
      </c>
      <c r="R57" s="198"/>
      <c r="S57" s="198"/>
      <c r="T57" s="198"/>
      <c r="U57" s="198"/>
    </row>
    <row r="58" spans="1:21" s="12" customFormat="1" x14ac:dyDescent="0.25">
      <c r="A58" s="216" t="s">
        <v>2599</v>
      </c>
      <c r="B58" s="64">
        <v>1.89</v>
      </c>
      <c r="C58" s="64">
        <v>2.79</v>
      </c>
      <c r="D58" s="64">
        <v>2.25</v>
      </c>
      <c r="E58" s="64">
        <v>1.96</v>
      </c>
      <c r="F58" s="64">
        <v>5.37</v>
      </c>
      <c r="G58" s="64">
        <v>29.99</v>
      </c>
      <c r="H58" s="64">
        <v>11.87</v>
      </c>
      <c r="I58" s="64">
        <v>7.77</v>
      </c>
      <c r="J58" s="64">
        <v>0.8</v>
      </c>
      <c r="K58" s="64">
        <v>121.2</v>
      </c>
      <c r="L58" s="64">
        <v>34.19</v>
      </c>
      <c r="M58" s="64">
        <v>41.52</v>
      </c>
      <c r="N58" s="64">
        <v>819.2</v>
      </c>
      <c r="O58" s="64">
        <v>0</v>
      </c>
      <c r="P58" s="64">
        <v>0.35</v>
      </c>
      <c r="Q58" s="64">
        <v>9.23</v>
      </c>
      <c r="R58" s="198"/>
      <c r="S58" s="198"/>
      <c r="T58" s="198"/>
      <c r="U58" s="198"/>
    </row>
    <row r="59" spans="1:21" s="12" customFormat="1" x14ac:dyDescent="0.25">
      <c r="A59" s="216" t="s">
        <v>2600</v>
      </c>
      <c r="B59" s="64">
        <v>1.86</v>
      </c>
      <c r="C59" s="64">
        <v>2.67</v>
      </c>
      <c r="D59" s="64">
        <v>2.16</v>
      </c>
      <c r="E59" s="64">
        <v>2.06</v>
      </c>
      <c r="F59" s="64">
        <v>5.28</v>
      </c>
      <c r="G59" s="64">
        <v>29.63</v>
      </c>
      <c r="H59" s="64">
        <v>11.77</v>
      </c>
      <c r="I59" s="64">
        <v>7.9</v>
      </c>
      <c r="J59" s="64">
        <v>1.57</v>
      </c>
      <c r="K59" s="64">
        <v>101.07</v>
      </c>
      <c r="L59" s="64">
        <v>34.04</v>
      </c>
      <c r="M59" s="64">
        <v>42.15</v>
      </c>
      <c r="N59" s="64">
        <v>659.6</v>
      </c>
      <c r="O59" s="64">
        <v>0</v>
      </c>
      <c r="P59" s="64">
        <v>0.34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16" t="s">
        <v>2601</v>
      </c>
      <c r="B60" s="64">
        <v>1.77</v>
      </c>
      <c r="C60" s="64">
        <v>1.91</v>
      </c>
      <c r="D60" s="64">
        <v>1.69</v>
      </c>
      <c r="E60" s="64">
        <v>2.2400000000000002</v>
      </c>
      <c r="F60" s="64">
        <v>5.25</v>
      </c>
      <c r="G60" s="64">
        <v>29.63</v>
      </c>
      <c r="H60" s="64">
        <v>11.77</v>
      </c>
      <c r="I60" s="64">
        <v>8.07</v>
      </c>
      <c r="J60" s="64">
        <v>0.67</v>
      </c>
      <c r="K60" s="64">
        <v>146.12</v>
      </c>
      <c r="L60" s="64">
        <v>34.46</v>
      </c>
      <c r="M60" s="64">
        <v>40.11</v>
      </c>
      <c r="N60" s="64">
        <v>762.6</v>
      </c>
      <c r="O60" s="64">
        <v>0</v>
      </c>
      <c r="P60" s="64">
        <v>0.34</v>
      </c>
      <c r="Q60" s="64">
        <v>9.1999999999999993</v>
      </c>
      <c r="R60" s="198"/>
      <c r="S60" s="198"/>
      <c r="T60" s="198"/>
      <c r="U60" s="198"/>
    </row>
    <row r="61" spans="1:21" s="12" customFormat="1" x14ac:dyDescent="0.25">
      <c r="A61" s="216" t="s">
        <v>2602</v>
      </c>
      <c r="B61" s="64">
        <v>1.9</v>
      </c>
      <c r="C61" s="64">
        <v>3.01</v>
      </c>
      <c r="D61" s="64">
        <v>2.37</v>
      </c>
      <c r="E61" s="64">
        <v>1.86</v>
      </c>
      <c r="F61" s="64">
        <v>5.26</v>
      </c>
      <c r="G61" s="64">
        <v>29.63</v>
      </c>
      <c r="H61" s="64">
        <v>11.77</v>
      </c>
      <c r="I61" s="64">
        <v>8.2799999999999994</v>
      </c>
      <c r="J61" s="64">
        <v>0.54</v>
      </c>
      <c r="K61" s="64">
        <v>111.52</v>
      </c>
      <c r="L61" s="64">
        <v>35.340000000000003</v>
      </c>
      <c r="M61" s="64">
        <v>38.47</v>
      </c>
      <c r="N61" s="64">
        <v>818.6</v>
      </c>
      <c r="O61" s="64">
        <v>0</v>
      </c>
      <c r="P61" s="64">
        <v>0.32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6" t="s">
        <v>2603</v>
      </c>
      <c r="B62" s="64">
        <v>1.87</v>
      </c>
      <c r="C62" s="64">
        <v>2.52</v>
      </c>
      <c r="D62" s="64">
        <v>2.09</v>
      </c>
      <c r="E62" s="64">
        <v>1.75</v>
      </c>
      <c r="F62" s="64">
        <v>5.01</v>
      </c>
      <c r="G62" s="64">
        <v>29.49</v>
      </c>
      <c r="H62" s="64">
        <v>11.79</v>
      </c>
      <c r="I62" s="64">
        <v>8.39</v>
      </c>
      <c r="J62" s="64">
        <v>0.79</v>
      </c>
      <c r="K62" s="64">
        <v>98</v>
      </c>
      <c r="L62" s="64">
        <v>35.14</v>
      </c>
      <c r="M62" s="64">
        <v>39.21</v>
      </c>
      <c r="N62" s="64">
        <v>679.8</v>
      </c>
      <c r="O62" s="64">
        <v>0</v>
      </c>
      <c r="P62" s="64">
        <v>0.33</v>
      </c>
      <c r="Q62" s="64">
        <v>9.23</v>
      </c>
      <c r="R62" s="198"/>
      <c r="S62" s="198"/>
      <c r="T62" s="198"/>
      <c r="U62" s="198"/>
    </row>
    <row r="63" spans="1:21" s="12" customFormat="1" x14ac:dyDescent="0.25">
      <c r="A63" s="216" t="s">
        <v>2604</v>
      </c>
      <c r="B63" s="64">
        <v>1.93</v>
      </c>
      <c r="C63" s="64">
        <v>3.03</v>
      </c>
      <c r="D63" s="64">
        <v>2.4</v>
      </c>
      <c r="E63" s="64">
        <v>1.64</v>
      </c>
      <c r="F63" s="64">
        <v>5.0999999999999996</v>
      </c>
      <c r="G63" s="64">
        <v>27.85</v>
      </c>
      <c r="H63" s="64">
        <v>12.08</v>
      </c>
      <c r="I63" s="64">
        <v>8.25</v>
      </c>
      <c r="J63" s="64">
        <v>0.56000000000000005</v>
      </c>
      <c r="K63" s="64">
        <v>127.43</v>
      </c>
      <c r="L63" s="64">
        <v>34.86</v>
      </c>
      <c r="M63" s="64">
        <v>38.479999999999997</v>
      </c>
      <c r="N63" s="64">
        <v>634.9</v>
      </c>
      <c r="O63" s="64">
        <v>0</v>
      </c>
      <c r="P63" s="64">
        <v>0.32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16" t="s">
        <v>2605</v>
      </c>
      <c r="B64" s="64">
        <v>1.86</v>
      </c>
      <c r="C64" s="64">
        <v>2.4</v>
      </c>
      <c r="D64" s="64">
        <v>2.02</v>
      </c>
      <c r="E64" s="64">
        <v>2.14</v>
      </c>
      <c r="F64" s="64">
        <v>5.69</v>
      </c>
      <c r="G64" s="64">
        <v>27.85</v>
      </c>
      <c r="H64" s="64">
        <v>12.08</v>
      </c>
      <c r="I64" s="64">
        <v>8.5</v>
      </c>
      <c r="J64" s="64">
        <v>0.38</v>
      </c>
      <c r="K64" s="64">
        <v>132</v>
      </c>
      <c r="L64" s="64">
        <v>35.090000000000003</v>
      </c>
      <c r="M64" s="64">
        <v>38.130000000000003</v>
      </c>
      <c r="N64" s="64">
        <v>714.9</v>
      </c>
      <c r="O64" s="64">
        <v>0</v>
      </c>
      <c r="P64" s="64">
        <v>0.32</v>
      </c>
      <c r="Q64" s="64">
        <v>9.26</v>
      </c>
      <c r="R64" s="198"/>
      <c r="S64" s="198"/>
      <c r="T64" s="198"/>
      <c r="U64" s="198"/>
    </row>
    <row r="65" spans="1:21" s="12" customFormat="1" x14ac:dyDescent="0.25">
      <c r="A65" s="216" t="s">
        <v>2606</v>
      </c>
      <c r="B65" s="64">
        <v>1.77</v>
      </c>
      <c r="C65" s="64">
        <v>1.4</v>
      </c>
      <c r="D65" s="64">
        <v>1.43</v>
      </c>
      <c r="E65" s="64">
        <v>2.16</v>
      </c>
      <c r="F65" s="64">
        <v>5.03</v>
      </c>
      <c r="G65" s="64">
        <v>27.85</v>
      </c>
      <c r="H65" s="64">
        <v>12.08</v>
      </c>
      <c r="I65" s="64">
        <v>8.69</v>
      </c>
      <c r="J65" s="64">
        <v>0.28000000000000003</v>
      </c>
      <c r="K65" s="64">
        <v>92.52</v>
      </c>
      <c r="L65" s="64">
        <v>36.19</v>
      </c>
      <c r="M65" s="64">
        <v>36.15</v>
      </c>
      <c r="N65" s="64">
        <v>470.3</v>
      </c>
      <c r="O65" s="64">
        <v>0</v>
      </c>
      <c r="P65" s="64">
        <v>0.32</v>
      </c>
      <c r="Q65" s="64">
        <v>9.27</v>
      </c>
      <c r="R65" s="198"/>
      <c r="S65" s="198"/>
      <c r="T65" s="198"/>
      <c r="U65" s="198"/>
    </row>
    <row r="66" spans="1:21" s="12" customFormat="1" x14ac:dyDescent="0.25">
      <c r="A66" s="216" t="s">
        <v>2607</v>
      </c>
      <c r="B66" s="64">
        <v>1.9</v>
      </c>
      <c r="C66" s="64">
        <v>2.68</v>
      </c>
      <c r="D66" s="64">
        <v>2.19</v>
      </c>
      <c r="E66" s="64">
        <v>2.0099999999999998</v>
      </c>
      <c r="F66" s="64">
        <v>5.14</v>
      </c>
      <c r="G66" s="64">
        <v>27.93</v>
      </c>
      <c r="H66" s="64">
        <v>12.02</v>
      </c>
      <c r="I66" s="64">
        <v>8.35</v>
      </c>
      <c r="J66" s="64">
        <v>0.81</v>
      </c>
      <c r="K66" s="64">
        <v>150.78</v>
      </c>
      <c r="L66" s="64">
        <v>34.86</v>
      </c>
      <c r="M66" s="64">
        <v>37.270000000000003</v>
      </c>
      <c r="N66" s="64">
        <v>435.9</v>
      </c>
      <c r="O66" s="64">
        <v>0</v>
      </c>
      <c r="P66" s="64">
        <v>0.31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6" t="s">
        <v>2608</v>
      </c>
      <c r="B67" s="64">
        <v>1.93</v>
      </c>
      <c r="C67" s="64">
        <v>2.8</v>
      </c>
      <c r="D67" s="64">
        <v>2.2799999999999998</v>
      </c>
      <c r="E67" s="64">
        <v>1.86</v>
      </c>
      <c r="F67" s="64">
        <v>5.58</v>
      </c>
      <c r="G67" s="64">
        <v>28.97</v>
      </c>
      <c r="H67" s="64">
        <v>11.34</v>
      </c>
      <c r="I67" s="64">
        <v>8.41</v>
      </c>
      <c r="J67" s="64">
        <v>0.79</v>
      </c>
      <c r="K67" s="64">
        <v>111.67</v>
      </c>
      <c r="L67" s="64">
        <v>34.54</v>
      </c>
      <c r="M67" s="64">
        <v>37.99</v>
      </c>
      <c r="N67" s="64">
        <v>298.8</v>
      </c>
      <c r="O67" s="64">
        <v>0</v>
      </c>
      <c r="P67" s="64">
        <v>0.31</v>
      </c>
      <c r="Q67" s="64">
        <v>9.2899999999999991</v>
      </c>
      <c r="R67" s="198"/>
      <c r="S67" s="198"/>
      <c r="T67" s="198"/>
      <c r="U67" s="198"/>
    </row>
    <row r="68" spans="1:21" s="12" customFormat="1" x14ac:dyDescent="0.25">
      <c r="A68" s="216" t="s">
        <v>2609</v>
      </c>
      <c r="B68" s="64">
        <v>1.92</v>
      </c>
      <c r="C68" s="64">
        <v>2.7</v>
      </c>
      <c r="D68" s="64">
        <v>2.2200000000000002</v>
      </c>
      <c r="E68" s="64">
        <v>2.12</v>
      </c>
      <c r="F68" s="64">
        <v>5.34</v>
      </c>
      <c r="G68" s="64">
        <v>28.97</v>
      </c>
      <c r="H68" s="64">
        <v>11.34</v>
      </c>
      <c r="I68" s="64">
        <v>8.67</v>
      </c>
      <c r="J68" s="64">
        <v>0.43</v>
      </c>
      <c r="K68" s="64">
        <v>40.94</v>
      </c>
      <c r="L68" s="64">
        <v>34.9</v>
      </c>
      <c r="M68" s="64">
        <v>37.81</v>
      </c>
      <c r="N68" s="64">
        <v>349.2</v>
      </c>
      <c r="O68" s="64">
        <v>0</v>
      </c>
      <c r="P68" s="64">
        <v>0.31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6" t="s">
        <v>2610</v>
      </c>
      <c r="B69" s="64">
        <v>1.88</v>
      </c>
      <c r="C69" s="64">
        <v>2.4900000000000002</v>
      </c>
      <c r="D69" s="64">
        <v>2.08</v>
      </c>
      <c r="E69" s="64">
        <v>1.92</v>
      </c>
      <c r="F69" s="64">
        <v>5.34</v>
      </c>
      <c r="G69" s="64">
        <v>28.97</v>
      </c>
      <c r="H69" s="64">
        <v>11.34</v>
      </c>
      <c r="I69" s="64">
        <v>8.6</v>
      </c>
      <c r="J69" s="64">
        <v>0.35</v>
      </c>
      <c r="K69" s="64">
        <v>111.94</v>
      </c>
      <c r="L69" s="64">
        <v>35.53</v>
      </c>
      <c r="M69" s="64">
        <v>35.549999999999997</v>
      </c>
      <c r="N69" s="64">
        <v>322.10000000000002</v>
      </c>
      <c r="O69" s="64">
        <v>0</v>
      </c>
      <c r="P69" s="64">
        <v>0.31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6" t="s">
        <v>2611</v>
      </c>
      <c r="B70" s="64">
        <v>1.87</v>
      </c>
      <c r="C70" s="64">
        <v>2.6</v>
      </c>
      <c r="D70" s="64">
        <v>2.13</v>
      </c>
      <c r="E70" s="64">
        <v>1.96</v>
      </c>
      <c r="F70" s="64">
        <v>5.35</v>
      </c>
      <c r="G70" s="64">
        <v>28.81</v>
      </c>
      <c r="H70" s="64">
        <v>11.45</v>
      </c>
      <c r="I70" s="64">
        <v>8.5500000000000007</v>
      </c>
      <c r="J70" s="64">
        <v>0.56999999999999995</v>
      </c>
      <c r="K70" s="64">
        <v>114.1</v>
      </c>
      <c r="L70" s="64">
        <v>35.020000000000003</v>
      </c>
      <c r="M70" s="64">
        <v>36.42</v>
      </c>
      <c r="N70" s="64">
        <v>233.8</v>
      </c>
      <c r="O70" s="64">
        <v>0</v>
      </c>
      <c r="P70" s="64">
        <v>0.31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6" t="s">
        <v>2612</v>
      </c>
      <c r="B71" s="64">
        <v>1.79</v>
      </c>
      <c r="C71" s="64">
        <v>1.9</v>
      </c>
      <c r="D71" s="64">
        <v>1.7</v>
      </c>
      <c r="E71" s="64">
        <v>1.88</v>
      </c>
      <c r="F71" s="64">
        <v>5.52</v>
      </c>
      <c r="G71" s="64">
        <v>26.93</v>
      </c>
      <c r="H71" s="64">
        <v>12.74</v>
      </c>
      <c r="I71" s="64">
        <v>8.4700000000000006</v>
      </c>
      <c r="J71" s="64">
        <v>0.71</v>
      </c>
      <c r="K71" s="64">
        <v>100.77</v>
      </c>
      <c r="L71" s="64">
        <v>34.81</v>
      </c>
      <c r="M71" s="64">
        <v>36.9</v>
      </c>
      <c r="N71" s="64">
        <v>183.5</v>
      </c>
      <c r="O71" s="64">
        <v>0</v>
      </c>
      <c r="P71" s="64">
        <v>0.31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6" t="s">
        <v>2613</v>
      </c>
      <c r="B72" s="64">
        <v>1.88</v>
      </c>
      <c r="C72" s="64">
        <v>2.4500000000000002</v>
      </c>
      <c r="D72" s="64">
        <v>2.06</v>
      </c>
      <c r="E72" s="64">
        <v>1.99</v>
      </c>
      <c r="F72" s="64">
        <v>5.52</v>
      </c>
      <c r="G72" s="64">
        <v>26.93</v>
      </c>
      <c r="H72" s="64">
        <v>12.74</v>
      </c>
      <c r="I72" s="64">
        <v>8.35</v>
      </c>
      <c r="J72" s="64">
        <v>0.16</v>
      </c>
      <c r="K72" s="64">
        <v>35.25</v>
      </c>
      <c r="L72" s="64">
        <v>34.950000000000003</v>
      </c>
      <c r="M72" s="64">
        <v>37.380000000000003</v>
      </c>
      <c r="N72" s="64">
        <v>161.5</v>
      </c>
      <c r="O72" s="64">
        <v>0</v>
      </c>
      <c r="P72" s="64">
        <v>0.31</v>
      </c>
      <c r="Q72" s="64">
        <v>9.23</v>
      </c>
      <c r="R72" s="198"/>
      <c r="S72" s="198"/>
      <c r="T72" s="198"/>
      <c r="U72" s="198"/>
    </row>
    <row r="73" spans="1:21" s="12" customFormat="1" x14ac:dyDescent="0.25">
      <c r="A73" s="216" t="s">
        <v>2614</v>
      </c>
      <c r="B73" s="64">
        <v>1.89</v>
      </c>
      <c r="C73" s="64">
        <v>2.78</v>
      </c>
      <c r="D73" s="64">
        <v>2.2400000000000002</v>
      </c>
      <c r="E73" s="64">
        <v>2.19</v>
      </c>
      <c r="F73" s="64">
        <v>5.54</v>
      </c>
      <c r="G73" s="64">
        <v>26.93</v>
      </c>
      <c r="H73" s="64">
        <v>12.74</v>
      </c>
      <c r="I73" s="64">
        <v>8.36</v>
      </c>
      <c r="J73" s="64">
        <v>0.47</v>
      </c>
      <c r="K73" s="64">
        <v>333.4</v>
      </c>
      <c r="L73" s="64">
        <v>35.950000000000003</v>
      </c>
      <c r="M73" s="64">
        <v>36.299999999999997</v>
      </c>
      <c r="N73" s="64">
        <v>170.5</v>
      </c>
      <c r="O73" s="64">
        <v>0</v>
      </c>
      <c r="P73" s="64">
        <v>0.31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6" t="s">
        <v>2615</v>
      </c>
      <c r="B74" s="64">
        <v>1.93</v>
      </c>
      <c r="C74" s="64">
        <v>3.2</v>
      </c>
      <c r="D74" s="64">
        <v>2.4900000000000002</v>
      </c>
      <c r="E74" s="64">
        <v>1.89</v>
      </c>
      <c r="F74" s="64">
        <v>5.41</v>
      </c>
      <c r="G74" s="64">
        <v>26.93</v>
      </c>
      <c r="H74" s="64">
        <v>12.73</v>
      </c>
      <c r="I74" s="64">
        <v>8.27</v>
      </c>
      <c r="J74" s="64">
        <v>0.28999999999999998</v>
      </c>
      <c r="K74" s="64">
        <v>341.28</v>
      </c>
      <c r="L74" s="64">
        <v>35.909999999999997</v>
      </c>
      <c r="M74" s="64">
        <v>35.76</v>
      </c>
      <c r="N74" s="64">
        <v>140.5</v>
      </c>
      <c r="O74" s="64">
        <v>0</v>
      </c>
      <c r="P74" s="64">
        <v>0.33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6" t="s">
        <v>2616</v>
      </c>
      <c r="B75" s="64">
        <v>1.95</v>
      </c>
      <c r="C75" s="64">
        <v>3.25</v>
      </c>
      <c r="D75" s="64">
        <v>2.5299999999999998</v>
      </c>
      <c r="E75" s="64">
        <v>1.88</v>
      </c>
      <c r="F75" s="64">
        <v>4.7699999999999996</v>
      </c>
      <c r="G75" s="64">
        <v>26.86</v>
      </c>
      <c r="H75" s="64">
        <v>12.67</v>
      </c>
      <c r="I75" s="64">
        <v>7.99</v>
      </c>
      <c r="J75" s="64">
        <v>0.45</v>
      </c>
      <c r="K75" s="64">
        <v>163.78</v>
      </c>
      <c r="L75" s="64">
        <v>35.26</v>
      </c>
      <c r="M75" s="64">
        <v>35.020000000000003</v>
      </c>
      <c r="N75" s="64">
        <v>140.1</v>
      </c>
      <c r="O75" s="64">
        <v>0</v>
      </c>
      <c r="P75" s="64">
        <v>0.33</v>
      </c>
      <c r="Q75" s="64">
        <v>9.2100000000000009</v>
      </c>
      <c r="R75" s="198"/>
      <c r="S75" s="198"/>
      <c r="T75" s="198"/>
      <c r="U75" s="198"/>
    </row>
    <row r="76" spans="1:21" s="12" customFormat="1" x14ac:dyDescent="0.25">
      <c r="A76" s="216" t="s">
        <v>2617</v>
      </c>
      <c r="B76" s="64">
        <v>1.91</v>
      </c>
      <c r="C76" s="64">
        <v>2.98</v>
      </c>
      <c r="D76" s="64">
        <v>2.36</v>
      </c>
      <c r="E76" s="64">
        <v>2.08</v>
      </c>
      <c r="F76" s="64">
        <v>4.9000000000000004</v>
      </c>
      <c r="G76" s="64">
        <v>26.86</v>
      </c>
      <c r="H76" s="64">
        <v>12.67</v>
      </c>
      <c r="I76" s="64">
        <v>7.69</v>
      </c>
      <c r="J76" s="64">
        <v>0.3</v>
      </c>
      <c r="K76" s="64">
        <v>341.39</v>
      </c>
      <c r="L76" s="64">
        <v>35.29</v>
      </c>
      <c r="M76" s="64">
        <v>36.25</v>
      </c>
      <c r="N76" s="64">
        <v>118.5</v>
      </c>
      <c r="O76" s="64">
        <v>0</v>
      </c>
      <c r="P76" s="64">
        <v>0.34</v>
      </c>
      <c r="Q76" s="64">
        <v>9.1999999999999993</v>
      </c>
      <c r="R76" s="198"/>
      <c r="S76" s="198"/>
      <c r="T76" s="198"/>
      <c r="U76" s="198"/>
    </row>
    <row r="77" spans="1:21" s="12" customFormat="1" x14ac:dyDescent="0.25">
      <c r="A77" s="216" t="s">
        <v>2618</v>
      </c>
      <c r="B77" s="64">
        <v>1.94</v>
      </c>
      <c r="C77" s="64">
        <v>3.49</v>
      </c>
      <c r="D77" s="64">
        <v>2.65</v>
      </c>
      <c r="E77" s="64">
        <v>2.11</v>
      </c>
      <c r="F77" s="64">
        <v>4.8600000000000003</v>
      </c>
      <c r="G77" s="64">
        <v>26.86</v>
      </c>
      <c r="H77" s="64">
        <v>12.67</v>
      </c>
      <c r="I77" s="64">
        <v>7.47</v>
      </c>
      <c r="J77" s="64">
        <v>0.16</v>
      </c>
      <c r="K77" s="64">
        <v>102.82</v>
      </c>
      <c r="L77" s="64">
        <v>35.17</v>
      </c>
      <c r="M77" s="64">
        <v>35.93</v>
      </c>
      <c r="N77" s="64">
        <v>96.9</v>
      </c>
      <c r="O77" s="64">
        <v>0</v>
      </c>
      <c r="P77" s="64">
        <v>0.35</v>
      </c>
      <c r="Q77" s="64">
        <v>9.18</v>
      </c>
      <c r="R77" s="198"/>
      <c r="S77" s="198"/>
      <c r="T77" s="198"/>
      <c r="U77" s="198"/>
    </row>
    <row r="78" spans="1:21" s="12" customFormat="1" x14ac:dyDescent="0.25">
      <c r="A78" s="216" t="s">
        <v>2619</v>
      </c>
      <c r="B78" s="64">
        <v>1.93</v>
      </c>
      <c r="C78" s="64">
        <v>3.76</v>
      </c>
      <c r="D78" s="64">
        <v>2.78</v>
      </c>
      <c r="E78" s="64">
        <v>2</v>
      </c>
      <c r="F78" s="64">
        <v>5.05</v>
      </c>
      <c r="G78" s="64">
        <v>27.01</v>
      </c>
      <c r="H78" s="64">
        <v>12.64</v>
      </c>
      <c r="I78" s="64">
        <v>6.98</v>
      </c>
      <c r="J78" s="64">
        <v>0.84</v>
      </c>
      <c r="K78" s="64">
        <v>107.39</v>
      </c>
      <c r="L78" s="64">
        <v>34.42</v>
      </c>
      <c r="M78" s="64">
        <v>37.32</v>
      </c>
      <c r="N78" s="64">
        <v>69.3</v>
      </c>
      <c r="O78" s="64">
        <v>0</v>
      </c>
      <c r="P78" s="64">
        <v>0.35</v>
      </c>
      <c r="Q78" s="64">
        <v>9.18</v>
      </c>
      <c r="R78" s="198"/>
      <c r="S78" s="198"/>
      <c r="T78" s="198"/>
      <c r="U78" s="198"/>
    </row>
    <row r="79" spans="1:21" s="12" customFormat="1" x14ac:dyDescent="0.25">
      <c r="A79" s="216" t="s">
        <v>2620</v>
      </c>
      <c r="B79" s="64">
        <v>1.87</v>
      </c>
      <c r="C79" s="64">
        <v>3.3</v>
      </c>
      <c r="D79" s="64">
        <v>2.5</v>
      </c>
      <c r="E79" s="64">
        <v>1.88</v>
      </c>
      <c r="F79" s="64">
        <v>4.9400000000000004</v>
      </c>
      <c r="G79" s="64">
        <v>28.72</v>
      </c>
      <c r="H79" s="64">
        <v>12.26</v>
      </c>
      <c r="I79" s="64">
        <v>6.43</v>
      </c>
      <c r="J79" s="64">
        <v>0.14000000000000001</v>
      </c>
      <c r="K79" s="64">
        <v>146.35</v>
      </c>
      <c r="L79" s="64">
        <v>34.25</v>
      </c>
      <c r="M79" s="64">
        <v>37.18</v>
      </c>
      <c r="N79" s="64">
        <v>63.5</v>
      </c>
      <c r="O79" s="64">
        <v>0</v>
      </c>
      <c r="P79" s="64">
        <v>0.34</v>
      </c>
      <c r="Q79" s="64">
        <v>9.19</v>
      </c>
      <c r="R79" s="198"/>
      <c r="S79" s="198"/>
      <c r="T79" s="198"/>
      <c r="U79" s="198"/>
    </row>
    <row r="80" spans="1:21" s="12" customFormat="1" x14ac:dyDescent="0.25">
      <c r="A80" s="216" t="s">
        <v>2621</v>
      </c>
      <c r="B80" s="64">
        <v>1.78</v>
      </c>
      <c r="C80" s="64">
        <v>1.85</v>
      </c>
      <c r="D80" s="64">
        <v>1.66</v>
      </c>
      <c r="E80" s="64">
        <v>1.87</v>
      </c>
      <c r="F80" s="64">
        <v>4.62</v>
      </c>
      <c r="G80" s="64">
        <v>28.72</v>
      </c>
      <c r="H80" s="64">
        <v>12.26</v>
      </c>
      <c r="I80" s="64">
        <v>5.89</v>
      </c>
      <c r="J80" s="64">
        <v>0.15</v>
      </c>
      <c r="K80" s="64">
        <v>309.52</v>
      </c>
      <c r="L80" s="64">
        <v>34.39</v>
      </c>
      <c r="M80" s="64">
        <v>38.43</v>
      </c>
      <c r="N80" s="64">
        <v>47.5</v>
      </c>
      <c r="O80" s="64">
        <v>0</v>
      </c>
      <c r="P80" s="64">
        <v>0.4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6" t="s">
        <v>2622</v>
      </c>
      <c r="B81" s="64">
        <v>1.95</v>
      </c>
      <c r="C81" s="64">
        <v>3.17</v>
      </c>
      <c r="D81" s="64">
        <v>2.4900000000000002</v>
      </c>
      <c r="E81" s="64">
        <v>2.09</v>
      </c>
      <c r="F81" s="64">
        <v>4.4800000000000004</v>
      </c>
      <c r="G81" s="64">
        <v>28.72</v>
      </c>
      <c r="H81" s="64">
        <v>12.26</v>
      </c>
      <c r="I81" s="64">
        <v>5.61</v>
      </c>
      <c r="J81" s="64">
        <v>0.47</v>
      </c>
      <c r="K81" s="64">
        <v>146.57</v>
      </c>
      <c r="L81" s="64">
        <v>34.29</v>
      </c>
      <c r="M81" s="64">
        <v>37.11</v>
      </c>
      <c r="N81" s="64">
        <v>39</v>
      </c>
      <c r="O81" s="64">
        <v>0</v>
      </c>
      <c r="P81" s="64">
        <v>0.42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6" t="s">
        <v>2623</v>
      </c>
      <c r="B82" s="64">
        <v>1.94</v>
      </c>
      <c r="C82" s="64">
        <v>3.05</v>
      </c>
      <c r="D82" s="64">
        <v>2.42</v>
      </c>
      <c r="E82" s="64">
        <v>1.97</v>
      </c>
      <c r="F82" s="64">
        <v>4.3899999999999997</v>
      </c>
      <c r="G82" s="64">
        <v>29.03</v>
      </c>
      <c r="H82" s="64">
        <v>12.47</v>
      </c>
      <c r="I82" s="64">
        <v>5.82</v>
      </c>
      <c r="J82" s="64">
        <v>0.91</v>
      </c>
      <c r="K82" s="64">
        <v>141.63</v>
      </c>
      <c r="L82" s="64">
        <v>34.049999999999997</v>
      </c>
      <c r="M82" s="64">
        <v>37.799999999999997</v>
      </c>
      <c r="N82" s="64">
        <v>28.7</v>
      </c>
      <c r="O82" s="64">
        <v>0</v>
      </c>
      <c r="P82" s="64">
        <v>0.39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16" t="s">
        <v>2624</v>
      </c>
      <c r="B83" s="64">
        <v>1.94</v>
      </c>
      <c r="C83" s="64">
        <v>3.19</v>
      </c>
      <c r="D83" s="64">
        <v>2.4900000000000002</v>
      </c>
      <c r="E83" s="64">
        <v>1.9</v>
      </c>
      <c r="F83" s="64">
        <v>4.46</v>
      </c>
      <c r="G83" s="64">
        <v>32.78</v>
      </c>
      <c r="H83" s="64">
        <v>14.91</v>
      </c>
      <c r="I83" s="64">
        <v>5.75</v>
      </c>
      <c r="J83" s="64">
        <v>0.44</v>
      </c>
      <c r="K83" s="64">
        <v>140.97</v>
      </c>
      <c r="L83" s="64">
        <v>33.78</v>
      </c>
      <c r="M83" s="64">
        <v>38.49</v>
      </c>
      <c r="N83" s="64">
        <v>26.8</v>
      </c>
      <c r="O83" s="64">
        <v>0</v>
      </c>
      <c r="P83" s="64">
        <v>0.39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6" t="s">
        <v>2625</v>
      </c>
      <c r="B84" s="64">
        <v>1.94</v>
      </c>
      <c r="C84" s="64">
        <v>3.22</v>
      </c>
      <c r="D84" s="64">
        <v>2.5099999999999998</v>
      </c>
      <c r="E84" s="64">
        <v>1.97</v>
      </c>
      <c r="F84" s="64">
        <v>4.87</v>
      </c>
      <c r="G84" s="64">
        <v>32.78</v>
      </c>
      <c r="H84" s="64">
        <v>14.91</v>
      </c>
      <c r="I84" s="64">
        <v>5.62</v>
      </c>
      <c r="J84" s="64">
        <v>0.41</v>
      </c>
      <c r="K84" s="64">
        <v>112.22</v>
      </c>
      <c r="L84" s="64">
        <v>33.56</v>
      </c>
      <c r="M84" s="64">
        <v>38.97</v>
      </c>
      <c r="N84" s="64">
        <v>26.1</v>
      </c>
      <c r="O84" s="64">
        <v>0</v>
      </c>
      <c r="P84" s="64">
        <v>0.39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16" t="s">
        <v>2626</v>
      </c>
      <c r="B85" s="64">
        <v>1.89</v>
      </c>
      <c r="C85" s="64">
        <v>2.72</v>
      </c>
      <c r="D85" s="64">
        <v>2.2000000000000002</v>
      </c>
      <c r="E85" s="64">
        <v>1.94</v>
      </c>
      <c r="F85" s="64">
        <v>4.63</v>
      </c>
      <c r="G85" s="64">
        <v>32.78</v>
      </c>
      <c r="H85" s="64">
        <v>14.91</v>
      </c>
      <c r="I85" s="64">
        <v>6.31</v>
      </c>
      <c r="J85" s="64">
        <v>0.44</v>
      </c>
      <c r="K85" s="64">
        <v>130.53</v>
      </c>
      <c r="L85" s="64">
        <v>33.380000000000003</v>
      </c>
      <c r="M85" s="64">
        <v>39.380000000000003</v>
      </c>
      <c r="N85" s="64">
        <v>26.1</v>
      </c>
      <c r="O85" s="64">
        <v>0</v>
      </c>
      <c r="P85" s="64">
        <v>0.37</v>
      </c>
      <c r="Q85" s="64">
        <v>9.2799999999999994</v>
      </c>
      <c r="R85" s="198"/>
      <c r="S85" s="198"/>
      <c r="T85" s="198"/>
      <c r="U85" s="198"/>
    </row>
    <row r="86" spans="1:26" s="12" customFormat="1" x14ac:dyDescent="0.25">
      <c r="A86" s="216" t="s">
        <v>2627</v>
      </c>
      <c r="B86" s="64">
        <v>1.93</v>
      </c>
      <c r="C86" s="64">
        <v>2.84</v>
      </c>
      <c r="D86" s="64">
        <v>2.31</v>
      </c>
      <c r="E86" s="64">
        <v>2.14</v>
      </c>
      <c r="F86" s="64">
        <v>4.22</v>
      </c>
      <c r="G86" s="64">
        <v>32.46</v>
      </c>
      <c r="H86" s="64">
        <v>14.68</v>
      </c>
      <c r="I86" s="64">
        <v>6.47</v>
      </c>
      <c r="J86" s="64">
        <v>0.46</v>
      </c>
      <c r="K86" s="64">
        <v>158.09</v>
      </c>
      <c r="L86" s="64">
        <v>33.29</v>
      </c>
      <c r="M86" s="64">
        <v>39.82</v>
      </c>
      <c r="N86" s="64">
        <v>26.2</v>
      </c>
      <c r="O86" s="64">
        <v>0</v>
      </c>
      <c r="P86" s="64">
        <v>0.39</v>
      </c>
      <c r="Q86" s="64">
        <v>9.2899999999999991</v>
      </c>
      <c r="R86" s="198"/>
      <c r="S86" s="198"/>
      <c r="T86" s="198"/>
      <c r="U86" s="198"/>
    </row>
    <row r="87" spans="1:26" s="12" customFormat="1" x14ac:dyDescent="0.25">
      <c r="A87" s="216" t="s">
        <v>2628</v>
      </c>
      <c r="B87" s="64">
        <v>1.89</v>
      </c>
      <c r="C87" s="64">
        <v>2.69</v>
      </c>
      <c r="D87" s="64">
        <v>2.19</v>
      </c>
      <c r="E87" s="64">
        <v>2.4700000000000002</v>
      </c>
      <c r="F87" s="64">
        <v>4.42</v>
      </c>
      <c r="G87" s="64">
        <v>28.68</v>
      </c>
      <c r="H87" s="64">
        <v>11.92</v>
      </c>
      <c r="I87" s="64">
        <v>6.34</v>
      </c>
      <c r="J87" s="64">
        <v>0.51</v>
      </c>
      <c r="K87" s="64">
        <v>95.47</v>
      </c>
      <c r="L87" s="64">
        <v>33.130000000000003</v>
      </c>
      <c r="M87" s="64">
        <v>40.56</v>
      </c>
      <c r="N87" s="64">
        <v>26.3</v>
      </c>
      <c r="O87" s="64">
        <v>0</v>
      </c>
      <c r="P87" s="64">
        <v>0.4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6" t="s">
        <v>2629</v>
      </c>
      <c r="B88" s="64">
        <v>1.88</v>
      </c>
      <c r="C88" s="64">
        <v>2.63</v>
      </c>
      <c r="D88" s="64">
        <v>2.15</v>
      </c>
      <c r="E88" s="64">
        <v>1.35</v>
      </c>
      <c r="F88" s="64">
        <v>4.67</v>
      </c>
      <c r="G88" s="64">
        <v>28.68</v>
      </c>
      <c r="H88" s="64">
        <v>11.92</v>
      </c>
      <c r="I88" s="64">
        <v>6.47</v>
      </c>
      <c r="J88" s="64">
        <v>0.17</v>
      </c>
      <c r="K88" s="64">
        <v>155.5</v>
      </c>
      <c r="L88" s="64">
        <v>33.020000000000003</v>
      </c>
      <c r="M88" s="64">
        <v>41.18</v>
      </c>
      <c r="N88" s="64">
        <v>26.5</v>
      </c>
      <c r="O88" s="64">
        <v>0</v>
      </c>
      <c r="P88" s="64">
        <v>0.39</v>
      </c>
      <c r="Q88" s="64">
        <v>9.2899999999999991</v>
      </c>
      <c r="R88" s="198"/>
      <c r="S88" s="198"/>
      <c r="T88" s="198"/>
      <c r="U88" s="198"/>
    </row>
    <row r="89" spans="1:26" s="12" customFormat="1" x14ac:dyDescent="0.25">
      <c r="A89" s="216" t="s">
        <v>2630</v>
      </c>
      <c r="B89" s="64">
        <v>1.87</v>
      </c>
      <c r="C89" s="64">
        <v>2.06</v>
      </c>
      <c r="D89" s="64">
        <v>1.85</v>
      </c>
      <c r="E89" s="64">
        <v>0.41</v>
      </c>
      <c r="F89" s="64">
        <v>4.3099999999999996</v>
      </c>
      <c r="G89" s="64">
        <v>28.68</v>
      </c>
      <c r="H89" s="64">
        <v>11.92</v>
      </c>
      <c r="I89" s="64">
        <v>6.87</v>
      </c>
      <c r="J89" s="64">
        <v>0.01</v>
      </c>
      <c r="K89" s="64">
        <v>184.81</v>
      </c>
      <c r="L89" s="64">
        <v>32.67</v>
      </c>
      <c r="M89" s="64">
        <v>43.05</v>
      </c>
      <c r="N89" s="64">
        <v>26.7</v>
      </c>
      <c r="O89" s="64">
        <v>0</v>
      </c>
      <c r="P89" s="64">
        <v>0.42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6" t="s">
        <v>2631</v>
      </c>
      <c r="B90" s="64">
        <v>1.88</v>
      </c>
      <c r="C90" s="64">
        <v>2.1800000000000002</v>
      </c>
      <c r="D90" s="64">
        <v>1.92</v>
      </c>
      <c r="E90" s="64">
        <v>0.41</v>
      </c>
      <c r="F90" s="64">
        <v>4.03</v>
      </c>
      <c r="G90" s="64">
        <v>28.82</v>
      </c>
      <c r="H90" s="64">
        <v>12.01</v>
      </c>
      <c r="I90" s="64">
        <v>6.91</v>
      </c>
      <c r="J90" s="64">
        <v>0.23</v>
      </c>
      <c r="K90" s="64">
        <v>170.4</v>
      </c>
      <c r="L90" s="64">
        <v>32.44</v>
      </c>
      <c r="M90" s="64">
        <v>43.12</v>
      </c>
      <c r="N90" s="64">
        <v>26.3</v>
      </c>
      <c r="O90" s="64">
        <v>0</v>
      </c>
      <c r="P90" s="64">
        <v>0.44</v>
      </c>
      <c r="Q90" s="64">
        <v>9.33</v>
      </c>
      <c r="R90" s="198"/>
      <c r="S90" s="198"/>
      <c r="T90" s="198"/>
      <c r="U90" s="198"/>
    </row>
    <row r="91" spans="1:26" s="12" customFormat="1" x14ac:dyDescent="0.25">
      <c r="A91" s="216" t="s">
        <v>2632</v>
      </c>
      <c r="B91" s="64">
        <v>1.84</v>
      </c>
      <c r="C91" s="64">
        <v>1.91</v>
      </c>
      <c r="D91" s="64">
        <v>1.75</v>
      </c>
      <c r="E91" s="64">
        <v>0.73</v>
      </c>
      <c r="F91" s="64">
        <v>3.9</v>
      </c>
      <c r="G91" s="64">
        <v>30.48</v>
      </c>
      <c r="H91" s="64">
        <v>13.01</v>
      </c>
      <c r="I91" s="64">
        <v>6.64</v>
      </c>
      <c r="J91" s="64">
        <v>0.32</v>
      </c>
      <c r="K91" s="64">
        <v>190</v>
      </c>
      <c r="L91" s="64">
        <v>32.46</v>
      </c>
      <c r="M91" s="64">
        <v>42.81</v>
      </c>
      <c r="N91" s="64">
        <v>26.1</v>
      </c>
      <c r="O91" s="64">
        <v>0</v>
      </c>
      <c r="P91" s="64">
        <v>0.45</v>
      </c>
      <c r="Q91" s="64">
        <v>9.33</v>
      </c>
      <c r="R91" s="198"/>
      <c r="S91" s="198"/>
      <c r="T91" s="198"/>
      <c r="U91" s="198"/>
    </row>
    <row r="92" spans="1:26" s="12" customFormat="1" x14ac:dyDescent="0.25">
      <c r="A92" s="216" t="s">
        <v>2633</v>
      </c>
      <c r="B92" s="64">
        <v>1.93</v>
      </c>
      <c r="C92" s="64">
        <v>2.5499999999999998</v>
      </c>
      <c r="D92" s="64">
        <v>2.15</v>
      </c>
      <c r="E92" s="64">
        <v>1.1000000000000001</v>
      </c>
      <c r="F92" s="64">
        <v>3.76</v>
      </c>
      <c r="G92" s="64">
        <v>30.48</v>
      </c>
      <c r="H92" s="64">
        <v>13.01</v>
      </c>
      <c r="I92" s="64">
        <v>6.48</v>
      </c>
      <c r="J92" s="64">
        <v>0.22</v>
      </c>
      <c r="K92" s="64">
        <v>155.65</v>
      </c>
      <c r="L92" s="64">
        <v>32.39</v>
      </c>
      <c r="M92" s="64">
        <v>43.14</v>
      </c>
      <c r="N92" s="64">
        <v>26.2</v>
      </c>
      <c r="O92" s="64">
        <v>0</v>
      </c>
      <c r="P92" s="64">
        <v>0.46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6" t="s">
        <v>2634</v>
      </c>
      <c r="B93" s="64">
        <v>1.96</v>
      </c>
      <c r="C93" s="64">
        <v>2.8</v>
      </c>
      <c r="D93" s="64">
        <v>2.2999999999999998</v>
      </c>
      <c r="E93" s="64">
        <v>0.68</v>
      </c>
      <c r="F93" s="64">
        <v>3.83</v>
      </c>
      <c r="G93" s="64">
        <v>30.48</v>
      </c>
      <c r="H93" s="64">
        <v>13.01</v>
      </c>
      <c r="I93" s="64">
        <v>6.42</v>
      </c>
      <c r="J93" s="64">
        <v>0.11</v>
      </c>
      <c r="K93" s="64">
        <v>159.68</v>
      </c>
      <c r="L93" s="64">
        <v>32.17</v>
      </c>
      <c r="M93" s="64">
        <v>44.28</v>
      </c>
      <c r="N93" s="64">
        <v>26.4</v>
      </c>
      <c r="O93" s="64">
        <v>0</v>
      </c>
      <c r="P93" s="64">
        <v>0.48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6" t="s">
        <v>2635</v>
      </c>
      <c r="B94" s="64">
        <v>1.99</v>
      </c>
      <c r="C94" s="64">
        <v>3.2</v>
      </c>
      <c r="D94" s="64">
        <v>2.54</v>
      </c>
      <c r="E94" s="64">
        <v>0.66</v>
      </c>
      <c r="F94" s="64">
        <v>3.81</v>
      </c>
      <c r="G94" s="64">
        <v>30.94</v>
      </c>
      <c r="H94" s="64">
        <v>13.19</v>
      </c>
      <c r="I94" s="64">
        <v>6.47</v>
      </c>
      <c r="J94" s="64">
        <v>0.22</v>
      </c>
      <c r="K94" s="64">
        <v>146.31</v>
      </c>
      <c r="L94" s="64">
        <v>31.91</v>
      </c>
      <c r="M94" s="64">
        <v>45.77</v>
      </c>
      <c r="N94" s="64">
        <v>26.3</v>
      </c>
      <c r="O94" s="64">
        <v>0</v>
      </c>
      <c r="P94" s="64">
        <v>0.51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6" t="s">
        <v>2636</v>
      </c>
      <c r="B95" s="64">
        <v>1.73</v>
      </c>
      <c r="C95" s="64">
        <v>1.33</v>
      </c>
      <c r="D95" s="64">
        <v>1.36</v>
      </c>
      <c r="E95" s="64">
        <v>1.2</v>
      </c>
      <c r="F95" s="64">
        <v>3.61</v>
      </c>
      <c r="G95" s="64">
        <v>36.39</v>
      </c>
      <c r="H95" s="64">
        <v>15.32</v>
      </c>
      <c r="I95" s="64">
        <v>6.61</v>
      </c>
      <c r="J95" s="64">
        <v>0.25</v>
      </c>
      <c r="K95" s="64">
        <v>163.59</v>
      </c>
      <c r="L95" s="64">
        <v>31.84</v>
      </c>
      <c r="M95" s="64">
        <v>45.74</v>
      </c>
      <c r="N95" s="64">
        <v>26.2</v>
      </c>
      <c r="O95" s="64">
        <v>0</v>
      </c>
      <c r="P95" s="64">
        <v>0.52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16" t="s">
        <v>2637</v>
      </c>
      <c r="B96" s="64">
        <v>1.92</v>
      </c>
      <c r="C96" s="64">
        <v>2.4700000000000002</v>
      </c>
      <c r="D96" s="64">
        <v>2.1</v>
      </c>
      <c r="E96" s="64">
        <v>1.1599999999999999</v>
      </c>
      <c r="F96" s="64">
        <v>3.7</v>
      </c>
      <c r="G96" s="64">
        <v>36.39</v>
      </c>
      <c r="H96" s="64">
        <v>15.32</v>
      </c>
      <c r="I96" s="64">
        <v>6.34</v>
      </c>
      <c r="J96" s="64">
        <v>0.15</v>
      </c>
      <c r="K96" s="64">
        <v>214.86</v>
      </c>
      <c r="L96" s="64">
        <v>31.72</v>
      </c>
      <c r="M96" s="64">
        <v>45.37</v>
      </c>
      <c r="N96" s="64">
        <v>26.3</v>
      </c>
      <c r="O96" s="64">
        <v>0</v>
      </c>
      <c r="P96" s="64">
        <v>0.54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2638</v>
      </c>
      <c r="B97" s="64">
        <v>2.1</v>
      </c>
      <c r="C97" s="64">
        <v>3.99</v>
      </c>
      <c r="D97" s="64">
        <v>3.04</v>
      </c>
      <c r="E97" s="64">
        <v>0.66</v>
      </c>
      <c r="F97" s="64">
        <v>3</v>
      </c>
      <c r="G97" s="64">
        <v>36.39</v>
      </c>
      <c r="H97" s="64">
        <v>15.32</v>
      </c>
      <c r="I97" s="64">
        <v>6.18</v>
      </c>
      <c r="J97" s="64">
        <v>0.04</v>
      </c>
      <c r="K97" s="64">
        <v>332.69</v>
      </c>
      <c r="L97" s="64">
        <v>31.54</v>
      </c>
      <c r="M97" s="64">
        <v>45.88</v>
      </c>
      <c r="N97" s="64">
        <v>26.4</v>
      </c>
      <c r="O97" s="64">
        <v>0</v>
      </c>
      <c r="P97" s="64">
        <v>0.54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6" t="s">
        <v>2639</v>
      </c>
      <c r="B98" s="64">
        <v>2.04</v>
      </c>
      <c r="C98" s="64">
        <v>3.2</v>
      </c>
      <c r="D98" s="64">
        <v>2.58</v>
      </c>
      <c r="E98" s="64">
        <v>0.72</v>
      </c>
      <c r="F98" s="64">
        <v>3.51</v>
      </c>
      <c r="G98" s="64">
        <v>36.75</v>
      </c>
      <c r="H98" s="64">
        <v>15.52</v>
      </c>
      <c r="I98" s="64">
        <v>6.02</v>
      </c>
      <c r="J98" s="64">
        <v>0.05</v>
      </c>
      <c r="K98" s="64">
        <v>50.86</v>
      </c>
      <c r="L98" s="64">
        <v>31.29</v>
      </c>
      <c r="M98" s="64">
        <v>46.32</v>
      </c>
      <c r="N98" s="64">
        <v>26.4</v>
      </c>
      <c r="O98" s="64">
        <v>0</v>
      </c>
      <c r="P98" s="64">
        <v>0.54</v>
      </c>
      <c r="Q98" s="64">
        <v>9.36</v>
      </c>
      <c r="R98" s="198"/>
      <c r="S98" s="198"/>
      <c r="T98" s="198"/>
      <c r="U98" s="198"/>
    </row>
    <row r="99" spans="1:33" s="12" customFormat="1" x14ac:dyDescent="0.25">
      <c r="A99" s="216" t="s">
        <v>2640</v>
      </c>
      <c r="B99" s="64">
        <v>2.0099999999999998</v>
      </c>
      <c r="C99" s="64">
        <v>2.9</v>
      </c>
      <c r="D99" s="64">
        <v>2.39</v>
      </c>
      <c r="E99" s="64">
        <v>0.56000000000000005</v>
      </c>
      <c r="F99" s="64">
        <v>3.74</v>
      </c>
      <c r="G99" s="64">
        <v>40.98</v>
      </c>
      <c r="H99" s="64">
        <v>17.920000000000002</v>
      </c>
      <c r="I99" s="64">
        <v>5.63</v>
      </c>
      <c r="J99" s="64">
        <v>0.24</v>
      </c>
      <c r="K99" s="64">
        <v>147.1</v>
      </c>
      <c r="L99" s="64">
        <v>31.02</v>
      </c>
      <c r="M99" s="64">
        <v>47.68</v>
      </c>
      <c r="N99" s="64">
        <v>26.1</v>
      </c>
      <c r="O99" s="64">
        <v>0</v>
      </c>
      <c r="P99" s="64">
        <v>0.54</v>
      </c>
      <c r="Q99" s="64">
        <v>9.31</v>
      </c>
      <c r="R99" s="198"/>
      <c r="S99" s="198"/>
      <c r="T99" s="198"/>
      <c r="U99" s="198"/>
    </row>
    <row r="100" spans="1:33" s="12" customFormat="1" x14ac:dyDescent="0.25">
      <c r="A100" s="216" t="s">
        <v>2641</v>
      </c>
      <c r="B100" s="64">
        <v>1.72</v>
      </c>
      <c r="C100" s="64">
        <v>0.82</v>
      </c>
      <c r="D100" s="64">
        <v>1.08</v>
      </c>
      <c r="E100" s="64">
        <v>0.99</v>
      </c>
      <c r="F100" s="64">
        <v>3.61</v>
      </c>
      <c r="G100" s="64">
        <v>40.98</v>
      </c>
      <c r="H100" s="64">
        <v>17.920000000000002</v>
      </c>
      <c r="I100" s="64">
        <v>5.48</v>
      </c>
      <c r="J100" s="64">
        <v>0.15</v>
      </c>
      <c r="K100" s="64">
        <v>200.65</v>
      </c>
      <c r="L100" s="64">
        <v>30.92</v>
      </c>
      <c r="M100" s="64">
        <v>47.88</v>
      </c>
      <c r="N100" s="64">
        <v>26.1</v>
      </c>
      <c r="O100" s="64">
        <v>0</v>
      </c>
      <c r="P100" s="64">
        <v>0.54</v>
      </c>
      <c r="Q100" s="64">
        <v>9.33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2642</v>
      </c>
      <c r="B101" s="64">
        <v>1.71</v>
      </c>
      <c r="C101" s="64">
        <v>0.46</v>
      </c>
      <c r="D101" s="64">
        <v>0.83</v>
      </c>
      <c r="E101" s="64">
        <v>0.88</v>
      </c>
      <c r="F101" s="64">
        <v>3.65</v>
      </c>
      <c r="G101" s="64">
        <v>40.98</v>
      </c>
      <c r="H101" s="64">
        <v>17.920000000000002</v>
      </c>
      <c r="I101" s="64">
        <v>5.49</v>
      </c>
      <c r="J101" s="64">
        <v>0.22</v>
      </c>
      <c r="K101" s="64">
        <v>327.96</v>
      </c>
      <c r="L101" s="64">
        <v>30.69</v>
      </c>
      <c r="M101" s="64">
        <v>49.39</v>
      </c>
      <c r="N101" s="64">
        <v>26.4</v>
      </c>
      <c r="O101" s="64">
        <v>0</v>
      </c>
      <c r="P101" s="64">
        <v>0.54</v>
      </c>
      <c r="Q101" s="64">
        <v>9.33</v>
      </c>
      <c r="R101" s="198"/>
      <c r="S101" s="198"/>
      <c r="T101" s="198"/>
      <c r="U101" s="198"/>
    </row>
    <row r="102" spans="1:33" s="12" customFormat="1" x14ac:dyDescent="0.25">
      <c r="A102" s="216" t="s">
        <v>2643</v>
      </c>
      <c r="B102" s="64">
        <v>1.81</v>
      </c>
      <c r="C102" s="64">
        <v>0.99</v>
      </c>
      <c r="D102" s="64">
        <v>1.24</v>
      </c>
      <c r="E102" s="64">
        <v>0.83</v>
      </c>
      <c r="F102" s="64">
        <v>3.53</v>
      </c>
      <c r="G102" s="64">
        <v>41.19</v>
      </c>
      <c r="H102" s="64">
        <v>17.95</v>
      </c>
      <c r="I102" s="64">
        <v>5.48</v>
      </c>
      <c r="J102" s="64">
        <v>0.04</v>
      </c>
      <c r="K102" s="64">
        <v>35.72</v>
      </c>
      <c r="L102" s="64">
        <v>30.3</v>
      </c>
      <c r="M102" s="64">
        <v>51.77</v>
      </c>
      <c r="N102" s="64">
        <v>26.3</v>
      </c>
      <c r="O102" s="64">
        <v>0</v>
      </c>
      <c r="P102" s="64">
        <v>0.56999999999999995</v>
      </c>
      <c r="Q102" s="64">
        <v>9.34</v>
      </c>
      <c r="R102" s="198"/>
      <c r="S102" s="198"/>
      <c r="T102" s="198"/>
      <c r="U102" s="198"/>
    </row>
    <row r="103" spans="1:33" s="12" customFormat="1" x14ac:dyDescent="0.25">
      <c r="A103" s="216" t="s">
        <v>2644</v>
      </c>
      <c r="B103" s="64">
        <v>1.61</v>
      </c>
      <c r="C103" s="64">
        <v>0.02</v>
      </c>
      <c r="D103" s="64">
        <v>0.5</v>
      </c>
      <c r="E103" s="64">
        <v>0.56000000000000005</v>
      </c>
      <c r="F103" s="64">
        <v>3.36</v>
      </c>
      <c r="G103" s="64">
        <v>43.76</v>
      </c>
      <c r="H103" s="64">
        <v>18.34</v>
      </c>
      <c r="I103" s="64">
        <v>5.68</v>
      </c>
      <c r="J103" s="64">
        <v>0.09</v>
      </c>
      <c r="K103" s="64">
        <v>142.32</v>
      </c>
      <c r="L103" s="64">
        <v>30.26</v>
      </c>
      <c r="M103" s="64">
        <v>50.91</v>
      </c>
      <c r="N103" s="64">
        <v>26.1</v>
      </c>
      <c r="O103" s="64">
        <v>0</v>
      </c>
      <c r="P103" s="64">
        <v>0.56000000000000005</v>
      </c>
      <c r="Q103" s="64">
        <v>9.3699999999999992</v>
      </c>
      <c r="R103" s="198"/>
      <c r="S103" s="198"/>
      <c r="T103" s="198"/>
      <c r="U103" s="198"/>
    </row>
    <row r="104" spans="1:33" s="12" customFormat="1" x14ac:dyDescent="0.25">
      <c r="A104" s="216" t="s">
        <v>2645</v>
      </c>
      <c r="B104" s="64">
        <v>1.82</v>
      </c>
      <c r="C104" s="64">
        <v>1.04</v>
      </c>
      <c r="D104" s="64">
        <v>1.27</v>
      </c>
      <c r="E104" s="64">
        <v>0.93</v>
      </c>
      <c r="F104" s="64">
        <v>3.49</v>
      </c>
      <c r="G104" s="64">
        <v>43.76</v>
      </c>
      <c r="H104" s="64">
        <v>18.34</v>
      </c>
      <c r="I104" s="64">
        <v>5.63</v>
      </c>
      <c r="J104" s="64">
        <v>0.08</v>
      </c>
      <c r="K104" s="64">
        <v>346</v>
      </c>
      <c r="L104" s="64">
        <v>29.92</v>
      </c>
      <c r="M104" s="64">
        <v>54.64</v>
      </c>
      <c r="N104" s="64">
        <v>26.3</v>
      </c>
      <c r="O104" s="64">
        <v>0</v>
      </c>
      <c r="P104" s="64">
        <v>0.56999999999999995</v>
      </c>
      <c r="Q104" s="64">
        <v>9.3800000000000008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</v>
      </c>
      <c r="C106" s="67">
        <f>MIN(C9:C104)</f>
        <v>0</v>
      </c>
      <c r="D106" s="67">
        <f t="shared" ref="D106:Q106" si="0">MIN(D9:D104)</f>
        <v>0.33</v>
      </c>
      <c r="E106" s="67">
        <f t="shared" si="0"/>
        <v>0.41</v>
      </c>
      <c r="F106" s="67">
        <f t="shared" si="0"/>
        <v>2.2999999999999998</v>
      </c>
      <c r="G106" s="67">
        <f t="shared" si="0"/>
        <v>26.86</v>
      </c>
      <c r="H106" s="67">
        <f t="shared" si="0"/>
        <v>8.7200000000000006</v>
      </c>
      <c r="I106" s="67">
        <f t="shared" si="0"/>
        <v>4.57</v>
      </c>
      <c r="J106" s="67">
        <f t="shared" si="0"/>
        <v>0.01</v>
      </c>
      <c r="K106" s="67">
        <f t="shared" si="0"/>
        <v>0.55000000000000004</v>
      </c>
      <c r="L106" s="67">
        <f t="shared" si="0"/>
        <v>25.83</v>
      </c>
      <c r="M106" s="67">
        <f t="shared" si="0"/>
        <v>35.020000000000003</v>
      </c>
      <c r="N106" s="67">
        <f t="shared" si="0"/>
        <v>20</v>
      </c>
      <c r="O106" s="67">
        <f t="shared" si="0"/>
        <v>0</v>
      </c>
      <c r="P106" s="67">
        <f t="shared" si="0"/>
        <v>0.31</v>
      </c>
      <c r="Q106" s="67">
        <f t="shared" si="0"/>
        <v>9.06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2.11</v>
      </c>
      <c r="C107" s="66">
        <f t="shared" ref="C107:Q107" si="1">MAX(C9:C104)</f>
        <v>3.99</v>
      </c>
      <c r="D107" s="66">
        <f t="shared" si="1"/>
        <v>3.04</v>
      </c>
      <c r="E107" s="66">
        <f t="shared" si="1"/>
        <v>2.75</v>
      </c>
      <c r="F107" s="66">
        <f t="shared" si="1"/>
        <v>5.69</v>
      </c>
      <c r="G107" s="66">
        <f t="shared" si="1"/>
        <v>43.76</v>
      </c>
      <c r="H107" s="66">
        <f t="shared" si="1"/>
        <v>19.32</v>
      </c>
      <c r="I107" s="66">
        <f t="shared" si="1"/>
        <v>8.81</v>
      </c>
      <c r="J107" s="66">
        <f t="shared" si="1"/>
        <v>1.57</v>
      </c>
      <c r="K107" s="66">
        <f t="shared" si="1"/>
        <v>352.96</v>
      </c>
      <c r="L107" s="66">
        <f t="shared" si="1"/>
        <v>36.19</v>
      </c>
      <c r="M107" s="66">
        <f t="shared" si="1"/>
        <v>72.34</v>
      </c>
      <c r="N107" s="66">
        <f t="shared" si="1"/>
        <v>873.2</v>
      </c>
      <c r="O107" s="66">
        <f t="shared" si="1"/>
        <v>0</v>
      </c>
      <c r="P107" s="66">
        <f t="shared" si="1"/>
        <v>0.56999999999999995</v>
      </c>
      <c r="Q107" s="66">
        <f t="shared" si="1"/>
        <v>9.4700000000000006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1.8487499999999999</v>
      </c>
      <c r="C108" s="67">
        <f t="shared" ref="C108:Q108" si="2">AVERAGE(C9:C104)</f>
        <v>1.7947916666666675</v>
      </c>
      <c r="D108" s="67">
        <f t="shared" si="2"/>
        <v>1.686354166666667</v>
      </c>
      <c r="E108" s="67">
        <f t="shared" si="2"/>
        <v>1.4940624999999994</v>
      </c>
      <c r="F108" s="67">
        <f t="shared" si="2"/>
        <v>4.2851041666666667</v>
      </c>
      <c r="G108" s="67">
        <f t="shared" si="2"/>
        <v>32.484791666666673</v>
      </c>
      <c r="H108" s="67">
        <f t="shared" si="2"/>
        <v>13.60125</v>
      </c>
      <c r="I108" s="67">
        <f t="shared" si="2"/>
        <v>6.7831250000000018</v>
      </c>
      <c r="J108" s="67">
        <f t="shared" si="2"/>
        <v>0.39229166666666648</v>
      </c>
      <c r="K108" s="67">
        <f t="shared" si="2"/>
        <v>151.07416666666666</v>
      </c>
      <c r="L108" s="67">
        <f t="shared" si="2"/>
        <v>31.207083333333347</v>
      </c>
      <c r="M108" s="67">
        <f t="shared" si="2"/>
        <v>50.405104166666682</v>
      </c>
      <c r="N108" s="67">
        <f t="shared" si="2"/>
        <v>239.0864583333333</v>
      </c>
      <c r="O108" s="67">
        <f t="shared" si="2"/>
        <v>0</v>
      </c>
      <c r="P108" s="67">
        <f t="shared" si="2"/>
        <v>0.37281249999999999</v>
      </c>
      <c r="Q108" s="67">
        <f t="shared" si="2"/>
        <v>9.2909375000000036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0.11769943880383135</v>
      </c>
      <c r="C109" s="67">
        <f t="shared" ref="C109:Q109" si="3">STDEV(C9:C104)</f>
        <v>1.0176732793528431</v>
      </c>
      <c r="D109" s="67">
        <f t="shared" si="3"/>
        <v>0.61656453931470134</v>
      </c>
      <c r="E109" s="67">
        <f t="shared" si="3"/>
        <v>0.56512798387435881</v>
      </c>
      <c r="F109" s="67">
        <f t="shared" si="3"/>
        <v>0.7076454580496081</v>
      </c>
      <c r="G109" s="67">
        <f t="shared" si="3"/>
        <v>4.6937194272136615</v>
      </c>
      <c r="H109" s="67">
        <f t="shared" si="3"/>
        <v>2.691331992663998</v>
      </c>
      <c r="I109" s="67">
        <f t="shared" si="3"/>
        <v>1.2469426294150769</v>
      </c>
      <c r="J109" s="67">
        <f t="shared" si="3"/>
        <v>0.28551884136065347</v>
      </c>
      <c r="K109" s="67">
        <f t="shared" si="3"/>
        <v>94.907969225224377</v>
      </c>
      <c r="L109" s="67">
        <f t="shared" si="3"/>
        <v>3.3753836169245091</v>
      </c>
      <c r="M109" s="67">
        <f t="shared" si="3"/>
        <v>11.586859980148194</v>
      </c>
      <c r="N109" s="67">
        <f t="shared" si="3"/>
        <v>285.28932816013548</v>
      </c>
      <c r="O109" s="67">
        <f t="shared" si="3"/>
        <v>0</v>
      </c>
      <c r="P109" s="67">
        <f t="shared" si="3"/>
        <v>7.0333089090787851E-2</v>
      </c>
      <c r="Q109" s="67">
        <f t="shared" si="3"/>
        <v>7.9869342316719077E-2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2646</v>
      </c>
      <c r="B9" s="64">
        <v>1.91</v>
      </c>
      <c r="C9" s="64">
        <v>1.76</v>
      </c>
      <c r="D9" s="64">
        <v>1.73</v>
      </c>
      <c r="E9" s="64">
        <v>0.55000000000000004</v>
      </c>
      <c r="F9" s="64">
        <v>3.82</v>
      </c>
      <c r="G9" s="64">
        <v>43.76</v>
      </c>
      <c r="H9" s="64">
        <v>18.34</v>
      </c>
      <c r="I9" s="64">
        <v>5.8</v>
      </c>
      <c r="J9" s="64">
        <v>0.03</v>
      </c>
      <c r="K9" s="64">
        <v>325.52</v>
      </c>
      <c r="L9" s="64">
        <v>29.63</v>
      </c>
      <c r="M9" s="64">
        <v>60.1</v>
      </c>
      <c r="N9" s="64">
        <v>26.2</v>
      </c>
      <c r="O9" s="64">
        <v>0</v>
      </c>
      <c r="P9" s="64">
        <v>0.59</v>
      </c>
      <c r="Q9" s="64">
        <v>9.36</v>
      </c>
      <c r="R9" s="198"/>
      <c r="S9" s="198"/>
      <c r="T9" s="198"/>
      <c r="U9" s="198"/>
    </row>
    <row r="10" spans="1:21" s="12" customFormat="1" x14ac:dyDescent="0.25">
      <c r="A10" s="216" t="s">
        <v>2647</v>
      </c>
      <c r="B10" s="64">
        <v>1.88</v>
      </c>
      <c r="C10" s="64">
        <v>1.71</v>
      </c>
      <c r="D10" s="64">
        <v>1.68</v>
      </c>
      <c r="E10" s="64">
        <v>0.87</v>
      </c>
      <c r="F10" s="64">
        <v>3.74</v>
      </c>
      <c r="G10" s="64">
        <v>43.79</v>
      </c>
      <c r="H10" s="64">
        <v>18.239999999999998</v>
      </c>
      <c r="I10" s="64">
        <v>6.28</v>
      </c>
      <c r="J10" s="64">
        <v>0.13</v>
      </c>
      <c r="K10" s="64">
        <v>213.27</v>
      </c>
      <c r="L10" s="64">
        <v>29.54</v>
      </c>
      <c r="M10" s="64">
        <v>58.18</v>
      </c>
      <c r="N10" s="64">
        <v>26.1</v>
      </c>
      <c r="O10" s="64">
        <v>0</v>
      </c>
      <c r="P10" s="64">
        <v>0.6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6" t="s">
        <v>2648</v>
      </c>
      <c r="B11" s="64">
        <v>1.82</v>
      </c>
      <c r="C11" s="64">
        <v>1.37</v>
      </c>
      <c r="D11" s="64">
        <v>1.44</v>
      </c>
      <c r="E11" s="64">
        <v>0.94</v>
      </c>
      <c r="F11" s="64">
        <v>2.7</v>
      </c>
      <c r="G11" s="64">
        <v>44.13</v>
      </c>
      <c r="H11" s="64">
        <v>17.13</v>
      </c>
      <c r="I11" s="64">
        <v>6.52</v>
      </c>
      <c r="J11" s="64">
        <v>0.3</v>
      </c>
      <c r="K11" s="64">
        <v>154.86000000000001</v>
      </c>
      <c r="L11" s="64">
        <v>29.86</v>
      </c>
      <c r="M11" s="64">
        <v>53.56</v>
      </c>
      <c r="N11" s="64">
        <v>25.5</v>
      </c>
      <c r="O11" s="64">
        <v>0</v>
      </c>
      <c r="P11" s="64">
        <v>0.57999999999999996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6" t="s">
        <v>2649</v>
      </c>
      <c r="B12" s="64">
        <v>1.79</v>
      </c>
      <c r="C12" s="64">
        <v>1.1299999999999999</v>
      </c>
      <c r="D12" s="64">
        <v>1.3</v>
      </c>
      <c r="E12" s="64">
        <v>1.05</v>
      </c>
      <c r="F12" s="64">
        <v>3.92</v>
      </c>
      <c r="G12" s="64">
        <v>44.13</v>
      </c>
      <c r="H12" s="64">
        <v>17.13</v>
      </c>
      <c r="I12" s="64">
        <v>6.3</v>
      </c>
      <c r="J12" s="64">
        <v>0.2</v>
      </c>
      <c r="K12" s="64">
        <v>204.22</v>
      </c>
      <c r="L12" s="64">
        <v>29.94</v>
      </c>
      <c r="M12" s="64">
        <v>52.81</v>
      </c>
      <c r="N12" s="64">
        <v>26</v>
      </c>
      <c r="O12" s="64">
        <v>0</v>
      </c>
      <c r="P12" s="64">
        <v>0.57999999999999996</v>
      </c>
      <c r="Q12" s="64">
        <v>9.31</v>
      </c>
      <c r="R12" s="198"/>
      <c r="S12" s="198"/>
      <c r="T12" s="198"/>
      <c r="U12" s="198"/>
    </row>
    <row r="13" spans="1:21" s="12" customFormat="1" x14ac:dyDescent="0.25">
      <c r="A13" s="216" t="s">
        <v>2650</v>
      </c>
      <c r="B13" s="64">
        <v>1.75</v>
      </c>
      <c r="C13" s="64">
        <v>0.97</v>
      </c>
      <c r="D13" s="64">
        <v>1.18</v>
      </c>
      <c r="E13" s="64">
        <v>1.1000000000000001</v>
      </c>
      <c r="F13" s="64">
        <v>3.52</v>
      </c>
      <c r="G13" s="64">
        <v>44.13</v>
      </c>
      <c r="H13" s="64">
        <v>17.13</v>
      </c>
      <c r="I13" s="64">
        <v>5.98</v>
      </c>
      <c r="J13" s="64">
        <v>0.09</v>
      </c>
      <c r="K13" s="64">
        <v>225.17</v>
      </c>
      <c r="L13" s="64">
        <v>29.7</v>
      </c>
      <c r="M13" s="64">
        <v>53.84</v>
      </c>
      <c r="N13" s="64">
        <v>26.3</v>
      </c>
      <c r="O13" s="64">
        <v>0</v>
      </c>
      <c r="P13" s="64">
        <v>0.56000000000000005</v>
      </c>
      <c r="Q13" s="64">
        <v>9.34</v>
      </c>
      <c r="R13" s="198"/>
      <c r="S13" s="198"/>
      <c r="T13" s="198"/>
      <c r="U13" s="198"/>
    </row>
    <row r="14" spans="1:21" s="12" customFormat="1" x14ac:dyDescent="0.25">
      <c r="A14" s="216" t="s">
        <v>2651</v>
      </c>
      <c r="B14" s="64">
        <v>1.84</v>
      </c>
      <c r="C14" s="64">
        <v>1.39</v>
      </c>
      <c r="D14" s="64">
        <v>1.48</v>
      </c>
      <c r="E14" s="64">
        <v>1.21</v>
      </c>
      <c r="F14" s="64">
        <v>3.72</v>
      </c>
      <c r="G14" s="64">
        <v>44.26</v>
      </c>
      <c r="H14" s="64">
        <v>17.21</v>
      </c>
      <c r="I14" s="64">
        <v>6.08</v>
      </c>
      <c r="J14" s="64">
        <v>0.77</v>
      </c>
      <c r="K14" s="64">
        <v>153.51</v>
      </c>
      <c r="L14" s="64">
        <v>29.66</v>
      </c>
      <c r="M14" s="64">
        <v>54.52</v>
      </c>
      <c r="N14" s="64">
        <v>25.4</v>
      </c>
      <c r="O14" s="64">
        <v>0</v>
      </c>
      <c r="P14" s="64">
        <v>0.56000000000000005</v>
      </c>
      <c r="Q14" s="64">
        <v>9.31</v>
      </c>
      <c r="R14" s="198"/>
      <c r="S14" s="198"/>
      <c r="T14" s="198"/>
      <c r="U14" s="198"/>
    </row>
    <row r="15" spans="1:21" s="12" customFormat="1" x14ac:dyDescent="0.25">
      <c r="A15" s="216" t="s">
        <v>2652</v>
      </c>
      <c r="B15" s="64">
        <v>1.82</v>
      </c>
      <c r="C15" s="64">
        <v>1.25</v>
      </c>
      <c r="D15" s="64">
        <v>1.38</v>
      </c>
      <c r="E15" s="64">
        <v>0.88</v>
      </c>
      <c r="F15" s="64">
        <v>3.76</v>
      </c>
      <c r="G15" s="64">
        <v>45.8</v>
      </c>
      <c r="H15" s="64">
        <v>18.21</v>
      </c>
      <c r="I15" s="64">
        <v>5.99</v>
      </c>
      <c r="J15" s="64">
        <v>0.32</v>
      </c>
      <c r="K15" s="64">
        <v>151.22</v>
      </c>
      <c r="L15" s="64">
        <v>29.63</v>
      </c>
      <c r="M15" s="64">
        <v>54.81</v>
      </c>
      <c r="N15" s="64">
        <v>26</v>
      </c>
      <c r="O15" s="64">
        <v>0</v>
      </c>
      <c r="P15" s="64">
        <v>0.56999999999999995</v>
      </c>
      <c r="Q15" s="64">
        <v>9.32</v>
      </c>
      <c r="R15" s="198"/>
      <c r="S15" s="198"/>
      <c r="T15" s="198"/>
      <c r="U15" s="198"/>
    </row>
    <row r="16" spans="1:21" s="12" customFormat="1" x14ac:dyDescent="0.25">
      <c r="A16" s="216" t="s">
        <v>2653</v>
      </c>
      <c r="B16" s="64">
        <v>1.79</v>
      </c>
      <c r="C16" s="64">
        <v>1.1399999999999999</v>
      </c>
      <c r="D16" s="64">
        <v>1.3</v>
      </c>
      <c r="E16" s="64">
        <v>0.94</v>
      </c>
      <c r="F16" s="64">
        <v>3.92</v>
      </c>
      <c r="G16" s="64">
        <v>45.8</v>
      </c>
      <c r="H16" s="64">
        <v>18.21</v>
      </c>
      <c r="I16" s="64">
        <v>6.28</v>
      </c>
      <c r="J16" s="64">
        <v>0.04</v>
      </c>
      <c r="K16" s="64">
        <v>130.35</v>
      </c>
      <c r="L16" s="64">
        <v>29.52</v>
      </c>
      <c r="M16" s="64">
        <v>54.83</v>
      </c>
      <c r="N16" s="64">
        <v>26.2</v>
      </c>
      <c r="O16" s="64">
        <v>0</v>
      </c>
      <c r="P16" s="64">
        <v>0.56000000000000005</v>
      </c>
      <c r="Q16" s="64">
        <v>9.2899999999999991</v>
      </c>
      <c r="R16" s="198"/>
      <c r="S16" s="198"/>
      <c r="T16" s="198"/>
      <c r="U16" s="198"/>
    </row>
    <row r="17" spans="1:21" s="12" customFormat="1" x14ac:dyDescent="0.25">
      <c r="A17" s="216" t="s">
        <v>2654</v>
      </c>
      <c r="B17" s="64">
        <v>1.81</v>
      </c>
      <c r="C17" s="64">
        <v>1.08</v>
      </c>
      <c r="D17" s="64">
        <v>1.29</v>
      </c>
      <c r="E17" s="64">
        <v>0.91</v>
      </c>
      <c r="F17" s="64">
        <v>4.1100000000000003</v>
      </c>
      <c r="G17" s="64">
        <v>45.8</v>
      </c>
      <c r="H17" s="64">
        <v>18.21</v>
      </c>
      <c r="I17" s="64">
        <v>6.35</v>
      </c>
      <c r="J17" s="64">
        <v>0.04</v>
      </c>
      <c r="K17" s="64">
        <v>13.75</v>
      </c>
      <c r="L17" s="64">
        <v>29.49</v>
      </c>
      <c r="M17" s="64">
        <v>55.85</v>
      </c>
      <c r="N17" s="64">
        <v>26.1</v>
      </c>
      <c r="O17" s="64">
        <v>0</v>
      </c>
      <c r="P17" s="64">
        <v>0.56000000000000005</v>
      </c>
      <c r="Q17" s="64">
        <v>9.31</v>
      </c>
      <c r="R17" s="198"/>
      <c r="S17" s="198"/>
      <c r="T17" s="198"/>
      <c r="U17" s="198"/>
    </row>
    <row r="18" spans="1:21" s="12" customFormat="1" x14ac:dyDescent="0.25">
      <c r="A18" s="216" t="s">
        <v>2655</v>
      </c>
      <c r="B18" s="64">
        <v>1.65</v>
      </c>
      <c r="C18" s="64">
        <v>0.34</v>
      </c>
      <c r="D18" s="64">
        <v>0.75</v>
      </c>
      <c r="E18" s="64">
        <v>0.67</v>
      </c>
      <c r="F18" s="64">
        <v>4.09</v>
      </c>
      <c r="G18" s="64">
        <v>45.76</v>
      </c>
      <c r="H18" s="64">
        <v>18.27</v>
      </c>
      <c r="I18" s="64">
        <v>6.35</v>
      </c>
      <c r="J18" s="64">
        <v>0.28000000000000003</v>
      </c>
      <c r="K18" s="64">
        <v>316.76</v>
      </c>
      <c r="L18" s="64">
        <v>29.2</v>
      </c>
      <c r="M18" s="64">
        <v>58.16</v>
      </c>
      <c r="N18" s="64">
        <v>26.1</v>
      </c>
      <c r="O18" s="64">
        <v>0</v>
      </c>
      <c r="P18" s="64">
        <v>0.55000000000000004</v>
      </c>
      <c r="Q18" s="64">
        <v>9.32</v>
      </c>
      <c r="R18" s="198"/>
      <c r="S18" s="198"/>
      <c r="T18" s="198"/>
      <c r="U18" s="198"/>
    </row>
    <row r="19" spans="1:21" s="12" customFormat="1" x14ac:dyDescent="0.25">
      <c r="A19" s="216" t="s">
        <v>2656</v>
      </c>
      <c r="B19" s="64">
        <v>1.68</v>
      </c>
      <c r="C19" s="64">
        <v>0.47</v>
      </c>
      <c r="D19" s="64">
        <v>0.81</v>
      </c>
      <c r="E19" s="64">
        <v>0.96</v>
      </c>
      <c r="F19" s="64">
        <v>4.0599999999999996</v>
      </c>
      <c r="G19" s="64">
        <v>45.26</v>
      </c>
      <c r="H19" s="64">
        <v>18.97</v>
      </c>
      <c r="I19" s="64">
        <v>6.47</v>
      </c>
      <c r="J19" s="64">
        <v>0.18</v>
      </c>
      <c r="K19" s="64">
        <v>17.440000000000001</v>
      </c>
      <c r="L19" s="64">
        <v>29.22</v>
      </c>
      <c r="M19" s="64">
        <v>57.93</v>
      </c>
      <c r="N19" s="64">
        <v>25.9</v>
      </c>
      <c r="O19" s="64">
        <v>0</v>
      </c>
      <c r="P19" s="64">
        <v>0.55000000000000004</v>
      </c>
      <c r="Q19" s="64">
        <v>9.32</v>
      </c>
      <c r="R19" s="198"/>
      <c r="S19" s="198"/>
      <c r="T19" s="198"/>
      <c r="U19" s="198"/>
    </row>
    <row r="20" spans="1:21" s="12" customFormat="1" x14ac:dyDescent="0.25">
      <c r="A20" s="216" t="s">
        <v>2657</v>
      </c>
      <c r="B20" s="64">
        <v>1.8</v>
      </c>
      <c r="C20" s="64">
        <v>1.02</v>
      </c>
      <c r="D20" s="64">
        <v>1.25</v>
      </c>
      <c r="E20" s="64">
        <v>0.7</v>
      </c>
      <c r="F20" s="64">
        <v>4.17</v>
      </c>
      <c r="G20" s="64">
        <v>45.26</v>
      </c>
      <c r="H20" s="64">
        <v>18.97</v>
      </c>
      <c r="I20" s="64">
        <v>6.45</v>
      </c>
      <c r="J20" s="64">
        <v>0.17</v>
      </c>
      <c r="K20" s="64">
        <v>8.34</v>
      </c>
      <c r="L20" s="64">
        <v>29.13</v>
      </c>
      <c r="M20" s="64">
        <v>59.27</v>
      </c>
      <c r="N20" s="64">
        <v>26</v>
      </c>
      <c r="O20" s="64">
        <v>0</v>
      </c>
      <c r="P20" s="64">
        <v>0.55000000000000004</v>
      </c>
      <c r="Q20" s="64">
        <v>9.32</v>
      </c>
      <c r="R20" s="198"/>
      <c r="S20" s="198"/>
      <c r="T20" s="198"/>
      <c r="U20" s="198"/>
    </row>
    <row r="21" spans="1:21" s="12" customFormat="1" x14ac:dyDescent="0.25">
      <c r="A21" s="216" t="s">
        <v>2658</v>
      </c>
      <c r="B21" s="64">
        <v>1.62</v>
      </c>
      <c r="C21" s="64">
        <v>0.05</v>
      </c>
      <c r="D21" s="64">
        <v>0.52</v>
      </c>
      <c r="E21" s="64">
        <v>0.79</v>
      </c>
      <c r="F21" s="64">
        <v>4.05</v>
      </c>
      <c r="G21" s="64">
        <v>45.26</v>
      </c>
      <c r="H21" s="64">
        <v>18.97</v>
      </c>
      <c r="I21" s="64">
        <v>6.19</v>
      </c>
      <c r="J21" s="64">
        <v>0.27</v>
      </c>
      <c r="K21" s="64">
        <v>316.3</v>
      </c>
      <c r="L21" s="64">
        <v>28.89</v>
      </c>
      <c r="M21" s="64">
        <v>60.65</v>
      </c>
      <c r="N21" s="64">
        <v>26</v>
      </c>
      <c r="O21" s="64">
        <v>0</v>
      </c>
      <c r="P21" s="64">
        <v>0.55000000000000004</v>
      </c>
      <c r="Q21" s="64">
        <v>9.33</v>
      </c>
      <c r="R21" s="198"/>
      <c r="S21" s="198"/>
      <c r="T21" s="198"/>
      <c r="U21" s="198"/>
    </row>
    <row r="22" spans="1:21" s="12" customFormat="1" x14ac:dyDescent="0.25">
      <c r="A22" s="216" t="s">
        <v>2659</v>
      </c>
      <c r="B22" s="64">
        <v>1.59</v>
      </c>
      <c r="C22" s="64">
        <v>0</v>
      </c>
      <c r="D22" s="64">
        <v>0.38</v>
      </c>
      <c r="E22" s="64">
        <v>0.54</v>
      </c>
      <c r="F22" s="64">
        <v>3.93</v>
      </c>
      <c r="G22" s="64">
        <v>45.24</v>
      </c>
      <c r="H22" s="64">
        <v>19.100000000000001</v>
      </c>
      <c r="I22" s="64">
        <v>5.88</v>
      </c>
      <c r="J22" s="64">
        <v>0.31</v>
      </c>
      <c r="K22" s="64">
        <v>308.37</v>
      </c>
      <c r="L22" s="64">
        <v>28.72</v>
      </c>
      <c r="M22" s="64">
        <v>61.21</v>
      </c>
      <c r="N22" s="64">
        <v>25.9</v>
      </c>
      <c r="O22" s="64">
        <v>0</v>
      </c>
      <c r="P22" s="64">
        <v>0.55000000000000004</v>
      </c>
      <c r="Q22" s="64">
        <v>9.34</v>
      </c>
      <c r="R22" s="198"/>
      <c r="S22" s="198"/>
      <c r="T22" s="198"/>
      <c r="U22" s="198"/>
    </row>
    <row r="23" spans="1:21" s="12" customFormat="1" x14ac:dyDescent="0.25">
      <c r="A23" s="216" t="s">
        <v>2660</v>
      </c>
      <c r="B23" s="64">
        <v>1.64</v>
      </c>
      <c r="C23" s="64">
        <v>0.19</v>
      </c>
      <c r="D23" s="64">
        <v>0.53</v>
      </c>
      <c r="E23" s="64">
        <v>1.06</v>
      </c>
      <c r="F23" s="64">
        <v>3.54</v>
      </c>
      <c r="G23" s="64">
        <v>45.08</v>
      </c>
      <c r="H23" s="64">
        <v>20.59</v>
      </c>
      <c r="I23" s="64">
        <v>5.8</v>
      </c>
      <c r="J23" s="64">
        <v>0.15</v>
      </c>
      <c r="K23" s="64">
        <v>324.55</v>
      </c>
      <c r="L23" s="64">
        <v>28.59</v>
      </c>
      <c r="M23" s="64">
        <v>61.83</v>
      </c>
      <c r="N23" s="64">
        <v>26</v>
      </c>
      <c r="O23" s="64">
        <v>0</v>
      </c>
      <c r="P23" s="64">
        <v>0.55000000000000004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16" t="s">
        <v>2661</v>
      </c>
      <c r="B24" s="64">
        <v>1.85</v>
      </c>
      <c r="C24" s="64">
        <v>0.98</v>
      </c>
      <c r="D24" s="64">
        <v>1.27</v>
      </c>
      <c r="E24" s="64">
        <v>1.24</v>
      </c>
      <c r="F24" s="64">
        <v>3.7</v>
      </c>
      <c r="G24" s="64">
        <v>45.08</v>
      </c>
      <c r="H24" s="64">
        <v>20.59</v>
      </c>
      <c r="I24" s="64">
        <v>5.42</v>
      </c>
      <c r="J24" s="64">
        <v>0.35</v>
      </c>
      <c r="K24" s="64">
        <v>312.94</v>
      </c>
      <c r="L24" s="64">
        <v>28.59</v>
      </c>
      <c r="M24" s="64">
        <v>62.67</v>
      </c>
      <c r="N24" s="64">
        <v>25.8</v>
      </c>
      <c r="O24" s="64">
        <v>0</v>
      </c>
      <c r="P24" s="64">
        <v>0.56000000000000005</v>
      </c>
      <c r="Q24" s="64">
        <v>9.36</v>
      </c>
      <c r="R24" s="198"/>
      <c r="S24" s="198"/>
      <c r="T24" s="198"/>
      <c r="U24" s="198"/>
    </row>
    <row r="25" spans="1:21" s="12" customFormat="1" x14ac:dyDescent="0.25">
      <c r="A25" s="216" t="s">
        <v>2662</v>
      </c>
      <c r="B25" s="64">
        <v>1.62</v>
      </c>
      <c r="C25" s="64">
        <v>0.03</v>
      </c>
      <c r="D25" s="64">
        <v>0.51</v>
      </c>
      <c r="E25" s="64">
        <v>1.01</v>
      </c>
      <c r="F25" s="64">
        <v>3.77</v>
      </c>
      <c r="G25" s="64">
        <v>45.08</v>
      </c>
      <c r="H25" s="64">
        <v>20.59</v>
      </c>
      <c r="I25" s="64">
        <v>5.52</v>
      </c>
      <c r="J25" s="64">
        <v>0.36</v>
      </c>
      <c r="K25" s="64">
        <v>313.20999999999998</v>
      </c>
      <c r="L25" s="64">
        <v>28.62</v>
      </c>
      <c r="M25" s="64">
        <v>64.13</v>
      </c>
      <c r="N25" s="64">
        <v>25.5</v>
      </c>
      <c r="O25" s="64">
        <v>0</v>
      </c>
      <c r="P25" s="64">
        <v>0.56000000000000005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6" t="s">
        <v>2663</v>
      </c>
      <c r="B26" s="64">
        <v>1.75</v>
      </c>
      <c r="C26" s="64">
        <v>0.6</v>
      </c>
      <c r="D26" s="64">
        <v>0.97</v>
      </c>
      <c r="E26" s="64">
        <v>0.87</v>
      </c>
      <c r="F26" s="64">
        <v>4.3899999999999997</v>
      </c>
      <c r="G26" s="64">
        <v>45.31</v>
      </c>
      <c r="H26" s="64">
        <v>20.58</v>
      </c>
      <c r="I26" s="64">
        <v>6.19</v>
      </c>
      <c r="J26" s="64">
        <v>0.24</v>
      </c>
      <c r="K26" s="64">
        <v>330.36</v>
      </c>
      <c r="L26" s="64">
        <v>28.67</v>
      </c>
      <c r="M26" s="64">
        <v>65.11</v>
      </c>
      <c r="N26" s="64">
        <v>25.8</v>
      </c>
      <c r="O26" s="64">
        <v>0</v>
      </c>
      <c r="P26" s="64">
        <v>0.55000000000000004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6" t="s">
        <v>2664</v>
      </c>
      <c r="B27" s="64">
        <v>1.63</v>
      </c>
      <c r="C27" s="64">
        <v>0.03</v>
      </c>
      <c r="D27" s="64">
        <v>0.54</v>
      </c>
      <c r="E27" s="64">
        <v>1.31</v>
      </c>
      <c r="F27" s="64">
        <v>4.1100000000000003</v>
      </c>
      <c r="G27" s="64">
        <v>48.02</v>
      </c>
      <c r="H27" s="64">
        <v>20.46</v>
      </c>
      <c r="I27" s="64">
        <v>6.53</v>
      </c>
      <c r="J27" s="64">
        <v>0.24</v>
      </c>
      <c r="K27" s="64">
        <v>339.09</v>
      </c>
      <c r="L27" s="64">
        <v>28.62</v>
      </c>
      <c r="M27" s="64">
        <v>66.08</v>
      </c>
      <c r="N27" s="64">
        <v>25.7</v>
      </c>
      <c r="O27" s="64">
        <v>0</v>
      </c>
      <c r="P27" s="64">
        <v>0.55000000000000004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6" t="s">
        <v>2665</v>
      </c>
      <c r="B28" s="64">
        <v>1.78</v>
      </c>
      <c r="C28" s="64">
        <v>0.75</v>
      </c>
      <c r="D28" s="64">
        <v>1.0900000000000001</v>
      </c>
      <c r="E28" s="64">
        <v>1.28</v>
      </c>
      <c r="F28" s="64">
        <v>4.3</v>
      </c>
      <c r="G28" s="64">
        <v>48.02</v>
      </c>
      <c r="H28" s="64">
        <v>20.46</v>
      </c>
      <c r="I28" s="64">
        <v>6.46</v>
      </c>
      <c r="J28" s="64">
        <v>0.21</v>
      </c>
      <c r="K28" s="64">
        <v>331.4</v>
      </c>
      <c r="L28" s="64">
        <v>28.49</v>
      </c>
      <c r="M28" s="64">
        <v>67.03</v>
      </c>
      <c r="N28" s="64">
        <v>26</v>
      </c>
      <c r="O28" s="64">
        <v>0</v>
      </c>
      <c r="P28" s="64">
        <v>0.54</v>
      </c>
      <c r="Q28" s="64">
        <v>9.34</v>
      </c>
      <c r="R28" s="198"/>
      <c r="S28" s="198"/>
      <c r="T28" s="198"/>
      <c r="U28" s="198"/>
    </row>
    <row r="29" spans="1:21" s="12" customFormat="1" x14ac:dyDescent="0.25">
      <c r="A29" s="216" t="s">
        <v>2666</v>
      </c>
      <c r="B29" s="64">
        <v>1.62</v>
      </c>
      <c r="C29" s="64">
        <v>0.08</v>
      </c>
      <c r="D29" s="64">
        <v>0.55000000000000004</v>
      </c>
      <c r="E29" s="64">
        <v>1.23</v>
      </c>
      <c r="F29" s="64">
        <v>4.34</v>
      </c>
      <c r="G29" s="64">
        <v>48.02</v>
      </c>
      <c r="H29" s="64">
        <v>20.46</v>
      </c>
      <c r="I29" s="64">
        <v>6.24</v>
      </c>
      <c r="J29" s="64">
        <v>0.13</v>
      </c>
      <c r="K29" s="64">
        <v>350.91</v>
      </c>
      <c r="L29" s="64">
        <v>28.36</v>
      </c>
      <c r="M29" s="64">
        <v>67.58</v>
      </c>
      <c r="N29" s="64">
        <v>27.5</v>
      </c>
      <c r="O29" s="64">
        <v>0</v>
      </c>
      <c r="P29" s="64">
        <v>0.54</v>
      </c>
      <c r="Q29" s="64">
        <v>9.31</v>
      </c>
      <c r="R29" s="198"/>
      <c r="S29" s="198"/>
      <c r="T29" s="198"/>
      <c r="U29" s="198"/>
    </row>
    <row r="30" spans="1:21" s="12" customFormat="1" x14ac:dyDescent="0.25">
      <c r="A30" s="216" t="s">
        <v>2667</v>
      </c>
      <c r="B30" s="64">
        <v>1.6</v>
      </c>
      <c r="C30" s="64">
        <v>0.17</v>
      </c>
      <c r="D30" s="64">
        <v>0.52</v>
      </c>
      <c r="E30" s="64">
        <v>1.06</v>
      </c>
      <c r="F30" s="64">
        <v>4.25</v>
      </c>
      <c r="G30" s="64">
        <v>48.15</v>
      </c>
      <c r="H30" s="64">
        <v>20.37</v>
      </c>
      <c r="I30" s="64">
        <v>5.79</v>
      </c>
      <c r="J30" s="64">
        <v>0.14000000000000001</v>
      </c>
      <c r="K30" s="64">
        <v>2.54</v>
      </c>
      <c r="L30" s="64">
        <v>28.21</v>
      </c>
      <c r="M30" s="64">
        <v>68.84</v>
      </c>
      <c r="N30" s="64">
        <v>37.4</v>
      </c>
      <c r="O30" s="64">
        <v>0</v>
      </c>
      <c r="P30" s="64">
        <v>0.54</v>
      </c>
      <c r="Q30" s="64">
        <v>9.31</v>
      </c>
      <c r="R30" s="198"/>
      <c r="S30" s="198"/>
      <c r="T30" s="198"/>
      <c r="U30" s="198"/>
    </row>
    <row r="31" spans="1:21" s="12" customFormat="1" x14ac:dyDescent="0.25">
      <c r="A31" s="216" t="s">
        <v>2668</v>
      </c>
      <c r="B31" s="64">
        <v>1.79</v>
      </c>
      <c r="C31" s="64">
        <v>1.03</v>
      </c>
      <c r="D31" s="64">
        <v>1.25</v>
      </c>
      <c r="E31" s="64">
        <v>1.54</v>
      </c>
      <c r="F31" s="64">
        <v>4.1100000000000003</v>
      </c>
      <c r="G31" s="64">
        <v>49.78</v>
      </c>
      <c r="H31" s="64">
        <v>19.32</v>
      </c>
      <c r="I31" s="64">
        <v>5.68</v>
      </c>
      <c r="J31" s="64">
        <v>0.13</v>
      </c>
      <c r="K31" s="64">
        <v>11.14</v>
      </c>
      <c r="L31" s="64">
        <v>28.15</v>
      </c>
      <c r="M31" s="64">
        <v>70.94</v>
      </c>
      <c r="N31" s="64">
        <v>56.1</v>
      </c>
      <c r="O31" s="64">
        <v>0</v>
      </c>
      <c r="P31" s="64">
        <v>0.54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6" t="s">
        <v>2669</v>
      </c>
      <c r="B32" s="64">
        <v>1.65</v>
      </c>
      <c r="C32" s="64">
        <v>0.33</v>
      </c>
      <c r="D32" s="64">
        <v>0.76</v>
      </c>
      <c r="E32" s="64">
        <v>1.27</v>
      </c>
      <c r="F32" s="64">
        <v>4.4800000000000004</v>
      </c>
      <c r="G32" s="64">
        <v>49.78</v>
      </c>
      <c r="H32" s="64">
        <v>19.32</v>
      </c>
      <c r="I32" s="64">
        <v>5.74</v>
      </c>
      <c r="J32" s="64">
        <v>0.19</v>
      </c>
      <c r="K32" s="64">
        <v>331.36</v>
      </c>
      <c r="L32" s="64">
        <v>28.39</v>
      </c>
      <c r="M32" s="64">
        <v>70.77</v>
      </c>
      <c r="N32" s="64">
        <v>81.599999999999994</v>
      </c>
      <c r="O32" s="64">
        <v>0</v>
      </c>
      <c r="P32" s="64">
        <v>0.55000000000000004</v>
      </c>
      <c r="Q32" s="64">
        <v>9.3000000000000007</v>
      </c>
      <c r="R32" s="198"/>
      <c r="S32" s="198"/>
      <c r="T32" s="198"/>
      <c r="U32" s="198"/>
    </row>
    <row r="33" spans="1:21" s="12" customFormat="1" x14ac:dyDescent="0.25">
      <c r="A33" s="216" t="s">
        <v>2670</v>
      </c>
      <c r="B33" s="64">
        <v>1.79</v>
      </c>
      <c r="C33" s="64">
        <v>1.1599999999999999</v>
      </c>
      <c r="D33" s="64">
        <v>1.31</v>
      </c>
      <c r="E33" s="64">
        <v>1.51</v>
      </c>
      <c r="F33" s="64">
        <v>3.61</v>
      </c>
      <c r="G33" s="64">
        <v>49.78</v>
      </c>
      <c r="H33" s="64">
        <v>19.32</v>
      </c>
      <c r="I33" s="64">
        <v>5.45</v>
      </c>
      <c r="J33" s="64">
        <v>0.15</v>
      </c>
      <c r="K33" s="64">
        <v>12.23</v>
      </c>
      <c r="L33" s="64">
        <v>28.63</v>
      </c>
      <c r="M33" s="64">
        <v>69.88</v>
      </c>
      <c r="N33" s="64">
        <v>112.9</v>
      </c>
      <c r="O33" s="64">
        <v>0</v>
      </c>
      <c r="P33" s="64">
        <v>0.57999999999999996</v>
      </c>
      <c r="Q33" s="64">
        <v>9.24</v>
      </c>
      <c r="R33" s="198"/>
      <c r="S33" s="198"/>
      <c r="T33" s="198"/>
      <c r="U33" s="198"/>
    </row>
    <row r="34" spans="1:21" s="12" customFormat="1" x14ac:dyDescent="0.25">
      <c r="A34" s="216" t="s">
        <v>2671</v>
      </c>
      <c r="B34" s="64">
        <v>1.7</v>
      </c>
      <c r="C34" s="64">
        <v>0.74</v>
      </c>
      <c r="D34" s="64">
        <v>1.02</v>
      </c>
      <c r="E34" s="64">
        <v>1.34</v>
      </c>
      <c r="F34" s="64">
        <v>3.2</v>
      </c>
      <c r="G34" s="64">
        <v>49.84</v>
      </c>
      <c r="H34" s="64">
        <v>19.41</v>
      </c>
      <c r="I34" s="64">
        <v>5.35</v>
      </c>
      <c r="J34" s="64">
        <v>0.15</v>
      </c>
      <c r="K34" s="64">
        <v>4.43</v>
      </c>
      <c r="L34" s="64">
        <v>28.9</v>
      </c>
      <c r="M34" s="64">
        <v>69.37</v>
      </c>
      <c r="N34" s="64">
        <v>134.4</v>
      </c>
      <c r="O34" s="64">
        <v>0</v>
      </c>
      <c r="P34" s="64">
        <v>0.62</v>
      </c>
      <c r="Q34" s="64">
        <v>9.2100000000000009</v>
      </c>
      <c r="R34" s="198"/>
      <c r="S34" s="198"/>
      <c r="T34" s="198"/>
      <c r="U34" s="198"/>
    </row>
    <row r="35" spans="1:21" s="12" customFormat="1" x14ac:dyDescent="0.25">
      <c r="A35" s="216" t="s">
        <v>2672</v>
      </c>
      <c r="B35" s="64">
        <v>1.65</v>
      </c>
      <c r="C35" s="64">
        <v>0.43</v>
      </c>
      <c r="D35" s="64">
        <v>0.82</v>
      </c>
      <c r="E35" s="64">
        <v>1.3</v>
      </c>
      <c r="F35" s="64">
        <v>3.76</v>
      </c>
      <c r="G35" s="64">
        <v>50.53</v>
      </c>
      <c r="H35" s="64">
        <v>20.57</v>
      </c>
      <c r="I35" s="64">
        <v>5.49</v>
      </c>
      <c r="J35" s="64">
        <v>0.28999999999999998</v>
      </c>
      <c r="K35" s="64">
        <v>335.38</v>
      </c>
      <c r="L35" s="64">
        <v>29.65</v>
      </c>
      <c r="M35" s="64">
        <v>66.12</v>
      </c>
      <c r="N35" s="64">
        <v>180.9</v>
      </c>
      <c r="O35" s="64">
        <v>0</v>
      </c>
      <c r="P35" s="64">
        <v>0.68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6" t="s">
        <v>2673</v>
      </c>
      <c r="B36" s="64">
        <v>1.72</v>
      </c>
      <c r="C36" s="64">
        <v>0.9</v>
      </c>
      <c r="D36" s="64">
        <v>1.1200000000000001</v>
      </c>
      <c r="E36" s="64">
        <v>1.25</v>
      </c>
      <c r="F36" s="64">
        <v>4.42</v>
      </c>
      <c r="G36" s="64">
        <v>50.53</v>
      </c>
      <c r="H36" s="64">
        <v>20.57</v>
      </c>
      <c r="I36" s="64">
        <v>5.78</v>
      </c>
      <c r="J36" s="64">
        <v>0.44</v>
      </c>
      <c r="K36" s="64">
        <v>324.23</v>
      </c>
      <c r="L36" s="64">
        <v>30.55</v>
      </c>
      <c r="M36" s="64">
        <v>60.73</v>
      </c>
      <c r="N36" s="64">
        <v>232.9</v>
      </c>
      <c r="O36" s="64">
        <v>0</v>
      </c>
      <c r="P36" s="64">
        <v>0.75</v>
      </c>
      <c r="Q36" s="64">
        <v>9.25</v>
      </c>
      <c r="R36" s="198"/>
      <c r="S36" s="198"/>
      <c r="T36" s="198"/>
      <c r="U36" s="198"/>
    </row>
    <row r="37" spans="1:21" s="12" customFormat="1" x14ac:dyDescent="0.25">
      <c r="A37" s="216" t="s">
        <v>2674</v>
      </c>
      <c r="B37" s="64">
        <v>1.71</v>
      </c>
      <c r="C37" s="64">
        <v>1.1499999999999999</v>
      </c>
      <c r="D37" s="64">
        <v>1.25</v>
      </c>
      <c r="E37" s="64">
        <v>1.32</v>
      </c>
      <c r="F37" s="64">
        <v>5.9</v>
      </c>
      <c r="G37" s="64">
        <v>50.53</v>
      </c>
      <c r="H37" s="64">
        <v>20.57</v>
      </c>
      <c r="I37" s="64">
        <v>6.4</v>
      </c>
      <c r="J37" s="64">
        <v>0.46</v>
      </c>
      <c r="K37" s="64">
        <v>318.77</v>
      </c>
      <c r="L37" s="64">
        <v>31.38</v>
      </c>
      <c r="M37" s="64">
        <v>57.77</v>
      </c>
      <c r="N37" s="64">
        <v>263.5</v>
      </c>
      <c r="O37" s="64">
        <v>0</v>
      </c>
      <c r="P37" s="64">
        <v>0.6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6" t="s">
        <v>2675</v>
      </c>
      <c r="B38" s="64">
        <v>1.61</v>
      </c>
      <c r="C38" s="64">
        <v>0.37</v>
      </c>
      <c r="D38" s="64">
        <v>0.73</v>
      </c>
      <c r="E38" s="64">
        <v>0.94</v>
      </c>
      <c r="F38" s="64">
        <v>6.31</v>
      </c>
      <c r="G38" s="64">
        <v>50.5</v>
      </c>
      <c r="H38" s="64">
        <v>20.63</v>
      </c>
      <c r="I38" s="64">
        <v>6.58</v>
      </c>
      <c r="J38" s="64">
        <v>0.63</v>
      </c>
      <c r="K38" s="64">
        <v>304.45999999999998</v>
      </c>
      <c r="L38" s="64">
        <v>31.9</v>
      </c>
      <c r="M38" s="64">
        <v>55.59</v>
      </c>
      <c r="N38" s="64">
        <v>289.39999999999998</v>
      </c>
      <c r="O38" s="64">
        <v>0</v>
      </c>
      <c r="P38" s="64">
        <v>0.6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16" t="s">
        <v>2676</v>
      </c>
      <c r="B39" s="64">
        <v>1.55</v>
      </c>
      <c r="C39" s="214" t="s">
        <v>42</v>
      </c>
      <c r="D39" s="64">
        <v>0.28000000000000003</v>
      </c>
      <c r="E39" s="64">
        <v>1.04</v>
      </c>
      <c r="F39" s="64">
        <v>6.19</v>
      </c>
      <c r="G39" s="64">
        <v>50.14</v>
      </c>
      <c r="H39" s="64">
        <v>21.3</v>
      </c>
      <c r="I39" s="64">
        <v>6.42</v>
      </c>
      <c r="J39" s="64">
        <v>0.55000000000000004</v>
      </c>
      <c r="K39" s="64">
        <v>310.5</v>
      </c>
      <c r="L39" s="64">
        <v>32.5</v>
      </c>
      <c r="M39" s="64">
        <v>53.21</v>
      </c>
      <c r="N39" s="64">
        <v>346.9</v>
      </c>
      <c r="O39" s="64">
        <v>0</v>
      </c>
      <c r="P39" s="64">
        <v>0.56999999999999995</v>
      </c>
      <c r="Q39" s="64">
        <v>9.3000000000000007</v>
      </c>
      <c r="R39" s="198"/>
      <c r="S39" s="198"/>
      <c r="T39" s="198"/>
      <c r="U39" s="198"/>
    </row>
    <row r="40" spans="1:21" s="12" customFormat="1" x14ac:dyDescent="0.25">
      <c r="A40" s="216" t="s">
        <v>2677</v>
      </c>
      <c r="B40" s="64">
        <v>1.53</v>
      </c>
      <c r="C40" s="214" t="s">
        <v>42</v>
      </c>
      <c r="D40" s="64">
        <v>0.24</v>
      </c>
      <c r="E40" s="64">
        <v>2.21</v>
      </c>
      <c r="F40" s="64">
        <v>6.12</v>
      </c>
      <c r="G40" s="64">
        <v>50.14</v>
      </c>
      <c r="H40" s="64">
        <v>21.3</v>
      </c>
      <c r="I40" s="64">
        <v>6.14</v>
      </c>
      <c r="J40" s="64">
        <v>0.68</v>
      </c>
      <c r="K40" s="64">
        <v>311.08</v>
      </c>
      <c r="L40" s="64">
        <v>33.17</v>
      </c>
      <c r="M40" s="64">
        <v>51.21</v>
      </c>
      <c r="N40" s="64">
        <v>354.3</v>
      </c>
      <c r="O40" s="64">
        <v>0</v>
      </c>
      <c r="P40" s="64">
        <v>0.54</v>
      </c>
      <c r="Q40" s="64">
        <v>9.3000000000000007</v>
      </c>
      <c r="R40" s="198"/>
      <c r="S40" s="198"/>
      <c r="T40" s="198"/>
      <c r="U40" s="198"/>
    </row>
    <row r="41" spans="1:21" s="12" customFormat="1" x14ac:dyDescent="0.25">
      <c r="A41" s="216" t="s">
        <v>2678</v>
      </c>
      <c r="B41" s="64">
        <v>1.55</v>
      </c>
      <c r="C41" s="214" t="s">
        <v>42</v>
      </c>
      <c r="D41" s="64">
        <v>0.28999999999999998</v>
      </c>
      <c r="E41" s="64">
        <v>2.02</v>
      </c>
      <c r="F41" s="64">
        <v>6.49</v>
      </c>
      <c r="G41" s="64">
        <v>50.14</v>
      </c>
      <c r="H41" s="64">
        <v>21.3</v>
      </c>
      <c r="I41" s="64">
        <v>5.73</v>
      </c>
      <c r="J41" s="64">
        <v>0.38</v>
      </c>
      <c r="K41" s="64">
        <v>320.87</v>
      </c>
      <c r="L41" s="64">
        <v>33.43</v>
      </c>
      <c r="M41" s="64">
        <v>50.17</v>
      </c>
      <c r="N41" s="64">
        <v>335.5</v>
      </c>
      <c r="O41" s="64">
        <v>0</v>
      </c>
      <c r="P41" s="64">
        <v>0.52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16" t="s">
        <v>2679</v>
      </c>
      <c r="B42" s="64">
        <v>1.75</v>
      </c>
      <c r="C42" s="214" t="s">
        <v>42</v>
      </c>
      <c r="D42" s="64">
        <v>1.1599999999999999</v>
      </c>
      <c r="E42" s="64">
        <v>2.57</v>
      </c>
      <c r="F42" s="64">
        <v>6.51</v>
      </c>
      <c r="G42" s="64">
        <v>49.84</v>
      </c>
      <c r="H42" s="64">
        <v>21.24</v>
      </c>
      <c r="I42" s="64">
        <v>5.37</v>
      </c>
      <c r="J42" s="64">
        <v>0.28999999999999998</v>
      </c>
      <c r="K42" s="64">
        <v>329.73</v>
      </c>
      <c r="L42" s="64">
        <v>33.840000000000003</v>
      </c>
      <c r="M42" s="64">
        <v>49.29</v>
      </c>
      <c r="N42" s="64">
        <v>380.3</v>
      </c>
      <c r="O42" s="64">
        <v>0</v>
      </c>
      <c r="P42" s="64">
        <v>0.51</v>
      </c>
      <c r="Q42" s="64">
        <v>9.31</v>
      </c>
      <c r="R42" s="198"/>
      <c r="S42" s="198"/>
      <c r="T42" s="198"/>
      <c r="U42" s="198"/>
    </row>
    <row r="43" spans="1:21" s="12" customFormat="1" x14ac:dyDescent="0.25">
      <c r="A43" s="216" t="s">
        <v>2680</v>
      </c>
      <c r="B43" s="64">
        <v>1.59</v>
      </c>
      <c r="C43" s="214" t="s">
        <v>42</v>
      </c>
      <c r="D43" s="64">
        <v>0.5</v>
      </c>
      <c r="E43" s="64">
        <v>1.95</v>
      </c>
      <c r="F43" s="64">
        <v>6.51</v>
      </c>
      <c r="G43" s="64">
        <v>46.26</v>
      </c>
      <c r="H43" s="64">
        <v>20.54</v>
      </c>
      <c r="I43" s="64">
        <v>5.07</v>
      </c>
      <c r="J43" s="64">
        <v>0.33</v>
      </c>
      <c r="K43" s="64">
        <v>326.16000000000003</v>
      </c>
      <c r="L43" s="64">
        <v>34.17</v>
      </c>
      <c r="M43" s="64">
        <v>48.4</v>
      </c>
      <c r="N43" s="64">
        <v>474.3</v>
      </c>
      <c r="O43" s="64">
        <v>0</v>
      </c>
      <c r="P43" s="64">
        <v>0.51</v>
      </c>
      <c r="Q43" s="64">
        <v>9.2799999999999994</v>
      </c>
      <c r="R43" s="198"/>
      <c r="S43" s="198"/>
      <c r="T43" s="198"/>
      <c r="U43" s="198"/>
    </row>
    <row r="44" spans="1:21" s="12" customFormat="1" x14ac:dyDescent="0.25">
      <c r="A44" s="216" t="s">
        <v>2681</v>
      </c>
      <c r="B44" s="64">
        <v>1.54</v>
      </c>
      <c r="C44" s="214" t="s">
        <v>42</v>
      </c>
      <c r="D44" s="64">
        <v>0.31</v>
      </c>
      <c r="E44" s="64">
        <v>2.2799999999999998</v>
      </c>
      <c r="F44" s="64">
        <v>7.12</v>
      </c>
      <c r="G44" s="64">
        <v>46.26</v>
      </c>
      <c r="H44" s="64">
        <v>20.54</v>
      </c>
      <c r="I44" s="64">
        <v>4.87</v>
      </c>
      <c r="J44" s="64">
        <v>0.27</v>
      </c>
      <c r="K44" s="64">
        <v>355.87</v>
      </c>
      <c r="L44" s="64">
        <v>34.53</v>
      </c>
      <c r="M44" s="64">
        <v>46.96</v>
      </c>
      <c r="N44" s="64">
        <v>541.6</v>
      </c>
      <c r="O44" s="64">
        <v>0</v>
      </c>
      <c r="P44" s="64">
        <v>0.5</v>
      </c>
      <c r="Q44" s="64">
        <v>9.31</v>
      </c>
      <c r="R44" s="198"/>
      <c r="S44" s="198"/>
      <c r="T44" s="198"/>
      <c r="U44" s="198"/>
    </row>
    <row r="45" spans="1:21" s="12" customFormat="1" x14ac:dyDescent="0.25">
      <c r="A45" s="216" t="s">
        <v>2682</v>
      </c>
      <c r="B45" s="64">
        <v>1.72</v>
      </c>
      <c r="C45" s="64">
        <v>0.87</v>
      </c>
      <c r="D45" s="64">
        <v>1.06</v>
      </c>
      <c r="E45" s="64">
        <v>2.0699999999999998</v>
      </c>
      <c r="F45" s="64">
        <v>6.93</v>
      </c>
      <c r="G45" s="64">
        <v>46.26</v>
      </c>
      <c r="H45" s="64">
        <v>20.54</v>
      </c>
      <c r="I45" s="64">
        <v>4.6900000000000004</v>
      </c>
      <c r="J45" s="64">
        <v>0.3</v>
      </c>
      <c r="K45" s="64">
        <v>349.86</v>
      </c>
      <c r="L45" s="64">
        <v>34.89</v>
      </c>
      <c r="M45" s="64">
        <v>46.27</v>
      </c>
      <c r="N45" s="64">
        <v>506.4</v>
      </c>
      <c r="O45" s="64">
        <v>0</v>
      </c>
      <c r="P45" s="64">
        <v>0.5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6" t="s">
        <v>2683</v>
      </c>
      <c r="B46" s="64">
        <v>1.59</v>
      </c>
      <c r="C46" s="64">
        <v>0.25</v>
      </c>
      <c r="D46" s="64">
        <v>0.66</v>
      </c>
      <c r="E46" s="64">
        <v>2.16</v>
      </c>
      <c r="F46" s="64">
        <v>7.04</v>
      </c>
      <c r="G46" s="64">
        <v>46.08</v>
      </c>
      <c r="H46" s="64">
        <v>20.45</v>
      </c>
      <c r="I46" s="64">
        <v>4.54</v>
      </c>
      <c r="J46" s="64">
        <v>0.36</v>
      </c>
      <c r="K46" s="64">
        <v>322.14999999999998</v>
      </c>
      <c r="L46" s="64">
        <v>35.56</v>
      </c>
      <c r="M46" s="64">
        <v>44.73</v>
      </c>
      <c r="N46" s="64">
        <v>608</v>
      </c>
      <c r="O46" s="64">
        <v>0</v>
      </c>
      <c r="P46" s="64">
        <v>0.49</v>
      </c>
      <c r="Q46" s="64">
        <v>9.27</v>
      </c>
      <c r="R46" s="198"/>
      <c r="S46" s="198"/>
      <c r="T46" s="198"/>
      <c r="U46" s="198"/>
    </row>
    <row r="47" spans="1:21" s="12" customFormat="1" x14ac:dyDescent="0.25">
      <c r="A47" s="216" t="s">
        <v>2684</v>
      </c>
      <c r="B47" s="64">
        <v>1.61</v>
      </c>
      <c r="C47" s="64">
        <v>0.38</v>
      </c>
      <c r="D47" s="64">
        <v>0.72</v>
      </c>
      <c r="E47" s="64">
        <v>2.2599999999999998</v>
      </c>
      <c r="F47" s="64">
        <v>7.41</v>
      </c>
      <c r="G47" s="64">
        <v>43.92</v>
      </c>
      <c r="H47" s="64">
        <v>19.38</v>
      </c>
      <c r="I47" s="64">
        <v>4.4800000000000004</v>
      </c>
      <c r="J47" s="64">
        <v>0.75</v>
      </c>
      <c r="K47" s="64">
        <v>318.74</v>
      </c>
      <c r="L47" s="64">
        <v>36.6</v>
      </c>
      <c r="M47" s="64">
        <v>42.71</v>
      </c>
      <c r="N47" s="64">
        <v>675.1</v>
      </c>
      <c r="O47" s="64">
        <v>0</v>
      </c>
      <c r="P47" s="64">
        <v>0.49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16" t="s">
        <v>2685</v>
      </c>
      <c r="B48" s="64">
        <v>1.56</v>
      </c>
      <c r="C48" s="64">
        <v>0.08</v>
      </c>
      <c r="D48" s="64">
        <v>0.5</v>
      </c>
      <c r="E48" s="64">
        <v>2.08</v>
      </c>
      <c r="F48" s="64">
        <v>7.49</v>
      </c>
      <c r="G48" s="64">
        <v>43.92</v>
      </c>
      <c r="H48" s="64">
        <v>19.38</v>
      </c>
      <c r="I48" s="64">
        <v>4.2</v>
      </c>
      <c r="J48" s="64">
        <v>0.79</v>
      </c>
      <c r="K48" s="64">
        <v>313.11</v>
      </c>
      <c r="L48" s="64">
        <v>37.72</v>
      </c>
      <c r="M48" s="64">
        <v>40.479999999999997</v>
      </c>
      <c r="N48" s="64">
        <v>771.4</v>
      </c>
      <c r="O48" s="64">
        <v>0</v>
      </c>
      <c r="P48" s="64">
        <v>0.5</v>
      </c>
      <c r="Q48" s="64">
        <v>9.25</v>
      </c>
      <c r="R48" s="198"/>
      <c r="S48" s="198"/>
      <c r="T48" s="198"/>
      <c r="U48" s="198"/>
    </row>
    <row r="49" spans="1:21" s="12" customFormat="1" x14ac:dyDescent="0.25">
      <c r="A49" s="216" t="s">
        <v>2686</v>
      </c>
      <c r="B49" s="64">
        <v>1.65</v>
      </c>
      <c r="C49" s="64">
        <v>0.73</v>
      </c>
      <c r="D49" s="64">
        <v>0.9</v>
      </c>
      <c r="E49" s="64">
        <v>2.21</v>
      </c>
      <c r="F49" s="64">
        <v>7.64</v>
      </c>
      <c r="G49" s="64">
        <v>43.92</v>
      </c>
      <c r="H49" s="64">
        <v>19.38</v>
      </c>
      <c r="I49" s="64">
        <v>3.95</v>
      </c>
      <c r="J49" s="64">
        <v>0.88</v>
      </c>
      <c r="K49" s="64">
        <v>323.8</v>
      </c>
      <c r="L49" s="64">
        <v>38.06</v>
      </c>
      <c r="M49" s="64">
        <v>39.44</v>
      </c>
      <c r="N49" s="64">
        <v>733.5</v>
      </c>
      <c r="O49" s="64">
        <v>0</v>
      </c>
      <c r="P49" s="64">
        <v>0.5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16" t="s">
        <v>2687</v>
      </c>
      <c r="B50" s="64">
        <v>1.58</v>
      </c>
      <c r="C50" s="64">
        <v>0.34</v>
      </c>
      <c r="D50" s="64">
        <v>0.71</v>
      </c>
      <c r="E50" s="64">
        <v>2.0699999999999998</v>
      </c>
      <c r="F50" s="64">
        <v>7.53</v>
      </c>
      <c r="G50" s="64">
        <v>44.16</v>
      </c>
      <c r="H50" s="64">
        <v>19.38</v>
      </c>
      <c r="I50" s="64">
        <v>3.87</v>
      </c>
      <c r="J50" s="64">
        <v>0.62</v>
      </c>
      <c r="K50" s="64">
        <v>318.82</v>
      </c>
      <c r="L50" s="64">
        <v>38.479999999999997</v>
      </c>
      <c r="M50" s="64">
        <v>37.76</v>
      </c>
      <c r="N50" s="64">
        <v>750.6</v>
      </c>
      <c r="O50" s="64">
        <v>0</v>
      </c>
      <c r="P50" s="64">
        <v>0.5</v>
      </c>
      <c r="Q50" s="64">
        <v>9.2200000000000006</v>
      </c>
      <c r="R50" s="198"/>
      <c r="S50" s="198"/>
      <c r="T50" s="198"/>
      <c r="U50" s="198"/>
    </row>
    <row r="51" spans="1:21" s="12" customFormat="1" x14ac:dyDescent="0.25">
      <c r="A51" s="216" t="s">
        <v>2688</v>
      </c>
      <c r="B51" s="64">
        <v>1.49</v>
      </c>
      <c r="C51" s="6" t="s">
        <v>42</v>
      </c>
      <c r="D51" s="64">
        <v>0.31</v>
      </c>
      <c r="E51" s="64">
        <v>2.48</v>
      </c>
      <c r="F51" s="64">
        <v>7.1</v>
      </c>
      <c r="G51" s="64">
        <v>47.04</v>
      </c>
      <c r="H51" s="64">
        <v>19.48</v>
      </c>
      <c r="I51" s="64">
        <v>3.81</v>
      </c>
      <c r="J51" s="64">
        <v>0.77</v>
      </c>
      <c r="K51" s="64">
        <v>317.31</v>
      </c>
      <c r="L51" s="64">
        <v>38.64</v>
      </c>
      <c r="M51" s="64">
        <v>37.56</v>
      </c>
      <c r="N51" s="64">
        <v>800.1</v>
      </c>
      <c r="O51" s="64">
        <v>0</v>
      </c>
      <c r="P51" s="64">
        <v>0.5</v>
      </c>
      <c r="Q51" s="64">
        <v>9.23</v>
      </c>
      <c r="R51" s="198"/>
      <c r="S51" s="198"/>
      <c r="T51" s="198"/>
      <c r="U51" s="198"/>
    </row>
    <row r="52" spans="1:21" s="12" customFormat="1" x14ac:dyDescent="0.25">
      <c r="A52" s="216" t="s">
        <v>2689</v>
      </c>
      <c r="B52" s="64">
        <v>1.67</v>
      </c>
      <c r="C52" s="64">
        <v>0.96</v>
      </c>
      <c r="D52" s="64">
        <v>1.07</v>
      </c>
      <c r="E52" s="64">
        <v>2.33</v>
      </c>
      <c r="F52" s="64">
        <v>7.75</v>
      </c>
      <c r="G52" s="64">
        <v>47.04</v>
      </c>
      <c r="H52" s="64">
        <v>19.48</v>
      </c>
      <c r="I52" s="64">
        <v>3.75</v>
      </c>
      <c r="J52" s="64">
        <v>0.35</v>
      </c>
      <c r="K52" s="64">
        <v>332.46</v>
      </c>
      <c r="L52" s="64">
        <v>39.090000000000003</v>
      </c>
      <c r="M52" s="64">
        <v>36.229999999999997</v>
      </c>
      <c r="N52" s="64">
        <v>820.5</v>
      </c>
      <c r="O52" s="64">
        <v>0</v>
      </c>
      <c r="P52" s="64">
        <v>0.5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16" t="s">
        <v>2690</v>
      </c>
      <c r="B53" s="64">
        <v>1.56</v>
      </c>
      <c r="C53" s="64">
        <v>0.22</v>
      </c>
      <c r="D53" s="64">
        <v>0.62</v>
      </c>
      <c r="E53" s="64">
        <v>2.36</v>
      </c>
      <c r="F53" s="64">
        <v>8.93</v>
      </c>
      <c r="G53" s="64">
        <v>47.04</v>
      </c>
      <c r="H53" s="64">
        <v>19.48</v>
      </c>
      <c r="I53" s="64">
        <v>3.7</v>
      </c>
      <c r="J53" s="64">
        <v>0.82</v>
      </c>
      <c r="K53" s="64">
        <v>328.1</v>
      </c>
      <c r="L53" s="64">
        <v>38.090000000000003</v>
      </c>
      <c r="M53" s="64">
        <v>37.93</v>
      </c>
      <c r="N53" s="64">
        <v>809.8</v>
      </c>
      <c r="O53" s="64">
        <v>0</v>
      </c>
      <c r="P53" s="64">
        <v>0.5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6" t="s">
        <v>2691</v>
      </c>
      <c r="B54" s="64">
        <v>1.57</v>
      </c>
      <c r="C54" s="64">
        <v>0.39</v>
      </c>
      <c r="D54" s="64">
        <v>0.67</v>
      </c>
      <c r="E54" s="64">
        <v>2.06</v>
      </c>
      <c r="F54" s="64">
        <v>8.59</v>
      </c>
      <c r="G54" s="64">
        <v>46.99</v>
      </c>
      <c r="H54" s="64">
        <v>19.68</v>
      </c>
      <c r="I54" s="64">
        <v>3.62</v>
      </c>
      <c r="J54" s="64">
        <v>1.21</v>
      </c>
      <c r="K54" s="64">
        <v>329.67</v>
      </c>
      <c r="L54" s="64">
        <v>39.909999999999997</v>
      </c>
      <c r="M54" s="64">
        <v>33.799999999999997</v>
      </c>
      <c r="N54" s="64">
        <v>816.4</v>
      </c>
      <c r="O54" s="64">
        <v>0</v>
      </c>
      <c r="P54" s="64">
        <v>0.5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16" t="s">
        <v>2692</v>
      </c>
      <c r="B55" s="64">
        <v>1.6</v>
      </c>
      <c r="C55" s="64">
        <v>0.46</v>
      </c>
      <c r="D55" s="64">
        <v>0.79</v>
      </c>
      <c r="E55" s="64">
        <v>2.36</v>
      </c>
      <c r="F55" s="64">
        <v>7.95</v>
      </c>
      <c r="G55" s="64">
        <v>46.49</v>
      </c>
      <c r="H55" s="64">
        <v>22</v>
      </c>
      <c r="I55" s="64">
        <v>3.49</v>
      </c>
      <c r="J55" s="64">
        <v>0.56999999999999995</v>
      </c>
      <c r="K55" s="64">
        <v>330.28</v>
      </c>
      <c r="L55" s="64">
        <v>40.119999999999997</v>
      </c>
      <c r="M55" s="64">
        <v>32.76</v>
      </c>
      <c r="N55" s="64">
        <v>694.6</v>
      </c>
      <c r="O55" s="64">
        <v>0</v>
      </c>
      <c r="P55" s="64">
        <v>0.5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6" t="s">
        <v>2693</v>
      </c>
      <c r="B56" s="64">
        <v>1.58</v>
      </c>
      <c r="C56" s="64">
        <v>0.2</v>
      </c>
      <c r="D56" s="64">
        <v>0.62</v>
      </c>
      <c r="E56" s="64">
        <v>1.59</v>
      </c>
      <c r="F56" s="64">
        <v>7.86</v>
      </c>
      <c r="G56" s="64">
        <v>46.49</v>
      </c>
      <c r="H56" s="64">
        <v>22</v>
      </c>
      <c r="I56" s="64">
        <v>3.42</v>
      </c>
      <c r="J56" s="64">
        <v>0.83</v>
      </c>
      <c r="K56" s="64">
        <v>321.47000000000003</v>
      </c>
      <c r="L56" s="64">
        <v>38.979999999999997</v>
      </c>
      <c r="M56" s="64">
        <v>33.950000000000003</v>
      </c>
      <c r="N56" s="64">
        <v>619.6</v>
      </c>
      <c r="O56" s="64">
        <v>0</v>
      </c>
      <c r="P56" s="64">
        <v>0.49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6" t="s">
        <v>2694</v>
      </c>
      <c r="B57" s="64">
        <v>1.69</v>
      </c>
      <c r="C57" s="64">
        <v>1.22</v>
      </c>
      <c r="D57" s="64">
        <v>1.26</v>
      </c>
      <c r="E57" s="64">
        <v>1.47</v>
      </c>
      <c r="F57" s="64">
        <v>6.97</v>
      </c>
      <c r="G57" s="64">
        <v>46.49</v>
      </c>
      <c r="H57" s="64">
        <v>22</v>
      </c>
      <c r="I57" s="64">
        <v>3.38</v>
      </c>
      <c r="J57" s="64">
        <v>1.25</v>
      </c>
      <c r="K57" s="64">
        <v>341.77</v>
      </c>
      <c r="L57" s="64">
        <v>39.96</v>
      </c>
      <c r="M57" s="64">
        <v>31.13</v>
      </c>
      <c r="N57" s="64">
        <v>763.9</v>
      </c>
      <c r="O57" s="64">
        <v>0</v>
      </c>
      <c r="P57" s="64">
        <v>0.49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6" t="s">
        <v>2695</v>
      </c>
      <c r="B58" s="64">
        <v>1.55</v>
      </c>
      <c r="C58" s="64">
        <v>0.06</v>
      </c>
      <c r="D58" s="64">
        <v>0.47</v>
      </c>
      <c r="E58" s="64">
        <v>1.51</v>
      </c>
      <c r="F58" s="64">
        <v>6.58</v>
      </c>
      <c r="G58" s="64">
        <v>46.44</v>
      </c>
      <c r="H58" s="64">
        <v>21.98</v>
      </c>
      <c r="I58" s="64">
        <v>3.32</v>
      </c>
      <c r="J58" s="64">
        <v>1.63</v>
      </c>
      <c r="K58" s="64">
        <v>340.99</v>
      </c>
      <c r="L58" s="64">
        <v>40.5</v>
      </c>
      <c r="M58" s="64">
        <v>28.69</v>
      </c>
      <c r="N58" s="64">
        <v>815.2</v>
      </c>
      <c r="O58" s="64">
        <v>0</v>
      </c>
      <c r="P58" s="64">
        <v>0.49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6" t="s">
        <v>2696</v>
      </c>
      <c r="B59" s="64">
        <v>1.54</v>
      </c>
      <c r="C59" s="6" t="s">
        <v>42</v>
      </c>
      <c r="D59" s="64">
        <v>0.35</v>
      </c>
      <c r="E59" s="64">
        <v>1.5</v>
      </c>
      <c r="F59" s="64">
        <v>6.65</v>
      </c>
      <c r="G59" s="64">
        <v>45.88</v>
      </c>
      <c r="H59" s="64">
        <v>21.73</v>
      </c>
      <c r="I59" s="64">
        <v>3.37</v>
      </c>
      <c r="J59" s="64">
        <v>1.91</v>
      </c>
      <c r="K59" s="64">
        <v>334.74</v>
      </c>
      <c r="L59" s="64">
        <v>40.68</v>
      </c>
      <c r="M59" s="64">
        <v>28.13</v>
      </c>
      <c r="N59" s="64">
        <v>743.1</v>
      </c>
      <c r="O59" s="64">
        <v>0</v>
      </c>
      <c r="P59" s="64">
        <v>0.5</v>
      </c>
      <c r="Q59" s="64">
        <v>9.2799999999999994</v>
      </c>
      <c r="R59" s="198"/>
      <c r="S59" s="198"/>
      <c r="T59" s="198"/>
      <c r="U59" s="198"/>
    </row>
    <row r="60" spans="1:21" s="12" customFormat="1" x14ac:dyDescent="0.25">
      <c r="A60" s="216" t="s">
        <v>2697</v>
      </c>
      <c r="B60" s="64">
        <v>1.51</v>
      </c>
      <c r="C60" s="6" t="s">
        <v>42</v>
      </c>
      <c r="D60" s="64">
        <v>0.28999999999999998</v>
      </c>
      <c r="E60" s="64">
        <v>1.69</v>
      </c>
      <c r="F60" s="64">
        <v>7.05</v>
      </c>
      <c r="G60" s="64">
        <v>45.88</v>
      </c>
      <c r="H60" s="64">
        <v>21.73</v>
      </c>
      <c r="I60" s="64">
        <v>3.58</v>
      </c>
      <c r="J60" s="64">
        <v>0.68</v>
      </c>
      <c r="K60" s="64">
        <v>322.77999999999997</v>
      </c>
      <c r="L60" s="64">
        <v>40.75</v>
      </c>
      <c r="M60" s="64">
        <v>28.4</v>
      </c>
      <c r="N60" s="64">
        <v>414.9</v>
      </c>
      <c r="O60" s="64">
        <v>0</v>
      </c>
      <c r="P60" s="64">
        <v>0.5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6" t="s">
        <v>2698</v>
      </c>
      <c r="B61" s="64">
        <v>1.77</v>
      </c>
      <c r="C61" s="64">
        <v>1.41</v>
      </c>
      <c r="D61" s="64">
        <v>1.41</v>
      </c>
      <c r="E61" s="64">
        <v>1.7</v>
      </c>
      <c r="F61" s="64">
        <v>6.33</v>
      </c>
      <c r="G61" s="64">
        <v>45.88</v>
      </c>
      <c r="H61" s="64">
        <v>21.73</v>
      </c>
      <c r="I61" s="64">
        <v>3.68</v>
      </c>
      <c r="J61" s="64">
        <v>1.23</v>
      </c>
      <c r="K61" s="64">
        <v>338.92</v>
      </c>
      <c r="L61" s="64">
        <v>39.409999999999997</v>
      </c>
      <c r="M61" s="64">
        <v>27.75</v>
      </c>
      <c r="N61" s="64">
        <v>510.8</v>
      </c>
      <c r="O61" s="64">
        <v>0</v>
      </c>
      <c r="P61" s="64">
        <v>0.5</v>
      </c>
      <c r="Q61" s="64">
        <v>9.26</v>
      </c>
      <c r="R61" s="198"/>
      <c r="S61" s="198"/>
      <c r="T61" s="198"/>
      <c r="U61" s="198"/>
    </row>
    <row r="62" spans="1:21" s="12" customFormat="1" x14ac:dyDescent="0.25">
      <c r="A62" s="216" t="s">
        <v>2699</v>
      </c>
      <c r="B62" s="64">
        <v>1.65</v>
      </c>
      <c r="C62" s="64">
        <v>0.64</v>
      </c>
      <c r="D62" s="64">
        <v>0.93</v>
      </c>
      <c r="E62" s="64">
        <v>1.67</v>
      </c>
      <c r="F62" s="64">
        <v>5.99</v>
      </c>
      <c r="G62" s="64">
        <v>45.84</v>
      </c>
      <c r="H62" s="64">
        <v>21.98</v>
      </c>
      <c r="I62" s="64">
        <v>3.66</v>
      </c>
      <c r="J62" s="64">
        <v>1.57</v>
      </c>
      <c r="K62" s="64">
        <v>342.92</v>
      </c>
      <c r="L62" s="64">
        <v>39.67</v>
      </c>
      <c r="M62" s="64">
        <v>25.58</v>
      </c>
      <c r="N62" s="64">
        <v>618.1</v>
      </c>
      <c r="O62" s="64">
        <v>0</v>
      </c>
      <c r="P62" s="64">
        <v>0.52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6" t="s">
        <v>2700</v>
      </c>
      <c r="B63" s="64">
        <v>1.53</v>
      </c>
      <c r="C63" s="6" t="s">
        <v>42</v>
      </c>
      <c r="D63" s="64">
        <v>0.32</v>
      </c>
      <c r="E63" s="64">
        <v>2.6</v>
      </c>
      <c r="F63" s="64">
        <v>5.99</v>
      </c>
      <c r="G63" s="64">
        <v>45.37</v>
      </c>
      <c r="H63" s="64">
        <v>24.95</v>
      </c>
      <c r="I63" s="64">
        <v>4</v>
      </c>
      <c r="J63" s="64">
        <v>1.74</v>
      </c>
      <c r="K63" s="64">
        <v>342.62</v>
      </c>
      <c r="L63" s="64">
        <v>40.43</v>
      </c>
      <c r="M63" s="64">
        <v>23.82</v>
      </c>
      <c r="N63" s="64">
        <v>733.2</v>
      </c>
      <c r="O63" s="64">
        <v>0</v>
      </c>
      <c r="P63" s="64">
        <v>0.52</v>
      </c>
      <c r="Q63" s="64">
        <v>9.2799999999999994</v>
      </c>
      <c r="R63" s="198"/>
      <c r="S63" s="198"/>
      <c r="T63" s="198"/>
      <c r="U63" s="198"/>
    </row>
    <row r="64" spans="1:21" s="12" customFormat="1" x14ac:dyDescent="0.25">
      <c r="A64" s="216" t="s">
        <v>2701</v>
      </c>
      <c r="B64" s="64">
        <v>1.49</v>
      </c>
      <c r="C64" s="6" t="s">
        <v>42</v>
      </c>
      <c r="D64" s="64">
        <v>0.22</v>
      </c>
      <c r="E64" s="64">
        <v>1.45</v>
      </c>
      <c r="F64" s="64">
        <v>7.01</v>
      </c>
      <c r="G64" s="64">
        <v>45.37</v>
      </c>
      <c r="H64" s="64">
        <v>24.95</v>
      </c>
      <c r="I64" s="64">
        <v>4.4400000000000004</v>
      </c>
      <c r="J64" s="64">
        <v>1.73</v>
      </c>
      <c r="K64" s="64">
        <v>343.15</v>
      </c>
      <c r="L64" s="64">
        <v>40.229999999999997</v>
      </c>
      <c r="M64" s="64">
        <v>23.13</v>
      </c>
      <c r="N64" s="64">
        <v>684.2</v>
      </c>
      <c r="O64" s="64">
        <v>0</v>
      </c>
      <c r="P64" s="64">
        <v>0.52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6" t="s">
        <v>2702</v>
      </c>
      <c r="B65" s="64">
        <v>1.64</v>
      </c>
      <c r="C65" s="64">
        <v>0.68</v>
      </c>
      <c r="D65" s="64">
        <v>0.87</v>
      </c>
      <c r="E65" s="64">
        <v>1.54</v>
      </c>
      <c r="F65" s="64">
        <v>7.41</v>
      </c>
      <c r="G65" s="64">
        <v>45.37</v>
      </c>
      <c r="H65" s="64">
        <v>24.95</v>
      </c>
      <c r="I65" s="64">
        <v>4.53</v>
      </c>
      <c r="J65" s="64">
        <v>2.2799999999999998</v>
      </c>
      <c r="K65" s="64">
        <v>346.55</v>
      </c>
      <c r="L65" s="64">
        <v>40.22</v>
      </c>
      <c r="M65" s="64">
        <v>22.38</v>
      </c>
      <c r="N65" s="64">
        <v>651</v>
      </c>
      <c r="O65" s="64">
        <v>0</v>
      </c>
      <c r="P65" s="64">
        <v>0.5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6" t="s">
        <v>2703</v>
      </c>
      <c r="B66" s="64">
        <v>1.76</v>
      </c>
      <c r="C66" s="64">
        <v>1.74</v>
      </c>
      <c r="D66" s="64">
        <v>1.59</v>
      </c>
      <c r="E66" s="64">
        <v>1.69</v>
      </c>
      <c r="F66" s="64">
        <v>7.68</v>
      </c>
      <c r="G66" s="64">
        <v>45.23</v>
      </c>
      <c r="H66" s="64">
        <v>24.71</v>
      </c>
      <c r="I66" s="64">
        <v>4.5599999999999996</v>
      </c>
      <c r="J66" s="64">
        <v>2.02</v>
      </c>
      <c r="K66" s="64">
        <v>335.91</v>
      </c>
      <c r="L66" s="64">
        <v>39.880000000000003</v>
      </c>
      <c r="M66" s="64">
        <v>23.31</v>
      </c>
      <c r="N66" s="64">
        <v>552.5</v>
      </c>
      <c r="O66" s="64">
        <v>0</v>
      </c>
      <c r="P66" s="64">
        <v>0.49</v>
      </c>
      <c r="Q66" s="64">
        <v>9.24</v>
      </c>
      <c r="R66" s="198"/>
      <c r="S66" s="198"/>
      <c r="T66" s="198"/>
      <c r="U66" s="198"/>
    </row>
    <row r="67" spans="1:21" s="12" customFormat="1" x14ac:dyDescent="0.25">
      <c r="A67" s="216" t="s">
        <v>2704</v>
      </c>
      <c r="B67" s="64">
        <v>1.58</v>
      </c>
      <c r="C67" s="64">
        <v>0.46</v>
      </c>
      <c r="D67" s="64">
        <v>0.77</v>
      </c>
      <c r="E67" s="64">
        <v>1.53</v>
      </c>
      <c r="F67" s="64">
        <v>8.0299999999999994</v>
      </c>
      <c r="G67" s="64">
        <v>43.56</v>
      </c>
      <c r="H67" s="64">
        <v>21.76</v>
      </c>
      <c r="I67" s="64">
        <v>4.5199999999999996</v>
      </c>
      <c r="J67" s="64">
        <v>2.1</v>
      </c>
      <c r="K67" s="64">
        <v>331.55</v>
      </c>
      <c r="L67" s="64">
        <v>39.58</v>
      </c>
      <c r="M67" s="64">
        <v>23.52</v>
      </c>
      <c r="N67" s="64">
        <v>304.60000000000002</v>
      </c>
      <c r="O67" s="64">
        <v>0</v>
      </c>
      <c r="P67" s="64">
        <v>0.48</v>
      </c>
      <c r="Q67" s="64">
        <v>9.24</v>
      </c>
      <c r="R67" s="198"/>
      <c r="S67" s="198"/>
      <c r="T67" s="198"/>
      <c r="U67" s="198"/>
    </row>
    <row r="68" spans="1:21" s="12" customFormat="1" x14ac:dyDescent="0.25">
      <c r="A68" s="216" t="s">
        <v>2705</v>
      </c>
      <c r="B68" s="64">
        <v>1.55</v>
      </c>
      <c r="C68" s="64">
        <v>0.21</v>
      </c>
      <c r="D68" s="64">
        <v>0.54</v>
      </c>
      <c r="E68" s="64">
        <v>1.6</v>
      </c>
      <c r="F68" s="64">
        <v>8.15</v>
      </c>
      <c r="G68" s="64">
        <v>43.56</v>
      </c>
      <c r="H68" s="64">
        <v>21.76</v>
      </c>
      <c r="I68" s="64">
        <v>4.1500000000000004</v>
      </c>
      <c r="J68" s="64">
        <v>1.96</v>
      </c>
      <c r="K68" s="64">
        <v>337.96</v>
      </c>
      <c r="L68" s="64">
        <v>39.5</v>
      </c>
      <c r="M68" s="64">
        <v>24.02</v>
      </c>
      <c r="N68" s="64">
        <v>298.60000000000002</v>
      </c>
      <c r="O68" s="64">
        <v>0</v>
      </c>
      <c r="P68" s="64">
        <v>0.47</v>
      </c>
      <c r="Q68" s="64">
        <v>9.2200000000000006</v>
      </c>
      <c r="R68" s="198"/>
      <c r="S68" s="198"/>
      <c r="T68" s="198"/>
      <c r="U68" s="198"/>
    </row>
    <row r="69" spans="1:21" s="12" customFormat="1" x14ac:dyDescent="0.25">
      <c r="A69" s="216" t="s">
        <v>2706</v>
      </c>
      <c r="B69" s="64">
        <v>1.69</v>
      </c>
      <c r="C69" s="64">
        <v>1.1599999999999999</v>
      </c>
      <c r="D69" s="64">
        <v>1.23</v>
      </c>
      <c r="E69" s="64">
        <v>1.7</v>
      </c>
      <c r="F69" s="64">
        <v>7.8</v>
      </c>
      <c r="G69" s="64">
        <v>43.56</v>
      </c>
      <c r="H69" s="64">
        <v>21.76</v>
      </c>
      <c r="I69" s="64">
        <v>3.96</v>
      </c>
      <c r="J69" s="64">
        <v>1.47</v>
      </c>
      <c r="K69" s="64">
        <v>319.17</v>
      </c>
      <c r="L69" s="64">
        <v>38.229999999999997</v>
      </c>
      <c r="M69" s="64">
        <v>26.45</v>
      </c>
      <c r="N69" s="64">
        <v>189.1</v>
      </c>
      <c r="O69" s="64">
        <v>0</v>
      </c>
      <c r="P69" s="64">
        <v>0.46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6" t="s">
        <v>2707</v>
      </c>
      <c r="B70" s="64">
        <v>1.55</v>
      </c>
      <c r="C70" s="64">
        <v>0.13</v>
      </c>
      <c r="D70" s="64">
        <v>0.55000000000000004</v>
      </c>
      <c r="E70" s="64">
        <v>1.61</v>
      </c>
      <c r="F70" s="64">
        <v>7.49</v>
      </c>
      <c r="G70" s="64">
        <v>43.69</v>
      </c>
      <c r="H70" s="64">
        <v>21.66</v>
      </c>
      <c r="I70" s="64">
        <v>3.89</v>
      </c>
      <c r="J70" s="64">
        <v>1.18</v>
      </c>
      <c r="K70" s="64">
        <v>324.33</v>
      </c>
      <c r="L70" s="64">
        <v>37.24</v>
      </c>
      <c r="M70" s="64">
        <v>28.77</v>
      </c>
      <c r="N70" s="64">
        <v>147.69999999999999</v>
      </c>
      <c r="O70" s="64">
        <v>0</v>
      </c>
      <c r="P70" s="64">
        <v>0.45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6" t="s">
        <v>2708</v>
      </c>
      <c r="B71" s="64">
        <v>1.64</v>
      </c>
      <c r="C71" s="64">
        <v>0.77</v>
      </c>
      <c r="D71" s="64">
        <v>0.94</v>
      </c>
      <c r="E71" s="64">
        <v>1.38</v>
      </c>
      <c r="F71" s="64">
        <v>6.63</v>
      </c>
      <c r="G71" s="64">
        <v>45.24</v>
      </c>
      <c r="H71" s="64">
        <v>20.45</v>
      </c>
      <c r="I71" s="64">
        <v>3.56</v>
      </c>
      <c r="J71" s="64">
        <v>1.4</v>
      </c>
      <c r="K71" s="64">
        <v>340.77</v>
      </c>
      <c r="L71" s="64">
        <v>36.78</v>
      </c>
      <c r="M71" s="64">
        <v>28.99</v>
      </c>
      <c r="N71" s="64">
        <v>151.9</v>
      </c>
      <c r="O71" s="64">
        <v>0</v>
      </c>
      <c r="P71" s="64">
        <v>0.45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6" t="s">
        <v>2709</v>
      </c>
      <c r="B72" s="64">
        <v>1.63</v>
      </c>
      <c r="C72" s="64">
        <v>0.73</v>
      </c>
      <c r="D72" s="64">
        <v>0.96</v>
      </c>
      <c r="E72" s="64">
        <v>0.83</v>
      </c>
      <c r="F72" s="64">
        <v>5.84</v>
      </c>
      <c r="G72" s="64">
        <v>45.24</v>
      </c>
      <c r="H72" s="64">
        <v>20.45</v>
      </c>
      <c r="I72" s="64">
        <v>3.48</v>
      </c>
      <c r="J72" s="64">
        <v>1.42</v>
      </c>
      <c r="K72" s="64">
        <v>344.21</v>
      </c>
      <c r="L72" s="64">
        <v>36.79</v>
      </c>
      <c r="M72" s="64">
        <v>26.7</v>
      </c>
      <c r="N72" s="64">
        <v>185.6</v>
      </c>
      <c r="O72" s="64">
        <v>0</v>
      </c>
      <c r="P72" s="64">
        <v>0.46</v>
      </c>
      <c r="Q72" s="64">
        <v>9.23</v>
      </c>
      <c r="R72" s="198"/>
      <c r="S72" s="198"/>
      <c r="T72" s="198"/>
      <c r="U72" s="198"/>
    </row>
    <row r="73" spans="1:21" s="12" customFormat="1" x14ac:dyDescent="0.25">
      <c r="A73" s="216" t="s">
        <v>2710</v>
      </c>
      <c r="B73" s="64">
        <v>1.58</v>
      </c>
      <c r="C73" s="64">
        <v>0.41</v>
      </c>
      <c r="D73" s="64">
        <v>0.74</v>
      </c>
      <c r="E73" s="64">
        <v>1.23</v>
      </c>
      <c r="F73" s="64">
        <v>5.62</v>
      </c>
      <c r="G73" s="64">
        <v>45.24</v>
      </c>
      <c r="H73" s="64">
        <v>20.45</v>
      </c>
      <c r="I73" s="64">
        <v>3.57</v>
      </c>
      <c r="J73" s="64">
        <v>1.0900000000000001</v>
      </c>
      <c r="K73" s="64">
        <v>348.12</v>
      </c>
      <c r="L73" s="64">
        <v>36.979999999999997</v>
      </c>
      <c r="M73" s="64">
        <v>26.72</v>
      </c>
      <c r="N73" s="64">
        <v>201.7</v>
      </c>
      <c r="O73" s="64">
        <v>0</v>
      </c>
      <c r="P73" s="64">
        <v>0.47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6" t="s">
        <v>2711</v>
      </c>
      <c r="B74" s="64">
        <v>1.64</v>
      </c>
      <c r="C74" s="64">
        <v>0.88</v>
      </c>
      <c r="D74" s="64">
        <v>0.98</v>
      </c>
      <c r="E74" s="64">
        <v>1.01</v>
      </c>
      <c r="F74" s="64">
        <v>5.28</v>
      </c>
      <c r="G74" s="64">
        <v>45.48</v>
      </c>
      <c r="H74" s="64">
        <v>20.62</v>
      </c>
      <c r="I74" s="64">
        <v>3.66</v>
      </c>
      <c r="J74" s="64">
        <v>0.72</v>
      </c>
      <c r="K74" s="64">
        <v>348.28</v>
      </c>
      <c r="L74" s="64">
        <v>37.21</v>
      </c>
      <c r="M74" s="64">
        <v>26.68</v>
      </c>
      <c r="N74" s="64">
        <v>194.4</v>
      </c>
      <c r="O74" s="64">
        <v>0</v>
      </c>
      <c r="P74" s="64">
        <v>0.5</v>
      </c>
      <c r="Q74" s="64">
        <v>9.2799999999999994</v>
      </c>
      <c r="R74" s="198"/>
      <c r="S74" s="198"/>
      <c r="T74" s="198"/>
      <c r="U74" s="198"/>
    </row>
    <row r="75" spans="1:21" s="12" customFormat="1" x14ac:dyDescent="0.25">
      <c r="A75" s="216" t="s">
        <v>2712</v>
      </c>
      <c r="B75" s="64">
        <v>1.6</v>
      </c>
      <c r="C75" s="64">
        <v>0.25</v>
      </c>
      <c r="D75" s="64">
        <v>0.68</v>
      </c>
      <c r="E75" s="64">
        <v>1.28</v>
      </c>
      <c r="F75" s="64">
        <v>4.62</v>
      </c>
      <c r="G75" s="64">
        <v>48.34</v>
      </c>
      <c r="H75" s="64">
        <v>22.61</v>
      </c>
      <c r="I75" s="64">
        <v>3.83</v>
      </c>
      <c r="J75" s="64">
        <v>0.81</v>
      </c>
      <c r="K75" s="64">
        <v>345.36</v>
      </c>
      <c r="L75" s="64">
        <v>37.07</v>
      </c>
      <c r="M75" s="64">
        <v>26.91</v>
      </c>
      <c r="N75" s="64">
        <v>176.5</v>
      </c>
      <c r="O75" s="64">
        <v>0</v>
      </c>
      <c r="P75" s="64">
        <v>0.5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6" t="s">
        <v>2713</v>
      </c>
      <c r="B76" s="64">
        <v>1.75</v>
      </c>
      <c r="C76" s="64">
        <v>1.47</v>
      </c>
      <c r="D76" s="64">
        <v>1.42</v>
      </c>
      <c r="E76" s="64">
        <v>1.34</v>
      </c>
      <c r="F76" s="64">
        <v>4.1100000000000003</v>
      </c>
      <c r="G76" s="64">
        <v>48.34</v>
      </c>
      <c r="H76" s="64">
        <v>22.61</v>
      </c>
      <c r="I76" s="64">
        <v>3.91</v>
      </c>
      <c r="J76" s="64">
        <v>0.49</v>
      </c>
      <c r="K76" s="64">
        <v>344.09</v>
      </c>
      <c r="L76" s="64">
        <v>37.08</v>
      </c>
      <c r="M76" s="64">
        <v>28.16</v>
      </c>
      <c r="N76" s="64">
        <v>156.9</v>
      </c>
      <c r="O76" s="64">
        <v>0</v>
      </c>
      <c r="P76" s="64">
        <v>0.54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6" t="s">
        <v>2714</v>
      </c>
      <c r="B77" s="64">
        <v>1.63</v>
      </c>
      <c r="C77" s="64">
        <v>0.6</v>
      </c>
      <c r="D77" s="64">
        <v>0.89</v>
      </c>
      <c r="E77" s="64">
        <v>1.25</v>
      </c>
      <c r="F77" s="64">
        <v>4.2</v>
      </c>
      <c r="G77" s="64">
        <v>48.34</v>
      </c>
      <c r="H77" s="64">
        <v>22.61</v>
      </c>
      <c r="I77" s="64">
        <v>4.1399999999999997</v>
      </c>
      <c r="J77" s="64">
        <v>0.46</v>
      </c>
      <c r="K77" s="64">
        <v>342.78</v>
      </c>
      <c r="L77" s="64">
        <v>36.9</v>
      </c>
      <c r="M77" s="64">
        <v>28.87</v>
      </c>
      <c r="N77" s="64">
        <v>129.1</v>
      </c>
      <c r="O77" s="64">
        <v>0</v>
      </c>
      <c r="P77" s="64">
        <v>0.56000000000000005</v>
      </c>
      <c r="Q77" s="64">
        <v>9.36</v>
      </c>
      <c r="R77" s="198"/>
      <c r="S77" s="198"/>
      <c r="T77" s="198"/>
      <c r="U77" s="198"/>
    </row>
    <row r="78" spans="1:21" s="12" customFormat="1" x14ac:dyDescent="0.25">
      <c r="A78" s="216" t="s">
        <v>2715</v>
      </c>
      <c r="B78" s="64">
        <v>1.54</v>
      </c>
      <c r="C78" s="6" t="s">
        <v>42</v>
      </c>
      <c r="D78" s="64">
        <v>0.39</v>
      </c>
      <c r="E78" s="64">
        <v>1.25</v>
      </c>
      <c r="F78" s="64">
        <v>4.0199999999999996</v>
      </c>
      <c r="G78" s="64">
        <v>48.51</v>
      </c>
      <c r="H78" s="64">
        <v>22.46</v>
      </c>
      <c r="I78" s="64">
        <v>4.53</v>
      </c>
      <c r="J78" s="64">
        <v>0.44</v>
      </c>
      <c r="K78" s="64">
        <v>344.73</v>
      </c>
      <c r="L78" s="64">
        <v>36.54</v>
      </c>
      <c r="M78" s="64">
        <v>28.09</v>
      </c>
      <c r="N78" s="64">
        <v>125.4</v>
      </c>
      <c r="O78" s="64">
        <v>0</v>
      </c>
      <c r="P78" s="64">
        <v>0.59</v>
      </c>
      <c r="Q78" s="64">
        <v>9.36</v>
      </c>
      <c r="R78" s="198"/>
      <c r="S78" s="198"/>
      <c r="T78" s="198"/>
      <c r="U78" s="198"/>
    </row>
    <row r="79" spans="1:21" s="12" customFormat="1" x14ac:dyDescent="0.25">
      <c r="A79" s="216" t="s">
        <v>2716</v>
      </c>
      <c r="B79" s="64">
        <v>1.92</v>
      </c>
      <c r="C79" s="64">
        <v>2.15</v>
      </c>
      <c r="D79" s="64">
        <v>1.92</v>
      </c>
      <c r="E79" s="64">
        <v>1.64</v>
      </c>
      <c r="F79" s="64">
        <v>4.0199999999999996</v>
      </c>
      <c r="G79" s="64">
        <v>50.57</v>
      </c>
      <c r="H79" s="64">
        <v>20.68</v>
      </c>
      <c r="I79" s="64">
        <v>4.9000000000000004</v>
      </c>
      <c r="J79" s="64">
        <v>0.2</v>
      </c>
      <c r="K79" s="64">
        <v>81.63</v>
      </c>
      <c r="L79" s="64">
        <v>36.14</v>
      </c>
      <c r="M79" s="64">
        <v>28.67</v>
      </c>
      <c r="N79" s="64">
        <v>118.4</v>
      </c>
      <c r="O79" s="64">
        <v>0</v>
      </c>
      <c r="P79" s="64">
        <v>0.6</v>
      </c>
      <c r="Q79" s="64">
        <v>9.4</v>
      </c>
      <c r="R79" s="198"/>
      <c r="S79" s="198"/>
      <c r="T79" s="198"/>
      <c r="U79" s="198"/>
    </row>
    <row r="80" spans="1:21" s="12" customFormat="1" x14ac:dyDescent="0.25">
      <c r="A80" s="216" t="s">
        <v>2717</v>
      </c>
      <c r="B80" s="64">
        <v>1.94</v>
      </c>
      <c r="C80" s="64">
        <v>2.69</v>
      </c>
      <c r="D80" s="64">
        <v>2.23</v>
      </c>
      <c r="E80" s="64">
        <v>1.67</v>
      </c>
      <c r="F80" s="64">
        <v>4.1500000000000004</v>
      </c>
      <c r="G80" s="64">
        <v>50.57</v>
      </c>
      <c r="H80" s="64">
        <v>20.68</v>
      </c>
      <c r="I80" s="64">
        <v>5.25</v>
      </c>
      <c r="J80" s="64">
        <v>0.17</v>
      </c>
      <c r="K80" s="64">
        <v>238.73</v>
      </c>
      <c r="L80" s="64">
        <v>35.549999999999997</v>
      </c>
      <c r="M80" s="64">
        <v>32.28</v>
      </c>
      <c r="N80" s="64">
        <v>89.4</v>
      </c>
      <c r="O80" s="64">
        <v>0</v>
      </c>
      <c r="P80" s="64">
        <v>0.67</v>
      </c>
      <c r="Q80" s="64">
        <v>9.39</v>
      </c>
      <c r="R80" s="198"/>
      <c r="S80" s="198"/>
      <c r="T80" s="198"/>
      <c r="U80" s="198"/>
    </row>
    <row r="81" spans="1:26" s="12" customFormat="1" x14ac:dyDescent="0.25">
      <c r="A81" s="216" t="s">
        <v>2718</v>
      </c>
      <c r="B81" s="64">
        <v>1.85</v>
      </c>
      <c r="C81" s="64">
        <v>2.17</v>
      </c>
      <c r="D81" s="64">
        <v>1.89</v>
      </c>
      <c r="E81" s="64">
        <v>1.35</v>
      </c>
      <c r="F81" s="64">
        <v>4.12</v>
      </c>
      <c r="G81" s="64">
        <v>50.57</v>
      </c>
      <c r="H81" s="64">
        <v>20.68</v>
      </c>
      <c r="I81" s="64">
        <v>5.52</v>
      </c>
      <c r="J81" s="64">
        <v>0.2</v>
      </c>
      <c r="K81" s="64">
        <v>224.79</v>
      </c>
      <c r="L81" s="64">
        <v>35.119999999999997</v>
      </c>
      <c r="M81" s="64">
        <v>32.64</v>
      </c>
      <c r="N81" s="64">
        <v>75</v>
      </c>
      <c r="O81" s="64">
        <v>0</v>
      </c>
      <c r="P81" s="64">
        <v>0.63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6" t="s">
        <v>2719</v>
      </c>
      <c r="B82" s="64">
        <v>1.59</v>
      </c>
      <c r="C82" s="64">
        <v>0.23</v>
      </c>
      <c r="D82" s="64">
        <v>0.65</v>
      </c>
      <c r="E82" s="64">
        <v>1.43</v>
      </c>
      <c r="F82" s="64">
        <v>3.84</v>
      </c>
      <c r="G82" s="64">
        <v>50.9</v>
      </c>
      <c r="H82" s="64">
        <v>20.79</v>
      </c>
      <c r="I82" s="64">
        <v>5.78</v>
      </c>
      <c r="J82" s="64">
        <v>7.0000000000000007E-2</v>
      </c>
      <c r="K82" s="64">
        <v>186.08</v>
      </c>
      <c r="L82" s="64">
        <v>34.880000000000003</v>
      </c>
      <c r="M82" s="64">
        <v>32.33</v>
      </c>
      <c r="N82" s="64">
        <v>57.2</v>
      </c>
      <c r="O82" s="64">
        <v>0</v>
      </c>
      <c r="P82" s="64">
        <v>0.64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6" t="s">
        <v>2720</v>
      </c>
      <c r="B83" s="64">
        <v>1.79</v>
      </c>
      <c r="C83" s="64">
        <v>1.82</v>
      </c>
      <c r="D83" s="64">
        <v>1.62</v>
      </c>
      <c r="E83" s="64">
        <v>1.46</v>
      </c>
      <c r="F83" s="64">
        <v>4.09</v>
      </c>
      <c r="G83" s="64">
        <v>54.82</v>
      </c>
      <c r="H83" s="64">
        <v>22.08</v>
      </c>
      <c r="I83" s="64">
        <v>5.93</v>
      </c>
      <c r="J83" s="64">
        <v>0.12</v>
      </c>
      <c r="K83" s="64">
        <v>323.31</v>
      </c>
      <c r="L83" s="64">
        <v>34.53</v>
      </c>
      <c r="M83" s="64">
        <v>34.96</v>
      </c>
      <c r="N83" s="64">
        <v>54</v>
      </c>
      <c r="O83" s="64">
        <v>0</v>
      </c>
      <c r="P83" s="64">
        <v>0.71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16" t="s">
        <v>2721</v>
      </c>
      <c r="B84" s="64">
        <v>1.89</v>
      </c>
      <c r="C84" s="64">
        <v>2.23</v>
      </c>
      <c r="D84" s="64">
        <v>1.95</v>
      </c>
      <c r="E84" s="64">
        <v>1.54</v>
      </c>
      <c r="F84" s="64">
        <v>3.87</v>
      </c>
      <c r="G84" s="64">
        <v>54.82</v>
      </c>
      <c r="H84" s="64">
        <v>22.08</v>
      </c>
      <c r="I84" s="64">
        <v>6.22</v>
      </c>
      <c r="J84" s="64">
        <v>0.24</v>
      </c>
      <c r="K84" s="64">
        <v>350.8</v>
      </c>
      <c r="L84" s="64">
        <v>33.56</v>
      </c>
      <c r="M84" s="64">
        <v>40.880000000000003</v>
      </c>
      <c r="N84" s="64">
        <v>51.1</v>
      </c>
      <c r="O84" s="64">
        <v>0</v>
      </c>
      <c r="P84" s="64">
        <v>0.92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16" t="s">
        <v>2722</v>
      </c>
      <c r="B85" s="64">
        <v>2.39</v>
      </c>
      <c r="C85" s="64">
        <v>4.5199999999999996</v>
      </c>
      <c r="D85" s="64">
        <v>3.55</v>
      </c>
      <c r="E85" s="64">
        <v>1.71</v>
      </c>
      <c r="F85" s="64">
        <v>3.41</v>
      </c>
      <c r="G85" s="64">
        <v>54.82</v>
      </c>
      <c r="H85" s="64">
        <v>22.08</v>
      </c>
      <c r="I85" s="64">
        <v>7.63</v>
      </c>
      <c r="J85" s="64">
        <v>0.18</v>
      </c>
      <c r="K85" s="64">
        <v>317.81</v>
      </c>
      <c r="L85" s="64">
        <v>32.880000000000003</v>
      </c>
      <c r="M85" s="64">
        <v>40.6</v>
      </c>
      <c r="N85" s="64">
        <v>49.4</v>
      </c>
      <c r="O85" s="64">
        <v>0</v>
      </c>
      <c r="P85" s="64">
        <v>0.99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6" t="s">
        <v>2723</v>
      </c>
      <c r="B86" s="64">
        <v>2.48</v>
      </c>
      <c r="C86" s="64">
        <v>4.07</v>
      </c>
      <c r="D86" s="64">
        <v>3.39</v>
      </c>
      <c r="E86" s="64">
        <v>1.48</v>
      </c>
      <c r="F86" s="64">
        <v>3.36</v>
      </c>
      <c r="G86" s="64">
        <v>56.31</v>
      </c>
      <c r="H86" s="64">
        <v>22.5</v>
      </c>
      <c r="I86" s="64">
        <v>9.19</v>
      </c>
      <c r="J86" s="64">
        <v>0.24</v>
      </c>
      <c r="K86" s="64">
        <v>0.35</v>
      </c>
      <c r="L86" s="64">
        <v>32.54</v>
      </c>
      <c r="M86" s="64">
        <v>43.41</v>
      </c>
      <c r="N86" s="64">
        <v>50.4</v>
      </c>
      <c r="O86" s="64">
        <v>0</v>
      </c>
      <c r="P86" s="64">
        <v>1.1599999999999999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16" t="s">
        <v>2724</v>
      </c>
      <c r="B87" s="64">
        <v>2.96</v>
      </c>
      <c r="C87" s="64">
        <v>5.0599999999999996</v>
      </c>
      <c r="D87" s="64">
        <v>4.29</v>
      </c>
      <c r="E87" s="64">
        <v>1.62</v>
      </c>
      <c r="F87" s="64">
        <v>3.71</v>
      </c>
      <c r="G87" s="64">
        <v>73.94</v>
      </c>
      <c r="H87" s="64">
        <v>27.47</v>
      </c>
      <c r="I87" s="64">
        <v>9.4700000000000006</v>
      </c>
      <c r="J87" s="64">
        <v>0.23</v>
      </c>
      <c r="K87" s="64">
        <v>64.12</v>
      </c>
      <c r="L87" s="64">
        <v>32.619999999999997</v>
      </c>
      <c r="M87" s="64">
        <v>41.67</v>
      </c>
      <c r="N87" s="64">
        <v>51.5</v>
      </c>
      <c r="O87" s="64">
        <v>0</v>
      </c>
      <c r="P87" s="64">
        <v>1.25</v>
      </c>
      <c r="Q87" s="64">
        <v>9.4600000000000009</v>
      </c>
      <c r="R87" s="198"/>
      <c r="S87" s="198"/>
      <c r="T87" s="198"/>
      <c r="U87" s="198"/>
    </row>
    <row r="88" spans="1:26" s="12" customFormat="1" x14ac:dyDescent="0.25">
      <c r="A88" s="216" t="s">
        <v>2725</v>
      </c>
      <c r="B88" s="64">
        <v>3.46</v>
      </c>
      <c r="C88" s="64">
        <v>6.11</v>
      </c>
      <c r="D88" s="64">
        <v>5.24</v>
      </c>
      <c r="E88" s="64">
        <v>1.94</v>
      </c>
      <c r="F88" s="64">
        <v>3.58</v>
      </c>
      <c r="G88" s="64">
        <v>73.94</v>
      </c>
      <c r="H88" s="64">
        <v>27.47</v>
      </c>
      <c r="I88" s="64">
        <v>9.08</v>
      </c>
      <c r="J88" s="64">
        <v>0.3</v>
      </c>
      <c r="K88" s="64">
        <v>56.32</v>
      </c>
      <c r="L88" s="64">
        <v>32.630000000000003</v>
      </c>
      <c r="M88" s="64">
        <v>42.5</v>
      </c>
      <c r="N88" s="64">
        <v>55.6</v>
      </c>
      <c r="O88" s="64">
        <v>0</v>
      </c>
      <c r="P88" s="64">
        <v>1.32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6" t="s">
        <v>2726</v>
      </c>
      <c r="B89" s="64">
        <v>3.49</v>
      </c>
      <c r="C89" s="64">
        <v>5.46</v>
      </c>
      <c r="D89" s="64">
        <v>4.92</v>
      </c>
      <c r="E89" s="64">
        <v>2.42</v>
      </c>
      <c r="F89" s="64">
        <v>3.58</v>
      </c>
      <c r="G89" s="64">
        <v>73.94</v>
      </c>
      <c r="H89" s="64">
        <v>27.47</v>
      </c>
      <c r="I89" s="64">
        <v>9.76</v>
      </c>
      <c r="J89" s="64">
        <v>0.06</v>
      </c>
      <c r="K89" s="64">
        <v>44.18</v>
      </c>
      <c r="L89" s="64">
        <v>32.15</v>
      </c>
      <c r="M89" s="64">
        <v>48.33</v>
      </c>
      <c r="N89" s="64">
        <v>51.4</v>
      </c>
      <c r="O89" s="64">
        <v>0</v>
      </c>
      <c r="P89" s="64">
        <v>1.49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6" t="s">
        <v>2727</v>
      </c>
      <c r="B90" s="64">
        <v>4.17</v>
      </c>
      <c r="C90" s="64">
        <v>6.65</v>
      </c>
      <c r="D90" s="64">
        <v>6.09</v>
      </c>
      <c r="E90" s="64">
        <v>2.57</v>
      </c>
      <c r="F90" s="64">
        <v>3.3</v>
      </c>
      <c r="G90" s="64">
        <v>75.430000000000007</v>
      </c>
      <c r="H90" s="64">
        <v>27.5</v>
      </c>
      <c r="I90" s="64">
        <v>10.02</v>
      </c>
      <c r="J90" s="64">
        <v>0.19</v>
      </c>
      <c r="K90" s="64">
        <v>115.43</v>
      </c>
      <c r="L90" s="64">
        <v>31.85</v>
      </c>
      <c r="M90" s="64">
        <v>45.35</v>
      </c>
      <c r="N90" s="64">
        <v>50.3</v>
      </c>
      <c r="O90" s="64">
        <v>0</v>
      </c>
      <c r="P90" s="64">
        <v>1.63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6" t="s">
        <v>2728</v>
      </c>
      <c r="B91" s="64">
        <v>4.46</v>
      </c>
      <c r="C91" s="64">
        <v>6.81</v>
      </c>
      <c r="D91" s="64">
        <v>6.41</v>
      </c>
      <c r="E91" s="64">
        <v>2.64</v>
      </c>
      <c r="F91" s="64">
        <v>3.49</v>
      </c>
      <c r="G91" s="64">
        <v>93.14</v>
      </c>
      <c r="H91" s="64">
        <v>27.92</v>
      </c>
      <c r="I91" s="64">
        <v>10.28</v>
      </c>
      <c r="J91" s="64">
        <v>0.22</v>
      </c>
      <c r="K91" s="64">
        <v>263.52</v>
      </c>
      <c r="L91" s="64">
        <v>31.75</v>
      </c>
      <c r="M91" s="64">
        <v>46.12</v>
      </c>
      <c r="N91" s="64">
        <v>51.9</v>
      </c>
      <c r="O91" s="64">
        <v>0</v>
      </c>
      <c r="P91" s="64">
        <v>1.67</v>
      </c>
      <c r="Q91" s="64">
        <v>9.73</v>
      </c>
      <c r="R91" s="198"/>
      <c r="S91" s="198"/>
      <c r="T91" s="198"/>
      <c r="U91" s="198"/>
    </row>
    <row r="92" spans="1:26" s="12" customFormat="1" x14ac:dyDescent="0.25">
      <c r="A92" s="216" t="s">
        <v>2729</v>
      </c>
      <c r="B92" s="64">
        <v>5.39</v>
      </c>
      <c r="C92" s="64">
        <v>8.27</v>
      </c>
      <c r="D92" s="64">
        <v>7.91</v>
      </c>
      <c r="E92" s="64">
        <v>2.71</v>
      </c>
      <c r="F92" s="64">
        <v>3.34</v>
      </c>
      <c r="G92" s="64">
        <v>93.14</v>
      </c>
      <c r="H92" s="64">
        <v>27.92</v>
      </c>
      <c r="I92" s="64">
        <v>11.08</v>
      </c>
      <c r="J92" s="64">
        <v>0.36</v>
      </c>
      <c r="K92" s="64">
        <v>152.36000000000001</v>
      </c>
      <c r="L92" s="64">
        <v>31.74</v>
      </c>
      <c r="M92" s="64">
        <v>49.03</v>
      </c>
      <c r="N92" s="64">
        <v>56</v>
      </c>
      <c r="O92" s="64">
        <v>0</v>
      </c>
      <c r="P92" s="64">
        <v>1.79</v>
      </c>
      <c r="Q92" s="64">
        <v>9.7799999999999994</v>
      </c>
      <c r="R92" s="198"/>
      <c r="S92" s="198"/>
      <c r="T92" s="198"/>
      <c r="U92" s="198"/>
    </row>
    <row r="93" spans="1:26" s="12" customFormat="1" x14ac:dyDescent="0.25">
      <c r="A93" s="216" t="s">
        <v>2730</v>
      </c>
      <c r="B93" s="64">
        <v>5.83</v>
      </c>
      <c r="C93" s="64">
        <v>8.91</v>
      </c>
      <c r="D93" s="64">
        <v>8.6</v>
      </c>
      <c r="E93" s="64">
        <v>2.4</v>
      </c>
      <c r="F93" s="64">
        <v>3.23</v>
      </c>
      <c r="G93" s="64">
        <v>93.14</v>
      </c>
      <c r="H93" s="64">
        <v>27.92</v>
      </c>
      <c r="I93" s="64">
        <v>11.45</v>
      </c>
      <c r="J93" s="64">
        <v>0.73</v>
      </c>
      <c r="K93" s="64">
        <v>180.01</v>
      </c>
      <c r="L93" s="64">
        <v>32.03</v>
      </c>
      <c r="M93" s="64">
        <v>42.07</v>
      </c>
      <c r="N93" s="64">
        <v>59.8</v>
      </c>
      <c r="O93" s="64">
        <v>0</v>
      </c>
      <c r="P93" s="64">
        <v>1.72</v>
      </c>
      <c r="Q93" s="64">
        <v>9.8699999999999992</v>
      </c>
      <c r="R93" s="198"/>
      <c r="S93" s="198"/>
      <c r="T93" s="198"/>
      <c r="U93" s="198"/>
    </row>
    <row r="94" spans="1:26" s="12" customFormat="1" x14ac:dyDescent="0.25">
      <c r="A94" s="216" t="s">
        <v>2731</v>
      </c>
      <c r="B94" s="64">
        <v>5.47</v>
      </c>
      <c r="C94" s="64">
        <v>8.49</v>
      </c>
      <c r="D94" s="64">
        <v>8.09</v>
      </c>
      <c r="E94" s="64">
        <v>2.95</v>
      </c>
      <c r="F94" s="64">
        <v>3.28</v>
      </c>
      <c r="G94" s="64">
        <v>93.32</v>
      </c>
      <c r="H94" s="64">
        <v>28.23</v>
      </c>
      <c r="I94" s="64">
        <v>11.1</v>
      </c>
      <c r="J94" s="64">
        <v>0.57999999999999996</v>
      </c>
      <c r="K94" s="64">
        <v>182.05</v>
      </c>
      <c r="L94" s="64">
        <v>31.67</v>
      </c>
      <c r="M94" s="64">
        <v>43.5</v>
      </c>
      <c r="N94" s="64">
        <v>63.5</v>
      </c>
      <c r="O94" s="64">
        <v>0</v>
      </c>
      <c r="P94" s="64">
        <v>1.65</v>
      </c>
      <c r="Q94" s="64">
        <v>10.02</v>
      </c>
      <c r="R94" s="198"/>
      <c r="S94" s="198"/>
      <c r="T94" s="198"/>
      <c r="U94" s="198"/>
    </row>
    <row r="95" spans="1:26" s="12" customFormat="1" x14ac:dyDescent="0.25">
      <c r="A95" s="216" t="s">
        <v>2732</v>
      </c>
      <c r="B95" s="64">
        <v>4.74</v>
      </c>
      <c r="C95" s="64">
        <v>6.98</v>
      </c>
      <c r="D95" s="64">
        <v>6.72</v>
      </c>
      <c r="E95" s="64">
        <v>2.73</v>
      </c>
      <c r="F95" s="64">
        <v>3.38</v>
      </c>
      <c r="G95" s="64">
        <v>95.57</v>
      </c>
      <c r="H95" s="64">
        <v>31.87</v>
      </c>
      <c r="I95" s="64">
        <v>11.21</v>
      </c>
      <c r="J95" s="64">
        <v>0.48</v>
      </c>
      <c r="K95" s="64">
        <v>186.69</v>
      </c>
      <c r="L95" s="64">
        <v>31.01</v>
      </c>
      <c r="M95" s="64">
        <v>46.27</v>
      </c>
      <c r="N95" s="64">
        <v>65.7</v>
      </c>
      <c r="O95" s="64">
        <v>0</v>
      </c>
      <c r="P95" s="64">
        <v>1.61</v>
      </c>
      <c r="Q95" s="64">
        <v>10.029999999999999</v>
      </c>
      <c r="R95" s="198"/>
      <c r="S95" s="198"/>
      <c r="T95" s="198"/>
      <c r="U95" s="198"/>
    </row>
    <row r="96" spans="1:26" s="12" customFormat="1" x14ac:dyDescent="0.25">
      <c r="A96" s="216" t="s">
        <v>2733</v>
      </c>
      <c r="B96" s="64">
        <v>4.0999999999999996</v>
      </c>
      <c r="C96" s="64">
        <v>5.55</v>
      </c>
      <c r="D96" s="64">
        <v>5.46</v>
      </c>
      <c r="E96" s="64">
        <v>2.6</v>
      </c>
      <c r="F96" s="64">
        <v>3.54</v>
      </c>
      <c r="G96" s="64">
        <v>95.57</v>
      </c>
      <c r="H96" s="64">
        <v>31.87</v>
      </c>
      <c r="I96" s="64">
        <v>10.93</v>
      </c>
      <c r="J96" s="64">
        <v>0.2</v>
      </c>
      <c r="K96" s="64">
        <v>166.24</v>
      </c>
      <c r="L96" s="64">
        <v>30.57</v>
      </c>
      <c r="M96" s="64">
        <v>47.5</v>
      </c>
      <c r="N96" s="64">
        <v>62.9</v>
      </c>
      <c r="O96" s="64">
        <v>0</v>
      </c>
      <c r="P96" s="64">
        <v>1.55</v>
      </c>
      <c r="Q96" s="64">
        <v>10.039999999999999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2734</v>
      </c>
      <c r="B97" s="64">
        <v>3.85</v>
      </c>
      <c r="C97" s="64">
        <v>4.87</v>
      </c>
      <c r="D97" s="64">
        <v>4.9000000000000004</v>
      </c>
      <c r="E97" s="64">
        <v>2.76</v>
      </c>
      <c r="F97" s="64">
        <v>3.73</v>
      </c>
      <c r="G97" s="64">
        <v>95.57</v>
      </c>
      <c r="H97" s="64">
        <v>31.87</v>
      </c>
      <c r="I97" s="64">
        <v>10.55</v>
      </c>
      <c r="J97" s="64">
        <v>0.28999999999999998</v>
      </c>
      <c r="K97" s="64">
        <v>191.12</v>
      </c>
      <c r="L97" s="64">
        <v>30.28</v>
      </c>
      <c r="M97" s="64">
        <v>47.58</v>
      </c>
      <c r="N97" s="64">
        <v>57.6</v>
      </c>
      <c r="O97" s="64">
        <v>0</v>
      </c>
      <c r="P97" s="64">
        <v>1.5</v>
      </c>
      <c r="Q97" s="64">
        <v>10.050000000000001</v>
      </c>
      <c r="R97" s="198"/>
      <c r="S97" s="198"/>
      <c r="T97" s="198"/>
      <c r="U97" s="198"/>
    </row>
    <row r="98" spans="1:33" s="12" customFormat="1" x14ac:dyDescent="0.25">
      <c r="A98" s="216" t="s">
        <v>2735</v>
      </c>
      <c r="B98" s="64">
        <v>4.3</v>
      </c>
      <c r="C98" s="64">
        <v>5.84</v>
      </c>
      <c r="D98" s="64">
        <v>5.77</v>
      </c>
      <c r="E98" s="64">
        <v>2.56</v>
      </c>
      <c r="F98" s="64">
        <v>3.49</v>
      </c>
      <c r="G98" s="64">
        <v>94.92</v>
      </c>
      <c r="H98" s="64">
        <v>32.06</v>
      </c>
      <c r="I98" s="64">
        <v>9.7200000000000006</v>
      </c>
      <c r="J98" s="64">
        <v>0.03</v>
      </c>
      <c r="K98" s="64">
        <v>196.93</v>
      </c>
      <c r="L98" s="64">
        <v>30.17</v>
      </c>
      <c r="M98" s="64">
        <v>47.73</v>
      </c>
      <c r="N98" s="64">
        <v>57.4</v>
      </c>
      <c r="O98" s="64">
        <v>0</v>
      </c>
      <c r="P98" s="64">
        <v>1.46</v>
      </c>
      <c r="Q98" s="64">
        <v>10.039999999999999</v>
      </c>
      <c r="R98" s="198"/>
      <c r="S98" s="198"/>
      <c r="T98" s="198"/>
      <c r="U98" s="198"/>
    </row>
    <row r="99" spans="1:33" s="12" customFormat="1" x14ac:dyDescent="0.25">
      <c r="A99" s="216" t="s">
        <v>2736</v>
      </c>
      <c r="B99" s="64">
        <v>4.04</v>
      </c>
      <c r="C99" s="64">
        <v>5.32</v>
      </c>
      <c r="D99" s="64">
        <v>5.29</v>
      </c>
      <c r="E99" s="64">
        <v>2.5</v>
      </c>
      <c r="F99" s="64">
        <v>3.29</v>
      </c>
      <c r="G99" s="64">
        <v>87.25</v>
      </c>
      <c r="H99" s="64">
        <v>34.32</v>
      </c>
      <c r="I99" s="64">
        <v>9.08</v>
      </c>
      <c r="J99" s="64">
        <v>0.24</v>
      </c>
      <c r="K99" s="64">
        <v>189.2</v>
      </c>
      <c r="L99" s="64">
        <v>30.05</v>
      </c>
      <c r="M99" s="64">
        <v>47.74</v>
      </c>
      <c r="N99" s="64">
        <v>56.7</v>
      </c>
      <c r="O99" s="64">
        <v>0</v>
      </c>
      <c r="P99" s="64">
        <v>1.45</v>
      </c>
      <c r="Q99" s="64">
        <v>9.99</v>
      </c>
      <c r="R99" s="198"/>
      <c r="S99" s="198"/>
      <c r="T99" s="198"/>
      <c r="U99" s="198"/>
    </row>
    <row r="100" spans="1:33" s="12" customFormat="1" x14ac:dyDescent="0.25">
      <c r="A100" s="216" t="s">
        <v>2737</v>
      </c>
      <c r="B100" s="64">
        <v>3.15</v>
      </c>
      <c r="C100" s="64">
        <v>3.15</v>
      </c>
      <c r="D100" s="64">
        <v>3.44</v>
      </c>
      <c r="E100" s="64">
        <v>2.4900000000000002</v>
      </c>
      <c r="F100" s="64">
        <v>3.39</v>
      </c>
      <c r="G100" s="64">
        <v>87.25</v>
      </c>
      <c r="H100" s="64">
        <v>34.32</v>
      </c>
      <c r="I100" s="64">
        <v>8.98</v>
      </c>
      <c r="J100" s="64">
        <v>7.0000000000000007E-2</v>
      </c>
      <c r="K100" s="64">
        <v>344.67</v>
      </c>
      <c r="L100" s="64">
        <v>29.95</v>
      </c>
      <c r="M100" s="64">
        <v>48.32</v>
      </c>
      <c r="N100" s="64">
        <v>57</v>
      </c>
      <c r="O100" s="64">
        <v>0</v>
      </c>
      <c r="P100" s="64">
        <v>1.44</v>
      </c>
      <c r="Q100" s="64">
        <v>9.98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2738</v>
      </c>
      <c r="B101" s="64">
        <v>3.42</v>
      </c>
      <c r="C101" s="64">
        <v>3.81</v>
      </c>
      <c r="D101" s="64">
        <v>4</v>
      </c>
      <c r="E101" s="64">
        <v>2.73</v>
      </c>
      <c r="F101" s="64">
        <v>3.8</v>
      </c>
      <c r="G101" s="64">
        <v>87.25</v>
      </c>
      <c r="H101" s="64">
        <v>34.32</v>
      </c>
      <c r="I101" s="64">
        <v>8.98</v>
      </c>
      <c r="J101" s="64">
        <v>0.06</v>
      </c>
      <c r="K101" s="64">
        <v>312.42</v>
      </c>
      <c r="L101" s="64">
        <v>29.93</v>
      </c>
      <c r="M101" s="64">
        <v>46.99</v>
      </c>
      <c r="N101" s="64">
        <v>56.8</v>
      </c>
      <c r="O101" s="64">
        <v>0</v>
      </c>
      <c r="P101" s="64">
        <v>1.43</v>
      </c>
      <c r="Q101" s="64">
        <v>9.9600000000000009</v>
      </c>
      <c r="R101" s="198"/>
      <c r="S101" s="198"/>
      <c r="T101" s="198"/>
      <c r="U101" s="198"/>
    </row>
    <row r="102" spans="1:33" s="12" customFormat="1" x14ac:dyDescent="0.25">
      <c r="A102" s="216" t="s">
        <v>2739</v>
      </c>
      <c r="B102" s="64">
        <v>3.67</v>
      </c>
      <c r="C102" s="64">
        <v>4.7300000000000004</v>
      </c>
      <c r="D102" s="64">
        <v>4.6900000000000004</v>
      </c>
      <c r="E102" s="64">
        <v>2.44</v>
      </c>
      <c r="F102" s="64">
        <v>3.49</v>
      </c>
      <c r="G102" s="64">
        <v>87.17</v>
      </c>
      <c r="H102" s="64">
        <v>34.42</v>
      </c>
      <c r="I102" s="64">
        <v>9.6</v>
      </c>
      <c r="J102" s="64">
        <v>0.11</v>
      </c>
      <c r="K102" s="64">
        <v>128.44999999999999</v>
      </c>
      <c r="L102" s="64">
        <v>30.06</v>
      </c>
      <c r="M102" s="64">
        <v>46.31</v>
      </c>
      <c r="N102" s="64">
        <v>58.6</v>
      </c>
      <c r="O102" s="64">
        <v>0</v>
      </c>
      <c r="P102" s="64">
        <v>1.4</v>
      </c>
      <c r="Q102" s="64">
        <v>9.92</v>
      </c>
      <c r="R102" s="198"/>
      <c r="S102" s="198"/>
      <c r="T102" s="198"/>
      <c r="U102" s="198"/>
    </row>
    <row r="103" spans="1:33" s="12" customFormat="1" x14ac:dyDescent="0.25">
      <c r="A103" s="216" t="s">
        <v>2740</v>
      </c>
      <c r="B103" s="64">
        <v>3.28</v>
      </c>
      <c r="C103" s="64">
        <v>3.98</v>
      </c>
      <c r="D103" s="64">
        <v>3.98</v>
      </c>
      <c r="E103" s="64">
        <v>2.08</v>
      </c>
      <c r="F103" s="64">
        <v>3.76</v>
      </c>
      <c r="G103" s="64">
        <v>86.21</v>
      </c>
      <c r="H103" s="64">
        <v>35.67</v>
      </c>
      <c r="I103" s="64">
        <v>10.220000000000001</v>
      </c>
      <c r="J103" s="64">
        <v>0.34</v>
      </c>
      <c r="K103" s="64">
        <v>169.15</v>
      </c>
      <c r="L103" s="64">
        <v>29.82</v>
      </c>
      <c r="M103" s="64">
        <v>47.53</v>
      </c>
      <c r="N103" s="64">
        <v>60.1</v>
      </c>
      <c r="O103" s="64">
        <v>0</v>
      </c>
      <c r="P103" s="64">
        <v>1.34</v>
      </c>
      <c r="Q103" s="64">
        <v>9.81</v>
      </c>
      <c r="R103" s="198"/>
      <c r="S103" s="198"/>
      <c r="T103" s="198"/>
      <c r="U103" s="198"/>
    </row>
    <row r="104" spans="1:33" s="12" customFormat="1" x14ac:dyDescent="0.25">
      <c r="A104" s="216" t="s">
        <v>2741</v>
      </c>
      <c r="B104" s="64">
        <v>3.24</v>
      </c>
      <c r="C104" s="64">
        <v>4.18</v>
      </c>
      <c r="D104" s="64">
        <v>4.0599999999999996</v>
      </c>
      <c r="E104" s="64">
        <v>1.51</v>
      </c>
      <c r="F104" s="64">
        <v>3.32</v>
      </c>
      <c r="G104" s="64">
        <v>86.21</v>
      </c>
      <c r="H104" s="64">
        <v>35.67</v>
      </c>
      <c r="I104" s="64">
        <v>9.6</v>
      </c>
      <c r="J104" s="64">
        <v>0.18</v>
      </c>
      <c r="K104" s="64">
        <v>175.73</v>
      </c>
      <c r="L104" s="64">
        <v>29.58</v>
      </c>
      <c r="M104" s="64">
        <v>49</v>
      </c>
      <c r="N104" s="64">
        <v>61.7</v>
      </c>
      <c r="O104" s="64">
        <v>0</v>
      </c>
      <c r="P104" s="64">
        <v>1.3</v>
      </c>
      <c r="Q104" s="64">
        <v>9.7200000000000006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1.49</v>
      </c>
      <c r="C106" s="67">
        <f>MIN(C9:C104)</f>
        <v>0</v>
      </c>
      <c r="D106" s="67">
        <f t="shared" ref="D106:Q106" si="0">MIN(D9:D104)</f>
        <v>0.22</v>
      </c>
      <c r="E106" s="67">
        <f t="shared" si="0"/>
        <v>0.54</v>
      </c>
      <c r="F106" s="67">
        <f t="shared" si="0"/>
        <v>2.7</v>
      </c>
      <c r="G106" s="67">
        <f t="shared" si="0"/>
        <v>43.56</v>
      </c>
      <c r="H106" s="67">
        <f t="shared" si="0"/>
        <v>17.13</v>
      </c>
      <c r="I106" s="67">
        <f t="shared" si="0"/>
        <v>3.32</v>
      </c>
      <c r="J106" s="67">
        <f t="shared" si="0"/>
        <v>0.03</v>
      </c>
      <c r="K106" s="67">
        <f t="shared" si="0"/>
        <v>0.35</v>
      </c>
      <c r="L106" s="67">
        <f t="shared" si="0"/>
        <v>28.15</v>
      </c>
      <c r="M106" s="67">
        <f t="shared" si="0"/>
        <v>22.38</v>
      </c>
      <c r="N106" s="67">
        <f t="shared" si="0"/>
        <v>25.4</v>
      </c>
      <c r="O106" s="67">
        <f t="shared" si="0"/>
        <v>0</v>
      </c>
      <c r="P106" s="67">
        <f t="shared" si="0"/>
        <v>0.45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5.83</v>
      </c>
      <c r="C107" s="66">
        <f t="shared" ref="C107:Q107" si="1">MAX(C9:C104)</f>
        <v>8.91</v>
      </c>
      <c r="D107" s="66">
        <f t="shared" si="1"/>
        <v>8.6</v>
      </c>
      <c r="E107" s="66">
        <f t="shared" si="1"/>
        <v>2.95</v>
      </c>
      <c r="F107" s="66">
        <f t="shared" si="1"/>
        <v>8.93</v>
      </c>
      <c r="G107" s="66">
        <f t="shared" si="1"/>
        <v>95.57</v>
      </c>
      <c r="H107" s="66">
        <f t="shared" si="1"/>
        <v>35.67</v>
      </c>
      <c r="I107" s="66">
        <f t="shared" si="1"/>
        <v>11.45</v>
      </c>
      <c r="J107" s="66">
        <f t="shared" si="1"/>
        <v>2.2799999999999998</v>
      </c>
      <c r="K107" s="66">
        <f t="shared" si="1"/>
        <v>355.87</v>
      </c>
      <c r="L107" s="66">
        <f t="shared" si="1"/>
        <v>40.75</v>
      </c>
      <c r="M107" s="66">
        <f t="shared" si="1"/>
        <v>70.94</v>
      </c>
      <c r="N107" s="66">
        <f t="shared" si="1"/>
        <v>820.5</v>
      </c>
      <c r="O107" s="66">
        <f t="shared" si="1"/>
        <v>0</v>
      </c>
      <c r="P107" s="66">
        <f t="shared" si="1"/>
        <v>1.79</v>
      </c>
      <c r="Q107" s="66">
        <f t="shared" si="1"/>
        <v>10.050000000000001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2.1346874999999996</v>
      </c>
      <c r="C108" s="67">
        <f t="shared" ref="C108:Q108" si="2">AVERAGE(C9:C104)</f>
        <v>1.9567857142857139</v>
      </c>
      <c r="D108" s="67">
        <f t="shared" si="2"/>
        <v>1.84375</v>
      </c>
      <c r="E108" s="67">
        <f t="shared" si="2"/>
        <v>1.6510416666666667</v>
      </c>
      <c r="F108" s="67">
        <f t="shared" si="2"/>
        <v>5.0611458333333319</v>
      </c>
      <c r="G108" s="67">
        <f t="shared" si="2"/>
        <v>54.66385416666666</v>
      </c>
      <c r="H108" s="67">
        <f t="shared" si="2"/>
        <v>22.547083333333333</v>
      </c>
      <c r="I108" s="67">
        <f t="shared" si="2"/>
        <v>6.0386458333333328</v>
      </c>
      <c r="J108" s="67">
        <f t="shared" si="2"/>
        <v>0.56052083333333347</v>
      </c>
      <c r="K108" s="67">
        <f t="shared" si="2"/>
        <v>256.76927083333328</v>
      </c>
      <c r="L108" s="67">
        <f t="shared" si="2"/>
        <v>33.544791666666676</v>
      </c>
      <c r="M108" s="67">
        <f t="shared" si="2"/>
        <v>44.880520833333321</v>
      </c>
      <c r="N108" s="67">
        <f t="shared" si="2"/>
        <v>242.72708333333341</v>
      </c>
      <c r="O108" s="67">
        <f t="shared" si="2"/>
        <v>0</v>
      </c>
      <c r="P108" s="67">
        <f t="shared" si="2"/>
        <v>0.73562500000000031</v>
      </c>
      <c r="Q108" s="67">
        <f t="shared" si="2"/>
        <v>9.3992708333333326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1.0060375143418656</v>
      </c>
      <c r="C109" s="67">
        <f t="shared" ref="C109:Q109" si="3">STDEV(C9:C104)</f>
        <v>2.2782762246790971</v>
      </c>
      <c r="D109" s="67">
        <f t="shared" si="3"/>
        <v>1.9775621621742157</v>
      </c>
      <c r="E109" s="67">
        <f t="shared" si="3"/>
        <v>0.60850200737750726</v>
      </c>
      <c r="F109" s="67">
        <f t="shared" si="3"/>
        <v>1.6874844996039309</v>
      </c>
      <c r="G109" s="67">
        <f t="shared" si="3"/>
        <v>16.369088414305534</v>
      </c>
      <c r="H109" s="67">
        <f t="shared" si="3"/>
        <v>4.5822641879009121</v>
      </c>
      <c r="I109" s="67">
        <f t="shared" si="3"/>
        <v>2.2555469028908148</v>
      </c>
      <c r="J109" s="67">
        <f t="shared" si="3"/>
        <v>0.54815935023094675</v>
      </c>
      <c r="K109" s="67">
        <f t="shared" si="3"/>
        <v>109.78033952296984</v>
      </c>
      <c r="L109" s="67">
        <f t="shared" si="3"/>
        <v>4.1513163363637666</v>
      </c>
      <c r="M109" s="67">
        <f t="shared" si="3"/>
        <v>13.898495667918198</v>
      </c>
      <c r="N109" s="67">
        <f t="shared" si="3"/>
        <v>268.66449963483279</v>
      </c>
      <c r="O109" s="67">
        <f t="shared" si="3"/>
        <v>0</v>
      </c>
      <c r="P109" s="67">
        <f t="shared" si="3"/>
        <v>0.38790886748524256</v>
      </c>
      <c r="Q109" s="67">
        <f t="shared" si="3"/>
        <v>0.23625251785532869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COUNT(C9:C104)+12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2742</v>
      </c>
      <c r="B9" s="64">
        <v>2.79</v>
      </c>
      <c r="C9" s="64">
        <v>3.13</v>
      </c>
      <c r="D9" s="64">
        <v>3.15</v>
      </c>
      <c r="E9" s="64">
        <v>1.51</v>
      </c>
      <c r="F9" s="64">
        <v>3.33</v>
      </c>
      <c r="G9" s="64">
        <v>86.21</v>
      </c>
      <c r="H9" s="64">
        <v>35.67</v>
      </c>
      <c r="I9" s="64">
        <v>9.0500000000000007</v>
      </c>
      <c r="J9" s="64">
        <v>0.03</v>
      </c>
      <c r="K9" s="64">
        <v>338.9</v>
      </c>
      <c r="L9" s="64">
        <v>29.62</v>
      </c>
      <c r="M9" s="64">
        <v>49.13</v>
      </c>
      <c r="N9" s="64">
        <v>65.599999999999994</v>
      </c>
      <c r="O9" s="64">
        <v>0</v>
      </c>
      <c r="P9" s="64">
        <v>1.26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6" t="s">
        <v>2743</v>
      </c>
      <c r="B10" s="64">
        <v>2.6</v>
      </c>
      <c r="C10" s="64">
        <v>2.75</v>
      </c>
      <c r="D10" s="64">
        <v>2.79</v>
      </c>
      <c r="E10" s="64">
        <v>1.22</v>
      </c>
      <c r="F10" s="64">
        <v>3.59</v>
      </c>
      <c r="G10" s="64">
        <v>85.54</v>
      </c>
      <c r="H10" s="64">
        <v>35.369999999999997</v>
      </c>
      <c r="I10" s="64">
        <v>8.7799999999999994</v>
      </c>
      <c r="J10" s="64">
        <v>0.39</v>
      </c>
      <c r="K10" s="64">
        <v>165.79</v>
      </c>
      <c r="L10" s="64">
        <v>29.31</v>
      </c>
      <c r="M10" s="64">
        <v>50.85</v>
      </c>
      <c r="N10" s="64">
        <v>68.3</v>
      </c>
      <c r="O10" s="64">
        <v>0</v>
      </c>
      <c r="P10" s="64">
        <v>1.23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6" t="s">
        <v>2744</v>
      </c>
      <c r="B11" s="64">
        <v>2.64</v>
      </c>
      <c r="C11" s="64">
        <v>3.09</v>
      </c>
      <c r="D11" s="64">
        <v>3</v>
      </c>
      <c r="E11" s="64">
        <v>1.31</v>
      </c>
      <c r="F11" s="64">
        <v>2.64</v>
      </c>
      <c r="G11" s="64">
        <v>77.59</v>
      </c>
      <c r="H11" s="64">
        <v>31.79</v>
      </c>
      <c r="I11" s="64">
        <v>9.01</v>
      </c>
      <c r="J11" s="64">
        <v>0.28000000000000003</v>
      </c>
      <c r="K11" s="64">
        <v>167.72</v>
      </c>
      <c r="L11" s="64">
        <v>29.03</v>
      </c>
      <c r="M11" s="64">
        <v>52.47</v>
      </c>
      <c r="N11" s="64">
        <v>67.5</v>
      </c>
      <c r="O11" s="64">
        <v>0</v>
      </c>
      <c r="P11" s="64">
        <v>1.18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6" t="s">
        <v>2745</v>
      </c>
      <c r="B12" s="64">
        <v>2.59</v>
      </c>
      <c r="C12" s="64">
        <v>3.14</v>
      </c>
      <c r="D12" s="64">
        <v>2.99</v>
      </c>
      <c r="E12" s="64">
        <v>1.08</v>
      </c>
      <c r="F12" s="64">
        <v>3.38</v>
      </c>
      <c r="G12" s="64">
        <v>77.59</v>
      </c>
      <c r="H12" s="64">
        <v>31.79</v>
      </c>
      <c r="I12" s="64">
        <v>9.1300000000000008</v>
      </c>
      <c r="J12" s="64">
        <v>0.25</v>
      </c>
      <c r="K12" s="64">
        <v>194.68</v>
      </c>
      <c r="L12" s="64">
        <v>28.8</v>
      </c>
      <c r="M12" s="64">
        <v>53.81</v>
      </c>
      <c r="N12" s="64">
        <v>71.5</v>
      </c>
      <c r="O12" s="64">
        <v>0</v>
      </c>
      <c r="P12" s="64">
        <v>1.1399999999999999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6" t="s">
        <v>2746</v>
      </c>
      <c r="B13" s="64">
        <v>2.0699999999999998</v>
      </c>
      <c r="C13" s="64">
        <v>1.47</v>
      </c>
      <c r="D13" s="64">
        <v>1.7</v>
      </c>
      <c r="E13" s="64">
        <v>1.29</v>
      </c>
      <c r="F13" s="64">
        <v>3.67</v>
      </c>
      <c r="G13" s="64">
        <v>77.59</v>
      </c>
      <c r="H13" s="64">
        <v>31.79</v>
      </c>
      <c r="I13" s="64">
        <v>8.81</v>
      </c>
      <c r="J13" s="64">
        <v>0.21</v>
      </c>
      <c r="K13" s="64">
        <v>218.27</v>
      </c>
      <c r="L13" s="64">
        <v>28.54</v>
      </c>
      <c r="M13" s="64">
        <v>54.81</v>
      </c>
      <c r="N13" s="64">
        <v>65.8</v>
      </c>
      <c r="O13" s="64">
        <v>0</v>
      </c>
      <c r="P13" s="64">
        <v>1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6" t="s">
        <v>2747</v>
      </c>
      <c r="B14" s="64">
        <v>1.61</v>
      </c>
      <c r="C14" s="64">
        <v>0.03</v>
      </c>
      <c r="D14" s="64">
        <v>0.48</v>
      </c>
      <c r="E14" s="64">
        <v>1.03</v>
      </c>
      <c r="F14" s="64">
        <v>3.71</v>
      </c>
      <c r="G14" s="64">
        <v>77.16</v>
      </c>
      <c r="H14" s="64">
        <v>31.75</v>
      </c>
      <c r="I14" s="64">
        <v>8.81</v>
      </c>
      <c r="J14" s="64">
        <v>0.04</v>
      </c>
      <c r="K14" s="64">
        <v>185.12</v>
      </c>
      <c r="L14" s="64">
        <v>28.49</v>
      </c>
      <c r="M14" s="64">
        <v>55.11</v>
      </c>
      <c r="N14" s="64">
        <v>53.5</v>
      </c>
      <c r="O14" s="64">
        <v>0</v>
      </c>
      <c r="P14" s="64">
        <v>1.03</v>
      </c>
      <c r="Q14" s="64">
        <v>9.56</v>
      </c>
      <c r="R14" s="198"/>
      <c r="S14" s="198"/>
      <c r="T14" s="198"/>
      <c r="U14" s="198"/>
    </row>
    <row r="15" spans="1:21" s="12" customFormat="1" x14ac:dyDescent="0.25">
      <c r="A15" s="216" t="s">
        <v>2748</v>
      </c>
      <c r="B15" s="64">
        <v>1.93</v>
      </c>
      <c r="C15" s="64">
        <v>0.98</v>
      </c>
      <c r="D15" s="64">
        <v>1.28</v>
      </c>
      <c r="E15" s="64">
        <v>1.04</v>
      </c>
      <c r="F15" s="64">
        <v>3.43</v>
      </c>
      <c r="G15" s="64">
        <v>72.06</v>
      </c>
      <c r="H15" s="64">
        <v>31.23</v>
      </c>
      <c r="I15" s="64">
        <v>8.65</v>
      </c>
      <c r="J15" s="64">
        <v>0.23</v>
      </c>
      <c r="K15" s="64">
        <v>194.29</v>
      </c>
      <c r="L15" s="64">
        <v>28.36</v>
      </c>
      <c r="M15" s="64">
        <v>55.78</v>
      </c>
      <c r="N15" s="64">
        <v>63</v>
      </c>
      <c r="O15" s="64">
        <v>0</v>
      </c>
      <c r="P15" s="64">
        <v>0.97</v>
      </c>
      <c r="Q15" s="64">
        <v>9.5399999999999991</v>
      </c>
      <c r="R15" s="198"/>
      <c r="S15" s="198"/>
      <c r="T15" s="198"/>
      <c r="U15" s="198"/>
    </row>
    <row r="16" spans="1:21" s="12" customFormat="1" x14ac:dyDescent="0.25">
      <c r="A16" s="216" t="s">
        <v>2749</v>
      </c>
      <c r="B16" s="64">
        <v>2.0299999999999998</v>
      </c>
      <c r="C16" s="64">
        <v>1.2</v>
      </c>
      <c r="D16" s="64">
        <v>1.53</v>
      </c>
      <c r="E16" s="64">
        <v>1.08</v>
      </c>
      <c r="F16" s="64">
        <v>3.88</v>
      </c>
      <c r="G16" s="64">
        <v>72.06</v>
      </c>
      <c r="H16" s="64">
        <v>31.23</v>
      </c>
      <c r="I16" s="64">
        <v>7.88</v>
      </c>
      <c r="J16" s="64">
        <v>0.37</v>
      </c>
      <c r="K16" s="64">
        <v>169.29</v>
      </c>
      <c r="L16" s="64">
        <v>28.1</v>
      </c>
      <c r="M16" s="64">
        <v>57.08</v>
      </c>
      <c r="N16" s="64">
        <v>78.400000000000006</v>
      </c>
      <c r="O16" s="64">
        <v>0</v>
      </c>
      <c r="P16" s="64">
        <v>0.95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6" t="s">
        <v>2750</v>
      </c>
      <c r="B17" s="64">
        <v>2.04</v>
      </c>
      <c r="C17" s="64">
        <v>1.24</v>
      </c>
      <c r="D17" s="64">
        <v>1.55</v>
      </c>
      <c r="E17" s="64">
        <v>0.79</v>
      </c>
      <c r="F17" s="64">
        <v>3.61</v>
      </c>
      <c r="G17" s="64">
        <v>72.06</v>
      </c>
      <c r="H17" s="64">
        <v>31.23</v>
      </c>
      <c r="I17" s="64">
        <v>6.97</v>
      </c>
      <c r="J17" s="64">
        <v>0.14000000000000001</v>
      </c>
      <c r="K17" s="64">
        <v>216.54</v>
      </c>
      <c r="L17" s="64">
        <v>28.08</v>
      </c>
      <c r="M17" s="64">
        <v>56.43</v>
      </c>
      <c r="N17" s="64">
        <v>70.099999999999994</v>
      </c>
      <c r="O17" s="64">
        <v>0</v>
      </c>
      <c r="P17" s="64">
        <v>0.91</v>
      </c>
      <c r="Q17" s="64">
        <v>9.5299999999999994</v>
      </c>
      <c r="R17" s="198"/>
      <c r="S17" s="198"/>
      <c r="T17" s="198"/>
      <c r="U17" s="198"/>
    </row>
    <row r="18" spans="1:21" s="12" customFormat="1" x14ac:dyDescent="0.25">
      <c r="A18" s="216" t="s">
        <v>2751</v>
      </c>
      <c r="B18" s="64">
        <v>1.72</v>
      </c>
      <c r="C18" s="64">
        <v>0.19</v>
      </c>
      <c r="D18" s="64">
        <v>0.73</v>
      </c>
      <c r="E18" s="64">
        <v>0.91</v>
      </c>
      <c r="F18" s="64">
        <v>3.57</v>
      </c>
      <c r="G18" s="64">
        <v>71.42</v>
      </c>
      <c r="H18" s="64">
        <v>31.2</v>
      </c>
      <c r="I18" s="64">
        <v>6.5</v>
      </c>
      <c r="J18" s="64">
        <v>0.08</v>
      </c>
      <c r="K18" s="64">
        <v>189.15</v>
      </c>
      <c r="L18" s="64">
        <v>28.27</v>
      </c>
      <c r="M18" s="64">
        <v>55.65</v>
      </c>
      <c r="N18" s="64">
        <v>57.8</v>
      </c>
      <c r="O18" s="64">
        <v>0</v>
      </c>
      <c r="P18" s="64">
        <v>0.88</v>
      </c>
      <c r="Q18" s="64">
        <v>9.5399999999999991</v>
      </c>
      <c r="R18" s="198"/>
      <c r="S18" s="198"/>
      <c r="T18" s="198"/>
      <c r="U18" s="198"/>
    </row>
    <row r="19" spans="1:21" s="12" customFormat="1" x14ac:dyDescent="0.25">
      <c r="A19" s="216" t="s">
        <v>2752</v>
      </c>
      <c r="B19" s="64">
        <v>1.79</v>
      </c>
      <c r="C19" s="64">
        <v>0.49</v>
      </c>
      <c r="D19" s="64">
        <v>0.91</v>
      </c>
      <c r="E19" s="64">
        <v>1.21</v>
      </c>
      <c r="F19" s="64">
        <v>3.29</v>
      </c>
      <c r="G19" s="64">
        <v>63.84</v>
      </c>
      <c r="H19" s="64">
        <v>30.86</v>
      </c>
      <c r="I19" s="64">
        <v>6.58</v>
      </c>
      <c r="J19" s="64">
        <v>0.09</v>
      </c>
      <c r="K19" s="64">
        <v>306.92</v>
      </c>
      <c r="L19" s="64">
        <v>27.97</v>
      </c>
      <c r="M19" s="64">
        <v>57.55</v>
      </c>
      <c r="N19" s="64">
        <v>57.2</v>
      </c>
      <c r="O19" s="64">
        <v>0</v>
      </c>
      <c r="P19" s="64">
        <v>0.86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6" t="s">
        <v>2753</v>
      </c>
      <c r="B20" s="64">
        <v>1.88</v>
      </c>
      <c r="C20" s="64">
        <v>0.85</v>
      </c>
      <c r="D20" s="64">
        <v>1.22</v>
      </c>
      <c r="E20" s="64">
        <v>0.98</v>
      </c>
      <c r="F20" s="64">
        <v>3.71</v>
      </c>
      <c r="G20" s="64">
        <v>63.84</v>
      </c>
      <c r="H20" s="64">
        <v>30.86</v>
      </c>
      <c r="I20" s="64">
        <v>6.15</v>
      </c>
      <c r="J20" s="64">
        <v>0.08</v>
      </c>
      <c r="K20" s="64">
        <v>331</v>
      </c>
      <c r="L20" s="64">
        <v>27.85</v>
      </c>
      <c r="M20" s="64">
        <v>58.26</v>
      </c>
      <c r="N20" s="64">
        <v>65.400000000000006</v>
      </c>
      <c r="O20" s="64">
        <v>0</v>
      </c>
      <c r="P20" s="64">
        <v>0.83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6" t="s">
        <v>2754</v>
      </c>
      <c r="B21" s="64">
        <v>1.64</v>
      </c>
      <c r="C21" s="64">
        <v>0.04</v>
      </c>
      <c r="D21" s="64">
        <v>0.53</v>
      </c>
      <c r="E21" s="64">
        <v>1.21</v>
      </c>
      <c r="F21" s="64">
        <v>3.85</v>
      </c>
      <c r="G21" s="64">
        <v>63.84</v>
      </c>
      <c r="H21" s="64">
        <v>30.86</v>
      </c>
      <c r="I21" s="64">
        <v>5.98</v>
      </c>
      <c r="J21" s="64">
        <v>0.19</v>
      </c>
      <c r="K21" s="64">
        <v>347.27</v>
      </c>
      <c r="L21" s="64">
        <v>28.28</v>
      </c>
      <c r="M21" s="64">
        <v>55.54</v>
      </c>
      <c r="N21" s="64">
        <v>60.4</v>
      </c>
      <c r="O21" s="64">
        <v>0</v>
      </c>
      <c r="P21" s="64">
        <v>0.82</v>
      </c>
      <c r="Q21" s="64">
        <v>9.51</v>
      </c>
      <c r="R21" s="198"/>
      <c r="S21" s="198"/>
      <c r="T21" s="198"/>
      <c r="U21" s="198"/>
    </row>
    <row r="22" spans="1:21" s="12" customFormat="1" x14ac:dyDescent="0.25">
      <c r="A22" s="216" t="s">
        <v>2755</v>
      </c>
      <c r="B22" s="64">
        <v>1.62</v>
      </c>
      <c r="C22" s="6" t="s">
        <v>42</v>
      </c>
      <c r="D22" s="64">
        <v>0.44</v>
      </c>
      <c r="E22" s="64">
        <v>1.1200000000000001</v>
      </c>
      <c r="F22" s="64">
        <v>4</v>
      </c>
      <c r="G22" s="64">
        <v>63.45</v>
      </c>
      <c r="H22" s="64">
        <v>30.84</v>
      </c>
      <c r="I22" s="64">
        <v>6.39</v>
      </c>
      <c r="J22" s="64">
        <v>0.16</v>
      </c>
      <c r="K22" s="64">
        <v>350.88</v>
      </c>
      <c r="L22" s="64">
        <v>28.34</v>
      </c>
      <c r="M22" s="64">
        <v>56.05</v>
      </c>
      <c r="N22" s="64">
        <v>64.2</v>
      </c>
      <c r="O22" s="64">
        <v>0</v>
      </c>
      <c r="P22" s="64">
        <v>0.81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6" t="s">
        <v>2756</v>
      </c>
      <c r="B23" s="64">
        <v>1.88</v>
      </c>
      <c r="C23" s="64">
        <v>1.1200000000000001</v>
      </c>
      <c r="D23" s="64">
        <v>1.37</v>
      </c>
      <c r="E23" s="64">
        <v>1.21</v>
      </c>
      <c r="F23" s="64">
        <v>3.79</v>
      </c>
      <c r="G23" s="64">
        <v>58.88</v>
      </c>
      <c r="H23" s="64">
        <v>30.53</v>
      </c>
      <c r="I23" s="64">
        <v>7.21</v>
      </c>
      <c r="J23" s="64">
        <v>0.12</v>
      </c>
      <c r="K23" s="64">
        <v>13.57</v>
      </c>
      <c r="L23" s="64">
        <v>28.09</v>
      </c>
      <c r="M23" s="64">
        <v>57.37</v>
      </c>
      <c r="N23" s="64">
        <v>73.599999999999994</v>
      </c>
      <c r="O23" s="64">
        <v>0</v>
      </c>
      <c r="P23" s="64">
        <v>0.78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16" t="s">
        <v>2757</v>
      </c>
      <c r="B24" s="64">
        <v>1.6</v>
      </c>
      <c r="C24" s="64">
        <v>0.04</v>
      </c>
      <c r="D24" s="64">
        <v>0.53</v>
      </c>
      <c r="E24" s="64">
        <v>1.88</v>
      </c>
      <c r="F24" s="64">
        <v>3.83</v>
      </c>
      <c r="G24" s="64">
        <v>58.88</v>
      </c>
      <c r="H24" s="64">
        <v>30.53</v>
      </c>
      <c r="I24" s="64">
        <v>7.69</v>
      </c>
      <c r="J24" s="64">
        <v>0.24</v>
      </c>
      <c r="K24" s="64">
        <v>178.04</v>
      </c>
      <c r="L24" s="64">
        <v>27.9</v>
      </c>
      <c r="M24" s="64">
        <v>58.41</v>
      </c>
      <c r="N24" s="64">
        <v>68</v>
      </c>
      <c r="O24" s="64">
        <v>0</v>
      </c>
      <c r="P24" s="64">
        <v>0.75</v>
      </c>
      <c r="Q24" s="64">
        <v>9.4700000000000006</v>
      </c>
      <c r="R24" s="198"/>
      <c r="S24" s="198"/>
      <c r="T24" s="198"/>
      <c r="U24" s="198"/>
    </row>
    <row r="25" spans="1:21" s="12" customFormat="1" x14ac:dyDescent="0.25">
      <c r="A25" s="216" t="s">
        <v>2758</v>
      </c>
      <c r="B25" s="64">
        <v>1.74</v>
      </c>
      <c r="C25" s="64">
        <v>0.72</v>
      </c>
      <c r="D25" s="64">
        <v>1.02</v>
      </c>
      <c r="E25" s="64">
        <v>0.67</v>
      </c>
      <c r="F25" s="64">
        <v>3.91</v>
      </c>
      <c r="G25" s="64">
        <v>58.88</v>
      </c>
      <c r="H25" s="64">
        <v>30.53</v>
      </c>
      <c r="I25" s="64">
        <v>7.82</v>
      </c>
      <c r="J25" s="64">
        <v>0.23</v>
      </c>
      <c r="K25" s="64">
        <v>208.26</v>
      </c>
      <c r="L25" s="64">
        <v>27.44</v>
      </c>
      <c r="M25" s="64">
        <v>60.38</v>
      </c>
      <c r="N25" s="64">
        <v>65</v>
      </c>
      <c r="O25" s="64">
        <v>0</v>
      </c>
      <c r="P25" s="64">
        <v>0.72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6" t="s">
        <v>2759</v>
      </c>
      <c r="B26" s="64">
        <v>1.6</v>
      </c>
      <c r="C26" s="64">
        <v>0.09</v>
      </c>
      <c r="D26" s="64">
        <v>0.56000000000000005</v>
      </c>
      <c r="E26" s="64">
        <v>1.19</v>
      </c>
      <c r="F26" s="64">
        <v>3.92</v>
      </c>
      <c r="G26" s="64">
        <v>58.48</v>
      </c>
      <c r="H26" s="64">
        <v>30.28</v>
      </c>
      <c r="I26" s="64">
        <v>7.7</v>
      </c>
      <c r="J26" s="64">
        <v>0.25</v>
      </c>
      <c r="K26" s="64">
        <v>200.62</v>
      </c>
      <c r="L26" s="64">
        <v>27.11</v>
      </c>
      <c r="M26" s="64">
        <v>62.13</v>
      </c>
      <c r="N26" s="64">
        <v>63.1</v>
      </c>
      <c r="O26" s="64">
        <v>0</v>
      </c>
      <c r="P26" s="64">
        <v>0.72</v>
      </c>
      <c r="Q26" s="64">
        <v>9.42</v>
      </c>
      <c r="R26" s="198"/>
      <c r="S26" s="198"/>
      <c r="T26" s="198"/>
      <c r="U26" s="198"/>
    </row>
    <row r="27" spans="1:21" s="12" customFormat="1" x14ac:dyDescent="0.25">
      <c r="A27" s="216" t="s">
        <v>2760</v>
      </c>
      <c r="B27" s="64">
        <v>1.67</v>
      </c>
      <c r="C27" s="64">
        <v>0.52</v>
      </c>
      <c r="D27" s="64">
        <v>0.81</v>
      </c>
      <c r="E27" s="64">
        <v>1.46</v>
      </c>
      <c r="F27" s="64">
        <v>4.4000000000000004</v>
      </c>
      <c r="G27" s="64">
        <v>53.84</v>
      </c>
      <c r="H27" s="64">
        <v>27.41</v>
      </c>
      <c r="I27" s="64">
        <v>7.36</v>
      </c>
      <c r="J27" s="64">
        <v>0.49</v>
      </c>
      <c r="K27" s="64">
        <v>157.27000000000001</v>
      </c>
      <c r="L27" s="64">
        <v>27.01</v>
      </c>
      <c r="M27" s="64">
        <v>63.43</v>
      </c>
      <c r="N27" s="64">
        <v>61.9</v>
      </c>
      <c r="O27" s="64">
        <v>0</v>
      </c>
      <c r="P27" s="64">
        <v>0.69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6" t="s">
        <v>2761</v>
      </c>
      <c r="B28" s="64">
        <v>1.68</v>
      </c>
      <c r="C28" s="64">
        <v>0.55000000000000004</v>
      </c>
      <c r="D28" s="64">
        <v>0.91</v>
      </c>
      <c r="E28" s="64">
        <v>1.1000000000000001</v>
      </c>
      <c r="F28" s="64">
        <v>3.29</v>
      </c>
      <c r="G28" s="64">
        <v>53.84</v>
      </c>
      <c r="H28" s="64">
        <v>27.41</v>
      </c>
      <c r="I28" s="64">
        <v>7.06</v>
      </c>
      <c r="J28" s="64">
        <v>0.38</v>
      </c>
      <c r="K28" s="64">
        <v>169.6</v>
      </c>
      <c r="L28" s="64">
        <v>26.99</v>
      </c>
      <c r="M28" s="64">
        <v>63.91</v>
      </c>
      <c r="N28" s="64">
        <v>61.5</v>
      </c>
      <c r="O28" s="64">
        <v>0</v>
      </c>
      <c r="P28" s="64">
        <v>0.69</v>
      </c>
      <c r="Q28" s="64">
        <v>9.34</v>
      </c>
      <c r="R28" s="198"/>
      <c r="S28" s="198"/>
      <c r="T28" s="198"/>
      <c r="U28" s="198"/>
    </row>
    <row r="29" spans="1:21" s="12" customFormat="1" x14ac:dyDescent="0.25">
      <c r="A29" s="216" t="s">
        <v>2762</v>
      </c>
      <c r="B29" s="64">
        <v>1.75</v>
      </c>
      <c r="C29" s="64">
        <v>0.93</v>
      </c>
      <c r="D29" s="64">
        <v>1.1599999999999999</v>
      </c>
      <c r="E29" s="64">
        <v>1.04</v>
      </c>
      <c r="F29" s="64">
        <v>3.33</v>
      </c>
      <c r="G29" s="64">
        <v>53.84</v>
      </c>
      <c r="H29" s="64">
        <v>27.41</v>
      </c>
      <c r="I29" s="64">
        <v>7.05</v>
      </c>
      <c r="J29" s="64">
        <v>0.14000000000000001</v>
      </c>
      <c r="K29" s="64">
        <v>172.51</v>
      </c>
      <c r="L29" s="64">
        <v>26.96</v>
      </c>
      <c r="M29" s="64">
        <v>63.05</v>
      </c>
      <c r="N29" s="64">
        <v>62</v>
      </c>
      <c r="O29" s="64">
        <v>0</v>
      </c>
      <c r="P29" s="64">
        <v>0.67</v>
      </c>
      <c r="Q29" s="64">
        <v>9.2899999999999991</v>
      </c>
      <c r="R29" s="198"/>
      <c r="S29" s="198"/>
      <c r="T29" s="198"/>
      <c r="U29" s="198"/>
    </row>
    <row r="30" spans="1:21" s="12" customFormat="1" x14ac:dyDescent="0.25">
      <c r="A30" s="216" t="s">
        <v>2763</v>
      </c>
      <c r="B30" s="64">
        <v>1.52</v>
      </c>
      <c r="C30" s="6" t="s">
        <v>42</v>
      </c>
      <c r="D30" s="64">
        <v>0.35</v>
      </c>
      <c r="E30" s="64">
        <v>1.17</v>
      </c>
      <c r="F30" s="64">
        <v>3.01</v>
      </c>
      <c r="G30" s="64">
        <v>53.79</v>
      </c>
      <c r="H30" s="64">
        <v>27.24</v>
      </c>
      <c r="I30" s="64">
        <v>7.08</v>
      </c>
      <c r="J30" s="64">
        <v>0.31</v>
      </c>
      <c r="K30" s="64">
        <v>178.02</v>
      </c>
      <c r="L30" s="64">
        <v>26.8</v>
      </c>
      <c r="M30" s="64">
        <v>63.97</v>
      </c>
      <c r="N30" s="64">
        <v>66.2</v>
      </c>
      <c r="O30" s="64">
        <v>0</v>
      </c>
      <c r="P30" s="64">
        <v>0.66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6" t="s">
        <v>2764</v>
      </c>
      <c r="B31" s="64">
        <v>1.74</v>
      </c>
      <c r="C31" s="64">
        <v>0.78</v>
      </c>
      <c r="D31" s="64">
        <v>0.98</v>
      </c>
      <c r="E31" s="64">
        <v>0.92</v>
      </c>
      <c r="F31" s="64">
        <v>3.25</v>
      </c>
      <c r="G31" s="64">
        <v>53.2</v>
      </c>
      <c r="H31" s="64">
        <v>25.19</v>
      </c>
      <c r="I31" s="64">
        <v>7.19</v>
      </c>
      <c r="J31" s="64">
        <v>0.57999999999999996</v>
      </c>
      <c r="K31" s="64">
        <v>145.86000000000001</v>
      </c>
      <c r="L31" s="64">
        <v>26.79</v>
      </c>
      <c r="M31" s="64">
        <v>64.510000000000005</v>
      </c>
      <c r="N31" s="64">
        <v>76.099999999999994</v>
      </c>
      <c r="O31" s="64">
        <v>0</v>
      </c>
      <c r="P31" s="64">
        <v>0.64</v>
      </c>
      <c r="Q31" s="64">
        <v>9.3000000000000007</v>
      </c>
      <c r="R31" s="198"/>
      <c r="S31" s="198"/>
      <c r="T31" s="198"/>
      <c r="U31" s="198"/>
    </row>
    <row r="32" spans="1:21" s="12" customFormat="1" x14ac:dyDescent="0.25">
      <c r="A32" s="216" t="s">
        <v>2765</v>
      </c>
      <c r="B32" s="64">
        <v>1.71</v>
      </c>
      <c r="C32" s="64">
        <v>0.61</v>
      </c>
      <c r="D32" s="64">
        <v>0.96</v>
      </c>
      <c r="E32" s="64">
        <v>1</v>
      </c>
      <c r="F32" s="64">
        <v>3.33</v>
      </c>
      <c r="G32" s="64">
        <v>53.2</v>
      </c>
      <c r="H32" s="64">
        <v>25.19</v>
      </c>
      <c r="I32" s="64">
        <v>7.16</v>
      </c>
      <c r="J32" s="64">
        <v>0.1</v>
      </c>
      <c r="K32" s="64">
        <v>320.26</v>
      </c>
      <c r="L32" s="64">
        <v>26.85</v>
      </c>
      <c r="M32" s="64">
        <v>64.36</v>
      </c>
      <c r="N32" s="64">
        <v>89.4</v>
      </c>
      <c r="O32" s="64">
        <v>0</v>
      </c>
      <c r="P32" s="64">
        <v>0.63</v>
      </c>
      <c r="Q32" s="64">
        <v>9.31</v>
      </c>
      <c r="R32" s="198"/>
      <c r="S32" s="198"/>
      <c r="T32" s="198"/>
      <c r="U32" s="198"/>
    </row>
    <row r="33" spans="1:21" s="12" customFormat="1" x14ac:dyDescent="0.25">
      <c r="A33" s="216" t="s">
        <v>2766</v>
      </c>
      <c r="B33" s="64">
        <v>1.52</v>
      </c>
      <c r="C33" s="6" t="s">
        <v>42</v>
      </c>
      <c r="D33" s="64">
        <v>0.32</v>
      </c>
      <c r="E33" s="64">
        <v>1.18</v>
      </c>
      <c r="F33" s="64">
        <v>3.22</v>
      </c>
      <c r="G33" s="64">
        <v>53.2</v>
      </c>
      <c r="H33" s="64">
        <v>25.19</v>
      </c>
      <c r="I33" s="64">
        <v>7.17</v>
      </c>
      <c r="J33" s="64">
        <v>0.1</v>
      </c>
      <c r="K33" s="64">
        <v>356.9</v>
      </c>
      <c r="L33" s="64">
        <v>27</v>
      </c>
      <c r="M33" s="64">
        <v>65.73</v>
      </c>
      <c r="N33" s="64">
        <v>105.7</v>
      </c>
      <c r="O33" s="64">
        <v>0</v>
      </c>
      <c r="P33" s="64">
        <v>0.62</v>
      </c>
      <c r="Q33" s="64">
        <v>9.3000000000000007</v>
      </c>
      <c r="R33" s="198"/>
      <c r="S33" s="198"/>
      <c r="T33" s="198"/>
      <c r="U33" s="198"/>
    </row>
    <row r="34" spans="1:21" s="12" customFormat="1" x14ac:dyDescent="0.25">
      <c r="A34" s="216" t="s">
        <v>2767</v>
      </c>
      <c r="B34" s="64">
        <v>1.63</v>
      </c>
      <c r="C34" s="64">
        <v>0.23</v>
      </c>
      <c r="D34" s="64">
        <v>0.56000000000000005</v>
      </c>
      <c r="E34" s="64">
        <v>0.8</v>
      </c>
      <c r="F34" s="64">
        <v>3.6</v>
      </c>
      <c r="G34" s="64">
        <v>53.27</v>
      </c>
      <c r="H34" s="64">
        <v>25.12</v>
      </c>
      <c r="I34" s="64">
        <v>7.18</v>
      </c>
      <c r="J34" s="64">
        <v>0.24</v>
      </c>
      <c r="K34" s="64">
        <v>320.72000000000003</v>
      </c>
      <c r="L34" s="64">
        <v>27.32</v>
      </c>
      <c r="M34" s="64">
        <v>66.510000000000005</v>
      </c>
      <c r="N34" s="64">
        <v>141.5</v>
      </c>
      <c r="O34" s="64">
        <v>0</v>
      </c>
      <c r="P34" s="64">
        <v>0.6</v>
      </c>
      <c r="Q34" s="64">
        <v>9.27</v>
      </c>
      <c r="R34" s="198"/>
      <c r="S34" s="198"/>
      <c r="T34" s="198"/>
      <c r="U34" s="198"/>
    </row>
    <row r="35" spans="1:21" s="12" customFormat="1" x14ac:dyDescent="0.25">
      <c r="A35" s="216" t="s">
        <v>2768</v>
      </c>
      <c r="B35" s="64">
        <v>1.83</v>
      </c>
      <c r="C35" s="64">
        <v>0.72</v>
      </c>
      <c r="D35" s="64">
        <v>1.1200000000000001</v>
      </c>
      <c r="E35" s="64">
        <v>0.7</v>
      </c>
      <c r="F35" s="64">
        <v>3.97</v>
      </c>
      <c r="G35" s="64">
        <v>54.17</v>
      </c>
      <c r="H35" s="64">
        <v>24.27</v>
      </c>
      <c r="I35" s="64">
        <v>6.62</v>
      </c>
      <c r="J35" s="64">
        <v>0.14000000000000001</v>
      </c>
      <c r="K35" s="64">
        <v>340.72</v>
      </c>
      <c r="L35" s="64">
        <v>27.71</v>
      </c>
      <c r="M35" s="64">
        <v>65.84</v>
      </c>
      <c r="N35" s="64">
        <v>150.6</v>
      </c>
      <c r="O35" s="64">
        <v>0</v>
      </c>
      <c r="P35" s="64">
        <v>0.6</v>
      </c>
      <c r="Q35" s="64">
        <v>9.32</v>
      </c>
      <c r="R35" s="198"/>
      <c r="S35" s="198"/>
      <c r="T35" s="198"/>
      <c r="U35" s="198"/>
    </row>
    <row r="36" spans="1:21" s="12" customFormat="1" x14ac:dyDescent="0.25">
      <c r="A36" s="216" t="s">
        <v>2769</v>
      </c>
      <c r="B36" s="64">
        <v>1.73</v>
      </c>
      <c r="C36" s="64">
        <v>0.28000000000000003</v>
      </c>
      <c r="D36" s="64">
        <v>0.81</v>
      </c>
      <c r="E36" s="64">
        <v>0.98</v>
      </c>
      <c r="F36" s="64">
        <v>3.78</v>
      </c>
      <c r="G36" s="64">
        <v>54.17</v>
      </c>
      <c r="H36" s="64">
        <v>24.27</v>
      </c>
      <c r="I36" s="64">
        <v>6.65</v>
      </c>
      <c r="J36" s="64">
        <v>0.15</v>
      </c>
      <c r="K36" s="64">
        <v>335.34</v>
      </c>
      <c r="L36" s="64">
        <v>27.89</v>
      </c>
      <c r="M36" s="64">
        <v>65.92</v>
      </c>
      <c r="N36" s="64">
        <v>169.4</v>
      </c>
      <c r="O36" s="64">
        <v>0</v>
      </c>
      <c r="P36" s="64">
        <v>0.59</v>
      </c>
      <c r="Q36" s="64">
        <v>9.3800000000000008</v>
      </c>
      <c r="R36" s="198"/>
      <c r="S36" s="198"/>
      <c r="T36" s="198"/>
      <c r="U36" s="198"/>
    </row>
    <row r="37" spans="1:21" s="12" customFormat="1" x14ac:dyDescent="0.25">
      <c r="A37" s="216" t="s">
        <v>2770</v>
      </c>
      <c r="B37" s="64">
        <v>1.77</v>
      </c>
      <c r="C37" s="64">
        <v>0.54</v>
      </c>
      <c r="D37" s="64">
        <v>0.97</v>
      </c>
      <c r="E37" s="64">
        <v>0.88</v>
      </c>
      <c r="F37" s="64">
        <v>3.84</v>
      </c>
      <c r="G37" s="64">
        <v>54.17</v>
      </c>
      <c r="H37" s="64">
        <v>24.27</v>
      </c>
      <c r="I37" s="64">
        <v>6.75</v>
      </c>
      <c r="J37" s="64">
        <v>0.2</v>
      </c>
      <c r="K37" s="64">
        <v>311.88</v>
      </c>
      <c r="L37" s="64">
        <v>28.21</v>
      </c>
      <c r="M37" s="64">
        <v>65.98</v>
      </c>
      <c r="N37" s="64">
        <v>183.8</v>
      </c>
      <c r="O37" s="64">
        <v>0</v>
      </c>
      <c r="P37" s="64">
        <v>0.6</v>
      </c>
      <c r="Q37" s="64">
        <v>9.39</v>
      </c>
      <c r="R37" s="198"/>
      <c r="S37" s="198"/>
      <c r="T37" s="198"/>
      <c r="U37" s="198"/>
    </row>
    <row r="38" spans="1:21" s="12" customFormat="1" x14ac:dyDescent="0.25">
      <c r="A38" s="216" t="s">
        <v>2771</v>
      </c>
      <c r="B38" s="64">
        <v>1.7</v>
      </c>
      <c r="C38" s="64">
        <v>0.23</v>
      </c>
      <c r="D38" s="64">
        <v>0.66</v>
      </c>
      <c r="E38" s="64">
        <v>0.64</v>
      </c>
      <c r="F38" s="64">
        <v>3.78</v>
      </c>
      <c r="G38" s="64">
        <v>54.43</v>
      </c>
      <c r="H38" s="64">
        <v>24.11</v>
      </c>
      <c r="I38" s="64">
        <v>6.67</v>
      </c>
      <c r="J38" s="64">
        <v>0.34</v>
      </c>
      <c r="K38" s="64">
        <v>307.19</v>
      </c>
      <c r="L38" s="64">
        <v>28.8</v>
      </c>
      <c r="M38" s="64">
        <v>64.27</v>
      </c>
      <c r="N38" s="64">
        <v>203.2</v>
      </c>
      <c r="O38" s="64">
        <v>0</v>
      </c>
      <c r="P38" s="64">
        <v>0.64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6" t="s">
        <v>2772</v>
      </c>
      <c r="B39" s="64">
        <v>1.84</v>
      </c>
      <c r="C39" s="64">
        <v>0.78</v>
      </c>
      <c r="D39" s="64">
        <v>1.1499999999999999</v>
      </c>
      <c r="E39" s="64">
        <v>1.01</v>
      </c>
      <c r="F39" s="64">
        <v>3.5</v>
      </c>
      <c r="G39" s="64">
        <v>57.48</v>
      </c>
      <c r="H39" s="64">
        <v>22.2</v>
      </c>
      <c r="I39" s="64">
        <v>6.3</v>
      </c>
      <c r="J39" s="64">
        <v>0.36</v>
      </c>
      <c r="K39" s="64">
        <v>300.70999999999998</v>
      </c>
      <c r="L39" s="64">
        <v>29.36</v>
      </c>
      <c r="M39" s="64">
        <v>60.02</v>
      </c>
      <c r="N39" s="64">
        <v>220</v>
      </c>
      <c r="O39" s="64">
        <v>0</v>
      </c>
      <c r="P39" s="64">
        <v>0.64</v>
      </c>
      <c r="Q39" s="64">
        <v>9.44</v>
      </c>
      <c r="R39" s="198"/>
      <c r="S39" s="198"/>
      <c r="T39" s="198"/>
      <c r="U39" s="198"/>
    </row>
    <row r="40" spans="1:21" s="12" customFormat="1" x14ac:dyDescent="0.25">
      <c r="A40" s="216" t="s">
        <v>2773</v>
      </c>
      <c r="B40" s="64">
        <v>1.62</v>
      </c>
      <c r="C40" s="6" t="s">
        <v>42</v>
      </c>
      <c r="D40" s="64">
        <v>0.45</v>
      </c>
      <c r="E40" s="64">
        <v>1.34</v>
      </c>
      <c r="F40" s="64">
        <v>3.46</v>
      </c>
      <c r="G40" s="64">
        <v>57.48</v>
      </c>
      <c r="H40" s="64">
        <v>22.2</v>
      </c>
      <c r="I40" s="64">
        <v>6.49</v>
      </c>
      <c r="J40" s="64">
        <v>0.3</v>
      </c>
      <c r="K40" s="64">
        <v>308.95999999999998</v>
      </c>
      <c r="L40" s="64">
        <v>29.92</v>
      </c>
      <c r="M40" s="64">
        <v>55.87</v>
      </c>
      <c r="N40" s="64">
        <v>218.3</v>
      </c>
      <c r="O40" s="64">
        <v>0</v>
      </c>
      <c r="P40" s="64">
        <v>0.66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16" t="s">
        <v>2774</v>
      </c>
      <c r="B41" s="64">
        <v>1.57</v>
      </c>
      <c r="C41" s="6" t="s">
        <v>42</v>
      </c>
      <c r="D41" s="64">
        <v>0.33</v>
      </c>
      <c r="E41" s="64">
        <v>1.69</v>
      </c>
      <c r="F41" s="64">
        <v>3.68</v>
      </c>
      <c r="G41" s="64">
        <v>57.48</v>
      </c>
      <c r="H41" s="64">
        <v>22.2</v>
      </c>
      <c r="I41" s="64">
        <v>6.88</v>
      </c>
      <c r="J41" s="64">
        <v>0.43</v>
      </c>
      <c r="K41" s="64">
        <v>312.99</v>
      </c>
      <c r="L41" s="64">
        <v>30.41</v>
      </c>
      <c r="M41" s="64">
        <v>52.59</v>
      </c>
      <c r="N41" s="64">
        <v>235.9</v>
      </c>
      <c r="O41" s="64">
        <v>0</v>
      </c>
      <c r="P41" s="64">
        <v>0.66</v>
      </c>
      <c r="Q41" s="64">
        <v>9.44</v>
      </c>
      <c r="R41" s="198"/>
      <c r="S41" s="198"/>
      <c r="T41" s="198"/>
      <c r="U41" s="198"/>
    </row>
    <row r="42" spans="1:21" s="12" customFormat="1" x14ac:dyDescent="0.25">
      <c r="A42" s="216" t="s">
        <v>2775</v>
      </c>
      <c r="B42" s="64">
        <v>1.92</v>
      </c>
      <c r="C42" s="64">
        <v>1.44</v>
      </c>
      <c r="D42" s="64">
        <v>1.54</v>
      </c>
      <c r="E42" s="64">
        <v>1.79</v>
      </c>
      <c r="F42" s="64">
        <v>4.4400000000000004</v>
      </c>
      <c r="G42" s="64">
        <v>57.68</v>
      </c>
      <c r="H42" s="64">
        <v>22.24</v>
      </c>
      <c r="I42" s="64">
        <v>6.93</v>
      </c>
      <c r="J42" s="64">
        <v>0.31</v>
      </c>
      <c r="K42" s="64">
        <v>298.95</v>
      </c>
      <c r="L42" s="64">
        <v>30.94</v>
      </c>
      <c r="M42" s="64">
        <v>49.26</v>
      </c>
      <c r="N42" s="64">
        <v>258.2</v>
      </c>
      <c r="O42" s="64">
        <v>0</v>
      </c>
      <c r="P42" s="64">
        <v>0.67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6" t="s">
        <v>2776</v>
      </c>
      <c r="B43" s="64">
        <v>1.72</v>
      </c>
      <c r="C43" s="64">
        <v>0.78</v>
      </c>
      <c r="D43" s="64">
        <v>1.06</v>
      </c>
      <c r="E43" s="64">
        <v>2.35</v>
      </c>
      <c r="F43" s="64">
        <v>4.08</v>
      </c>
      <c r="G43" s="64">
        <v>60.1</v>
      </c>
      <c r="H43" s="64">
        <v>22.69</v>
      </c>
      <c r="I43" s="64">
        <v>7.02</v>
      </c>
      <c r="J43" s="64">
        <v>0.25</v>
      </c>
      <c r="K43" s="64">
        <v>305.47000000000003</v>
      </c>
      <c r="L43" s="64">
        <v>31.34</v>
      </c>
      <c r="M43" s="64">
        <v>46.24</v>
      </c>
      <c r="N43" s="64">
        <v>280.5</v>
      </c>
      <c r="O43" s="64">
        <v>0</v>
      </c>
      <c r="P43" s="64">
        <v>0.68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16" t="s">
        <v>2777</v>
      </c>
      <c r="B44" s="64">
        <v>1.79</v>
      </c>
      <c r="C44" s="64">
        <v>1.1599999999999999</v>
      </c>
      <c r="D44" s="64">
        <v>1.32</v>
      </c>
      <c r="E44" s="64">
        <v>1.9</v>
      </c>
      <c r="F44" s="64">
        <v>3.23</v>
      </c>
      <c r="G44" s="64">
        <v>60.1</v>
      </c>
      <c r="H44" s="64">
        <v>22.69</v>
      </c>
      <c r="I44" s="64">
        <v>7.09</v>
      </c>
      <c r="J44" s="64">
        <v>0.33</v>
      </c>
      <c r="K44" s="64">
        <v>303.13</v>
      </c>
      <c r="L44" s="64">
        <v>31.82</v>
      </c>
      <c r="M44" s="64">
        <v>43.39</v>
      </c>
      <c r="N44" s="64">
        <v>302</v>
      </c>
      <c r="O44" s="64">
        <v>0</v>
      </c>
      <c r="P44" s="64">
        <v>0.68</v>
      </c>
      <c r="Q44" s="64">
        <v>9.33</v>
      </c>
      <c r="R44" s="198"/>
      <c r="S44" s="198"/>
      <c r="T44" s="198"/>
      <c r="U44" s="198"/>
    </row>
    <row r="45" spans="1:21" s="12" customFormat="1" x14ac:dyDescent="0.25">
      <c r="A45" s="216" t="s">
        <v>2778</v>
      </c>
      <c r="B45" s="64">
        <v>1.69</v>
      </c>
      <c r="C45" s="64">
        <v>0.76</v>
      </c>
      <c r="D45" s="64">
        <v>1.02</v>
      </c>
      <c r="E45" s="64">
        <v>2.1</v>
      </c>
      <c r="F45" s="64">
        <v>3.49</v>
      </c>
      <c r="G45" s="64">
        <v>60.1</v>
      </c>
      <c r="H45" s="64">
        <v>22.69</v>
      </c>
      <c r="I45" s="64">
        <v>7.05</v>
      </c>
      <c r="J45" s="64">
        <v>0.27</v>
      </c>
      <c r="K45" s="64">
        <v>312.14</v>
      </c>
      <c r="L45" s="64">
        <v>31.84</v>
      </c>
      <c r="M45" s="64">
        <v>43.28</v>
      </c>
      <c r="N45" s="64">
        <v>328.8</v>
      </c>
      <c r="O45" s="64">
        <v>0</v>
      </c>
      <c r="P45" s="64">
        <v>0.68</v>
      </c>
      <c r="Q45" s="64">
        <v>9.32</v>
      </c>
      <c r="R45" s="198"/>
      <c r="S45" s="198"/>
      <c r="T45" s="198"/>
      <c r="U45" s="198"/>
    </row>
    <row r="46" spans="1:21" s="12" customFormat="1" x14ac:dyDescent="0.25">
      <c r="A46" s="216" t="s">
        <v>2779</v>
      </c>
      <c r="B46" s="64">
        <v>1.64</v>
      </c>
      <c r="C46" s="64">
        <v>0.52</v>
      </c>
      <c r="D46" s="64">
        <v>0.82</v>
      </c>
      <c r="E46" s="64">
        <v>2.16</v>
      </c>
      <c r="F46" s="64">
        <v>4.76</v>
      </c>
      <c r="G46" s="64">
        <v>59.28</v>
      </c>
      <c r="H46" s="64">
        <v>22.72</v>
      </c>
      <c r="I46" s="64">
        <v>6.93</v>
      </c>
      <c r="J46" s="64">
        <v>0.35</v>
      </c>
      <c r="K46" s="64">
        <v>299.23</v>
      </c>
      <c r="L46" s="64">
        <v>32.950000000000003</v>
      </c>
      <c r="M46" s="64">
        <v>40.659999999999997</v>
      </c>
      <c r="N46" s="64">
        <v>383.9</v>
      </c>
      <c r="O46" s="64">
        <v>0</v>
      </c>
      <c r="P46" s="64">
        <v>0.69</v>
      </c>
      <c r="Q46" s="64">
        <v>9.32</v>
      </c>
      <c r="R46" s="198"/>
      <c r="S46" s="198"/>
      <c r="T46" s="198"/>
      <c r="U46" s="198"/>
    </row>
    <row r="47" spans="1:21" s="12" customFormat="1" x14ac:dyDescent="0.25">
      <c r="A47" s="216" t="s">
        <v>2780</v>
      </c>
      <c r="B47" s="64">
        <v>1.63</v>
      </c>
      <c r="C47" s="64">
        <v>0.74</v>
      </c>
      <c r="D47" s="64">
        <v>0.97</v>
      </c>
      <c r="E47" s="64">
        <v>2.19</v>
      </c>
      <c r="F47" s="64">
        <v>7.66</v>
      </c>
      <c r="G47" s="64">
        <v>49.56</v>
      </c>
      <c r="H47" s="64">
        <v>23.11</v>
      </c>
      <c r="I47" s="64">
        <v>6.79</v>
      </c>
      <c r="J47" s="64">
        <v>0.33</v>
      </c>
      <c r="K47" s="64">
        <v>311.86</v>
      </c>
      <c r="L47" s="64">
        <v>33.79</v>
      </c>
      <c r="M47" s="64">
        <v>39.119999999999997</v>
      </c>
      <c r="N47" s="64">
        <v>450.4</v>
      </c>
      <c r="O47" s="64">
        <v>0</v>
      </c>
      <c r="P47" s="64">
        <v>0.72</v>
      </c>
      <c r="Q47" s="64">
        <v>9.36</v>
      </c>
      <c r="R47" s="198"/>
      <c r="S47" s="198"/>
      <c r="T47" s="198"/>
      <c r="U47" s="198"/>
    </row>
    <row r="48" spans="1:21" s="12" customFormat="1" x14ac:dyDescent="0.25">
      <c r="A48" s="216" t="s">
        <v>2781</v>
      </c>
      <c r="B48" s="64">
        <v>1.59</v>
      </c>
      <c r="C48" s="64">
        <v>1.38</v>
      </c>
      <c r="D48" s="64">
        <v>1.26</v>
      </c>
      <c r="E48" s="64">
        <v>3.83</v>
      </c>
      <c r="F48" s="64">
        <v>34.78</v>
      </c>
      <c r="G48" s="64">
        <v>49.56</v>
      </c>
      <c r="H48" s="64">
        <v>23.11</v>
      </c>
      <c r="I48" s="64">
        <v>6.55</v>
      </c>
      <c r="J48" s="64">
        <v>0.75</v>
      </c>
      <c r="K48" s="64">
        <v>315.86</v>
      </c>
      <c r="L48" s="64">
        <v>34.840000000000003</v>
      </c>
      <c r="M48" s="64">
        <v>36.72</v>
      </c>
      <c r="N48" s="64">
        <v>510.1</v>
      </c>
      <c r="O48" s="64">
        <v>0</v>
      </c>
      <c r="P48" s="64">
        <v>0.85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16" t="s">
        <v>2782</v>
      </c>
      <c r="B49" s="64">
        <v>1.53</v>
      </c>
      <c r="C49" s="64">
        <v>1.43</v>
      </c>
      <c r="D49" s="64">
        <v>1.24</v>
      </c>
      <c r="E49" s="64">
        <v>4.7699999999999996</v>
      </c>
      <c r="F49" s="64">
        <v>35.51</v>
      </c>
      <c r="G49" s="64">
        <v>49.56</v>
      </c>
      <c r="H49" s="64">
        <v>23.11</v>
      </c>
      <c r="I49" s="64">
        <v>5.86</v>
      </c>
      <c r="J49" s="64">
        <v>0.5</v>
      </c>
      <c r="K49" s="64">
        <v>313.52999999999997</v>
      </c>
      <c r="L49" s="64">
        <v>35.54</v>
      </c>
      <c r="M49" s="64">
        <v>36.340000000000003</v>
      </c>
      <c r="N49" s="64">
        <v>555.70000000000005</v>
      </c>
      <c r="O49" s="64">
        <v>0</v>
      </c>
      <c r="P49" s="64">
        <v>0.92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16" t="s">
        <v>2783</v>
      </c>
      <c r="B50" s="64">
        <v>1.52</v>
      </c>
      <c r="C50" s="64">
        <v>2.02</v>
      </c>
      <c r="D50" s="64">
        <v>1.55</v>
      </c>
      <c r="E50" s="64">
        <v>3.33</v>
      </c>
      <c r="F50" s="64">
        <v>19.649999999999999</v>
      </c>
      <c r="G50" s="64">
        <v>51</v>
      </c>
      <c r="H50" s="64">
        <v>23.12</v>
      </c>
      <c r="I50" s="64">
        <v>4.71</v>
      </c>
      <c r="J50" s="64">
        <v>0.43</v>
      </c>
      <c r="K50" s="64">
        <v>319.16000000000003</v>
      </c>
      <c r="L50" s="64">
        <v>36.58</v>
      </c>
      <c r="M50" s="64">
        <v>34.64</v>
      </c>
      <c r="N50" s="64">
        <v>619.29999999999995</v>
      </c>
      <c r="O50" s="64">
        <v>0</v>
      </c>
      <c r="P50" s="64">
        <v>0.93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6" t="s">
        <v>2784</v>
      </c>
      <c r="B51" s="64">
        <v>1.44</v>
      </c>
      <c r="C51" s="64">
        <v>0.16</v>
      </c>
      <c r="D51" s="64">
        <v>0.48</v>
      </c>
      <c r="E51" s="64">
        <v>2.69</v>
      </c>
      <c r="F51" s="64">
        <v>11.77</v>
      </c>
      <c r="G51" s="64">
        <v>68.14</v>
      </c>
      <c r="H51" s="64">
        <v>23.25</v>
      </c>
      <c r="I51" s="64">
        <v>4.3600000000000003</v>
      </c>
      <c r="J51" s="64">
        <v>0.39</v>
      </c>
      <c r="K51" s="64">
        <v>322.45999999999998</v>
      </c>
      <c r="L51" s="64">
        <v>37.36</v>
      </c>
      <c r="M51" s="64">
        <v>33.22</v>
      </c>
      <c r="N51" s="64">
        <v>648.5</v>
      </c>
      <c r="O51" s="64">
        <v>0</v>
      </c>
      <c r="P51" s="64">
        <v>0.92</v>
      </c>
      <c r="Q51" s="64">
        <v>9.48</v>
      </c>
      <c r="R51" s="198"/>
      <c r="S51" s="198"/>
      <c r="T51" s="198"/>
      <c r="U51" s="198"/>
    </row>
    <row r="52" spans="1:21" s="12" customFormat="1" x14ac:dyDescent="0.25">
      <c r="A52" s="216" t="s">
        <v>2785</v>
      </c>
      <c r="B52" s="64">
        <v>1.44</v>
      </c>
      <c r="C52" s="6" t="s">
        <v>42</v>
      </c>
      <c r="D52" s="64">
        <v>0.28999999999999998</v>
      </c>
      <c r="E52" s="64">
        <v>2.35</v>
      </c>
      <c r="F52" s="64">
        <v>6.83</v>
      </c>
      <c r="G52" s="64">
        <v>68.14</v>
      </c>
      <c r="H52" s="64">
        <v>23.25</v>
      </c>
      <c r="I52" s="64">
        <v>4.47</v>
      </c>
      <c r="J52" s="64">
        <v>0.54</v>
      </c>
      <c r="K52" s="64">
        <v>307.08</v>
      </c>
      <c r="L52" s="64">
        <v>38.44</v>
      </c>
      <c r="M52" s="64">
        <v>31.28</v>
      </c>
      <c r="N52" s="64">
        <v>696.9</v>
      </c>
      <c r="O52" s="64">
        <v>0</v>
      </c>
      <c r="P52" s="64">
        <v>0.9</v>
      </c>
      <c r="Q52" s="64">
        <v>9.42</v>
      </c>
      <c r="R52" s="198"/>
      <c r="S52" s="198"/>
      <c r="T52" s="198"/>
      <c r="U52" s="198"/>
    </row>
    <row r="53" spans="1:21" s="12" customFormat="1" x14ac:dyDescent="0.25">
      <c r="A53" s="216" t="s">
        <v>2786</v>
      </c>
      <c r="B53" s="64">
        <v>2.02</v>
      </c>
      <c r="C53" s="64">
        <v>5.14</v>
      </c>
      <c r="D53" s="64">
        <v>3.51</v>
      </c>
      <c r="E53" s="64">
        <v>1.93</v>
      </c>
      <c r="F53" s="64">
        <v>6.43</v>
      </c>
      <c r="G53" s="64">
        <v>68.14</v>
      </c>
      <c r="H53" s="64">
        <v>23.25</v>
      </c>
      <c r="I53" s="64">
        <v>4.4400000000000004</v>
      </c>
      <c r="J53" s="64">
        <v>0.72</v>
      </c>
      <c r="K53" s="64">
        <v>333.72</v>
      </c>
      <c r="L53" s="64">
        <v>38.869999999999997</v>
      </c>
      <c r="M53" s="64">
        <v>31.16</v>
      </c>
      <c r="N53" s="64">
        <v>667.8</v>
      </c>
      <c r="O53" s="64">
        <v>0</v>
      </c>
      <c r="P53" s="64">
        <v>0.9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6" t="s">
        <v>2787</v>
      </c>
      <c r="B54" s="64">
        <v>1.81</v>
      </c>
      <c r="C54" s="64">
        <v>2.93</v>
      </c>
      <c r="D54" s="64">
        <v>2.25</v>
      </c>
      <c r="E54" s="64">
        <v>2.09</v>
      </c>
      <c r="F54" s="64">
        <v>6.88</v>
      </c>
      <c r="G54" s="64">
        <v>67.75</v>
      </c>
      <c r="H54" s="64">
        <v>23.43</v>
      </c>
      <c r="I54" s="64">
        <v>4.4400000000000004</v>
      </c>
      <c r="J54" s="64">
        <v>0.95</v>
      </c>
      <c r="K54" s="64">
        <v>320.56</v>
      </c>
      <c r="L54" s="64">
        <v>39.53</v>
      </c>
      <c r="M54" s="64">
        <v>30.25</v>
      </c>
      <c r="N54" s="64">
        <v>701</v>
      </c>
      <c r="O54" s="64">
        <v>0</v>
      </c>
      <c r="P54" s="64">
        <v>0.89</v>
      </c>
      <c r="Q54" s="64">
        <v>9.4</v>
      </c>
      <c r="R54" s="198"/>
      <c r="S54" s="198"/>
      <c r="T54" s="198"/>
      <c r="U54" s="198"/>
    </row>
    <row r="55" spans="1:21" s="12" customFormat="1" x14ac:dyDescent="0.25">
      <c r="A55" s="216" t="s">
        <v>2788</v>
      </c>
      <c r="B55" s="64">
        <v>1.55</v>
      </c>
      <c r="C55" s="64">
        <v>0.23</v>
      </c>
      <c r="D55" s="64">
        <v>0.64</v>
      </c>
      <c r="E55" s="64">
        <v>2.29</v>
      </c>
      <c r="F55" s="64">
        <v>9.65</v>
      </c>
      <c r="G55" s="64">
        <v>63.16</v>
      </c>
      <c r="H55" s="64">
        <v>25.57</v>
      </c>
      <c r="I55" s="64">
        <v>4.53</v>
      </c>
      <c r="J55" s="64">
        <v>0.95</v>
      </c>
      <c r="K55" s="64">
        <v>333.57</v>
      </c>
      <c r="L55" s="64">
        <v>39.770000000000003</v>
      </c>
      <c r="M55" s="64">
        <v>29.16</v>
      </c>
      <c r="N55" s="64">
        <v>735.5</v>
      </c>
      <c r="O55" s="64">
        <v>0</v>
      </c>
      <c r="P55" s="64">
        <v>0.88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6" t="s">
        <v>2789</v>
      </c>
      <c r="B56" s="64">
        <v>1.67</v>
      </c>
      <c r="C56" s="64">
        <v>1.53</v>
      </c>
      <c r="D56" s="64">
        <v>1.41</v>
      </c>
      <c r="E56" s="64">
        <v>0.6</v>
      </c>
      <c r="F56" s="64">
        <v>8.64</v>
      </c>
      <c r="G56" s="64">
        <v>63.16</v>
      </c>
      <c r="H56" s="64">
        <v>25.57</v>
      </c>
      <c r="I56" s="64">
        <v>4.6100000000000003</v>
      </c>
      <c r="J56" s="64">
        <v>0.63</v>
      </c>
      <c r="K56" s="64">
        <v>325.58999999999997</v>
      </c>
      <c r="L56" s="64">
        <v>40.21</v>
      </c>
      <c r="M56" s="64">
        <v>27.8</v>
      </c>
      <c r="N56" s="64">
        <v>709.4</v>
      </c>
      <c r="O56" s="64">
        <v>0</v>
      </c>
      <c r="P56" s="64">
        <v>0.87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6" t="s">
        <v>2790</v>
      </c>
      <c r="B57" s="64">
        <v>1.54</v>
      </c>
      <c r="C57" s="64">
        <v>0.15</v>
      </c>
      <c r="D57" s="64">
        <v>0.55000000000000004</v>
      </c>
      <c r="E57" s="64">
        <v>1.03</v>
      </c>
      <c r="F57" s="64">
        <v>5.97</v>
      </c>
      <c r="G57" s="64">
        <v>63.16</v>
      </c>
      <c r="H57" s="64">
        <v>25.57</v>
      </c>
      <c r="I57" s="64">
        <v>4.76</v>
      </c>
      <c r="J57" s="64">
        <v>1.02</v>
      </c>
      <c r="K57" s="64">
        <v>325.27999999999997</v>
      </c>
      <c r="L57" s="64">
        <v>40.57</v>
      </c>
      <c r="M57" s="64">
        <v>26.54</v>
      </c>
      <c r="N57" s="64">
        <v>828.4</v>
      </c>
      <c r="O57" s="64">
        <v>0</v>
      </c>
      <c r="P57" s="64">
        <v>0.86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16" t="s">
        <v>2791</v>
      </c>
      <c r="B58" s="64">
        <v>1.49</v>
      </c>
      <c r="C58" s="6" t="s">
        <v>42</v>
      </c>
      <c r="D58" s="64">
        <v>0.26</v>
      </c>
      <c r="E58" s="64">
        <v>0.87</v>
      </c>
      <c r="F58" s="64">
        <v>5.64</v>
      </c>
      <c r="G58" s="64">
        <v>63.47</v>
      </c>
      <c r="H58" s="64">
        <v>25.62</v>
      </c>
      <c r="I58" s="64">
        <v>4.8899999999999997</v>
      </c>
      <c r="J58" s="64">
        <v>0.76</v>
      </c>
      <c r="K58" s="64">
        <v>321.22000000000003</v>
      </c>
      <c r="L58" s="64">
        <v>41.54</v>
      </c>
      <c r="M58" s="64">
        <v>24.69</v>
      </c>
      <c r="N58" s="64">
        <v>918.1</v>
      </c>
      <c r="O58" s="64">
        <v>0</v>
      </c>
      <c r="P58" s="64">
        <v>0.83</v>
      </c>
      <c r="Q58" s="64">
        <v>9.49</v>
      </c>
      <c r="R58" s="198"/>
      <c r="S58" s="198"/>
      <c r="T58" s="198"/>
      <c r="U58" s="198"/>
    </row>
    <row r="59" spans="1:21" s="12" customFormat="1" x14ac:dyDescent="0.25">
      <c r="A59" s="216" t="s">
        <v>2792</v>
      </c>
      <c r="B59" s="64">
        <v>1.48</v>
      </c>
      <c r="C59" s="6" t="s">
        <v>42</v>
      </c>
      <c r="D59" s="64">
        <v>0.22</v>
      </c>
      <c r="E59" s="64">
        <v>0.88</v>
      </c>
      <c r="F59" s="64">
        <v>7.43</v>
      </c>
      <c r="G59" s="64">
        <v>67.09</v>
      </c>
      <c r="H59" s="64">
        <v>26.19</v>
      </c>
      <c r="I59" s="64">
        <v>4.9800000000000004</v>
      </c>
      <c r="J59" s="64">
        <v>1.0900000000000001</v>
      </c>
      <c r="K59" s="64">
        <v>316.69</v>
      </c>
      <c r="L59" s="64">
        <v>41.74</v>
      </c>
      <c r="M59" s="64">
        <v>22.96</v>
      </c>
      <c r="N59" s="64">
        <v>900.1</v>
      </c>
      <c r="O59" s="64">
        <v>0</v>
      </c>
      <c r="P59" s="64">
        <v>0.8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6" t="s">
        <v>2793</v>
      </c>
      <c r="B60" s="64">
        <v>1.64</v>
      </c>
      <c r="C60" s="64">
        <v>0.88</v>
      </c>
      <c r="D60" s="64">
        <v>1.05</v>
      </c>
      <c r="E60" s="64">
        <v>1.25</v>
      </c>
      <c r="F60" s="64">
        <v>9.1199999999999992</v>
      </c>
      <c r="G60" s="64">
        <v>67.09</v>
      </c>
      <c r="H60" s="64">
        <v>26.19</v>
      </c>
      <c r="I60" s="64">
        <v>5</v>
      </c>
      <c r="J60" s="64">
        <v>0.78</v>
      </c>
      <c r="K60" s="64">
        <v>315.55</v>
      </c>
      <c r="L60" s="64">
        <v>42.02</v>
      </c>
      <c r="M60" s="64">
        <v>21.61</v>
      </c>
      <c r="N60" s="64">
        <v>901.6</v>
      </c>
      <c r="O60" s="64">
        <v>0</v>
      </c>
      <c r="P60" s="64">
        <v>0.73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6" t="s">
        <v>2794</v>
      </c>
      <c r="B61" s="64">
        <v>1.46</v>
      </c>
      <c r="C61" s="6" t="s">
        <v>42</v>
      </c>
      <c r="D61" s="64">
        <v>0.28999999999999998</v>
      </c>
      <c r="E61" s="64">
        <v>1.1100000000000001</v>
      </c>
      <c r="F61" s="64">
        <v>9.6199999999999992</v>
      </c>
      <c r="G61" s="64">
        <v>67.09</v>
      </c>
      <c r="H61" s="64">
        <v>26.19</v>
      </c>
      <c r="I61" s="64">
        <v>4.66</v>
      </c>
      <c r="J61" s="64">
        <v>0.88</v>
      </c>
      <c r="K61" s="64">
        <v>319.48</v>
      </c>
      <c r="L61" s="64">
        <v>41.69</v>
      </c>
      <c r="M61" s="64">
        <v>19.38</v>
      </c>
      <c r="N61" s="64">
        <v>845.2</v>
      </c>
      <c r="O61" s="64">
        <v>0</v>
      </c>
      <c r="P61" s="64">
        <v>0.6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6" t="s">
        <v>2795</v>
      </c>
      <c r="B62" s="64">
        <v>1.6</v>
      </c>
      <c r="C62" s="64">
        <v>0.84</v>
      </c>
      <c r="D62" s="64">
        <v>0.97</v>
      </c>
      <c r="E62" s="64">
        <v>1.1100000000000001</v>
      </c>
      <c r="F62" s="64">
        <v>10.78</v>
      </c>
      <c r="G62" s="64">
        <v>66.41</v>
      </c>
      <c r="H62" s="64">
        <v>26.14</v>
      </c>
      <c r="I62" s="64">
        <v>4.29</v>
      </c>
      <c r="J62" s="64">
        <v>1.37</v>
      </c>
      <c r="K62" s="64">
        <v>323.61</v>
      </c>
      <c r="L62" s="64">
        <v>42.21</v>
      </c>
      <c r="M62" s="64">
        <v>19.03</v>
      </c>
      <c r="N62" s="64">
        <v>759.6</v>
      </c>
      <c r="O62" s="64">
        <v>0</v>
      </c>
      <c r="P62" s="64">
        <v>0.57999999999999996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6" t="s">
        <v>2796</v>
      </c>
      <c r="B63" s="64">
        <v>1.57</v>
      </c>
      <c r="C63" s="64">
        <v>0.73</v>
      </c>
      <c r="D63" s="64">
        <v>0.91</v>
      </c>
      <c r="E63" s="64">
        <v>1.82</v>
      </c>
      <c r="F63" s="64">
        <v>15.42</v>
      </c>
      <c r="G63" s="64">
        <v>58.39</v>
      </c>
      <c r="H63" s="64">
        <v>25.53</v>
      </c>
      <c r="I63" s="64">
        <v>3.96</v>
      </c>
      <c r="J63" s="64">
        <v>1.07</v>
      </c>
      <c r="K63" s="64">
        <v>340.58</v>
      </c>
      <c r="L63" s="64">
        <v>41.61</v>
      </c>
      <c r="M63" s="64">
        <v>19.97</v>
      </c>
      <c r="N63" s="64">
        <v>648.29999999999995</v>
      </c>
      <c r="O63" s="64">
        <v>0</v>
      </c>
      <c r="P63" s="64">
        <v>0.54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6" t="s">
        <v>2797</v>
      </c>
      <c r="B64" s="64">
        <v>1.31</v>
      </c>
      <c r="C64" s="64">
        <v>0.04</v>
      </c>
      <c r="D64" s="64">
        <v>0.27</v>
      </c>
      <c r="E64" s="64">
        <v>0.84</v>
      </c>
      <c r="F64" s="64">
        <v>13.96</v>
      </c>
      <c r="G64" s="64">
        <v>58.39</v>
      </c>
      <c r="H64" s="64">
        <v>25.53</v>
      </c>
      <c r="I64" s="64">
        <v>3.65</v>
      </c>
      <c r="J64" s="64">
        <v>1.57</v>
      </c>
      <c r="K64" s="64">
        <v>332.56</v>
      </c>
      <c r="L64" s="64">
        <v>41.32</v>
      </c>
      <c r="M64" s="64">
        <v>20.12</v>
      </c>
      <c r="N64" s="64">
        <v>630.4</v>
      </c>
      <c r="O64" s="64">
        <v>0</v>
      </c>
      <c r="P64" s="64">
        <v>0.52</v>
      </c>
      <c r="Q64" s="64">
        <v>9.2799999999999994</v>
      </c>
      <c r="R64" s="198"/>
      <c r="S64" s="198"/>
      <c r="T64" s="198"/>
      <c r="U64" s="198"/>
    </row>
    <row r="65" spans="1:21" s="12" customFormat="1" x14ac:dyDescent="0.25">
      <c r="A65" s="216" t="s">
        <v>2798</v>
      </c>
      <c r="B65" s="64">
        <v>1.37</v>
      </c>
      <c r="C65" s="64">
        <v>0.54</v>
      </c>
      <c r="D65" s="64">
        <v>0.53</v>
      </c>
      <c r="E65" s="64">
        <v>0.83</v>
      </c>
      <c r="F65" s="64">
        <v>10.72</v>
      </c>
      <c r="G65" s="64">
        <v>58.39</v>
      </c>
      <c r="H65" s="64">
        <v>25.53</v>
      </c>
      <c r="I65" s="64">
        <v>3.51</v>
      </c>
      <c r="J65" s="64">
        <v>1.19</v>
      </c>
      <c r="K65" s="64">
        <v>340.49</v>
      </c>
      <c r="L65" s="64">
        <v>41.24</v>
      </c>
      <c r="M65" s="64">
        <v>20.84</v>
      </c>
      <c r="N65" s="64">
        <v>565</v>
      </c>
      <c r="O65" s="64">
        <v>0</v>
      </c>
      <c r="P65" s="64">
        <v>0.51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6" t="s">
        <v>2799</v>
      </c>
      <c r="B66" s="64">
        <v>1.45</v>
      </c>
      <c r="C66" s="64">
        <v>0.81</v>
      </c>
      <c r="D66" s="64">
        <v>0.86</v>
      </c>
      <c r="E66" s="64">
        <v>0.62</v>
      </c>
      <c r="F66" s="64">
        <v>7.56</v>
      </c>
      <c r="G66" s="64">
        <v>58.42</v>
      </c>
      <c r="H66" s="64">
        <v>25.52</v>
      </c>
      <c r="I66" s="64">
        <v>3.43</v>
      </c>
      <c r="J66" s="64">
        <v>1.36</v>
      </c>
      <c r="K66" s="64">
        <v>336.88</v>
      </c>
      <c r="L66" s="64">
        <v>41.18</v>
      </c>
      <c r="M66" s="64">
        <v>21.02</v>
      </c>
      <c r="N66" s="64">
        <v>610</v>
      </c>
      <c r="O66" s="64">
        <v>0</v>
      </c>
      <c r="P66" s="64">
        <v>0.51</v>
      </c>
      <c r="Q66" s="64">
        <v>9.2899999999999991</v>
      </c>
      <c r="R66" s="198"/>
      <c r="S66" s="198"/>
      <c r="T66" s="198"/>
      <c r="U66" s="198"/>
    </row>
    <row r="67" spans="1:21" s="12" customFormat="1" x14ac:dyDescent="0.25">
      <c r="A67" s="216" t="s">
        <v>2800</v>
      </c>
      <c r="B67" s="64">
        <v>1.43</v>
      </c>
      <c r="C67" s="64">
        <v>0.65</v>
      </c>
      <c r="D67" s="64">
        <v>0.75</v>
      </c>
      <c r="E67" s="64">
        <v>0.53</v>
      </c>
      <c r="F67" s="64">
        <v>6.41</v>
      </c>
      <c r="G67" s="64">
        <v>58.72</v>
      </c>
      <c r="H67" s="64">
        <v>25.37</v>
      </c>
      <c r="I67" s="64">
        <v>3.48</v>
      </c>
      <c r="J67" s="64">
        <v>0.73</v>
      </c>
      <c r="K67" s="64">
        <v>331.7</v>
      </c>
      <c r="L67" s="64">
        <v>40.76</v>
      </c>
      <c r="M67" s="64">
        <v>20.95</v>
      </c>
      <c r="N67" s="64">
        <v>308.3</v>
      </c>
      <c r="O67" s="64">
        <v>0</v>
      </c>
      <c r="P67" s="64">
        <v>0.5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6" t="s">
        <v>2801</v>
      </c>
      <c r="B68" s="64">
        <v>1.31</v>
      </c>
      <c r="C68" s="6" t="s">
        <v>42</v>
      </c>
      <c r="D68" s="64">
        <v>0.11</v>
      </c>
      <c r="E68" s="64">
        <v>0.78</v>
      </c>
      <c r="F68" s="64">
        <v>6</v>
      </c>
      <c r="G68" s="64">
        <v>58.72</v>
      </c>
      <c r="H68" s="64">
        <v>25.37</v>
      </c>
      <c r="I68" s="64">
        <v>3.86</v>
      </c>
      <c r="J68" s="64">
        <v>0.84</v>
      </c>
      <c r="K68" s="64">
        <v>324.39999999999998</v>
      </c>
      <c r="L68" s="64">
        <v>40.020000000000003</v>
      </c>
      <c r="M68" s="64">
        <v>21.72</v>
      </c>
      <c r="N68" s="64">
        <v>280.60000000000002</v>
      </c>
      <c r="O68" s="64">
        <v>0</v>
      </c>
      <c r="P68" s="64">
        <v>0.5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6" t="s">
        <v>2802</v>
      </c>
      <c r="B69" s="64">
        <v>1.43</v>
      </c>
      <c r="C69" s="64">
        <v>0.56000000000000005</v>
      </c>
      <c r="D69" s="64">
        <v>0.66</v>
      </c>
      <c r="E69" s="64">
        <v>0.27</v>
      </c>
      <c r="F69" s="64">
        <v>5.78</v>
      </c>
      <c r="G69" s="64">
        <v>58.72</v>
      </c>
      <c r="H69" s="64">
        <v>25.37</v>
      </c>
      <c r="I69" s="64">
        <v>4.17</v>
      </c>
      <c r="J69" s="64">
        <v>1.35</v>
      </c>
      <c r="K69" s="64">
        <v>320.87</v>
      </c>
      <c r="L69" s="64">
        <v>39.42</v>
      </c>
      <c r="M69" s="64">
        <v>21.72</v>
      </c>
      <c r="N69" s="64">
        <v>276.2</v>
      </c>
      <c r="O69" s="64">
        <v>0</v>
      </c>
      <c r="P69" s="64">
        <v>0.49</v>
      </c>
      <c r="Q69" s="64">
        <v>9.33</v>
      </c>
      <c r="R69" s="198"/>
      <c r="S69" s="198"/>
      <c r="T69" s="198"/>
      <c r="U69" s="198"/>
    </row>
    <row r="70" spans="1:21" s="12" customFormat="1" x14ac:dyDescent="0.25">
      <c r="A70" s="216" t="s">
        <v>2803</v>
      </c>
      <c r="B70" s="64">
        <v>1.34</v>
      </c>
      <c r="C70" s="64">
        <v>0.01</v>
      </c>
      <c r="D70" s="64">
        <v>0.2</v>
      </c>
      <c r="E70" s="64">
        <v>0.18</v>
      </c>
      <c r="F70" s="64">
        <v>5.64</v>
      </c>
      <c r="G70" s="64">
        <v>58.12</v>
      </c>
      <c r="H70" s="64">
        <v>25.46</v>
      </c>
      <c r="I70" s="64">
        <v>4.2699999999999996</v>
      </c>
      <c r="J70" s="64">
        <v>0.37</v>
      </c>
      <c r="K70" s="64">
        <v>324.19</v>
      </c>
      <c r="L70" s="64">
        <v>39.01</v>
      </c>
      <c r="M70" s="64">
        <v>21.33</v>
      </c>
      <c r="N70" s="64">
        <v>247.1</v>
      </c>
      <c r="O70" s="64">
        <v>0</v>
      </c>
      <c r="P70" s="64">
        <v>0.48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6" t="s">
        <v>2804</v>
      </c>
      <c r="B71" s="64">
        <v>1.42</v>
      </c>
      <c r="C71" s="64">
        <v>1.02</v>
      </c>
      <c r="D71" s="64">
        <v>0.72</v>
      </c>
      <c r="E71" s="64">
        <v>0.43</v>
      </c>
      <c r="F71" s="64">
        <v>5.28</v>
      </c>
      <c r="G71" s="64">
        <v>50.97</v>
      </c>
      <c r="H71" s="64">
        <v>26.53</v>
      </c>
      <c r="I71" s="64">
        <v>4.21</v>
      </c>
      <c r="J71" s="64">
        <v>0.3</v>
      </c>
      <c r="K71" s="64">
        <v>312.02999999999997</v>
      </c>
      <c r="L71" s="64">
        <v>38.9</v>
      </c>
      <c r="M71" s="64">
        <v>21.57</v>
      </c>
      <c r="N71" s="64">
        <v>232.3</v>
      </c>
      <c r="O71" s="64">
        <v>0</v>
      </c>
      <c r="P71" s="64">
        <v>0.47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6" t="s">
        <v>2805</v>
      </c>
      <c r="B72" s="64">
        <v>1.28</v>
      </c>
      <c r="C72" s="64">
        <v>3.96</v>
      </c>
      <c r="D72" s="64">
        <v>2.37</v>
      </c>
      <c r="E72" s="64">
        <v>1.4</v>
      </c>
      <c r="F72" s="64">
        <v>5.31</v>
      </c>
      <c r="G72" s="64">
        <v>50.97</v>
      </c>
      <c r="H72" s="64">
        <v>26.53</v>
      </c>
      <c r="I72" s="64">
        <v>3.96</v>
      </c>
      <c r="J72" s="64">
        <v>0.08</v>
      </c>
      <c r="K72" s="64">
        <v>271.61</v>
      </c>
      <c r="L72" s="64">
        <v>38.58</v>
      </c>
      <c r="M72" s="64">
        <v>21.27</v>
      </c>
      <c r="N72" s="64">
        <v>214.6</v>
      </c>
      <c r="O72" s="64">
        <v>0</v>
      </c>
      <c r="P72" s="64">
        <v>0.46</v>
      </c>
      <c r="Q72" s="64">
        <v>9.52</v>
      </c>
      <c r="R72" s="198"/>
      <c r="S72" s="198"/>
      <c r="T72" s="198"/>
      <c r="U72" s="198"/>
    </row>
    <row r="73" spans="1:21" s="12" customFormat="1" x14ac:dyDescent="0.25">
      <c r="A73" s="216" t="s">
        <v>2806</v>
      </c>
      <c r="B73" s="64">
        <v>0.83</v>
      </c>
      <c r="C73" s="64">
        <v>0.3</v>
      </c>
      <c r="D73" s="64">
        <v>0.06</v>
      </c>
      <c r="E73" s="64">
        <v>1.6</v>
      </c>
      <c r="F73" s="64">
        <v>7.82</v>
      </c>
      <c r="G73" s="64">
        <v>50.97</v>
      </c>
      <c r="H73" s="64">
        <v>26.53</v>
      </c>
      <c r="I73" s="64">
        <v>4.34</v>
      </c>
      <c r="J73" s="64">
        <v>0.2</v>
      </c>
      <c r="K73" s="64">
        <v>167</v>
      </c>
      <c r="L73" s="64">
        <v>37.97</v>
      </c>
      <c r="M73" s="64">
        <v>20.8</v>
      </c>
      <c r="N73" s="64">
        <v>198.1</v>
      </c>
      <c r="O73" s="64">
        <v>0</v>
      </c>
      <c r="P73" s="64">
        <v>0.43</v>
      </c>
      <c r="Q73" s="64">
        <v>9.5299999999999994</v>
      </c>
      <c r="R73" s="198"/>
      <c r="S73" s="198"/>
      <c r="T73" s="198"/>
      <c r="U73" s="198"/>
    </row>
    <row r="74" spans="1:21" s="12" customFormat="1" x14ac:dyDescent="0.25">
      <c r="A74" s="216" t="s">
        <v>2807</v>
      </c>
      <c r="B74" s="64">
        <v>1.94</v>
      </c>
      <c r="C74" s="64">
        <v>0.36</v>
      </c>
      <c r="D74" s="64">
        <v>1.88</v>
      </c>
      <c r="E74" s="64">
        <v>1.8</v>
      </c>
      <c r="F74" s="64">
        <v>9.86</v>
      </c>
      <c r="G74" s="64">
        <v>49.8</v>
      </c>
      <c r="H74" s="64">
        <v>26.35</v>
      </c>
      <c r="I74" s="64">
        <v>4.8600000000000003</v>
      </c>
      <c r="J74" s="64">
        <v>0.86</v>
      </c>
      <c r="K74" s="64">
        <v>147.25</v>
      </c>
      <c r="L74" s="64">
        <v>37.69</v>
      </c>
      <c r="M74" s="64">
        <v>21.59</v>
      </c>
      <c r="N74" s="64">
        <v>172.9</v>
      </c>
      <c r="O74" s="64">
        <v>0</v>
      </c>
      <c r="P74" s="64">
        <v>0.38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6" t="s">
        <v>2808</v>
      </c>
      <c r="B75" s="64">
        <v>2.5099999999999998</v>
      </c>
      <c r="C75" s="64">
        <v>1.79</v>
      </c>
      <c r="D75" s="64">
        <v>4.0999999999999996</v>
      </c>
      <c r="E75" s="64">
        <v>1.73</v>
      </c>
      <c r="F75" s="64">
        <v>10.220000000000001</v>
      </c>
      <c r="G75" s="64">
        <v>35.979999999999997</v>
      </c>
      <c r="H75" s="64">
        <v>24.25</v>
      </c>
      <c r="I75" s="64">
        <v>4.97</v>
      </c>
      <c r="J75" s="64">
        <v>1.6</v>
      </c>
      <c r="K75" s="64">
        <v>148.13999999999999</v>
      </c>
      <c r="L75" s="64">
        <v>37.479999999999997</v>
      </c>
      <c r="M75" s="64">
        <v>21.73</v>
      </c>
      <c r="N75" s="64">
        <v>117.1</v>
      </c>
      <c r="O75" s="64">
        <v>0</v>
      </c>
      <c r="P75" s="64">
        <v>0.35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6" t="s">
        <v>2809</v>
      </c>
      <c r="B76" s="64">
        <v>2.38</v>
      </c>
      <c r="C76" s="64">
        <v>0.75</v>
      </c>
      <c r="D76" s="64">
        <v>3.45</v>
      </c>
      <c r="E76" s="64">
        <v>1.59</v>
      </c>
      <c r="F76" s="64">
        <v>7.13</v>
      </c>
      <c r="G76" s="64">
        <v>35.979999999999997</v>
      </c>
      <c r="H76" s="64">
        <v>24.25</v>
      </c>
      <c r="I76" s="64">
        <v>5.27</v>
      </c>
      <c r="J76" s="64">
        <v>1.26</v>
      </c>
      <c r="K76" s="64">
        <v>155.51</v>
      </c>
      <c r="L76" s="64">
        <v>37.340000000000003</v>
      </c>
      <c r="M76" s="64">
        <v>22.18</v>
      </c>
      <c r="N76" s="64">
        <v>99.5</v>
      </c>
      <c r="O76" s="64">
        <v>0</v>
      </c>
      <c r="P76" s="64">
        <v>0.34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6" t="s">
        <v>2810</v>
      </c>
      <c r="B77" s="64">
        <v>2.48</v>
      </c>
      <c r="C77" s="64">
        <v>1.76</v>
      </c>
      <c r="D77" s="64">
        <v>4.05</v>
      </c>
      <c r="E77" s="64">
        <v>1.69</v>
      </c>
      <c r="F77" s="64">
        <v>6.46</v>
      </c>
      <c r="G77" s="64">
        <v>35.979999999999997</v>
      </c>
      <c r="H77" s="64">
        <v>24.25</v>
      </c>
      <c r="I77" s="64">
        <v>5.88</v>
      </c>
      <c r="J77" s="64">
        <v>1.36</v>
      </c>
      <c r="K77" s="64">
        <v>165.45</v>
      </c>
      <c r="L77" s="64">
        <v>37.159999999999997</v>
      </c>
      <c r="M77" s="64">
        <v>22.45</v>
      </c>
      <c r="N77" s="64">
        <v>82.1</v>
      </c>
      <c r="O77" s="64">
        <v>0</v>
      </c>
      <c r="P77" s="64">
        <v>0.34</v>
      </c>
      <c r="Q77" s="64">
        <v>9.52</v>
      </c>
      <c r="R77" s="198"/>
      <c r="S77" s="198"/>
      <c r="T77" s="198"/>
      <c r="U77" s="198"/>
    </row>
    <row r="78" spans="1:21" s="12" customFormat="1" x14ac:dyDescent="0.25">
      <c r="A78" s="216" t="s">
        <v>2811</v>
      </c>
      <c r="B78" s="64">
        <v>2.37</v>
      </c>
      <c r="C78" s="64">
        <v>0.98</v>
      </c>
      <c r="D78" s="64">
        <v>3.56</v>
      </c>
      <c r="E78" s="64">
        <v>1.97</v>
      </c>
      <c r="F78" s="64">
        <v>5.13</v>
      </c>
      <c r="G78" s="64">
        <v>37.619999999999997</v>
      </c>
      <c r="H78" s="64">
        <v>24.09</v>
      </c>
      <c r="I78" s="64">
        <v>6.29</v>
      </c>
      <c r="J78" s="64">
        <v>1.44</v>
      </c>
      <c r="K78" s="64">
        <v>153.96</v>
      </c>
      <c r="L78" s="64">
        <v>36.94</v>
      </c>
      <c r="M78" s="64">
        <v>22.88</v>
      </c>
      <c r="N78" s="64">
        <v>66.8</v>
      </c>
      <c r="O78" s="64">
        <v>0</v>
      </c>
      <c r="P78" s="64">
        <v>0.34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6" t="s">
        <v>2812</v>
      </c>
      <c r="B79" s="64">
        <v>2.4900000000000002</v>
      </c>
      <c r="C79" s="64">
        <v>1.93</v>
      </c>
      <c r="D79" s="64">
        <v>4.1500000000000004</v>
      </c>
      <c r="E79" s="64">
        <v>1.64</v>
      </c>
      <c r="F79" s="64">
        <v>4.91</v>
      </c>
      <c r="G79" s="64">
        <v>57.07</v>
      </c>
      <c r="H79" s="64">
        <v>22.23</v>
      </c>
      <c r="I79" s="64">
        <v>6.69</v>
      </c>
      <c r="J79" s="64">
        <v>1.02</v>
      </c>
      <c r="K79" s="64">
        <v>169.48</v>
      </c>
      <c r="L79" s="64">
        <v>36.729999999999997</v>
      </c>
      <c r="M79" s="64">
        <v>23.5</v>
      </c>
      <c r="N79" s="64">
        <v>52.5</v>
      </c>
      <c r="O79" s="64">
        <v>0</v>
      </c>
      <c r="P79" s="64">
        <v>0.34</v>
      </c>
      <c r="Q79" s="64">
        <v>9.49</v>
      </c>
      <c r="R79" s="198"/>
      <c r="S79" s="198"/>
      <c r="T79" s="198"/>
      <c r="U79" s="198"/>
    </row>
    <row r="80" spans="1:21" s="12" customFormat="1" x14ac:dyDescent="0.25">
      <c r="A80" s="216" t="s">
        <v>2813</v>
      </c>
      <c r="B80" s="64">
        <v>2.34</v>
      </c>
      <c r="C80" s="64">
        <v>0.92</v>
      </c>
      <c r="D80" s="64">
        <v>3.5</v>
      </c>
      <c r="E80" s="64">
        <v>1.95</v>
      </c>
      <c r="F80" s="64">
        <v>4.67</v>
      </c>
      <c r="G80" s="64">
        <v>57.07</v>
      </c>
      <c r="H80" s="64">
        <v>22.23</v>
      </c>
      <c r="I80" s="64">
        <v>6.81</v>
      </c>
      <c r="J80" s="64">
        <v>1.1299999999999999</v>
      </c>
      <c r="K80" s="64">
        <v>170.83</v>
      </c>
      <c r="L80" s="64">
        <v>36.380000000000003</v>
      </c>
      <c r="M80" s="64">
        <v>24.24</v>
      </c>
      <c r="N80" s="64">
        <v>38</v>
      </c>
      <c r="O80" s="64">
        <v>0</v>
      </c>
      <c r="P80" s="64">
        <v>0.35</v>
      </c>
      <c r="Q80" s="64">
        <v>9.4499999999999993</v>
      </c>
      <c r="R80" s="198"/>
      <c r="S80" s="198"/>
      <c r="T80" s="198"/>
      <c r="U80" s="198"/>
    </row>
    <row r="81" spans="1:26" s="12" customFormat="1" x14ac:dyDescent="0.25">
      <c r="A81" s="216" t="s">
        <v>2814</v>
      </c>
      <c r="B81" s="64">
        <v>2.39</v>
      </c>
      <c r="C81" s="64">
        <v>1.05</v>
      </c>
      <c r="D81" s="64">
        <v>3.62</v>
      </c>
      <c r="E81" s="64">
        <v>1.94</v>
      </c>
      <c r="F81" s="64">
        <v>4.5</v>
      </c>
      <c r="G81" s="64">
        <v>57.07</v>
      </c>
      <c r="H81" s="64">
        <v>22.23</v>
      </c>
      <c r="I81" s="64">
        <v>6.78</v>
      </c>
      <c r="J81" s="64">
        <v>1.06</v>
      </c>
      <c r="K81" s="64">
        <v>184.82</v>
      </c>
      <c r="L81" s="64">
        <v>36.229999999999997</v>
      </c>
      <c r="M81" s="64">
        <v>24.01</v>
      </c>
      <c r="N81" s="64">
        <v>25.1</v>
      </c>
      <c r="O81" s="64">
        <v>0</v>
      </c>
      <c r="P81" s="64">
        <v>0.36</v>
      </c>
      <c r="Q81" s="64">
        <v>9.4700000000000006</v>
      </c>
      <c r="R81" s="198"/>
      <c r="S81" s="198"/>
      <c r="T81" s="198"/>
      <c r="U81" s="198"/>
    </row>
    <row r="82" spans="1:26" s="12" customFormat="1" x14ac:dyDescent="0.25">
      <c r="A82" s="216" t="s">
        <v>2815</v>
      </c>
      <c r="B82" s="64">
        <v>2.66</v>
      </c>
      <c r="C82" s="64">
        <v>3.06</v>
      </c>
      <c r="D82" s="64">
        <v>4.87</v>
      </c>
      <c r="E82" s="64">
        <v>1.8</v>
      </c>
      <c r="F82" s="64">
        <v>4.32</v>
      </c>
      <c r="G82" s="64">
        <v>57.68</v>
      </c>
      <c r="H82" s="64">
        <v>22.34</v>
      </c>
      <c r="I82" s="64">
        <v>7.2</v>
      </c>
      <c r="J82" s="64">
        <v>0.13</v>
      </c>
      <c r="K82" s="64">
        <v>223.39</v>
      </c>
      <c r="L82" s="64">
        <v>35.75</v>
      </c>
      <c r="M82" s="64">
        <v>28.72</v>
      </c>
      <c r="N82" s="64">
        <v>16.100000000000001</v>
      </c>
      <c r="O82" s="64">
        <v>0</v>
      </c>
      <c r="P82" s="64">
        <v>0.39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6" t="s">
        <v>2816</v>
      </c>
      <c r="B83" s="64">
        <v>2.36</v>
      </c>
      <c r="C83" s="64">
        <v>0.88</v>
      </c>
      <c r="D83" s="64">
        <v>3.5</v>
      </c>
      <c r="E83" s="64">
        <v>1.48</v>
      </c>
      <c r="F83" s="64">
        <v>4.03</v>
      </c>
      <c r="G83" s="64">
        <v>64.989999999999995</v>
      </c>
      <c r="H83" s="64">
        <v>23.63</v>
      </c>
      <c r="I83" s="64">
        <v>7.29</v>
      </c>
      <c r="J83" s="64">
        <v>0.35</v>
      </c>
      <c r="K83" s="64">
        <v>207.38</v>
      </c>
      <c r="L83" s="64">
        <v>34.6</v>
      </c>
      <c r="M83" s="64">
        <v>29.06</v>
      </c>
      <c r="N83" s="64">
        <v>13.7</v>
      </c>
      <c r="O83" s="64">
        <v>0</v>
      </c>
      <c r="P83" s="64">
        <v>0.47</v>
      </c>
      <c r="Q83" s="64">
        <v>9.42</v>
      </c>
      <c r="R83" s="198"/>
      <c r="S83" s="198"/>
      <c r="T83" s="198"/>
      <c r="U83" s="198"/>
    </row>
    <row r="84" spans="1:26" s="12" customFormat="1" x14ac:dyDescent="0.25">
      <c r="A84" s="216" t="s">
        <v>2817</v>
      </c>
      <c r="B84" s="64">
        <v>3.18</v>
      </c>
      <c r="C84" s="64">
        <v>4.96</v>
      </c>
      <c r="D84" s="64">
        <v>6.29</v>
      </c>
      <c r="E84" s="64">
        <v>1.64</v>
      </c>
      <c r="F84" s="64">
        <v>3.93</v>
      </c>
      <c r="G84" s="64">
        <v>64.989999999999995</v>
      </c>
      <c r="H84" s="64">
        <v>23.63</v>
      </c>
      <c r="I84" s="64">
        <v>7.57</v>
      </c>
      <c r="J84" s="64">
        <v>0.53</v>
      </c>
      <c r="K84" s="64">
        <v>294.55</v>
      </c>
      <c r="L84" s="64">
        <v>34.07</v>
      </c>
      <c r="M84" s="64">
        <v>29.45</v>
      </c>
      <c r="N84" s="64">
        <v>11.4</v>
      </c>
      <c r="O84" s="64">
        <v>0</v>
      </c>
      <c r="P84" s="64">
        <v>0.52</v>
      </c>
      <c r="Q84" s="64">
        <v>9.44</v>
      </c>
      <c r="R84" s="198"/>
      <c r="S84" s="198"/>
      <c r="T84" s="198"/>
      <c r="U84" s="198"/>
    </row>
    <row r="85" spans="1:26" s="12" customFormat="1" x14ac:dyDescent="0.25">
      <c r="A85" s="216" t="s">
        <v>2818</v>
      </c>
      <c r="B85" s="64">
        <v>2.5499999999999998</v>
      </c>
      <c r="C85" s="64">
        <v>1.68</v>
      </c>
      <c r="D85" s="64">
        <v>4.07</v>
      </c>
      <c r="E85" s="64">
        <v>1.57</v>
      </c>
      <c r="F85" s="64">
        <v>3.92</v>
      </c>
      <c r="G85" s="64">
        <v>64.989999999999995</v>
      </c>
      <c r="H85" s="64">
        <v>23.63</v>
      </c>
      <c r="I85" s="64">
        <v>8.1300000000000008</v>
      </c>
      <c r="J85" s="64">
        <v>0.6</v>
      </c>
      <c r="K85" s="64">
        <v>278.24</v>
      </c>
      <c r="L85" s="64">
        <v>33.880000000000003</v>
      </c>
      <c r="M85" s="64">
        <v>29.76</v>
      </c>
      <c r="N85" s="64">
        <v>11.3</v>
      </c>
      <c r="O85" s="64">
        <v>0</v>
      </c>
      <c r="P85" s="64">
        <v>0.6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6" t="s">
        <v>2819</v>
      </c>
      <c r="B86" s="64">
        <v>3.82</v>
      </c>
      <c r="C86" s="64">
        <v>6.51</v>
      </c>
      <c r="D86" s="64">
        <v>7.61</v>
      </c>
      <c r="E86" s="64">
        <v>1.87</v>
      </c>
      <c r="F86" s="64">
        <v>3.83</v>
      </c>
      <c r="G86" s="64">
        <v>66.39</v>
      </c>
      <c r="H86" s="64">
        <v>24.08</v>
      </c>
      <c r="I86" s="64">
        <v>8.4600000000000009</v>
      </c>
      <c r="J86" s="64">
        <v>0.95</v>
      </c>
      <c r="K86" s="64">
        <v>153.99</v>
      </c>
      <c r="L86" s="64">
        <v>34.119999999999997</v>
      </c>
      <c r="M86" s="64">
        <v>28.25</v>
      </c>
      <c r="N86" s="64">
        <v>10.199999999999999</v>
      </c>
      <c r="O86" s="64">
        <v>0</v>
      </c>
      <c r="P86" s="64">
        <v>0.68</v>
      </c>
      <c r="Q86" s="64">
        <v>9.5500000000000007</v>
      </c>
      <c r="R86" s="198"/>
      <c r="S86" s="198"/>
      <c r="T86" s="198"/>
      <c r="U86" s="198"/>
    </row>
    <row r="87" spans="1:26" s="12" customFormat="1" x14ac:dyDescent="0.25">
      <c r="A87" s="216" t="s">
        <v>2820</v>
      </c>
      <c r="B87" s="64">
        <v>3.32</v>
      </c>
      <c r="C87" s="64">
        <v>4.49</v>
      </c>
      <c r="D87" s="64">
        <v>6.15</v>
      </c>
      <c r="E87" s="64">
        <v>1.73</v>
      </c>
      <c r="F87" s="64">
        <v>3.76</v>
      </c>
      <c r="G87" s="64">
        <v>83.01</v>
      </c>
      <c r="H87" s="64">
        <v>29.41</v>
      </c>
      <c r="I87" s="64">
        <v>8.6999999999999993</v>
      </c>
      <c r="J87" s="64">
        <v>0.32</v>
      </c>
      <c r="K87" s="64">
        <v>275.5</v>
      </c>
      <c r="L87" s="64">
        <v>33.909999999999997</v>
      </c>
      <c r="M87" s="64">
        <v>30.88</v>
      </c>
      <c r="N87" s="64">
        <v>11.4</v>
      </c>
      <c r="O87" s="64">
        <v>0</v>
      </c>
      <c r="P87" s="64">
        <v>0.7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6" t="s">
        <v>2821</v>
      </c>
      <c r="B88" s="64">
        <v>3.7</v>
      </c>
      <c r="C88" s="64">
        <v>5.91</v>
      </c>
      <c r="D88" s="64">
        <v>7.2</v>
      </c>
      <c r="E88" s="64">
        <v>1.54</v>
      </c>
      <c r="F88" s="64">
        <v>3.71</v>
      </c>
      <c r="G88" s="64">
        <v>83.01</v>
      </c>
      <c r="H88" s="64">
        <v>29.41</v>
      </c>
      <c r="I88" s="64">
        <v>8.7899999999999991</v>
      </c>
      <c r="J88" s="64">
        <v>0.67</v>
      </c>
      <c r="K88" s="64">
        <v>153.15</v>
      </c>
      <c r="L88" s="64">
        <v>33.19</v>
      </c>
      <c r="M88" s="64">
        <v>31.72</v>
      </c>
      <c r="N88" s="64">
        <v>10.9</v>
      </c>
      <c r="O88" s="64">
        <v>0</v>
      </c>
      <c r="P88" s="64">
        <v>0.78</v>
      </c>
      <c r="Q88" s="64">
        <v>9.67</v>
      </c>
      <c r="R88" s="198"/>
      <c r="S88" s="198"/>
      <c r="T88" s="198"/>
      <c r="U88" s="198"/>
    </row>
    <row r="89" spans="1:26" s="12" customFormat="1" x14ac:dyDescent="0.25">
      <c r="A89" s="216" t="s">
        <v>2822</v>
      </c>
      <c r="B89" s="64">
        <v>3.23</v>
      </c>
      <c r="C89" s="64">
        <v>3.69</v>
      </c>
      <c r="D89" s="64">
        <v>5.66</v>
      </c>
      <c r="E89" s="64">
        <v>1.1599999999999999</v>
      </c>
      <c r="F89" s="64">
        <v>3.94</v>
      </c>
      <c r="G89" s="64">
        <v>83.01</v>
      </c>
      <c r="H89" s="64">
        <v>29.41</v>
      </c>
      <c r="I89" s="64">
        <v>9.1999999999999993</v>
      </c>
      <c r="J89" s="64">
        <v>0.49</v>
      </c>
      <c r="K89" s="64">
        <v>156.37</v>
      </c>
      <c r="L89" s="64">
        <v>33.46</v>
      </c>
      <c r="M89" s="64">
        <v>30.2</v>
      </c>
      <c r="N89" s="64">
        <v>10.8</v>
      </c>
      <c r="O89" s="64">
        <v>0</v>
      </c>
      <c r="P89" s="64">
        <v>0.81</v>
      </c>
      <c r="Q89" s="64">
        <v>9.7100000000000009</v>
      </c>
      <c r="R89" s="198"/>
      <c r="S89" s="198"/>
      <c r="T89" s="198"/>
      <c r="U89" s="198"/>
    </row>
    <row r="90" spans="1:26" s="12" customFormat="1" x14ac:dyDescent="0.25">
      <c r="A90" s="216" t="s">
        <v>2823</v>
      </c>
      <c r="B90" s="64">
        <v>4.2699999999999996</v>
      </c>
      <c r="C90" s="64">
        <v>6.28</v>
      </c>
      <c r="D90" s="64">
        <v>7.85</v>
      </c>
      <c r="E90" s="64">
        <v>1.2</v>
      </c>
      <c r="F90" s="64">
        <v>3.81</v>
      </c>
      <c r="G90" s="64">
        <v>84.16</v>
      </c>
      <c r="H90" s="64">
        <v>29.51</v>
      </c>
      <c r="I90" s="64">
        <v>9.6</v>
      </c>
      <c r="J90" s="64">
        <v>0.4</v>
      </c>
      <c r="K90" s="64">
        <v>191.85</v>
      </c>
      <c r="L90" s="64">
        <v>33.36</v>
      </c>
      <c r="M90" s="64">
        <v>30.03</v>
      </c>
      <c r="N90" s="64">
        <v>10.8</v>
      </c>
      <c r="O90" s="64">
        <v>0</v>
      </c>
      <c r="P90" s="64">
        <v>0.86</v>
      </c>
      <c r="Q90" s="64">
        <v>9.82</v>
      </c>
      <c r="R90" s="198"/>
      <c r="S90" s="198"/>
      <c r="T90" s="198"/>
      <c r="U90" s="198"/>
    </row>
    <row r="91" spans="1:26" s="12" customFormat="1" x14ac:dyDescent="0.25">
      <c r="A91" s="216" t="s">
        <v>2824</v>
      </c>
      <c r="B91" s="64">
        <v>4.24</v>
      </c>
      <c r="C91" s="64">
        <v>6.22</v>
      </c>
      <c r="D91" s="64">
        <v>7.8</v>
      </c>
      <c r="E91" s="64">
        <v>1.38</v>
      </c>
      <c r="F91" s="64">
        <v>3.5</v>
      </c>
      <c r="G91" s="64">
        <v>97.88</v>
      </c>
      <c r="H91" s="64">
        <v>30.74</v>
      </c>
      <c r="I91" s="64">
        <v>9.6</v>
      </c>
      <c r="J91" s="64">
        <v>0.76</v>
      </c>
      <c r="K91" s="64">
        <v>151.51</v>
      </c>
      <c r="L91" s="64">
        <v>33.229999999999997</v>
      </c>
      <c r="M91" s="64">
        <v>30.85</v>
      </c>
      <c r="N91" s="64">
        <v>10.9</v>
      </c>
      <c r="O91" s="64">
        <v>0</v>
      </c>
      <c r="P91" s="64">
        <v>0.9</v>
      </c>
      <c r="Q91" s="64">
        <v>9.91</v>
      </c>
      <c r="R91" s="198"/>
      <c r="S91" s="198"/>
      <c r="T91" s="198"/>
      <c r="U91" s="198"/>
    </row>
    <row r="92" spans="1:26" s="12" customFormat="1" x14ac:dyDescent="0.25">
      <c r="A92" s="216" t="s">
        <v>2825</v>
      </c>
      <c r="B92" s="64">
        <v>4.1100000000000003</v>
      </c>
      <c r="C92" s="64">
        <v>5.25</v>
      </c>
      <c r="D92" s="64">
        <v>7.18</v>
      </c>
      <c r="E92" s="64">
        <v>1.5</v>
      </c>
      <c r="F92" s="64">
        <v>3.18</v>
      </c>
      <c r="G92" s="64">
        <v>97.88</v>
      </c>
      <c r="H92" s="64">
        <v>30.74</v>
      </c>
      <c r="I92" s="64">
        <v>9.92</v>
      </c>
      <c r="J92" s="64">
        <v>0.51</v>
      </c>
      <c r="K92" s="64">
        <v>176.06</v>
      </c>
      <c r="L92" s="64">
        <v>32.96</v>
      </c>
      <c r="M92" s="64">
        <v>30.74</v>
      </c>
      <c r="N92" s="64">
        <v>11</v>
      </c>
      <c r="O92" s="64">
        <v>0</v>
      </c>
      <c r="P92" s="64">
        <v>0.91</v>
      </c>
      <c r="Q92" s="64">
        <v>9.9499999999999993</v>
      </c>
      <c r="R92" s="198"/>
      <c r="S92" s="198"/>
      <c r="T92" s="198"/>
      <c r="U92" s="198"/>
    </row>
    <row r="93" spans="1:26" s="12" customFormat="1" x14ac:dyDescent="0.25">
      <c r="A93" s="216" t="s">
        <v>2826</v>
      </c>
      <c r="B93" s="64">
        <v>3.87</v>
      </c>
      <c r="C93" s="64">
        <v>4.13</v>
      </c>
      <c r="D93" s="64">
        <v>6.41</v>
      </c>
      <c r="E93" s="64">
        <v>1.26</v>
      </c>
      <c r="F93" s="64">
        <v>3.82</v>
      </c>
      <c r="G93" s="64">
        <v>97.88</v>
      </c>
      <c r="H93" s="64">
        <v>30.74</v>
      </c>
      <c r="I93" s="64">
        <v>10.06</v>
      </c>
      <c r="J93" s="64">
        <v>1.06</v>
      </c>
      <c r="K93" s="64">
        <v>150.91</v>
      </c>
      <c r="L93" s="64">
        <v>33.1</v>
      </c>
      <c r="M93" s="64">
        <v>28.17</v>
      </c>
      <c r="N93" s="64">
        <v>10.1</v>
      </c>
      <c r="O93" s="64">
        <v>0</v>
      </c>
      <c r="P93" s="64">
        <v>0.94</v>
      </c>
      <c r="Q93" s="64">
        <v>9.99</v>
      </c>
      <c r="R93" s="198"/>
      <c r="S93" s="198"/>
      <c r="T93" s="198"/>
      <c r="U93" s="198"/>
    </row>
    <row r="94" spans="1:26" s="12" customFormat="1" x14ac:dyDescent="0.25">
      <c r="A94" s="216" t="s">
        <v>2827</v>
      </c>
      <c r="B94" s="64">
        <v>4.03</v>
      </c>
      <c r="C94" s="64">
        <v>4.16</v>
      </c>
      <c r="D94" s="64">
        <v>6.55</v>
      </c>
      <c r="E94" s="64">
        <v>1.51</v>
      </c>
      <c r="F94" s="64">
        <v>3.78</v>
      </c>
      <c r="G94" s="64">
        <v>97.45</v>
      </c>
      <c r="H94" s="64">
        <v>31.04</v>
      </c>
      <c r="I94" s="64">
        <v>10.23</v>
      </c>
      <c r="J94" s="64">
        <v>0.37</v>
      </c>
      <c r="K94" s="64">
        <v>105.08</v>
      </c>
      <c r="L94" s="64">
        <v>33.119999999999997</v>
      </c>
      <c r="M94" s="64">
        <v>27.53</v>
      </c>
      <c r="N94" s="64">
        <v>10.7</v>
      </c>
      <c r="O94" s="64">
        <v>0</v>
      </c>
      <c r="P94" s="64">
        <v>0.94</v>
      </c>
      <c r="Q94" s="64">
        <v>10.09</v>
      </c>
      <c r="R94" s="198"/>
      <c r="S94" s="198"/>
      <c r="T94" s="198"/>
      <c r="U94" s="198"/>
    </row>
    <row r="95" spans="1:26" s="12" customFormat="1" x14ac:dyDescent="0.25">
      <c r="A95" s="216" t="s">
        <v>2828</v>
      </c>
      <c r="B95" s="64">
        <v>4.55</v>
      </c>
      <c r="C95" s="64">
        <v>5.5</v>
      </c>
      <c r="D95" s="64">
        <v>7.66</v>
      </c>
      <c r="E95" s="64">
        <v>1.74</v>
      </c>
      <c r="F95" s="64">
        <v>3.71</v>
      </c>
      <c r="G95" s="64">
        <v>92.31</v>
      </c>
      <c r="H95" s="64">
        <v>34.58</v>
      </c>
      <c r="I95" s="64">
        <v>10.4</v>
      </c>
      <c r="J95" s="64">
        <v>0.57999999999999996</v>
      </c>
      <c r="K95" s="64">
        <v>157.15</v>
      </c>
      <c r="L95" s="64">
        <v>32.909999999999997</v>
      </c>
      <c r="M95" s="64">
        <v>28.12</v>
      </c>
      <c r="N95" s="64">
        <v>10.9</v>
      </c>
      <c r="O95" s="64">
        <v>0</v>
      </c>
      <c r="P95" s="64">
        <v>0.95</v>
      </c>
      <c r="Q95" s="64">
        <v>10.17</v>
      </c>
      <c r="R95" s="198"/>
      <c r="S95" s="198"/>
      <c r="T95" s="198"/>
      <c r="U95" s="198"/>
    </row>
    <row r="96" spans="1:26" s="12" customFormat="1" x14ac:dyDescent="0.25">
      <c r="A96" s="216" t="s">
        <v>2829</v>
      </c>
      <c r="B96" s="64">
        <v>4.12</v>
      </c>
      <c r="C96" s="64">
        <v>4.58</v>
      </c>
      <c r="D96" s="64">
        <v>6.84</v>
      </c>
      <c r="E96" s="64">
        <v>1.57</v>
      </c>
      <c r="F96" s="64">
        <v>3.5</v>
      </c>
      <c r="G96" s="64">
        <v>92.31</v>
      </c>
      <c r="H96" s="64">
        <v>34.58</v>
      </c>
      <c r="I96" s="64">
        <v>10.44</v>
      </c>
      <c r="J96" s="64">
        <v>1.37</v>
      </c>
      <c r="K96" s="64">
        <v>144.58000000000001</v>
      </c>
      <c r="L96" s="64">
        <v>32.380000000000003</v>
      </c>
      <c r="M96" s="64">
        <v>29.66</v>
      </c>
      <c r="N96" s="64">
        <v>10.6</v>
      </c>
      <c r="O96" s="64">
        <v>0</v>
      </c>
      <c r="P96" s="64">
        <v>0.95</v>
      </c>
      <c r="Q96" s="64">
        <v>10.199999999999999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2830</v>
      </c>
      <c r="B97" s="64">
        <v>4.08</v>
      </c>
      <c r="C97" s="64">
        <v>4.42</v>
      </c>
      <c r="D97" s="64">
        <v>6.73</v>
      </c>
      <c r="E97" s="64">
        <v>1.53</v>
      </c>
      <c r="F97" s="64">
        <v>4.08</v>
      </c>
      <c r="G97" s="64">
        <v>92.31</v>
      </c>
      <c r="H97" s="64">
        <v>34.58</v>
      </c>
      <c r="I97" s="64">
        <v>10.62</v>
      </c>
      <c r="J97" s="64">
        <v>0.92</v>
      </c>
      <c r="K97" s="64">
        <v>152.27000000000001</v>
      </c>
      <c r="L97" s="64">
        <v>31.95</v>
      </c>
      <c r="M97" s="64">
        <v>30.46</v>
      </c>
      <c r="N97" s="64">
        <v>10.9</v>
      </c>
      <c r="O97" s="64">
        <v>0</v>
      </c>
      <c r="P97" s="64">
        <v>0.95</v>
      </c>
      <c r="Q97" s="64">
        <v>10.16</v>
      </c>
      <c r="R97" s="198"/>
      <c r="S97" s="198"/>
      <c r="T97" s="198"/>
      <c r="U97" s="198"/>
    </row>
    <row r="98" spans="1:33" s="12" customFormat="1" x14ac:dyDescent="0.25">
      <c r="A98" s="216" t="s">
        <v>2831</v>
      </c>
      <c r="B98" s="64">
        <v>4.0999999999999996</v>
      </c>
      <c r="C98" s="64">
        <v>4.6500000000000004</v>
      </c>
      <c r="D98" s="64">
        <v>6.86</v>
      </c>
      <c r="E98" s="64">
        <v>1.33</v>
      </c>
      <c r="F98" s="64">
        <v>4.08</v>
      </c>
      <c r="G98" s="64">
        <v>92.31</v>
      </c>
      <c r="H98" s="64">
        <v>34.64</v>
      </c>
      <c r="I98" s="64">
        <v>11.11</v>
      </c>
      <c r="J98" s="64">
        <v>0.11</v>
      </c>
      <c r="K98" s="64">
        <v>254.76</v>
      </c>
      <c r="L98" s="64">
        <v>31.62</v>
      </c>
      <c r="M98" s="64">
        <v>32.840000000000003</v>
      </c>
      <c r="N98" s="64">
        <v>11.2</v>
      </c>
      <c r="O98" s="64">
        <v>0</v>
      </c>
      <c r="P98" s="64">
        <v>0.95</v>
      </c>
      <c r="Q98" s="64">
        <v>10.16</v>
      </c>
      <c r="R98" s="198"/>
      <c r="S98" s="198"/>
      <c r="T98" s="198"/>
      <c r="U98" s="198"/>
    </row>
    <row r="99" spans="1:33" s="12" customFormat="1" x14ac:dyDescent="0.25">
      <c r="A99" s="216" t="s">
        <v>2832</v>
      </c>
      <c r="B99" s="64">
        <v>3.69</v>
      </c>
      <c r="C99" s="64">
        <v>3.77</v>
      </c>
      <c r="D99" s="64">
        <v>6.07</v>
      </c>
      <c r="E99" s="64">
        <v>1.57</v>
      </c>
      <c r="F99" s="64">
        <v>3.65</v>
      </c>
      <c r="G99" s="64">
        <v>92.26</v>
      </c>
      <c r="H99" s="64">
        <v>35.42</v>
      </c>
      <c r="I99" s="64">
        <v>11.09</v>
      </c>
      <c r="J99" s="64">
        <v>0.48</v>
      </c>
      <c r="K99" s="64">
        <v>163.05000000000001</v>
      </c>
      <c r="L99" s="64">
        <v>31.35</v>
      </c>
      <c r="M99" s="64">
        <v>32.68</v>
      </c>
      <c r="N99" s="64">
        <v>10.8</v>
      </c>
      <c r="O99" s="64">
        <v>0</v>
      </c>
      <c r="P99" s="64">
        <v>0.95</v>
      </c>
      <c r="Q99" s="64">
        <v>10.11</v>
      </c>
      <c r="R99" s="198"/>
      <c r="S99" s="198"/>
      <c r="T99" s="198"/>
      <c r="U99" s="198"/>
    </row>
    <row r="100" spans="1:33" s="12" customFormat="1" x14ac:dyDescent="0.25">
      <c r="A100" s="216" t="s">
        <v>2833</v>
      </c>
      <c r="B100" s="64">
        <v>3.84</v>
      </c>
      <c r="C100" s="64">
        <v>4.04</v>
      </c>
      <c r="D100" s="64">
        <v>6.34</v>
      </c>
      <c r="E100" s="64">
        <v>1.71</v>
      </c>
      <c r="F100" s="64">
        <v>3.32</v>
      </c>
      <c r="G100" s="64">
        <v>92.26</v>
      </c>
      <c r="H100" s="64">
        <v>35.42</v>
      </c>
      <c r="I100" s="64">
        <v>10.53</v>
      </c>
      <c r="J100" s="64">
        <v>0.95</v>
      </c>
      <c r="K100" s="64">
        <v>152.84</v>
      </c>
      <c r="L100" s="64">
        <v>31.28</v>
      </c>
      <c r="M100" s="64">
        <v>33.799999999999997</v>
      </c>
      <c r="N100" s="64">
        <v>10.3</v>
      </c>
      <c r="O100" s="64">
        <v>0</v>
      </c>
      <c r="P100" s="64">
        <v>0.94</v>
      </c>
      <c r="Q100" s="64">
        <v>10.02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2834</v>
      </c>
      <c r="B101" s="64">
        <v>4.0199999999999996</v>
      </c>
      <c r="C101" s="64">
        <v>4.87</v>
      </c>
      <c r="D101" s="64">
        <v>6.91</v>
      </c>
      <c r="E101" s="64">
        <v>2.37</v>
      </c>
      <c r="F101" s="64">
        <v>3.77</v>
      </c>
      <c r="G101" s="64">
        <v>92.26</v>
      </c>
      <c r="H101" s="64">
        <v>35.42</v>
      </c>
      <c r="I101" s="64">
        <v>10.33</v>
      </c>
      <c r="J101" s="64">
        <v>0.44</v>
      </c>
      <c r="K101" s="64">
        <v>171.32</v>
      </c>
      <c r="L101" s="64">
        <v>31.15</v>
      </c>
      <c r="M101" s="64">
        <v>34.15</v>
      </c>
      <c r="N101" s="64">
        <v>10.9</v>
      </c>
      <c r="O101" s="64">
        <v>0</v>
      </c>
      <c r="P101" s="64">
        <v>0.93</v>
      </c>
      <c r="Q101" s="64">
        <v>9.98</v>
      </c>
      <c r="R101" s="198"/>
      <c r="S101" s="198"/>
      <c r="T101" s="198"/>
      <c r="U101" s="198"/>
    </row>
    <row r="102" spans="1:33" s="12" customFormat="1" x14ac:dyDescent="0.25">
      <c r="A102" s="216" t="s">
        <v>2835</v>
      </c>
      <c r="B102" s="64">
        <v>3.84</v>
      </c>
      <c r="C102" s="64">
        <v>4.4000000000000004</v>
      </c>
      <c r="D102" s="64">
        <v>6.53</v>
      </c>
      <c r="E102" s="64">
        <v>1.47</v>
      </c>
      <c r="F102" s="64">
        <v>3.47</v>
      </c>
      <c r="G102" s="64">
        <v>91.46</v>
      </c>
      <c r="H102" s="64">
        <v>35.33</v>
      </c>
      <c r="I102" s="64">
        <v>10.28</v>
      </c>
      <c r="J102" s="64">
        <v>0.1</v>
      </c>
      <c r="K102" s="64">
        <v>133.28</v>
      </c>
      <c r="L102" s="64">
        <v>30.82</v>
      </c>
      <c r="M102" s="64">
        <v>35.78</v>
      </c>
      <c r="N102" s="64">
        <v>10.8</v>
      </c>
      <c r="O102" s="64">
        <v>0</v>
      </c>
      <c r="P102" s="64">
        <v>0.91</v>
      </c>
      <c r="Q102" s="64">
        <v>9.91</v>
      </c>
      <c r="R102" s="198"/>
      <c r="S102" s="198"/>
      <c r="T102" s="198"/>
      <c r="U102" s="198"/>
    </row>
    <row r="103" spans="1:33" s="12" customFormat="1" x14ac:dyDescent="0.25">
      <c r="A103" s="216" t="s">
        <v>2836</v>
      </c>
      <c r="B103" s="64">
        <v>2.93</v>
      </c>
      <c r="C103" s="64">
        <v>1.92</v>
      </c>
      <c r="D103" s="64">
        <v>4.5</v>
      </c>
      <c r="E103" s="64">
        <v>1.67</v>
      </c>
      <c r="F103" s="64">
        <v>4</v>
      </c>
      <c r="G103" s="64">
        <v>82.01</v>
      </c>
      <c r="H103" s="64">
        <v>34.299999999999997</v>
      </c>
      <c r="I103" s="64">
        <v>9.7799999999999994</v>
      </c>
      <c r="J103" s="64">
        <v>0.17</v>
      </c>
      <c r="K103" s="64">
        <v>34.26</v>
      </c>
      <c r="L103" s="64">
        <v>30.51</v>
      </c>
      <c r="M103" s="64">
        <v>36.72</v>
      </c>
      <c r="N103" s="64">
        <v>10.9</v>
      </c>
      <c r="O103" s="64">
        <v>0</v>
      </c>
      <c r="P103" s="64">
        <v>0.89</v>
      </c>
      <c r="Q103" s="64">
        <v>9.8699999999999992</v>
      </c>
      <c r="R103" s="198"/>
      <c r="S103" s="198"/>
      <c r="T103" s="198"/>
      <c r="U103" s="198"/>
    </row>
    <row r="104" spans="1:33" s="12" customFormat="1" x14ac:dyDescent="0.25">
      <c r="A104" s="216" t="s">
        <v>2837</v>
      </c>
      <c r="B104" s="64">
        <v>3.22</v>
      </c>
      <c r="C104" s="64">
        <v>2.52</v>
      </c>
      <c r="D104" s="64">
        <v>5.04</v>
      </c>
      <c r="E104" s="64">
        <v>0.68</v>
      </c>
      <c r="F104" s="64">
        <v>3.67</v>
      </c>
      <c r="G104" s="64">
        <v>82.01</v>
      </c>
      <c r="H104" s="64">
        <v>34.299999999999997</v>
      </c>
      <c r="I104" s="64">
        <v>9.36</v>
      </c>
      <c r="J104" s="64">
        <v>0.66</v>
      </c>
      <c r="K104" s="64">
        <v>168.03</v>
      </c>
      <c r="L104" s="64">
        <v>30.36</v>
      </c>
      <c r="M104" s="64">
        <v>37.75</v>
      </c>
      <c r="N104" s="64">
        <v>10.4</v>
      </c>
      <c r="O104" s="64">
        <v>0</v>
      </c>
      <c r="P104" s="64">
        <v>0.87</v>
      </c>
      <c r="Q104" s="64">
        <v>9.8000000000000007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0.83</v>
      </c>
      <c r="C106" s="67">
        <f>MIN(C9:C104)</f>
        <v>0.01</v>
      </c>
      <c r="D106" s="67">
        <f t="shared" ref="D106:Q106" si="0">MIN(D9:D104)</f>
        <v>0.06</v>
      </c>
      <c r="E106" s="67">
        <f t="shared" si="0"/>
        <v>0.18</v>
      </c>
      <c r="F106" s="67">
        <f t="shared" si="0"/>
        <v>2.64</v>
      </c>
      <c r="G106" s="67">
        <f t="shared" si="0"/>
        <v>35.979999999999997</v>
      </c>
      <c r="H106" s="67">
        <f t="shared" si="0"/>
        <v>22.2</v>
      </c>
      <c r="I106" s="67">
        <f t="shared" si="0"/>
        <v>3.43</v>
      </c>
      <c r="J106" s="67">
        <f t="shared" si="0"/>
        <v>0.03</v>
      </c>
      <c r="K106" s="67">
        <f t="shared" si="0"/>
        <v>13.57</v>
      </c>
      <c r="L106" s="67">
        <f t="shared" si="0"/>
        <v>26.79</v>
      </c>
      <c r="M106" s="67">
        <f t="shared" si="0"/>
        <v>19.03</v>
      </c>
      <c r="N106" s="67">
        <f t="shared" si="0"/>
        <v>10.1</v>
      </c>
      <c r="O106" s="67">
        <f t="shared" si="0"/>
        <v>0</v>
      </c>
      <c r="P106" s="67">
        <f t="shared" si="0"/>
        <v>0.34</v>
      </c>
      <c r="Q106" s="67">
        <f t="shared" si="0"/>
        <v>9.27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4.55</v>
      </c>
      <c r="C107" s="66">
        <f t="shared" ref="C107:Q107" si="1">MAX(C9:C104)</f>
        <v>6.51</v>
      </c>
      <c r="D107" s="66">
        <f t="shared" si="1"/>
        <v>7.85</v>
      </c>
      <c r="E107" s="66">
        <f t="shared" si="1"/>
        <v>4.7699999999999996</v>
      </c>
      <c r="F107" s="66">
        <f t="shared" si="1"/>
        <v>35.51</v>
      </c>
      <c r="G107" s="66">
        <f t="shared" si="1"/>
        <v>97.88</v>
      </c>
      <c r="H107" s="66">
        <f t="shared" si="1"/>
        <v>35.67</v>
      </c>
      <c r="I107" s="66">
        <f t="shared" si="1"/>
        <v>11.11</v>
      </c>
      <c r="J107" s="66">
        <f t="shared" si="1"/>
        <v>1.6</v>
      </c>
      <c r="K107" s="66">
        <f t="shared" si="1"/>
        <v>356.9</v>
      </c>
      <c r="L107" s="66">
        <f t="shared" si="1"/>
        <v>42.21</v>
      </c>
      <c r="M107" s="66">
        <f t="shared" si="1"/>
        <v>66.510000000000005</v>
      </c>
      <c r="N107" s="66">
        <f t="shared" si="1"/>
        <v>918.1</v>
      </c>
      <c r="O107" s="66">
        <f t="shared" si="1"/>
        <v>0</v>
      </c>
      <c r="P107" s="66">
        <f t="shared" si="1"/>
        <v>1.26</v>
      </c>
      <c r="Q107" s="66">
        <f t="shared" si="1"/>
        <v>10.199999999999999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2.2144791666666679</v>
      </c>
      <c r="C108" s="67">
        <f t="shared" ref="C108:Q108" si="2">AVERAGE(C9:C104)</f>
        <v>1.9172093023255814</v>
      </c>
      <c r="D108" s="67">
        <f t="shared" si="2"/>
        <v>2.5040624999999999</v>
      </c>
      <c r="E108" s="67">
        <f t="shared" si="2"/>
        <v>1.4390625000000004</v>
      </c>
      <c r="F108" s="67">
        <f t="shared" si="2"/>
        <v>5.8798958333333333</v>
      </c>
      <c r="G108" s="67">
        <f t="shared" si="2"/>
        <v>65.612916666666663</v>
      </c>
      <c r="H108" s="67">
        <f t="shared" si="2"/>
        <v>27.372395833333318</v>
      </c>
      <c r="I108" s="67">
        <f t="shared" si="2"/>
        <v>6.9391666666666678</v>
      </c>
      <c r="J108" s="67">
        <f t="shared" si="2"/>
        <v>0.55156250000000007</v>
      </c>
      <c r="K108" s="67">
        <f t="shared" si="2"/>
        <v>243.81927083333326</v>
      </c>
      <c r="L108" s="67">
        <f t="shared" si="2"/>
        <v>33.335729166666667</v>
      </c>
      <c r="M108" s="67">
        <f t="shared" si="2"/>
        <v>39.278229166666655</v>
      </c>
      <c r="N108" s="67">
        <f t="shared" si="2"/>
        <v>222.36249999999998</v>
      </c>
      <c r="O108" s="67">
        <f t="shared" si="2"/>
        <v>0</v>
      </c>
      <c r="P108" s="67">
        <f t="shared" si="2"/>
        <v>0.72927083333333365</v>
      </c>
      <c r="Q108" s="67">
        <f t="shared" si="2"/>
        <v>9.5354166666666664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0.91488494507194351</v>
      </c>
      <c r="C109" s="67">
        <f t="shared" ref="C109:Q109" si="3">STDEV(C9:C104)</f>
        <v>1.825732827025125</v>
      </c>
      <c r="D109" s="67">
        <f t="shared" si="3"/>
        <v>2.4058720174759274</v>
      </c>
      <c r="E109" s="67">
        <f t="shared" si="3"/>
        <v>0.68722030195640482</v>
      </c>
      <c r="F109" s="67">
        <f t="shared" si="3"/>
        <v>5.1744441847037095</v>
      </c>
      <c r="G109" s="67">
        <f t="shared" si="3"/>
        <v>15.02387292675555</v>
      </c>
      <c r="H109" s="67">
        <f t="shared" si="3"/>
        <v>4.1346224278179795</v>
      </c>
      <c r="I109" s="67">
        <f t="shared" si="3"/>
        <v>2.0571306877946864</v>
      </c>
      <c r="J109" s="67">
        <f t="shared" si="3"/>
        <v>0.41033318458104379</v>
      </c>
      <c r="K109" s="67">
        <f t="shared" si="3"/>
        <v>82.786642823519927</v>
      </c>
      <c r="L109" s="67">
        <f t="shared" si="3"/>
        <v>4.8582227083339875</v>
      </c>
      <c r="M109" s="67">
        <f t="shared" si="3"/>
        <v>15.845436666338077</v>
      </c>
      <c r="N109" s="67">
        <f t="shared" si="3"/>
        <v>265.18447531363609</v>
      </c>
      <c r="O109" s="67">
        <f t="shared" si="3"/>
        <v>0</v>
      </c>
      <c r="P109" s="67">
        <f t="shared" si="3"/>
        <v>0.21424651218270963</v>
      </c>
      <c r="Q109" s="67">
        <f t="shared" si="3"/>
        <v>0.23326026424831336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COUNT(C9:C104)+10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2838</v>
      </c>
      <c r="B9" s="64">
        <v>3.56</v>
      </c>
      <c r="C9" s="64">
        <v>3.56</v>
      </c>
      <c r="D9" s="64">
        <v>5.86</v>
      </c>
      <c r="E9" s="64">
        <v>0.71</v>
      </c>
      <c r="F9" s="64">
        <v>3.82</v>
      </c>
      <c r="G9" s="64">
        <v>82.01</v>
      </c>
      <c r="H9" s="64">
        <v>34.299999999999997</v>
      </c>
      <c r="I9" s="64">
        <v>9.57</v>
      </c>
      <c r="J9" s="64">
        <v>0.92</v>
      </c>
      <c r="K9" s="64">
        <v>159.66</v>
      </c>
      <c r="L9" s="64">
        <v>30.18</v>
      </c>
      <c r="M9" s="64">
        <v>39.1</v>
      </c>
      <c r="N9" s="64">
        <v>10.4</v>
      </c>
      <c r="O9" s="64">
        <v>0</v>
      </c>
      <c r="P9" s="64">
        <v>0.85</v>
      </c>
      <c r="Q9" s="64">
        <v>9.76</v>
      </c>
      <c r="R9" s="198"/>
      <c r="S9" s="198"/>
      <c r="T9" s="198"/>
      <c r="U9" s="198"/>
    </row>
    <row r="10" spans="1:21" s="12" customFormat="1" x14ac:dyDescent="0.25">
      <c r="A10" s="216" t="s">
        <v>2839</v>
      </c>
      <c r="B10" s="64">
        <v>3.06</v>
      </c>
      <c r="C10" s="64">
        <v>2.36</v>
      </c>
      <c r="D10" s="64">
        <v>4.84</v>
      </c>
      <c r="E10" s="64">
        <v>0.67</v>
      </c>
      <c r="F10" s="64">
        <v>3.72</v>
      </c>
      <c r="G10" s="64">
        <v>81.33</v>
      </c>
      <c r="H10" s="64">
        <v>33.99</v>
      </c>
      <c r="I10" s="64">
        <v>9.51</v>
      </c>
      <c r="J10" s="64">
        <v>0.24</v>
      </c>
      <c r="K10" s="64">
        <v>223.65</v>
      </c>
      <c r="L10" s="64">
        <v>30.03</v>
      </c>
      <c r="M10" s="64">
        <v>39.94</v>
      </c>
      <c r="N10" s="64">
        <v>10.7</v>
      </c>
      <c r="O10" s="64">
        <v>0</v>
      </c>
      <c r="P10" s="64">
        <v>0.82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16" t="s">
        <v>2840</v>
      </c>
      <c r="B11" s="64">
        <v>3.14</v>
      </c>
      <c r="C11" s="64">
        <v>2.88</v>
      </c>
      <c r="D11" s="64">
        <v>5.17</v>
      </c>
      <c r="E11" s="64">
        <v>0.45</v>
      </c>
      <c r="F11" s="64">
        <v>3.19</v>
      </c>
      <c r="G11" s="64">
        <v>73.28</v>
      </c>
      <c r="H11" s="64">
        <v>30.32</v>
      </c>
      <c r="I11" s="64">
        <v>9.14</v>
      </c>
      <c r="J11" s="64">
        <v>0.11</v>
      </c>
      <c r="K11" s="64">
        <v>299.77</v>
      </c>
      <c r="L11" s="64">
        <v>29.82</v>
      </c>
      <c r="M11" s="64">
        <v>41.11</v>
      </c>
      <c r="N11" s="64">
        <v>10.9</v>
      </c>
      <c r="O11" s="64">
        <v>0</v>
      </c>
      <c r="P11" s="64">
        <v>0.79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6" t="s">
        <v>2841</v>
      </c>
      <c r="B12" s="64">
        <v>2.5299999999999998</v>
      </c>
      <c r="C12" s="64">
        <v>0.79</v>
      </c>
      <c r="D12" s="64">
        <v>3.59</v>
      </c>
      <c r="E12" s="64">
        <v>0.74</v>
      </c>
      <c r="F12" s="64">
        <v>3.57</v>
      </c>
      <c r="G12" s="64">
        <v>73.28</v>
      </c>
      <c r="H12" s="64">
        <v>30.32</v>
      </c>
      <c r="I12" s="64">
        <v>8.4600000000000009</v>
      </c>
      <c r="J12" s="64">
        <v>0.35</v>
      </c>
      <c r="K12" s="64">
        <v>308.17</v>
      </c>
      <c r="L12" s="64">
        <v>29.63</v>
      </c>
      <c r="M12" s="64">
        <v>41.15</v>
      </c>
      <c r="N12" s="64">
        <v>10.8</v>
      </c>
      <c r="O12" s="64">
        <v>0</v>
      </c>
      <c r="P12" s="64">
        <v>0.78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6" t="s">
        <v>2842</v>
      </c>
      <c r="B13" s="64">
        <v>2.67</v>
      </c>
      <c r="C13" s="64">
        <v>1.1399999999999999</v>
      </c>
      <c r="D13" s="64">
        <v>3.89</v>
      </c>
      <c r="E13" s="64">
        <v>0.85</v>
      </c>
      <c r="F13" s="64">
        <v>3.54</v>
      </c>
      <c r="G13" s="64">
        <v>73.28</v>
      </c>
      <c r="H13" s="64">
        <v>30.32</v>
      </c>
      <c r="I13" s="64">
        <v>7.8</v>
      </c>
      <c r="J13" s="64">
        <v>0.66</v>
      </c>
      <c r="K13" s="64">
        <v>186.31</v>
      </c>
      <c r="L13" s="64">
        <v>29.66</v>
      </c>
      <c r="M13" s="64">
        <v>41.45</v>
      </c>
      <c r="N13" s="64">
        <v>10.199999999999999</v>
      </c>
      <c r="O13" s="64">
        <v>0</v>
      </c>
      <c r="P13" s="64">
        <v>0.71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6" t="s">
        <v>2843</v>
      </c>
      <c r="B14" s="64">
        <v>2.56</v>
      </c>
      <c r="C14" s="64">
        <v>0.83</v>
      </c>
      <c r="D14" s="64">
        <v>3.63</v>
      </c>
      <c r="E14" s="64">
        <v>0.6</v>
      </c>
      <c r="F14" s="64">
        <v>3.53</v>
      </c>
      <c r="G14" s="64">
        <v>72.27</v>
      </c>
      <c r="H14" s="64">
        <v>29.96</v>
      </c>
      <c r="I14" s="64">
        <v>7.93</v>
      </c>
      <c r="J14" s="64">
        <v>1.06</v>
      </c>
      <c r="K14" s="64">
        <v>141.59</v>
      </c>
      <c r="L14" s="64">
        <v>29.41</v>
      </c>
      <c r="M14" s="64">
        <v>42.8</v>
      </c>
      <c r="N14" s="64">
        <v>10.3</v>
      </c>
      <c r="O14" s="64">
        <v>0</v>
      </c>
      <c r="P14" s="64">
        <v>0.73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6" t="s">
        <v>2844</v>
      </c>
      <c r="B15" s="64">
        <v>2.4500000000000002</v>
      </c>
      <c r="C15" s="64">
        <v>0.41</v>
      </c>
      <c r="D15" s="64">
        <v>3.33</v>
      </c>
      <c r="E15" s="64">
        <v>0.61</v>
      </c>
      <c r="F15" s="64">
        <v>3.71</v>
      </c>
      <c r="G15" s="64">
        <v>60.33</v>
      </c>
      <c r="H15" s="64">
        <v>25.72</v>
      </c>
      <c r="I15" s="64">
        <v>7.82</v>
      </c>
      <c r="J15" s="64">
        <v>0.13</v>
      </c>
      <c r="K15" s="64">
        <v>310.94</v>
      </c>
      <c r="L15" s="64">
        <v>29.3</v>
      </c>
      <c r="M15" s="64">
        <v>43.5</v>
      </c>
      <c r="N15" s="64">
        <v>10.6</v>
      </c>
      <c r="O15" s="64">
        <v>0</v>
      </c>
      <c r="P15" s="64">
        <v>0.71</v>
      </c>
      <c r="Q15" s="64">
        <v>9.58</v>
      </c>
      <c r="R15" s="198"/>
      <c r="S15" s="198"/>
      <c r="T15" s="198"/>
      <c r="U15" s="198"/>
    </row>
    <row r="16" spans="1:21" s="12" customFormat="1" x14ac:dyDescent="0.25">
      <c r="A16" s="216" t="s">
        <v>2845</v>
      </c>
      <c r="B16" s="64">
        <v>2.71</v>
      </c>
      <c r="C16" s="64">
        <v>1.25</v>
      </c>
      <c r="D16" s="64">
        <v>3.97</v>
      </c>
      <c r="E16" s="64">
        <v>0.38</v>
      </c>
      <c r="F16" s="64">
        <v>3.73</v>
      </c>
      <c r="G16" s="64">
        <v>60.33</v>
      </c>
      <c r="H16" s="64">
        <v>25.72</v>
      </c>
      <c r="I16" s="64">
        <v>7.54</v>
      </c>
      <c r="J16" s="64">
        <v>0.51</v>
      </c>
      <c r="K16" s="64">
        <v>327.88</v>
      </c>
      <c r="L16" s="64">
        <v>29.22</v>
      </c>
      <c r="M16" s="64">
        <v>43.31</v>
      </c>
      <c r="N16" s="64">
        <v>10.8</v>
      </c>
      <c r="O16" s="64">
        <v>0</v>
      </c>
      <c r="P16" s="64">
        <v>0.69</v>
      </c>
      <c r="Q16" s="64">
        <v>9.58</v>
      </c>
      <c r="R16" s="198"/>
      <c r="S16" s="198"/>
      <c r="T16" s="198"/>
      <c r="U16" s="198"/>
    </row>
    <row r="17" spans="1:21" s="12" customFormat="1" x14ac:dyDescent="0.25">
      <c r="A17" s="216" t="s">
        <v>2846</v>
      </c>
      <c r="B17" s="64">
        <v>2.4900000000000002</v>
      </c>
      <c r="C17" s="64">
        <v>0.63</v>
      </c>
      <c r="D17" s="64">
        <v>3.47</v>
      </c>
      <c r="E17" s="64">
        <v>0.55000000000000004</v>
      </c>
      <c r="F17" s="64">
        <v>3.81</v>
      </c>
      <c r="G17" s="64">
        <v>60.33</v>
      </c>
      <c r="H17" s="64">
        <v>25.72</v>
      </c>
      <c r="I17" s="64">
        <v>7.53</v>
      </c>
      <c r="J17" s="64">
        <v>0.33</v>
      </c>
      <c r="K17" s="64">
        <v>244.87</v>
      </c>
      <c r="L17" s="64">
        <v>29.04</v>
      </c>
      <c r="M17" s="64">
        <v>44.56</v>
      </c>
      <c r="N17" s="64">
        <v>10.6</v>
      </c>
      <c r="O17" s="64">
        <v>0</v>
      </c>
      <c r="P17" s="64">
        <v>0.67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6" t="s">
        <v>2847</v>
      </c>
      <c r="B18" s="64">
        <v>2.4</v>
      </c>
      <c r="C18" s="64">
        <v>0.32</v>
      </c>
      <c r="D18" s="64">
        <v>3.24</v>
      </c>
      <c r="E18" s="64">
        <v>0.84</v>
      </c>
      <c r="F18" s="64">
        <v>4.03</v>
      </c>
      <c r="G18" s="64">
        <v>59.54</v>
      </c>
      <c r="H18" s="64">
        <v>25.47</v>
      </c>
      <c r="I18" s="64">
        <v>7.44</v>
      </c>
      <c r="J18" s="64">
        <v>0.36</v>
      </c>
      <c r="K18" s="64">
        <v>126.97</v>
      </c>
      <c r="L18" s="64">
        <v>28.93</v>
      </c>
      <c r="M18" s="64">
        <v>45.53</v>
      </c>
      <c r="N18" s="64">
        <v>10.4</v>
      </c>
      <c r="O18" s="64">
        <v>0</v>
      </c>
      <c r="P18" s="64">
        <v>0.66</v>
      </c>
      <c r="Q18" s="64">
        <v>9.57</v>
      </c>
      <c r="R18" s="198"/>
      <c r="S18" s="198"/>
      <c r="T18" s="198"/>
      <c r="U18" s="198"/>
    </row>
    <row r="19" spans="1:21" s="12" customFormat="1" x14ac:dyDescent="0.25">
      <c r="A19" s="216" t="s">
        <v>2848</v>
      </c>
      <c r="B19" s="64">
        <v>2.61</v>
      </c>
      <c r="C19" s="64">
        <v>1.05</v>
      </c>
      <c r="D19" s="64">
        <v>3.78</v>
      </c>
      <c r="E19" s="64">
        <v>0.72</v>
      </c>
      <c r="F19" s="64">
        <v>3.89</v>
      </c>
      <c r="G19" s="64">
        <v>50.24</v>
      </c>
      <c r="H19" s="64">
        <v>22.47</v>
      </c>
      <c r="I19" s="64">
        <v>7.42</v>
      </c>
      <c r="J19" s="64">
        <v>0.62</v>
      </c>
      <c r="K19" s="64">
        <v>135.34</v>
      </c>
      <c r="L19" s="64">
        <v>28.78</v>
      </c>
      <c r="M19" s="64">
        <v>46.47</v>
      </c>
      <c r="N19" s="64">
        <v>10.4</v>
      </c>
      <c r="O19" s="64">
        <v>0</v>
      </c>
      <c r="P19" s="64">
        <v>0.64</v>
      </c>
      <c r="Q19" s="64">
        <v>9.5299999999999994</v>
      </c>
      <c r="R19" s="198"/>
      <c r="S19" s="198"/>
      <c r="T19" s="198"/>
      <c r="U19" s="198"/>
    </row>
    <row r="20" spans="1:21" s="12" customFormat="1" x14ac:dyDescent="0.25">
      <c r="A20" s="216" t="s">
        <v>2849</v>
      </c>
      <c r="B20" s="64">
        <v>2.5499999999999998</v>
      </c>
      <c r="C20" s="64">
        <v>0.97</v>
      </c>
      <c r="D20" s="64">
        <v>3.69</v>
      </c>
      <c r="E20" s="64">
        <v>0.56999999999999995</v>
      </c>
      <c r="F20" s="64">
        <v>3.8</v>
      </c>
      <c r="G20" s="64">
        <v>50.24</v>
      </c>
      <c r="H20" s="64">
        <v>22.47</v>
      </c>
      <c r="I20" s="64">
        <v>7.55</v>
      </c>
      <c r="J20" s="64">
        <v>0.37</v>
      </c>
      <c r="K20" s="64">
        <v>168.02</v>
      </c>
      <c r="L20" s="64">
        <v>28.61</v>
      </c>
      <c r="M20" s="64">
        <v>47.41</v>
      </c>
      <c r="N20" s="64">
        <v>10.6</v>
      </c>
      <c r="O20" s="64">
        <v>0</v>
      </c>
      <c r="P20" s="64">
        <v>0.62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6" t="s">
        <v>2850</v>
      </c>
      <c r="B21" s="64">
        <v>2.5499999999999998</v>
      </c>
      <c r="C21" s="64">
        <v>0.99</v>
      </c>
      <c r="D21" s="64">
        <v>3.71</v>
      </c>
      <c r="E21" s="64">
        <v>0.56999999999999995</v>
      </c>
      <c r="F21" s="64">
        <v>3.7</v>
      </c>
      <c r="G21" s="64">
        <v>50.24</v>
      </c>
      <c r="H21" s="64">
        <v>22.47</v>
      </c>
      <c r="I21" s="64">
        <v>7.69</v>
      </c>
      <c r="J21" s="64">
        <v>0.54</v>
      </c>
      <c r="K21" s="64">
        <v>193.22</v>
      </c>
      <c r="L21" s="64">
        <v>28.52</v>
      </c>
      <c r="M21" s="64">
        <v>48.14</v>
      </c>
      <c r="N21" s="64">
        <v>10.4</v>
      </c>
      <c r="O21" s="64">
        <v>0</v>
      </c>
      <c r="P21" s="64">
        <v>0.6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16" t="s">
        <v>2851</v>
      </c>
      <c r="B22" s="64">
        <v>2.74</v>
      </c>
      <c r="C22" s="64">
        <v>1.72</v>
      </c>
      <c r="D22" s="64">
        <v>4.24</v>
      </c>
      <c r="E22" s="64">
        <v>0.56999999999999995</v>
      </c>
      <c r="F22" s="64">
        <v>3.49</v>
      </c>
      <c r="G22" s="64">
        <v>49.82</v>
      </c>
      <c r="H22" s="64">
        <v>22.29</v>
      </c>
      <c r="I22" s="64">
        <v>7.64</v>
      </c>
      <c r="J22" s="64">
        <v>0.62</v>
      </c>
      <c r="K22" s="64">
        <v>187.58</v>
      </c>
      <c r="L22" s="64">
        <v>28.43</v>
      </c>
      <c r="M22" s="64">
        <v>49.23</v>
      </c>
      <c r="N22" s="64">
        <v>10.5</v>
      </c>
      <c r="O22" s="64">
        <v>0</v>
      </c>
      <c r="P22" s="64">
        <v>0.57999999999999996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6" t="s">
        <v>2852</v>
      </c>
      <c r="B23" s="64">
        <v>2.46</v>
      </c>
      <c r="C23" s="64">
        <v>0.66</v>
      </c>
      <c r="D23" s="64">
        <v>3.46</v>
      </c>
      <c r="E23" s="64">
        <v>0.71</v>
      </c>
      <c r="F23" s="64">
        <v>3.79</v>
      </c>
      <c r="G23" s="64">
        <v>44.81</v>
      </c>
      <c r="H23" s="64">
        <v>20.18</v>
      </c>
      <c r="I23" s="64">
        <v>7.44</v>
      </c>
      <c r="J23" s="64">
        <v>0.36</v>
      </c>
      <c r="K23" s="64">
        <v>214.77</v>
      </c>
      <c r="L23" s="64">
        <v>28.26</v>
      </c>
      <c r="M23" s="64">
        <v>51.7</v>
      </c>
      <c r="N23" s="64">
        <v>10.7</v>
      </c>
      <c r="O23" s="64">
        <v>0</v>
      </c>
      <c r="P23" s="64">
        <v>0.55000000000000004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6" t="s">
        <v>2853</v>
      </c>
      <c r="B24" s="64">
        <v>2.4</v>
      </c>
      <c r="C24" s="64">
        <v>0.41</v>
      </c>
      <c r="D24" s="64">
        <v>3.28</v>
      </c>
      <c r="E24" s="64">
        <v>1.36</v>
      </c>
      <c r="F24" s="64">
        <v>3.75</v>
      </c>
      <c r="G24" s="64">
        <v>44.81</v>
      </c>
      <c r="H24" s="64">
        <v>20.18</v>
      </c>
      <c r="I24" s="64">
        <v>7.17</v>
      </c>
      <c r="J24" s="64">
        <v>0.04</v>
      </c>
      <c r="K24" s="64">
        <v>312.31</v>
      </c>
      <c r="L24" s="64">
        <v>28.17</v>
      </c>
      <c r="M24" s="64">
        <v>51.75</v>
      </c>
      <c r="N24" s="64">
        <v>10.6</v>
      </c>
      <c r="O24" s="64">
        <v>0</v>
      </c>
      <c r="P24" s="64">
        <v>0.54</v>
      </c>
      <c r="Q24" s="64">
        <v>9.48</v>
      </c>
      <c r="R24" s="198"/>
      <c r="S24" s="198"/>
      <c r="T24" s="198"/>
      <c r="U24" s="198"/>
    </row>
    <row r="25" spans="1:21" s="12" customFormat="1" x14ac:dyDescent="0.25">
      <c r="A25" s="216" t="s">
        <v>2854</v>
      </c>
      <c r="B25" s="64">
        <v>2.66</v>
      </c>
      <c r="C25" s="64">
        <v>1.59</v>
      </c>
      <c r="D25" s="64">
        <v>4.1100000000000003</v>
      </c>
      <c r="E25" s="64">
        <v>1.02</v>
      </c>
      <c r="F25" s="64">
        <v>3.87</v>
      </c>
      <c r="G25" s="64">
        <v>44.81</v>
      </c>
      <c r="H25" s="64">
        <v>20.18</v>
      </c>
      <c r="I25" s="64">
        <v>7.24</v>
      </c>
      <c r="J25" s="64">
        <v>0.71</v>
      </c>
      <c r="K25" s="64">
        <v>167.43</v>
      </c>
      <c r="L25" s="64">
        <v>28.35</v>
      </c>
      <c r="M25" s="64">
        <v>50.63</v>
      </c>
      <c r="N25" s="64">
        <v>9.8000000000000007</v>
      </c>
      <c r="O25" s="64">
        <v>0</v>
      </c>
      <c r="P25" s="64">
        <v>0.52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6" t="s">
        <v>2855</v>
      </c>
      <c r="B26" s="64">
        <v>2.4500000000000002</v>
      </c>
      <c r="C26" s="64">
        <v>0.7</v>
      </c>
      <c r="D26" s="64">
        <v>3.48</v>
      </c>
      <c r="E26" s="64">
        <v>0.77</v>
      </c>
      <c r="F26" s="64">
        <v>3.99</v>
      </c>
      <c r="G26" s="64">
        <v>44.37</v>
      </c>
      <c r="H26" s="64">
        <v>19.84</v>
      </c>
      <c r="I26" s="64">
        <v>7.16</v>
      </c>
      <c r="J26" s="64">
        <v>0.93</v>
      </c>
      <c r="K26" s="64">
        <v>152.87</v>
      </c>
      <c r="L26" s="64">
        <v>28.46</v>
      </c>
      <c r="M26" s="64">
        <v>51.06</v>
      </c>
      <c r="N26" s="64">
        <v>10.199999999999999</v>
      </c>
      <c r="O26" s="64">
        <v>0</v>
      </c>
      <c r="P26" s="64">
        <v>0.5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16" t="s">
        <v>2856</v>
      </c>
      <c r="B27" s="64">
        <v>2.41</v>
      </c>
      <c r="C27" s="64">
        <v>0.44</v>
      </c>
      <c r="D27" s="64">
        <v>3.31</v>
      </c>
      <c r="E27" s="64">
        <v>0.83</v>
      </c>
      <c r="F27" s="64">
        <v>4.21</v>
      </c>
      <c r="G27" s="64">
        <v>39.15</v>
      </c>
      <c r="H27" s="64">
        <v>15.82</v>
      </c>
      <c r="I27" s="64">
        <v>6.95</v>
      </c>
      <c r="J27" s="64">
        <v>0.84</v>
      </c>
      <c r="K27" s="64">
        <v>162.63999999999999</v>
      </c>
      <c r="L27" s="64">
        <v>28.36</v>
      </c>
      <c r="M27" s="64">
        <v>51.18</v>
      </c>
      <c r="N27" s="64">
        <v>10.4</v>
      </c>
      <c r="O27" s="64">
        <v>0</v>
      </c>
      <c r="P27" s="64">
        <v>0.48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6" t="s">
        <v>2857</v>
      </c>
      <c r="B28" s="64">
        <v>2.4</v>
      </c>
      <c r="C28" s="64">
        <v>0.46</v>
      </c>
      <c r="D28" s="64">
        <v>3.31</v>
      </c>
      <c r="E28" s="64">
        <v>0.85</v>
      </c>
      <c r="F28" s="64">
        <v>4.04</v>
      </c>
      <c r="G28" s="64">
        <v>39.15</v>
      </c>
      <c r="H28" s="64">
        <v>15.82</v>
      </c>
      <c r="I28" s="64">
        <v>6.83</v>
      </c>
      <c r="J28" s="64">
        <v>0.21</v>
      </c>
      <c r="K28" s="64">
        <v>293.81</v>
      </c>
      <c r="L28" s="64">
        <v>28.18</v>
      </c>
      <c r="M28" s="64">
        <v>52.29</v>
      </c>
      <c r="N28" s="64">
        <v>11</v>
      </c>
      <c r="O28" s="64">
        <v>0</v>
      </c>
      <c r="P28" s="64">
        <v>0.47</v>
      </c>
      <c r="Q28" s="64">
        <v>9.44</v>
      </c>
      <c r="R28" s="198"/>
      <c r="S28" s="198"/>
      <c r="T28" s="198"/>
      <c r="U28" s="198"/>
    </row>
    <row r="29" spans="1:21" s="12" customFormat="1" x14ac:dyDescent="0.25">
      <c r="A29" s="216" t="s">
        <v>2858</v>
      </c>
      <c r="B29" s="64">
        <v>2.62</v>
      </c>
      <c r="C29" s="64">
        <v>1.36</v>
      </c>
      <c r="D29" s="64">
        <v>3.96</v>
      </c>
      <c r="E29" s="64">
        <v>0.83</v>
      </c>
      <c r="F29" s="64">
        <v>3.77</v>
      </c>
      <c r="G29" s="64">
        <v>39.15</v>
      </c>
      <c r="H29" s="64">
        <v>15.82</v>
      </c>
      <c r="I29" s="64">
        <v>6.7</v>
      </c>
      <c r="J29" s="64">
        <v>0.4</v>
      </c>
      <c r="K29" s="64">
        <v>280.79000000000002</v>
      </c>
      <c r="L29" s="64">
        <v>27.93</v>
      </c>
      <c r="M29" s="64">
        <v>53.06</v>
      </c>
      <c r="N29" s="64">
        <v>11.9</v>
      </c>
      <c r="O29" s="64">
        <v>0</v>
      </c>
      <c r="P29" s="64">
        <v>0.45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16" t="s">
        <v>2859</v>
      </c>
      <c r="B30" s="64">
        <v>2.4300000000000002</v>
      </c>
      <c r="C30" s="64">
        <v>0.5</v>
      </c>
      <c r="D30" s="64">
        <v>3.35</v>
      </c>
      <c r="E30" s="64">
        <v>0.97</v>
      </c>
      <c r="F30" s="64">
        <v>3.81</v>
      </c>
      <c r="G30" s="64">
        <v>39.299999999999997</v>
      </c>
      <c r="H30" s="64">
        <v>15.73</v>
      </c>
      <c r="I30" s="64">
        <v>6.46</v>
      </c>
      <c r="J30" s="64">
        <v>0.37</v>
      </c>
      <c r="K30" s="64">
        <v>217.93</v>
      </c>
      <c r="L30" s="64">
        <v>28.1</v>
      </c>
      <c r="M30" s="64">
        <v>53.03</v>
      </c>
      <c r="N30" s="64">
        <v>15.3</v>
      </c>
      <c r="O30" s="64">
        <v>0</v>
      </c>
      <c r="P30" s="64">
        <v>0.44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16" t="s">
        <v>2860</v>
      </c>
      <c r="B31" s="64">
        <v>2.58</v>
      </c>
      <c r="C31" s="64">
        <v>1.1000000000000001</v>
      </c>
      <c r="D31" s="64">
        <v>3.79</v>
      </c>
      <c r="E31" s="64">
        <v>1</v>
      </c>
      <c r="F31" s="64">
        <v>3.82</v>
      </c>
      <c r="G31" s="64">
        <v>41.04</v>
      </c>
      <c r="H31" s="64">
        <v>14.4</v>
      </c>
      <c r="I31" s="64">
        <v>6.03</v>
      </c>
      <c r="J31" s="64">
        <v>0.23</v>
      </c>
      <c r="K31" s="64">
        <v>265.12</v>
      </c>
      <c r="L31" s="64">
        <v>28.15</v>
      </c>
      <c r="M31" s="64">
        <v>52.86</v>
      </c>
      <c r="N31" s="64">
        <v>23.2</v>
      </c>
      <c r="O31" s="64">
        <v>0</v>
      </c>
      <c r="P31" s="64">
        <v>0.44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6" t="s">
        <v>2861</v>
      </c>
      <c r="B32" s="64">
        <v>2.5299999999999998</v>
      </c>
      <c r="C32" s="64">
        <v>0.92</v>
      </c>
      <c r="D32" s="64">
        <v>3.66</v>
      </c>
      <c r="E32" s="64">
        <v>1.02</v>
      </c>
      <c r="F32" s="64">
        <v>3.87</v>
      </c>
      <c r="G32" s="64">
        <v>41.04</v>
      </c>
      <c r="H32" s="64">
        <v>14.4</v>
      </c>
      <c r="I32" s="64">
        <v>5.91</v>
      </c>
      <c r="J32" s="64">
        <v>0.18</v>
      </c>
      <c r="K32" s="64">
        <v>219.75</v>
      </c>
      <c r="L32" s="64">
        <v>28.22</v>
      </c>
      <c r="M32" s="64">
        <v>52.78</v>
      </c>
      <c r="N32" s="64">
        <v>33.799999999999997</v>
      </c>
      <c r="O32" s="64">
        <v>0</v>
      </c>
      <c r="P32" s="64">
        <v>0.43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6" t="s">
        <v>2862</v>
      </c>
      <c r="B33" s="64">
        <v>2.44</v>
      </c>
      <c r="C33" s="64">
        <v>0.46</v>
      </c>
      <c r="D33" s="64">
        <v>3.34</v>
      </c>
      <c r="E33" s="64">
        <v>0.78</v>
      </c>
      <c r="F33" s="64">
        <v>3.93</v>
      </c>
      <c r="G33" s="64">
        <v>41.04</v>
      </c>
      <c r="H33" s="64">
        <v>14.4</v>
      </c>
      <c r="I33" s="64">
        <v>6.04</v>
      </c>
      <c r="J33" s="64">
        <v>0.41</v>
      </c>
      <c r="K33" s="64">
        <v>359.31</v>
      </c>
      <c r="L33" s="64">
        <v>28.88</v>
      </c>
      <c r="M33" s="64">
        <v>49.66</v>
      </c>
      <c r="N33" s="64">
        <v>58.5</v>
      </c>
      <c r="O33" s="64">
        <v>0</v>
      </c>
      <c r="P33" s="64">
        <v>0.42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6" t="s">
        <v>2863</v>
      </c>
      <c r="B34" s="64">
        <v>2.4300000000000002</v>
      </c>
      <c r="C34" s="64">
        <v>0.37</v>
      </c>
      <c r="D34" s="64">
        <v>3.28</v>
      </c>
      <c r="E34" s="64">
        <v>0.8</v>
      </c>
      <c r="F34" s="64">
        <v>3.79</v>
      </c>
      <c r="G34" s="64">
        <v>41.13</v>
      </c>
      <c r="H34" s="64">
        <v>14.54</v>
      </c>
      <c r="I34" s="64">
        <v>6.32</v>
      </c>
      <c r="J34" s="64">
        <v>0.48</v>
      </c>
      <c r="K34" s="64">
        <v>358.78</v>
      </c>
      <c r="L34" s="64">
        <v>29.55</v>
      </c>
      <c r="M34" s="64">
        <v>47.91</v>
      </c>
      <c r="N34" s="64">
        <v>100.6</v>
      </c>
      <c r="O34" s="64">
        <v>0</v>
      </c>
      <c r="P34" s="64">
        <v>0.42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6" t="s">
        <v>2864</v>
      </c>
      <c r="B35" s="64">
        <v>2.65</v>
      </c>
      <c r="C35" s="64">
        <v>1.36</v>
      </c>
      <c r="D35" s="64">
        <v>3.98</v>
      </c>
      <c r="E35" s="64">
        <v>1.07</v>
      </c>
      <c r="F35" s="64">
        <v>4.01</v>
      </c>
      <c r="G35" s="64">
        <v>42.3</v>
      </c>
      <c r="H35" s="64">
        <v>16.21</v>
      </c>
      <c r="I35" s="64">
        <v>6.63</v>
      </c>
      <c r="J35" s="64">
        <v>0.48</v>
      </c>
      <c r="K35" s="64">
        <v>17.2</v>
      </c>
      <c r="L35" s="64">
        <v>30.36</v>
      </c>
      <c r="M35" s="64">
        <v>45.82</v>
      </c>
      <c r="N35" s="64">
        <v>159.6</v>
      </c>
      <c r="O35" s="64">
        <v>0</v>
      </c>
      <c r="P35" s="64">
        <v>0.42</v>
      </c>
      <c r="Q35" s="64">
        <v>9.43</v>
      </c>
      <c r="R35" s="198"/>
      <c r="S35" s="198"/>
      <c r="T35" s="198"/>
      <c r="U35" s="198"/>
    </row>
    <row r="36" spans="1:21" s="12" customFormat="1" x14ac:dyDescent="0.25">
      <c r="A36" s="216" t="s">
        <v>2865</v>
      </c>
      <c r="B36" s="64">
        <v>2.4500000000000002</v>
      </c>
      <c r="C36" s="64">
        <v>0.54</v>
      </c>
      <c r="D36" s="64">
        <v>3.4</v>
      </c>
      <c r="E36" s="64">
        <v>1.1399999999999999</v>
      </c>
      <c r="F36" s="64">
        <v>4.07</v>
      </c>
      <c r="G36" s="64">
        <v>42.3</v>
      </c>
      <c r="H36" s="64">
        <v>16.21</v>
      </c>
      <c r="I36" s="64">
        <v>6.49</v>
      </c>
      <c r="J36" s="64">
        <v>0.59</v>
      </c>
      <c r="K36" s="64">
        <v>17.21</v>
      </c>
      <c r="L36" s="64">
        <v>31.07</v>
      </c>
      <c r="M36" s="64">
        <v>43.52</v>
      </c>
      <c r="N36" s="64">
        <v>212.8</v>
      </c>
      <c r="O36" s="64">
        <v>0</v>
      </c>
      <c r="P36" s="64">
        <v>0.41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6" t="s">
        <v>2866</v>
      </c>
      <c r="B37" s="64">
        <v>2.38</v>
      </c>
      <c r="C37" s="64">
        <v>0.35</v>
      </c>
      <c r="D37" s="64">
        <v>3.24</v>
      </c>
      <c r="E37" s="64">
        <v>1.1000000000000001</v>
      </c>
      <c r="F37" s="64">
        <v>4.82</v>
      </c>
      <c r="G37" s="64">
        <v>42.3</v>
      </c>
      <c r="H37" s="64">
        <v>16.21</v>
      </c>
      <c r="I37" s="64">
        <v>6.54</v>
      </c>
      <c r="J37" s="64">
        <v>0.57999999999999996</v>
      </c>
      <c r="K37" s="64">
        <v>35.39</v>
      </c>
      <c r="L37" s="64">
        <v>32.1</v>
      </c>
      <c r="M37" s="64">
        <v>40.71</v>
      </c>
      <c r="N37" s="64">
        <v>273.39999999999998</v>
      </c>
      <c r="O37" s="64">
        <v>0</v>
      </c>
      <c r="P37" s="64">
        <v>0.43</v>
      </c>
      <c r="Q37" s="64">
        <v>9.43</v>
      </c>
      <c r="R37" s="198"/>
      <c r="S37" s="198"/>
      <c r="T37" s="198"/>
      <c r="U37" s="198"/>
    </row>
    <row r="38" spans="1:21" s="12" customFormat="1" x14ac:dyDescent="0.25">
      <c r="A38" s="216" t="s">
        <v>2867</v>
      </c>
      <c r="B38" s="64">
        <v>2.56</v>
      </c>
      <c r="C38" s="64">
        <v>1.39</v>
      </c>
      <c r="D38" s="64">
        <v>3.92</v>
      </c>
      <c r="E38" s="64">
        <v>1.1200000000000001</v>
      </c>
      <c r="F38" s="64">
        <v>6.99</v>
      </c>
      <c r="G38" s="64">
        <v>42.9</v>
      </c>
      <c r="H38" s="64">
        <v>16.34</v>
      </c>
      <c r="I38" s="64">
        <v>6.57</v>
      </c>
      <c r="J38" s="64">
        <v>0.69</v>
      </c>
      <c r="K38" s="64">
        <v>22.43</v>
      </c>
      <c r="L38" s="64">
        <v>32.58</v>
      </c>
      <c r="M38" s="64">
        <v>39.299999999999997</v>
      </c>
      <c r="N38" s="64">
        <v>323.89999999999998</v>
      </c>
      <c r="O38" s="64">
        <v>0</v>
      </c>
      <c r="P38" s="64">
        <v>0.44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6" t="s">
        <v>2868</v>
      </c>
      <c r="B39" s="64">
        <v>2.37</v>
      </c>
      <c r="C39" s="64">
        <v>0.55000000000000004</v>
      </c>
      <c r="D39" s="64">
        <v>3.33</v>
      </c>
      <c r="E39" s="64">
        <v>1.37</v>
      </c>
      <c r="F39" s="64">
        <v>6.18</v>
      </c>
      <c r="G39" s="64">
        <v>49.97</v>
      </c>
      <c r="H39" s="64">
        <v>17.8</v>
      </c>
      <c r="I39" s="64">
        <v>6.13</v>
      </c>
      <c r="J39" s="64">
        <v>0.61</v>
      </c>
      <c r="K39" s="64">
        <v>10.96</v>
      </c>
      <c r="L39" s="64">
        <v>33.25</v>
      </c>
      <c r="M39" s="64">
        <v>37.909999999999997</v>
      </c>
      <c r="N39" s="64">
        <v>377.6</v>
      </c>
      <c r="O39" s="64">
        <v>0</v>
      </c>
      <c r="P39" s="64">
        <v>0.43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6" t="s">
        <v>2869</v>
      </c>
      <c r="B40" s="64">
        <v>2.34</v>
      </c>
      <c r="C40" s="64">
        <v>0.36</v>
      </c>
      <c r="D40" s="64">
        <v>3.21</v>
      </c>
      <c r="E40" s="64">
        <v>2.36</v>
      </c>
      <c r="F40" s="64">
        <v>4.8899999999999997</v>
      </c>
      <c r="G40" s="64">
        <v>49.97</v>
      </c>
      <c r="H40" s="64">
        <v>17.8</v>
      </c>
      <c r="I40" s="64">
        <v>5.56</v>
      </c>
      <c r="J40" s="64">
        <v>0.71</v>
      </c>
      <c r="K40" s="64">
        <v>21.83</v>
      </c>
      <c r="L40" s="64">
        <v>33.39</v>
      </c>
      <c r="M40" s="64">
        <v>37.33</v>
      </c>
      <c r="N40" s="64">
        <v>432.5</v>
      </c>
      <c r="O40" s="64">
        <v>0</v>
      </c>
      <c r="P40" s="64">
        <v>0.42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16" t="s">
        <v>2870</v>
      </c>
      <c r="B41" s="64">
        <v>2.5</v>
      </c>
      <c r="C41" s="64">
        <v>1.33</v>
      </c>
      <c r="D41" s="64">
        <v>3.84</v>
      </c>
      <c r="E41" s="64">
        <v>0.9</v>
      </c>
      <c r="F41" s="64">
        <v>6.75</v>
      </c>
      <c r="G41" s="64">
        <v>49.97</v>
      </c>
      <c r="H41" s="64">
        <v>17.8</v>
      </c>
      <c r="I41" s="64">
        <v>5.0199999999999996</v>
      </c>
      <c r="J41" s="64">
        <v>0.64</v>
      </c>
      <c r="K41" s="64">
        <v>7.24</v>
      </c>
      <c r="L41" s="64">
        <v>34.6</v>
      </c>
      <c r="M41" s="64">
        <v>35.29</v>
      </c>
      <c r="N41" s="64">
        <v>481.3</v>
      </c>
      <c r="O41" s="64">
        <v>0</v>
      </c>
      <c r="P41" s="64">
        <v>0.41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6" t="s">
        <v>2871</v>
      </c>
      <c r="B42" s="64">
        <v>2.37</v>
      </c>
      <c r="C42" s="64">
        <v>0.56000000000000005</v>
      </c>
      <c r="D42" s="64">
        <v>3.33</v>
      </c>
      <c r="E42" s="64">
        <v>0.88</v>
      </c>
      <c r="F42" s="64">
        <v>6.76</v>
      </c>
      <c r="G42" s="64">
        <v>50.01</v>
      </c>
      <c r="H42" s="64">
        <v>17.829999999999998</v>
      </c>
      <c r="I42" s="64">
        <v>4.3499999999999996</v>
      </c>
      <c r="J42" s="64">
        <v>0.66</v>
      </c>
      <c r="K42" s="64">
        <v>2.85</v>
      </c>
      <c r="L42" s="64">
        <v>35.57</v>
      </c>
      <c r="M42" s="64">
        <v>33.39</v>
      </c>
      <c r="N42" s="64">
        <v>527.5</v>
      </c>
      <c r="O42" s="64">
        <v>0</v>
      </c>
      <c r="P42" s="64">
        <v>0.41</v>
      </c>
      <c r="Q42" s="64">
        <v>9.32</v>
      </c>
      <c r="R42" s="198"/>
      <c r="S42" s="198"/>
      <c r="T42" s="198"/>
      <c r="U42" s="198"/>
    </row>
    <row r="43" spans="1:21" s="12" customFormat="1" x14ac:dyDescent="0.25">
      <c r="A43" s="216" t="s">
        <v>2872</v>
      </c>
      <c r="B43" s="64">
        <v>2.48</v>
      </c>
      <c r="C43" s="64">
        <v>1.19</v>
      </c>
      <c r="D43" s="64">
        <v>3.75</v>
      </c>
      <c r="E43" s="64">
        <v>0.43</v>
      </c>
      <c r="F43" s="64">
        <v>7.63</v>
      </c>
      <c r="G43" s="64">
        <v>50.46</v>
      </c>
      <c r="H43" s="64">
        <v>18.22</v>
      </c>
      <c r="I43" s="64">
        <v>3.85</v>
      </c>
      <c r="J43" s="64">
        <v>0.7</v>
      </c>
      <c r="K43" s="64">
        <v>8.92</v>
      </c>
      <c r="L43" s="64">
        <v>35.979999999999997</v>
      </c>
      <c r="M43" s="64">
        <v>32.78</v>
      </c>
      <c r="N43" s="64">
        <v>570.6</v>
      </c>
      <c r="O43" s="64">
        <v>0</v>
      </c>
      <c r="P43" s="64">
        <v>0.4</v>
      </c>
      <c r="Q43" s="64">
        <v>9.31</v>
      </c>
      <c r="R43" s="198"/>
      <c r="S43" s="198"/>
      <c r="T43" s="198"/>
      <c r="U43" s="198"/>
    </row>
    <row r="44" spans="1:21" s="12" customFormat="1" x14ac:dyDescent="0.25">
      <c r="A44" s="216" t="s">
        <v>2873</v>
      </c>
      <c r="B44" s="64">
        <v>2.36</v>
      </c>
      <c r="C44" s="64">
        <v>0.56000000000000005</v>
      </c>
      <c r="D44" s="64">
        <v>3.33</v>
      </c>
      <c r="E44" s="64">
        <v>0.85</v>
      </c>
      <c r="F44" s="64">
        <v>7.75</v>
      </c>
      <c r="G44" s="64">
        <v>50.46</v>
      </c>
      <c r="H44" s="64">
        <v>18.22</v>
      </c>
      <c r="I44" s="64">
        <v>3.69</v>
      </c>
      <c r="J44" s="64">
        <v>0.67</v>
      </c>
      <c r="K44" s="64">
        <v>6.49</v>
      </c>
      <c r="L44" s="64">
        <v>35.119999999999997</v>
      </c>
      <c r="M44" s="64">
        <v>33.79</v>
      </c>
      <c r="N44" s="64">
        <v>604.20000000000005</v>
      </c>
      <c r="O44" s="64">
        <v>0</v>
      </c>
      <c r="P44" s="64">
        <v>0.41</v>
      </c>
      <c r="Q44" s="64">
        <v>9.33</v>
      </c>
      <c r="R44" s="198"/>
      <c r="S44" s="198"/>
      <c r="T44" s="198"/>
      <c r="U44" s="198"/>
    </row>
    <row r="45" spans="1:21" s="12" customFormat="1" x14ac:dyDescent="0.25">
      <c r="A45" s="216" t="s">
        <v>2874</v>
      </c>
      <c r="B45" s="64">
        <v>2.38</v>
      </c>
      <c r="C45" s="64">
        <v>0.65</v>
      </c>
      <c r="D45" s="64">
        <v>3.4</v>
      </c>
      <c r="E45" s="64">
        <v>0.81</v>
      </c>
      <c r="F45" s="64">
        <v>8.23</v>
      </c>
      <c r="G45" s="64">
        <v>50.46</v>
      </c>
      <c r="H45" s="64">
        <v>18.22</v>
      </c>
      <c r="I45" s="64">
        <v>3.42</v>
      </c>
      <c r="J45" s="64">
        <v>0.57999999999999996</v>
      </c>
      <c r="K45" s="64">
        <v>11.91</v>
      </c>
      <c r="L45" s="64">
        <v>35.049999999999997</v>
      </c>
      <c r="M45" s="64">
        <v>33.6</v>
      </c>
      <c r="N45" s="64">
        <v>651.29999999999995</v>
      </c>
      <c r="O45" s="64">
        <v>0</v>
      </c>
      <c r="P45" s="64">
        <v>0.43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6" t="s">
        <v>2875</v>
      </c>
      <c r="B46" s="64">
        <v>2.4700000000000002</v>
      </c>
      <c r="C46" s="64">
        <v>1.46</v>
      </c>
      <c r="D46" s="64">
        <v>3.89</v>
      </c>
      <c r="E46" s="64">
        <v>0.88</v>
      </c>
      <c r="F46" s="64">
        <v>8.6300000000000008</v>
      </c>
      <c r="G46" s="64">
        <v>50.43</v>
      </c>
      <c r="H46" s="64">
        <v>18.329999999999998</v>
      </c>
      <c r="I46" s="64">
        <v>3.16</v>
      </c>
      <c r="J46" s="64">
        <v>0.68</v>
      </c>
      <c r="K46" s="64">
        <v>10.15</v>
      </c>
      <c r="L46" s="64">
        <v>35.75</v>
      </c>
      <c r="M46" s="64">
        <v>32.880000000000003</v>
      </c>
      <c r="N46" s="64">
        <v>693.2</v>
      </c>
      <c r="O46" s="64">
        <v>0</v>
      </c>
      <c r="P46" s="64">
        <v>0.44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16" t="s">
        <v>2876</v>
      </c>
      <c r="B47" s="64">
        <v>2.34</v>
      </c>
      <c r="C47" s="64">
        <v>0.54</v>
      </c>
      <c r="D47" s="64">
        <v>3.3</v>
      </c>
      <c r="E47" s="64">
        <v>1.01</v>
      </c>
      <c r="F47" s="64">
        <v>8.5</v>
      </c>
      <c r="G47" s="64">
        <v>50.11</v>
      </c>
      <c r="H47" s="64">
        <v>19.64</v>
      </c>
      <c r="I47" s="64">
        <v>2.98</v>
      </c>
      <c r="J47" s="64">
        <v>0.66</v>
      </c>
      <c r="K47" s="64">
        <v>357.65</v>
      </c>
      <c r="L47" s="64">
        <v>37.590000000000003</v>
      </c>
      <c r="M47" s="64">
        <v>29.45</v>
      </c>
      <c r="N47" s="64">
        <v>725.3</v>
      </c>
      <c r="O47" s="64">
        <v>0</v>
      </c>
      <c r="P47" s="64">
        <v>0.45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16" t="s">
        <v>2877</v>
      </c>
      <c r="B48" s="64">
        <v>2.33</v>
      </c>
      <c r="C48" s="64">
        <v>0.32</v>
      </c>
      <c r="D48" s="64">
        <v>3.18</v>
      </c>
      <c r="E48" s="64">
        <v>1.22</v>
      </c>
      <c r="F48" s="64">
        <v>7.96</v>
      </c>
      <c r="G48" s="64">
        <v>50.11</v>
      </c>
      <c r="H48" s="64">
        <v>19.64</v>
      </c>
      <c r="I48" s="64">
        <v>2.82</v>
      </c>
      <c r="J48" s="64">
        <v>0.61</v>
      </c>
      <c r="K48" s="64">
        <v>340.17</v>
      </c>
      <c r="L48" s="64">
        <v>38.229999999999997</v>
      </c>
      <c r="M48" s="64">
        <v>28.69</v>
      </c>
      <c r="N48" s="64">
        <v>751.7</v>
      </c>
      <c r="O48" s="64">
        <v>0</v>
      </c>
      <c r="P48" s="64">
        <v>0.48</v>
      </c>
      <c r="Q48" s="64">
        <v>9.3000000000000007</v>
      </c>
      <c r="R48" s="198"/>
      <c r="S48" s="198"/>
      <c r="T48" s="198"/>
      <c r="U48" s="198"/>
    </row>
    <row r="49" spans="1:21" s="12" customFormat="1" x14ac:dyDescent="0.25">
      <c r="A49" s="216" t="s">
        <v>2878</v>
      </c>
      <c r="B49" s="64">
        <v>2.46</v>
      </c>
      <c r="C49" s="64">
        <v>0.91</v>
      </c>
      <c r="D49" s="64">
        <v>3.59</v>
      </c>
      <c r="E49" s="64">
        <v>1.1499999999999999</v>
      </c>
      <c r="F49" s="64">
        <v>7.96</v>
      </c>
      <c r="G49" s="64">
        <v>50.11</v>
      </c>
      <c r="H49" s="64">
        <v>19.64</v>
      </c>
      <c r="I49" s="64">
        <v>2.73</v>
      </c>
      <c r="J49" s="64">
        <v>0.56000000000000005</v>
      </c>
      <c r="K49" s="64">
        <v>343.35</v>
      </c>
      <c r="L49" s="64">
        <v>37.200000000000003</v>
      </c>
      <c r="M49" s="64">
        <v>29.57</v>
      </c>
      <c r="N49" s="64">
        <v>783.2</v>
      </c>
      <c r="O49" s="64">
        <v>0</v>
      </c>
      <c r="P49" s="64">
        <v>0.51</v>
      </c>
      <c r="Q49" s="64">
        <v>9.31</v>
      </c>
      <c r="R49" s="198"/>
      <c r="S49" s="198"/>
      <c r="T49" s="198"/>
      <c r="U49" s="198"/>
    </row>
    <row r="50" spans="1:21" s="12" customFormat="1" x14ac:dyDescent="0.25">
      <c r="A50" s="216" t="s">
        <v>2879</v>
      </c>
      <c r="B50" s="64">
        <v>2.44</v>
      </c>
      <c r="C50" s="64">
        <v>0.9</v>
      </c>
      <c r="D50" s="64">
        <v>3.58</v>
      </c>
      <c r="E50" s="64">
        <v>0.72</v>
      </c>
      <c r="F50" s="64">
        <v>9.14</v>
      </c>
      <c r="G50" s="64">
        <v>50.6</v>
      </c>
      <c r="H50" s="64">
        <v>20.100000000000001</v>
      </c>
      <c r="I50" s="64">
        <v>2.75</v>
      </c>
      <c r="J50" s="64">
        <v>0.39</v>
      </c>
      <c r="K50" s="64">
        <v>356.68</v>
      </c>
      <c r="L50" s="64">
        <v>37.619999999999997</v>
      </c>
      <c r="M50" s="64">
        <v>29.1</v>
      </c>
      <c r="N50" s="64">
        <v>805.4</v>
      </c>
      <c r="O50" s="64">
        <v>0</v>
      </c>
      <c r="P50" s="64">
        <v>0.56000000000000005</v>
      </c>
      <c r="Q50" s="64">
        <v>9.3000000000000007</v>
      </c>
      <c r="R50" s="198"/>
      <c r="S50" s="198"/>
      <c r="T50" s="198"/>
      <c r="U50" s="198"/>
    </row>
    <row r="51" spans="1:21" s="12" customFormat="1" x14ac:dyDescent="0.25">
      <c r="A51" s="216" t="s">
        <v>2880</v>
      </c>
      <c r="B51" s="64">
        <v>2.36</v>
      </c>
      <c r="C51" s="64">
        <v>0.42</v>
      </c>
      <c r="D51" s="64">
        <v>3.26</v>
      </c>
      <c r="E51" s="64">
        <v>1.29</v>
      </c>
      <c r="F51" s="64">
        <v>23.02</v>
      </c>
      <c r="G51" s="64">
        <v>56.37</v>
      </c>
      <c r="H51" s="64">
        <v>25.62</v>
      </c>
      <c r="I51" s="64">
        <v>2.8</v>
      </c>
      <c r="J51" s="64">
        <v>0.74</v>
      </c>
      <c r="K51" s="64">
        <v>352.88</v>
      </c>
      <c r="L51" s="64">
        <v>38.049999999999997</v>
      </c>
      <c r="M51" s="64">
        <v>28.95</v>
      </c>
      <c r="N51" s="64">
        <v>814</v>
      </c>
      <c r="O51" s="64">
        <v>0</v>
      </c>
      <c r="P51" s="64">
        <v>0.65</v>
      </c>
      <c r="Q51" s="64">
        <v>9.3000000000000007</v>
      </c>
      <c r="R51" s="198"/>
      <c r="S51" s="198"/>
      <c r="T51" s="198"/>
      <c r="U51" s="198"/>
    </row>
    <row r="52" spans="1:21" s="12" customFormat="1" x14ac:dyDescent="0.25">
      <c r="A52" s="216" t="s">
        <v>2881</v>
      </c>
      <c r="B52" s="64">
        <v>2.35</v>
      </c>
      <c r="C52" s="64">
        <v>0.43</v>
      </c>
      <c r="D52" s="64">
        <v>3.26</v>
      </c>
      <c r="E52" s="64">
        <v>1.5</v>
      </c>
      <c r="F52" s="64">
        <v>23.2</v>
      </c>
      <c r="G52" s="64">
        <v>56.37</v>
      </c>
      <c r="H52" s="64">
        <v>25.62</v>
      </c>
      <c r="I52" s="64">
        <v>2.85</v>
      </c>
      <c r="J52" s="64">
        <v>0.83</v>
      </c>
      <c r="K52" s="64">
        <v>326.48</v>
      </c>
      <c r="L52" s="64">
        <v>39.909999999999997</v>
      </c>
      <c r="M52" s="64">
        <v>26.63</v>
      </c>
      <c r="N52" s="64">
        <v>842</v>
      </c>
      <c r="O52" s="64">
        <v>0</v>
      </c>
      <c r="P52" s="64">
        <v>0.74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6" t="s">
        <v>2882</v>
      </c>
      <c r="B53" s="64">
        <v>2.29</v>
      </c>
      <c r="C53" s="64">
        <v>0.38</v>
      </c>
      <c r="D53" s="64">
        <v>3.18</v>
      </c>
      <c r="E53" s="64">
        <v>1.32</v>
      </c>
      <c r="F53" s="64">
        <v>12.99</v>
      </c>
      <c r="G53" s="64">
        <v>56.37</v>
      </c>
      <c r="H53" s="64">
        <v>25.62</v>
      </c>
      <c r="I53" s="64">
        <v>3.04</v>
      </c>
      <c r="J53" s="64">
        <v>0.48</v>
      </c>
      <c r="K53" s="64">
        <v>27.22</v>
      </c>
      <c r="L53" s="64">
        <v>39.270000000000003</v>
      </c>
      <c r="M53" s="64">
        <v>26.8</v>
      </c>
      <c r="N53" s="64">
        <v>846.6</v>
      </c>
      <c r="O53" s="64">
        <v>0</v>
      </c>
      <c r="P53" s="64">
        <v>0.74</v>
      </c>
      <c r="Q53" s="64">
        <v>9.2799999999999994</v>
      </c>
      <c r="R53" s="198"/>
      <c r="S53" s="198"/>
      <c r="T53" s="198"/>
      <c r="U53" s="198"/>
    </row>
    <row r="54" spans="1:21" s="12" customFormat="1" x14ac:dyDescent="0.25">
      <c r="A54" s="216" t="s">
        <v>2883</v>
      </c>
      <c r="B54" s="64">
        <v>2.4300000000000002</v>
      </c>
      <c r="C54" s="64">
        <v>1.22</v>
      </c>
      <c r="D54" s="64">
        <v>3.73</v>
      </c>
      <c r="E54" s="64">
        <v>1.23</v>
      </c>
      <c r="F54" s="64">
        <v>13.21</v>
      </c>
      <c r="G54" s="64">
        <v>57.39</v>
      </c>
      <c r="H54" s="64">
        <v>25.85</v>
      </c>
      <c r="I54" s="64">
        <v>3.19</v>
      </c>
      <c r="J54" s="64">
        <v>0.26</v>
      </c>
      <c r="K54" s="64">
        <v>230.36</v>
      </c>
      <c r="L54" s="64">
        <v>38.68</v>
      </c>
      <c r="M54" s="64">
        <v>27.32</v>
      </c>
      <c r="N54" s="64">
        <v>861.9</v>
      </c>
      <c r="O54" s="64">
        <v>0</v>
      </c>
      <c r="P54" s="64">
        <v>0.72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16" t="s">
        <v>2884</v>
      </c>
      <c r="B55" s="64">
        <v>2.34</v>
      </c>
      <c r="C55" s="64">
        <v>0.7</v>
      </c>
      <c r="D55" s="64">
        <v>3.39</v>
      </c>
      <c r="E55" s="64">
        <v>0.81</v>
      </c>
      <c r="F55" s="64">
        <v>11.15</v>
      </c>
      <c r="G55" s="64">
        <v>69.5</v>
      </c>
      <c r="H55" s="64">
        <v>28.55</v>
      </c>
      <c r="I55" s="64">
        <v>3.26</v>
      </c>
      <c r="J55" s="64">
        <v>0.6</v>
      </c>
      <c r="K55" s="64">
        <v>349.73</v>
      </c>
      <c r="L55" s="64">
        <v>38.86</v>
      </c>
      <c r="M55" s="64">
        <v>26.72</v>
      </c>
      <c r="N55" s="64">
        <v>844.9</v>
      </c>
      <c r="O55" s="64">
        <v>0</v>
      </c>
      <c r="P55" s="64">
        <v>0.7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6" t="s">
        <v>2885</v>
      </c>
      <c r="B56" s="64">
        <v>2.4</v>
      </c>
      <c r="C56" s="64">
        <v>1.31</v>
      </c>
      <c r="D56" s="64">
        <v>3.76</v>
      </c>
      <c r="E56" s="64">
        <v>1.61</v>
      </c>
      <c r="F56" s="64">
        <v>9.6199999999999992</v>
      </c>
      <c r="G56" s="64">
        <v>69.5</v>
      </c>
      <c r="H56" s="64">
        <v>28.55</v>
      </c>
      <c r="I56" s="64">
        <v>3.4</v>
      </c>
      <c r="J56" s="64">
        <v>0.44</v>
      </c>
      <c r="K56" s="64">
        <v>344.16</v>
      </c>
      <c r="L56" s="64">
        <v>39.67</v>
      </c>
      <c r="M56" s="64">
        <v>25.54</v>
      </c>
      <c r="N56" s="64">
        <v>847.1</v>
      </c>
      <c r="O56" s="64">
        <v>0</v>
      </c>
      <c r="P56" s="64">
        <v>0.7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6" t="s">
        <v>2886</v>
      </c>
      <c r="B57" s="64">
        <v>2.35</v>
      </c>
      <c r="C57" s="64">
        <v>0.91</v>
      </c>
      <c r="D57" s="64">
        <v>3.51</v>
      </c>
      <c r="E57" s="64">
        <v>2.48</v>
      </c>
      <c r="F57" s="64">
        <v>12.25</v>
      </c>
      <c r="G57" s="64">
        <v>69.5</v>
      </c>
      <c r="H57" s="64">
        <v>28.55</v>
      </c>
      <c r="I57" s="64">
        <v>3.52</v>
      </c>
      <c r="J57" s="64">
        <v>0.15</v>
      </c>
      <c r="K57" s="64">
        <v>75.739999999999995</v>
      </c>
      <c r="L57" s="64">
        <v>39.56</v>
      </c>
      <c r="M57" s="64">
        <v>24.91</v>
      </c>
      <c r="N57" s="64">
        <v>845.1</v>
      </c>
      <c r="O57" s="64">
        <v>0</v>
      </c>
      <c r="P57" s="64">
        <v>0.68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6" t="s">
        <v>2887</v>
      </c>
      <c r="B58" s="64">
        <v>2.27</v>
      </c>
      <c r="C58" s="64">
        <v>0.46</v>
      </c>
      <c r="D58" s="64">
        <v>3.21</v>
      </c>
      <c r="E58" s="64">
        <v>2.4500000000000002</v>
      </c>
      <c r="F58" s="64">
        <v>12.23</v>
      </c>
      <c r="G58" s="64">
        <v>69.13</v>
      </c>
      <c r="H58" s="64">
        <v>28.58</v>
      </c>
      <c r="I58" s="64">
        <v>3.56</v>
      </c>
      <c r="J58" s="64">
        <v>0.36</v>
      </c>
      <c r="K58" s="64">
        <v>298.63</v>
      </c>
      <c r="L58" s="64">
        <v>40.24</v>
      </c>
      <c r="M58" s="64">
        <v>24.16</v>
      </c>
      <c r="N58" s="64">
        <v>838.5</v>
      </c>
      <c r="O58" s="64">
        <v>0</v>
      </c>
      <c r="P58" s="64">
        <v>0.66</v>
      </c>
      <c r="Q58" s="64">
        <v>9.2899999999999991</v>
      </c>
      <c r="R58" s="198"/>
      <c r="S58" s="198"/>
      <c r="T58" s="198"/>
      <c r="U58" s="198"/>
    </row>
    <row r="59" spans="1:21" s="12" customFormat="1" x14ac:dyDescent="0.25">
      <c r="A59" s="216" t="s">
        <v>2888</v>
      </c>
      <c r="B59" s="64">
        <v>2.4300000000000002</v>
      </c>
      <c r="C59" s="64">
        <v>1.34</v>
      </c>
      <c r="D59" s="64">
        <v>3.79</v>
      </c>
      <c r="E59" s="64">
        <v>2.62</v>
      </c>
      <c r="F59" s="64">
        <v>10.15</v>
      </c>
      <c r="G59" s="64">
        <v>64.73</v>
      </c>
      <c r="H59" s="64">
        <v>28.94</v>
      </c>
      <c r="I59" s="64">
        <v>3.53</v>
      </c>
      <c r="J59" s="64">
        <v>0.5</v>
      </c>
      <c r="K59" s="64">
        <v>201.91</v>
      </c>
      <c r="L59" s="64">
        <v>39.96</v>
      </c>
      <c r="M59" s="64">
        <v>23.39</v>
      </c>
      <c r="N59" s="64">
        <v>833.6</v>
      </c>
      <c r="O59" s="64">
        <v>0</v>
      </c>
      <c r="P59" s="64">
        <v>0.65</v>
      </c>
      <c r="Q59" s="64">
        <v>9.27</v>
      </c>
      <c r="R59" s="198"/>
      <c r="S59" s="198"/>
      <c r="T59" s="198"/>
      <c r="U59" s="198"/>
    </row>
    <row r="60" spans="1:21" s="12" customFormat="1" x14ac:dyDescent="0.25">
      <c r="A60" s="216" t="s">
        <v>2889</v>
      </c>
      <c r="B60" s="64">
        <v>2.2999999999999998</v>
      </c>
      <c r="C60" s="64">
        <v>0.5</v>
      </c>
      <c r="D60" s="64">
        <v>3.25</v>
      </c>
      <c r="E60" s="64">
        <v>2.79</v>
      </c>
      <c r="F60" s="64">
        <v>14.51</v>
      </c>
      <c r="G60" s="64">
        <v>64.73</v>
      </c>
      <c r="H60" s="64">
        <v>28.94</v>
      </c>
      <c r="I60" s="64">
        <v>3.56</v>
      </c>
      <c r="J60" s="64">
        <v>0.66</v>
      </c>
      <c r="K60" s="64">
        <v>349.52</v>
      </c>
      <c r="L60" s="64">
        <v>43.93</v>
      </c>
      <c r="M60" s="64">
        <v>22.27</v>
      </c>
      <c r="N60" s="64">
        <v>815.7</v>
      </c>
      <c r="O60" s="64">
        <v>0</v>
      </c>
      <c r="P60" s="64">
        <v>0.61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6" t="s">
        <v>2890</v>
      </c>
      <c r="B61" s="64">
        <v>2.37</v>
      </c>
      <c r="C61" s="64">
        <v>1.01</v>
      </c>
      <c r="D61" s="64">
        <v>3.57</v>
      </c>
      <c r="E61" s="64">
        <v>2.38</v>
      </c>
      <c r="F61" s="64">
        <v>16.97</v>
      </c>
      <c r="G61" s="64">
        <v>64.73</v>
      </c>
      <c r="H61" s="64">
        <v>28.94</v>
      </c>
      <c r="I61" s="64">
        <v>3.59</v>
      </c>
      <c r="J61" s="64">
        <v>0.31</v>
      </c>
      <c r="K61" s="64">
        <v>29.88</v>
      </c>
      <c r="L61" s="64">
        <v>43.93</v>
      </c>
      <c r="M61" s="64">
        <v>21.35</v>
      </c>
      <c r="N61" s="64">
        <v>776.6</v>
      </c>
      <c r="O61" s="64">
        <v>0</v>
      </c>
      <c r="P61" s="64">
        <v>0.52</v>
      </c>
      <c r="Q61" s="64">
        <v>9.2799999999999994</v>
      </c>
      <c r="R61" s="198"/>
      <c r="S61" s="198"/>
      <c r="T61" s="198"/>
      <c r="U61" s="198"/>
    </row>
    <row r="62" spans="1:21" s="12" customFormat="1" x14ac:dyDescent="0.25">
      <c r="A62" s="216" t="s">
        <v>2891</v>
      </c>
      <c r="B62" s="64">
        <v>2.35</v>
      </c>
      <c r="C62" s="64">
        <v>1.1399999999999999</v>
      </c>
      <c r="D62" s="64">
        <v>3.62</v>
      </c>
      <c r="E62" s="64">
        <v>2.44</v>
      </c>
      <c r="F62" s="64">
        <v>15.48</v>
      </c>
      <c r="G62" s="64">
        <v>64.72</v>
      </c>
      <c r="H62" s="64">
        <v>28.83</v>
      </c>
      <c r="I62" s="64">
        <v>3.5</v>
      </c>
      <c r="J62" s="64">
        <v>0.6</v>
      </c>
      <c r="K62" s="64">
        <v>346.33</v>
      </c>
      <c r="L62" s="64">
        <v>44.44</v>
      </c>
      <c r="M62" s="64">
        <v>20.64</v>
      </c>
      <c r="N62" s="64">
        <v>759.8</v>
      </c>
      <c r="O62" s="64">
        <v>0</v>
      </c>
      <c r="P62" s="64">
        <v>0.55000000000000004</v>
      </c>
      <c r="Q62" s="64">
        <v>9.2799999999999994</v>
      </c>
      <c r="R62" s="198"/>
      <c r="S62" s="198"/>
      <c r="T62" s="198"/>
      <c r="U62" s="198"/>
    </row>
    <row r="63" spans="1:21" s="12" customFormat="1" x14ac:dyDescent="0.25">
      <c r="A63" s="216" t="s">
        <v>2892</v>
      </c>
      <c r="B63" s="64">
        <v>2.2599999999999998</v>
      </c>
      <c r="C63" s="64">
        <v>0.44</v>
      </c>
      <c r="D63" s="64">
        <v>3.19</v>
      </c>
      <c r="E63" s="64">
        <v>3.63</v>
      </c>
      <c r="F63" s="64">
        <v>16.190000000000001</v>
      </c>
      <c r="G63" s="64">
        <v>64.540000000000006</v>
      </c>
      <c r="H63" s="64">
        <v>27.55</v>
      </c>
      <c r="I63" s="64">
        <v>3.46</v>
      </c>
      <c r="J63" s="64">
        <v>0.44</v>
      </c>
      <c r="K63" s="64">
        <v>10.66</v>
      </c>
      <c r="L63" s="64">
        <v>44.6</v>
      </c>
      <c r="M63" s="64">
        <v>19.55</v>
      </c>
      <c r="N63" s="64">
        <v>712</v>
      </c>
      <c r="O63" s="64">
        <v>0</v>
      </c>
      <c r="P63" s="64">
        <v>0.52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16" t="s">
        <v>2893</v>
      </c>
      <c r="B64" s="64">
        <v>2.4</v>
      </c>
      <c r="C64" s="64">
        <v>1.33</v>
      </c>
      <c r="D64" s="64">
        <v>3.76</v>
      </c>
      <c r="E64" s="64">
        <v>2.39</v>
      </c>
      <c r="F64" s="64">
        <v>15.9</v>
      </c>
      <c r="G64" s="64">
        <v>64.540000000000006</v>
      </c>
      <c r="H64" s="64">
        <v>27.55</v>
      </c>
      <c r="I64" s="64">
        <v>3.44</v>
      </c>
      <c r="J64" s="64">
        <v>0.83</v>
      </c>
      <c r="K64" s="64">
        <v>323.33</v>
      </c>
      <c r="L64" s="64">
        <v>45.49</v>
      </c>
      <c r="M64" s="64">
        <v>18.559999999999999</v>
      </c>
      <c r="N64" s="64">
        <v>678.3</v>
      </c>
      <c r="O64" s="64">
        <v>0</v>
      </c>
      <c r="P64" s="64">
        <v>0.51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6" t="s">
        <v>2894</v>
      </c>
      <c r="B65" s="64">
        <v>2.2599999999999998</v>
      </c>
      <c r="C65" s="64">
        <v>0.51</v>
      </c>
      <c r="D65" s="64">
        <v>3.23</v>
      </c>
      <c r="E65" s="64">
        <v>2.44</v>
      </c>
      <c r="F65" s="64">
        <v>12.4</v>
      </c>
      <c r="G65" s="64">
        <v>64.540000000000006</v>
      </c>
      <c r="H65" s="64">
        <v>27.55</v>
      </c>
      <c r="I65" s="64">
        <v>3.44</v>
      </c>
      <c r="J65" s="64">
        <v>0.31</v>
      </c>
      <c r="K65" s="64">
        <v>356.6</v>
      </c>
      <c r="L65" s="64">
        <v>45.18</v>
      </c>
      <c r="M65" s="64">
        <v>17.45</v>
      </c>
      <c r="N65" s="64">
        <v>520.6</v>
      </c>
      <c r="O65" s="64">
        <v>0</v>
      </c>
      <c r="P65" s="64">
        <v>0.49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6" t="s">
        <v>2895</v>
      </c>
      <c r="B66" s="64">
        <v>2.39</v>
      </c>
      <c r="C66" s="64">
        <v>1.33</v>
      </c>
      <c r="D66" s="64">
        <v>3.76</v>
      </c>
      <c r="E66" s="64">
        <v>2.33</v>
      </c>
      <c r="F66" s="64">
        <v>10.58</v>
      </c>
      <c r="G66" s="64">
        <v>64.36</v>
      </c>
      <c r="H66" s="64">
        <v>27.7</v>
      </c>
      <c r="I66" s="64">
        <v>3.34</v>
      </c>
      <c r="J66" s="64">
        <v>0.88</v>
      </c>
      <c r="K66" s="64">
        <v>318.54000000000002</v>
      </c>
      <c r="L66" s="64">
        <v>45.14</v>
      </c>
      <c r="M66" s="64">
        <v>17.18</v>
      </c>
      <c r="N66" s="64">
        <v>594.70000000000005</v>
      </c>
      <c r="O66" s="64">
        <v>0</v>
      </c>
      <c r="P66" s="64">
        <v>0.47</v>
      </c>
      <c r="Q66" s="64">
        <v>9.27</v>
      </c>
      <c r="R66" s="198"/>
      <c r="S66" s="198"/>
      <c r="T66" s="198"/>
      <c r="U66" s="198"/>
    </row>
    <row r="67" spans="1:21" s="12" customFormat="1" x14ac:dyDescent="0.25">
      <c r="A67" s="216" t="s">
        <v>2896</v>
      </c>
      <c r="B67" s="64">
        <v>2.2999999999999998</v>
      </c>
      <c r="C67" s="64">
        <v>0.7</v>
      </c>
      <c r="D67" s="64">
        <v>3.35</v>
      </c>
      <c r="E67" s="64">
        <v>2.5</v>
      </c>
      <c r="F67" s="64">
        <v>8.66</v>
      </c>
      <c r="G67" s="64">
        <v>62.29</v>
      </c>
      <c r="H67" s="64">
        <v>29.45</v>
      </c>
      <c r="I67" s="64">
        <v>3.2</v>
      </c>
      <c r="J67" s="64">
        <v>0.95</v>
      </c>
      <c r="K67" s="64">
        <v>320.72000000000003</v>
      </c>
      <c r="L67" s="64">
        <v>45.29</v>
      </c>
      <c r="M67" s="64">
        <v>16.41</v>
      </c>
      <c r="N67" s="64">
        <v>240.7</v>
      </c>
      <c r="O67" s="64">
        <v>0</v>
      </c>
      <c r="P67" s="64">
        <v>0.45</v>
      </c>
      <c r="Q67" s="64">
        <v>9.25</v>
      </c>
      <c r="R67" s="198"/>
      <c r="S67" s="198"/>
      <c r="T67" s="198"/>
      <c r="U67" s="198"/>
    </row>
    <row r="68" spans="1:21" s="12" customFormat="1" x14ac:dyDescent="0.25">
      <c r="A68" s="216" t="s">
        <v>2897</v>
      </c>
      <c r="B68" s="64">
        <v>2.39</v>
      </c>
      <c r="C68" s="64">
        <v>1.25</v>
      </c>
      <c r="D68" s="64">
        <v>3.71</v>
      </c>
      <c r="E68" s="64">
        <v>2.4</v>
      </c>
      <c r="F68" s="64">
        <v>7.36</v>
      </c>
      <c r="G68" s="64">
        <v>62.29</v>
      </c>
      <c r="H68" s="64">
        <v>29.45</v>
      </c>
      <c r="I68" s="64">
        <v>3.09</v>
      </c>
      <c r="J68" s="64">
        <v>0.46</v>
      </c>
      <c r="K68" s="64">
        <v>329.23</v>
      </c>
      <c r="L68" s="64">
        <v>45.13</v>
      </c>
      <c r="M68" s="64">
        <v>16.46</v>
      </c>
      <c r="N68" s="64">
        <v>287.7</v>
      </c>
      <c r="O68" s="64">
        <v>0</v>
      </c>
      <c r="P68" s="64">
        <v>0.45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6" t="s">
        <v>2898</v>
      </c>
      <c r="B69" s="64">
        <v>2.33</v>
      </c>
      <c r="C69" s="64">
        <v>0.84</v>
      </c>
      <c r="D69" s="64">
        <v>3.45</v>
      </c>
      <c r="E69" s="64">
        <v>2.13</v>
      </c>
      <c r="F69" s="64">
        <v>7.94</v>
      </c>
      <c r="G69" s="64">
        <v>62.29</v>
      </c>
      <c r="H69" s="64">
        <v>29.45</v>
      </c>
      <c r="I69" s="64">
        <v>3.09</v>
      </c>
      <c r="J69" s="64">
        <v>0.42</v>
      </c>
      <c r="K69" s="64">
        <v>351.22</v>
      </c>
      <c r="L69" s="64">
        <v>44.31</v>
      </c>
      <c r="M69" s="64">
        <v>16.43</v>
      </c>
      <c r="N69" s="64">
        <v>255.2</v>
      </c>
      <c r="O69" s="64">
        <v>0</v>
      </c>
      <c r="P69" s="64">
        <v>0.43</v>
      </c>
      <c r="Q69" s="64">
        <v>9.27</v>
      </c>
      <c r="R69" s="198"/>
      <c r="S69" s="198"/>
      <c r="T69" s="198"/>
      <c r="U69" s="198"/>
    </row>
    <row r="70" spans="1:21" s="12" customFormat="1" x14ac:dyDescent="0.25">
      <c r="A70" s="216" t="s">
        <v>2899</v>
      </c>
      <c r="B70" s="64">
        <v>2.41</v>
      </c>
      <c r="C70" s="64">
        <v>1.34</v>
      </c>
      <c r="D70" s="64">
        <v>3.78</v>
      </c>
      <c r="E70" s="64">
        <v>2.5099999999999998</v>
      </c>
      <c r="F70" s="64">
        <v>15.14</v>
      </c>
      <c r="G70" s="64">
        <v>62.04</v>
      </c>
      <c r="H70" s="64">
        <v>29.36</v>
      </c>
      <c r="I70" s="64">
        <v>3.21</v>
      </c>
      <c r="J70" s="64">
        <v>0.54</v>
      </c>
      <c r="K70" s="64">
        <v>352.86</v>
      </c>
      <c r="L70" s="64">
        <v>44.03</v>
      </c>
      <c r="M70" s="64">
        <v>17.68</v>
      </c>
      <c r="N70" s="64">
        <v>180.4</v>
      </c>
      <c r="O70" s="64">
        <v>0</v>
      </c>
      <c r="P70" s="64">
        <v>0.42</v>
      </c>
      <c r="Q70" s="64">
        <v>9.2799999999999994</v>
      </c>
      <c r="R70" s="198"/>
      <c r="S70" s="198"/>
      <c r="T70" s="198"/>
      <c r="U70" s="198"/>
    </row>
    <row r="71" spans="1:21" s="12" customFormat="1" x14ac:dyDescent="0.25">
      <c r="A71" s="216" t="s">
        <v>2900</v>
      </c>
      <c r="B71" s="64">
        <v>2.29</v>
      </c>
      <c r="C71" s="64">
        <v>0.51</v>
      </c>
      <c r="D71" s="64">
        <v>3.24</v>
      </c>
      <c r="E71" s="64">
        <v>2.5099999999999998</v>
      </c>
      <c r="F71" s="64">
        <v>10.33</v>
      </c>
      <c r="G71" s="64">
        <v>58.99</v>
      </c>
      <c r="H71" s="64">
        <v>28.19</v>
      </c>
      <c r="I71" s="64">
        <v>3.25</v>
      </c>
      <c r="J71" s="64">
        <v>0.35</v>
      </c>
      <c r="K71" s="64">
        <v>331.07</v>
      </c>
      <c r="L71" s="64">
        <v>43.85</v>
      </c>
      <c r="M71" s="64">
        <v>16.329999999999998</v>
      </c>
      <c r="N71" s="64">
        <v>155.30000000000001</v>
      </c>
      <c r="O71" s="64">
        <v>0</v>
      </c>
      <c r="P71" s="64">
        <v>0.41</v>
      </c>
      <c r="Q71" s="64">
        <v>9.27</v>
      </c>
      <c r="R71" s="198"/>
      <c r="S71" s="198"/>
      <c r="T71" s="198"/>
      <c r="U71" s="198"/>
    </row>
    <row r="72" spans="1:21" s="12" customFormat="1" x14ac:dyDescent="0.25">
      <c r="A72" s="216" t="s">
        <v>2901</v>
      </c>
      <c r="B72" s="64">
        <v>2.27</v>
      </c>
      <c r="C72" s="64">
        <v>0.35</v>
      </c>
      <c r="D72" s="64">
        <v>3.14</v>
      </c>
      <c r="E72" s="64">
        <v>2.69</v>
      </c>
      <c r="F72" s="64">
        <v>8.9700000000000006</v>
      </c>
      <c r="G72" s="64">
        <v>58.99</v>
      </c>
      <c r="H72" s="64">
        <v>28.19</v>
      </c>
      <c r="I72" s="64">
        <v>3.2</v>
      </c>
      <c r="J72" s="64">
        <v>0.7</v>
      </c>
      <c r="K72" s="64">
        <v>321.86</v>
      </c>
      <c r="L72" s="64">
        <v>43.94</v>
      </c>
      <c r="M72" s="64">
        <v>10.86</v>
      </c>
      <c r="N72" s="64">
        <v>105.4</v>
      </c>
      <c r="O72" s="64">
        <v>0</v>
      </c>
      <c r="P72" s="64">
        <v>0.39</v>
      </c>
      <c r="Q72" s="64">
        <v>9.27</v>
      </c>
      <c r="R72" s="198"/>
      <c r="S72" s="198"/>
      <c r="T72" s="198"/>
      <c r="U72" s="198"/>
    </row>
    <row r="73" spans="1:21" s="12" customFormat="1" x14ac:dyDescent="0.25">
      <c r="A73" s="216" t="s">
        <v>2902</v>
      </c>
      <c r="B73" s="64">
        <v>2.44</v>
      </c>
      <c r="C73" s="64">
        <v>1.23</v>
      </c>
      <c r="D73" s="64">
        <v>3.74</v>
      </c>
      <c r="E73" s="64">
        <v>1.7</v>
      </c>
      <c r="F73" s="64">
        <v>8.56</v>
      </c>
      <c r="G73" s="64">
        <v>58.99</v>
      </c>
      <c r="H73" s="64">
        <v>28.19</v>
      </c>
      <c r="I73" s="64">
        <v>3.3</v>
      </c>
      <c r="J73" s="64">
        <v>0.79</v>
      </c>
      <c r="K73" s="64">
        <v>308.95999999999998</v>
      </c>
      <c r="L73" s="64">
        <v>43.39</v>
      </c>
      <c r="M73" s="64">
        <v>14.65</v>
      </c>
      <c r="N73" s="64">
        <v>107.3</v>
      </c>
      <c r="O73" s="64">
        <v>0</v>
      </c>
      <c r="P73" s="64">
        <v>0.37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6" t="s">
        <v>2903</v>
      </c>
      <c r="B74" s="64">
        <v>2.2999999999999998</v>
      </c>
      <c r="C74" s="64">
        <v>0.56000000000000005</v>
      </c>
      <c r="D74" s="64">
        <v>3.28</v>
      </c>
      <c r="E74" s="64">
        <v>1.42</v>
      </c>
      <c r="F74" s="64">
        <v>6.55</v>
      </c>
      <c r="G74" s="64">
        <v>57.91</v>
      </c>
      <c r="H74" s="64">
        <v>27.9</v>
      </c>
      <c r="I74" s="64">
        <v>3.51</v>
      </c>
      <c r="J74" s="64">
        <v>0.53</v>
      </c>
      <c r="K74" s="64">
        <v>7.29</v>
      </c>
      <c r="L74" s="64">
        <v>43.08</v>
      </c>
      <c r="M74" s="64">
        <v>16.61</v>
      </c>
      <c r="N74" s="64">
        <v>117.6</v>
      </c>
      <c r="O74" s="64">
        <v>0</v>
      </c>
      <c r="P74" s="64">
        <v>0.38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6" t="s">
        <v>2904</v>
      </c>
      <c r="B75" s="64">
        <v>2.4</v>
      </c>
      <c r="C75" s="64">
        <v>1.31</v>
      </c>
      <c r="D75" s="64">
        <v>3.76</v>
      </c>
      <c r="E75" s="64">
        <v>1.55</v>
      </c>
      <c r="F75" s="64">
        <v>6.15</v>
      </c>
      <c r="G75" s="64">
        <v>45.03</v>
      </c>
      <c r="H75" s="64">
        <v>24.47</v>
      </c>
      <c r="I75" s="64">
        <v>3.7</v>
      </c>
      <c r="J75" s="64">
        <v>0.46</v>
      </c>
      <c r="K75" s="64">
        <v>350.6</v>
      </c>
      <c r="L75" s="64">
        <v>42.84</v>
      </c>
      <c r="M75" s="64">
        <v>17.690000000000001</v>
      </c>
      <c r="N75" s="64">
        <v>99.9</v>
      </c>
      <c r="O75" s="64">
        <v>0</v>
      </c>
      <c r="P75" s="64">
        <v>0.39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6" t="s">
        <v>2905</v>
      </c>
      <c r="B76" s="64">
        <v>2.37</v>
      </c>
      <c r="C76" s="64">
        <v>1.38</v>
      </c>
      <c r="D76" s="64">
        <v>3.77</v>
      </c>
      <c r="E76" s="64">
        <v>1.73</v>
      </c>
      <c r="F76" s="64">
        <v>6.59</v>
      </c>
      <c r="G76" s="64">
        <v>45.03</v>
      </c>
      <c r="H76" s="64">
        <v>24.47</v>
      </c>
      <c r="I76" s="64">
        <v>3.76</v>
      </c>
      <c r="J76" s="64">
        <v>0.62</v>
      </c>
      <c r="K76" s="64">
        <v>317.32</v>
      </c>
      <c r="L76" s="64">
        <v>42.59</v>
      </c>
      <c r="M76" s="64">
        <v>16.07</v>
      </c>
      <c r="N76" s="64">
        <v>85.2</v>
      </c>
      <c r="O76" s="64">
        <v>0</v>
      </c>
      <c r="P76" s="64">
        <v>0.42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6" t="s">
        <v>2906</v>
      </c>
      <c r="B77" s="64">
        <v>2.35</v>
      </c>
      <c r="C77" s="64">
        <v>1.39</v>
      </c>
      <c r="D77" s="64">
        <v>3.76</v>
      </c>
      <c r="E77" s="64">
        <v>1.68</v>
      </c>
      <c r="F77" s="64">
        <v>5.41</v>
      </c>
      <c r="G77" s="64">
        <v>45.03</v>
      </c>
      <c r="H77" s="64">
        <v>24.47</v>
      </c>
      <c r="I77" s="64">
        <v>3.73</v>
      </c>
      <c r="J77" s="64">
        <v>0.56000000000000005</v>
      </c>
      <c r="K77" s="64">
        <v>350.48</v>
      </c>
      <c r="L77" s="64">
        <v>42.28</v>
      </c>
      <c r="M77" s="64">
        <v>16.059999999999999</v>
      </c>
      <c r="N77" s="64">
        <v>68.5</v>
      </c>
      <c r="O77" s="64">
        <v>0</v>
      </c>
      <c r="P77" s="64">
        <v>0.43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6" t="s">
        <v>2907</v>
      </c>
      <c r="B78" s="64">
        <v>2.25</v>
      </c>
      <c r="C78" s="64">
        <v>0.48</v>
      </c>
      <c r="D78" s="64">
        <v>3.2</v>
      </c>
      <c r="E78" s="64">
        <v>1.66</v>
      </c>
      <c r="F78" s="64">
        <v>4.46</v>
      </c>
      <c r="G78" s="64">
        <v>45.82</v>
      </c>
      <c r="H78" s="64">
        <v>24.75</v>
      </c>
      <c r="I78" s="64">
        <v>3.77</v>
      </c>
      <c r="J78" s="64">
        <v>0.26</v>
      </c>
      <c r="K78" s="64">
        <v>49.28</v>
      </c>
      <c r="L78" s="64">
        <v>41.94</v>
      </c>
      <c r="M78" s="64">
        <v>18.7</v>
      </c>
      <c r="N78" s="64">
        <v>56.4</v>
      </c>
      <c r="O78" s="64">
        <v>0</v>
      </c>
      <c r="P78" s="64">
        <v>0.45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6" t="s">
        <v>2908</v>
      </c>
      <c r="B79" s="64">
        <v>2.4900000000000002</v>
      </c>
      <c r="C79" s="64">
        <v>1.82</v>
      </c>
      <c r="D79" s="64">
        <v>4.09</v>
      </c>
      <c r="E79" s="64">
        <v>1.76</v>
      </c>
      <c r="F79" s="64">
        <v>4.09</v>
      </c>
      <c r="G79" s="64">
        <v>55.15</v>
      </c>
      <c r="H79" s="64">
        <v>28.01</v>
      </c>
      <c r="I79" s="64">
        <v>3.9</v>
      </c>
      <c r="J79" s="64">
        <v>0.37</v>
      </c>
      <c r="K79" s="64">
        <v>8.34</v>
      </c>
      <c r="L79" s="64">
        <v>41.69</v>
      </c>
      <c r="M79" s="64">
        <v>19.39</v>
      </c>
      <c r="N79" s="64">
        <v>48.4</v>
      </c>
      <c r="O79" s="64">
        <v>0</v>
      </c>
      <c r="P79" s="64">
        <v>0.46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6" t="s">
        <v>2909</v>
      </c>
      <c r="B80" s="64">
        <v>2.29</v>
      </c>
      <c r="C80" s="64">
        <v>0.66</v>
      </c>
      <c r="D80" s="64">
        <v>3.33</v>
      </c>
      <c r="E80" s="64">
        <v>1.62</v>
      </c>
      <c r="F80" s="64">
        <v>4.57</v>
      </c>
      <c r="G80" s="64">
        <v>55.15</v>
      </c>
      <c r="H80" s="64">
        <v>28.01</v>
      </c>
      <c r="I80" s="64">
        <v>4.08</v>
      </c>
      <c r="J80" s="64">
        <v>0.42</v>
      </c>
      <c r="K80" s="64">
        <v>11.59</v>
      </c>
      <c r="L80" s="64">
        <v>41.41</v>
      </c>
      <c r="M80" s="64">
        <v>19.86</v>
      </c>
      <c r="N80" s="64">
        <v>33.299999999999997</v>
      </c>
      <c r="O80" s="64">
        <v>0</v>
      </c>
      <c r="P80" s="64">
        <v>0.47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16" t="s">
        <v>2910</v>
      </c>
      <c r="B81" s="64">
        <v>2.46</v>
      </c>
      <c r="C81" s="64">
        <v>1.55</v>
      </c>
      <c r="D81" s="64">
        <v>3.93</v>
      </c>
      <c r="E81" s="64">
        <v>1.56</v>
      </c>
      <c r="F81" s="64">
        <v>4.71</v>
      </c>
      <c r="G81" s="64">
        <v>55.15</v>
      </c>
      <c r="H81" s="64">
        <v>28.01</v>
      </c>
      <c r="I81" s="64">
        <v>4.3099999999999996</v>
      </c>
      <c r="J81" s="64">
        <v>0.45</v>
      </c>
      <c r="K81" s="64">
        <v>352.25</v>
      </c>
      <c r="L81" s="64">
        <v>40.93</v>
      </c>
      <c r="M81" s="64">
        <v>22.16</v>
      </c>
      <c r="N81" s="64">
        <v>22.3</v>
      </c>
      <c r="O81" s="64">
        <v>0</v>
      </c>
      <c r="P81" s="64">
        <v>0.48</v>
      </c>
      <c r="Q81" s="64">
        <v>9.3000000000000007</v>
      </c>
      <c r="R81" s="198"/>
      <c r="S81" s="198"/>
      <c r="T81" s="198"/>
      <c r="U81" s="198"/>
    </row>
    <row r="82" spans="1:26" s="12" customFormat="1" x14ac:dyDescent="0.25">
      <c r="A82" s="216" t="s">
        <v>2911</v>
      </c>
      <c r="B82" s="64">
        <v>2.2799999999999998</v>
      </c>
      <c r="C82" s="64">
        <v>0.65</v>
      </c>
      <c r="D82" s="64">
        <v>3.31</v>
      </c>
      <c r="E82" s="64">
        <v>1.82</v>
      </c>
      <c r="F82" s="64">
        <v>6</v>
      </c>
      <c r="G82" s="64">
        <v>54.63</v>
      </c>
      <c r="H82" s="64">
        <v>27.76</v>
      </c>
      <c r="I82" s="64">
        <v>4.49</v>
      </c>
      <c r="J82" s="64">
        <v>0.5</v>
      </c>
      <c r="K82" s="64">
        <v>354.88</v>
      </c>
      <c r="L82" s="64">
        <v>40.549999999999997</v>
      </c>
      <c r="M82" s="64">
        <v>23.88</v>
      </c>
      <c r="N82" s="64">
        <v>14.9</v>
      </c>
      <c r="O82" s="64">
        <v>0</v>
      </c>
      <c r="P82" s="64">
        <v>0.48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16" t="s">
        <v>2912</v>
      </c>
      <c r="B83" s="64">
        <v>2.23</v>
      </c>
      <c r="C83" s="64">
        <v>0.39</v>
      </c>
      <c r="D83" s="64">
        <v>3.14</v>
      </c>
      <c r="E83" s="64">
        <v>1.76</v>
      </c>
      <c r="F83" s="64">
        <v>6.78</v>
      </c>
      <c r="G83" s="64">
        <v>48.5</v>
      </c>
      <c r="H83" s="64">
        <v>24.79</v>
      </c>
      <c r="I83" s="64">
        <v>4.54</v>
      </c>
      <c r="J83" s="64">
        <v>0.33</v>
      </c>
      <c r="K83" s="64">
        <v>351.81</v>
      </c>
      <c r="L83" s="64">
        <v>40.200000000000003</v>
      </c>
      <c r="M83" s="64">
        <v>25.06</v>
      </c>
      <c r="N83" s="64">
        <v>11.6</v>
      </c>
      <c r="O83" s="64">
        <v>0</v>
      </c>
      <c r="P83" s="64">
        <v>0.49</v>
      </c>
      <c r="Q83" s="64">
        <v>9.27</v>
      </c>
      <c r="R83" s="198"/>
      <c r="S83" s="198"/>
      <c r="T83" s="198"/>
      <c r="U83" s="198"/>
    </row>
    <row r="84" spans="1:26" s="12" customFormat="1" x14ac:dyDescent="0.25">
      <c r="A84" s="216" t="s">
        <v>2913</v>
      </c>
      <c r="B84" s="64">
        <v>2.84</v>
      </c>
      <c r="C84" s="64">
        <v>4.3499999999999996</v>
      </c>
      <c r="D84" s="64">
        <v>5.69</v>
      </c>
      <c r="E84" s="64">
        <v>1.47</v>
      </c>
      <c r="F84" s="64">
        <v>6.36</v>
      </c>
      <c r="G84" s="64">
        <v>48.5</v>
      </c>
      <c r="H84" s="64">
        <v>24.79</v>
      </c>
      <c r="I84" s="64">
        <v>4.4400000000000004</v>
      </c>
      <c r="J84" s="64">
        <v>0.57999999999999996</v>
      </c>
      <c r="K84" s="64">
        <v>13.79</v>
      </c>
      <c r="L84" s="64">
        <v>39.9</v>
      </c>
      <c r="M84" s="64">
        <v>25.61</v>
      </c>
      <c r="N84" s="64">
        <v>10.6</v>
      </c>
      <c r="O84" s="64">
        <v>0</v>
      </c>
      <c r="P84" s="64">
        <v>0.5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6" t="s">
        <v>2914</v>
      </c>
      <c r="B85" s="64">
        <v>2.5299999999999998</v>
      </c>
      <c r="C85" s="64">
        <v>2.29</v>
      </c>
      <c r="D85" s="64">
        <v>4.37</v>
      </c>
      <c r="E85" s="64">
        <v>1.62</v>
      </c>
      <c r="F85" s="64">
        <v>6.41</v>
      </c>
      <c r="G85" s="64">
        <v>48.5</v>
      </c>
      <c r="H85" s="64">
        <v>24.79</v>
      </c>
      <c r="I85" s="64">
        <v>4.3600000000000003</v>
      </c>
      <c r="J85" s="64">
        <v>0.56999999999999995</v>
      </c>
      <c r="K85" s="64">
        <v>6.56</v>
      </c>
      <c r="L85" s="64">
        <v>39.6</v>
      </c>
      <c r="M85" s="64">
        <v>26.15</v>
      </c>
      <c r="N85" s="64">
        <v>10.7</v>
      </c>
      <c r="O85" s="64">
        <v>0</v>
      </c>
      <c r="P85" s="64">
        <v>0.49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16" t="s">
        <v>2915</v>
      </c>
      <c r="B86" s="64">
        <v>2.33</v>
      </c>
      <c r="C86" s="64">
        <v>0.61</v>
      </c>
      <c r="D86" s="64">
        <v>3.33</v>
      </c>
      <c r="E86" s="64">
        <v>1.28</v>
      </c>
      <c r="F86" s="64">
        <v>5.93</v>
      </c>
      <c r="G86" s="64">
        <v>50.09</v>
      </c>
      <c r="H86" s="64">
        <v>25.09</v>
      </c>
      <c r="I86" s="64">
        <v>4.38</v>
      </c>
      <c r="J86" s="64">
        <v>0.48</v>
      </c>
      <c r="K86" s="64">
        <v>354.47</v>
      </c>
      <c r="L86" s="64">
        <v>39.35</v>
      </c>
      <c r="M86" s="64">
        <v>26.9</v>
      </c>
      <c r="N86" s="64">
        <v>10.6</v>
      </c>
      <c r="O86" s="64">
        <v>0</v>
      </c>
      <c r="P86" s="64">
        <v>0.52</v>
      </c>
      <c r="Q86" s="64">
        <v>9.23</v>
      </c>
      <c r="R86" s="198"/>
      <c r="S86" s="198"/>
      <c r="T86" s="198"/>
      <c r="U86" s="198"/>
    </row>
    <row r="87" spans="1:26" s="12" customFormat="1" x14ac:dyDescent="0.25">
      <c r="A87" s="216" t="s">
        <v>2916</v>
      </c>
      <c r="B87" s="64">
        <v>2.5</v>
      </c>
      <c r="C87" s="64">
        <v>1.53</v>
      </c>
      <c r="D87" s="64">
        <v>3.95</v>
      </c>
      <c r="E87" s="64">
        <v>1.37</v>
      </c>
      <c r="F87" s="64">
        <v>5.53</v>
      </c>
      <c r="G87" s="64">
        <v>68.900000000000006</v>
      </c>
      <c r="H87" s="64">
        <v>28.63</v>
      </c>
      <c r="I87" s="64">
        <v>4.5199999999999996</v>
      </c>
      <c r="J87" s="64">
        <v>0.51</v>
      </c>
      <c r="K87" s="64">
        <v>19.440000000000001</v>
      </c>
      <c r="L87" s="64">
        <v>39.07</v>
      </c>
      <c r="M87" s="64">
        <v>27.7</v>
      </c>
      <c r="N87" s="64">
        <v>10.5</v>
      </c>
      <c r="O87" s="64">
        <v>0</v>
      </c>
      <c r="P87" s="64">
        <v>0.55000000000000004</v>
      </c>
      <c r="Q87" s="64">
        <v>9.27</v>
      </c>
      <c r="R87" s="198"/>
      <c r="S87" s="198"/>
      <c r="T87" s="198"/>
      <c r="U87" s="198"/>
    </row>
    <row r="88" spans="1:26" s="12" customFormat="1" x14ac:dyDescent="0.25">
      <c r="A88" s="216" t="s">
        <v>2917</v>
      </c>
      <c r="B88" s="64">
        <v>2.4700000000000002</v>
      </c>
      <c r="C88" s="64">
        <v>1.38</v>
      </c>
      <c r="D88" s="64">
        <v>3.84</v>
      </c>
      <c r="E88" s="64">
        <v>1.22</v>
      </c>
      <c r="F88" s="64">
        <v>5.57</v>
      </c>
      <c r="G88" s="64">
        <v>68.900000000000006</v>
      </c>
      <c r="H88" s="64">
        <v>28.63</v>
      </c>
      <c r="I88" s="64">
        <v>4.6900000000000004</v>
      </c>
      <c r="J88" s="64">
        <v>0.56000000000000005</v>
      </c>
      <c r="K88" s="64">
        <v>17.57</v>
      </c>
      <c r="L88" s="64">
        <v>38.86</v>
      </c>
      <c r="M88" s="64">
        <v>27.98</v>
      </c>
      <c r="N88" s="64">
        <v>10.5</v>
      </c>
      <c r="O88" s="64">
        <v>0</v>
      </c>
      <c r="P88" s="64">
        <v>0.56999999999999995</v>
      </c>
      <c r="Q88" s="64">
        <v>9.32</v>
      </c>
      <c r="R88" s="198"/>
      <c r="S88" s="198"/>
      <c r="T88" s="198"/>
      <c r="U88" s="198"/>
    </row>
    <row r="89" spans="1:26" s="12" customFormat="1" x14ac:dyDescent="0.25">
      <c r="A89" s="216" t="s">
        <v>2918</v>
      </c>
      <c r="B89" s="64">
        <v>2.35</v>
      </c>
      <c r="C89" s="64">
        <v>0.5</v>
      </c>
      <c r="D89" s="64">
        <v>3.29</v>
      </c>
      <c r="E89" s="64">
        <v>1.62</v>
      </c>
      <c r="F89" s="64">
        <v>5.83</v>
      </c>
      <c r="G89" s="64">
        <v>68.900000000000006</v>
      </c>
      <c r="H89" s="64">
        <v>28.63</v>
      </c>
      <c r="I89" s="64">
        <v>4.9000000000000004</v>
      </c>
      <c r="J89" s="64">
        <v>0.28000000000000003</v>
      </c>
      <c r="K89" s="64">
        <v>349</v>
      </c>
      <c r="L89" s="64">
        <v>38.64</v>
      </c>
      <c r="M89" s="64">
        <v>28.68</v>
      </c>
      <c r="N89" s="64">
        <v>10.4</v>
      </c>
      <c r="O89" s="64">
        <v>0</v>
      </c>
      <c r="P89" s="64">
        <v>0.56999999999999995</v>
      </c>
      <c r="Q89" s="64">
        <v>9.33</v>
      </c>
      <c r="R89" s="198"/>
      <c r="S89" s="198"/>
      <c r="T89" s="198"/>
      <c r="U89" s="198"/>
    </row>
    <row r="90" spans="1:26" s="12" customFormat="1" x14ac:dyDescent="0.25">
      <c r="A90" s="216" t="s">
        <v>2919</v>
      </c>
      <c r="B90" s="64">
        <v>2.5</v>
      </c>
      <c r="C90" s="64">
        <v>1.4</v>
      </c>
      <c r="D90" s="64">
        <v>3.88</v>
      </c>
      <c r="E90" s="64">
        <v>1.94</v>
      </c>
      <c r="F90" s="64">
        <v>5.74</v>
      </c>
      <c r="G90" s="64">
        <v>68.81</v>
      </c>
      <c r="H90" s="64">
        <v>28.33</v>
      </c>
      <c r="I90" s="64">
        <v>5.09</v>
      </c>
      <c r="J90" s="64">
        <v>0.44</v>
      </c>
      <c r="K90" s="64">
        <v>355.54</v>
      </c>
      <c r="L90" s="64">
        <v>38.369999999999997</v>
      </c>
      <c r="M90" s="64">
        <v>29.55</v>
      </c>
      <c r="N90" s="64">
        <v>10.5</v>
      </c>
      <c r="O90" s="64">
        <v>0</v>
      </c>
      <c r="P90" s="64">
        <v>0.56999999999999995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16" t="s">
        <v>2920</v>
      </c>
      <c r="B91" s="64">
        <v>2.4</v>
      </c>
      <c r="C91" s="64">
        <v>0.79</v>
      </c>
      <c r="D91" s="64">
        <v>3.48</v>
      </c>
      <c r="E91" s="64">
        <v>1.95</v>
      </c>
      <c r="F91" s="64">
        <v>5.8</v>
      </c>
      <c r="G91" s="64">
        <v>67.650000000000006</v>
      </c>
      <c r="H91" s="64">
        <v>24.75</v>
      </c>
      <c r="I91" s="64">
        <v>5.23</v>
      </c>
      <c r="J91" s="64">
        <v>0.41</v>
      </c>
      <c r="K91" s="64">
        <v>357.1</v>
      </c>
      <c r="L91" s="64">
        <v>38.19</v>
      </c>
      <c r="M91" s="64">
        <v>30.26</v>
      </c>
      <c r="N91" s="64">
        <v>10.4</v>
      </c>
      <c r="O91" s="64">
        <v>0</v>
      </c>
      <c r="P91" s="64">
        <v>0.56999999999999995</v>
      </c>
      <c r="Q91" s="64">
        <v>9.34</v>
      </c>
      <c r="R91" s="198"/>
      <c r="S91" s="198"/>
      <c r="T91" s="198"/>
      <c r="U91" s="198"/>
    </row>
    <row r="92" spans="1:26" s="12" customFormat="1" x14ac:dyDescent="0.25">
      <c r="A92" s="216" t="s">
        <v>2921</v>
      </c>
      <c r="B92" s="64">
        <v>2.41</v>
      </c>
      <c r="C92" s="64">
        <v>1.06</v>
      </c>
      <c r="D92" s="64">
        <v>3.63</v>
      </c>
      <c r="E92" s="64">
        <v>1.88</v>
      </c>
      <c r="F92" s="64">
        <v>5.92</v>
      </c>
      <c r="G92" s="64">
        <v>67.650000000000006</v>
      </c>
      <c r="H92" s="64">
        <v>24.75</v>
      </c>
      <c r="I92" s="64">
        <v>5.37</v>
      </c>
      <c r="J92" s="64">
        <v>0.63</v>
      </c>
      <c r="K92" s="64">
        <v>11.64</v>
      </c>
      <c r="L92" s="64">
        <v>38.07</v>
      </c>
      <c r="M92" s="64">
        <v>31.29</v>
      </c>
      <c r="N92" s="64">
        <v>10.5</v>
      </c>
      <c r="O92" s="64">
        <v>0</v>
      </c>
      <c r="P92" s="64">
        <v>0.57999999999999996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16" t="s">
        <v>2922</v>
      </c>
      <c r="B93" s="64">
        <v>2.39</v>
      </c>
      <c r="C93" s="64">
        <v>1.05</v>
      </c>
      <c r="D93" s="64">
        <v>3.61</v>
      </c>
      <c r="E93" s="64">
        <v>2.0299999999999998</v>
      </c>
      <c r="F93" s="64">
        <v>5.41</v>
      </c>
      <c r="G93" s="64">
        <v>67.650000000000006</v>
      </c>
      <c r="H93" s="64">
        <v>24.75</v>
      </c>
      <c r="I93" s="64">
        <v>5.4</v>
      </c>
      <c r="J93" s="64">
        <v>0.52</v>
      </c>
      <c r="K93" s="64">
        <v>23.39</v>
      </c>
      <c r="L93" s="64">
        <v>37.92</v>
      </c>
      <c r="M93" s="64">
        <v>32.28</v>
      </c>
      <c r="N93" s="64">
        <v>10.4</v>
      </c>
      <c r="O93" s="64">
        <v>0</v>
      </c>
      <c r="P93" s="64">
        <v>0.56999999999999995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6" t="s">
        <v>2923</v>
      </c>
      <c r="B94" s="64">
        <v>2.34</v>
      </c>
      <c r="C94" s="64">
        <v>0.69</v>
      </c>
      <c r="D94" s="64">
        <v>3.38</v>
      </c>
      <c r="E94" s="64">
        <v>1.71</v>
      </c>
      <c r="F94" s="64">
        <v>5.66</v>
      </c>
      <c r="G94" s="64">
        <v>67.19</v>
      </c>
      <c r="H94" s="64">
        <v>24.88</v>
      </c>
      <c r="I94" s="64">
        <v>5.23</v>
      </c>
      <c r="J94" s="64">
        <v>0.53</v>
      </c>
      <c r="K94" s="64">
        <v>26.94</v>
      </c>
      <c r="L94" s="64">
        <v>37.729999999999997</v>
      </c>
      <c r="M94" s="64">
        <v>32.61</v>
      </c>
      <c r="N94" s="64">
        <v>10.6</v>
      </c>
      <c r="O94" s="64">
        <v>0</v>
      </c>
      <c r="P94" s="64">
        <v>0.55000000000000004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6" t="s">
        <v>2924</v>
      </c>
      <c r="B95" s="64">
        <v>2.48</v>
      </c>
      <c r="C95" s="64">
        <v>1.63</v>
      </c>
      <c r="D95" s="64">
        <v>3.98</v>
      </c>
      <c r="E95" s="64">
        <v>1.91</v>
      </c>
      <c r="F95" s="64">
        <v>5.85</v>
      </c>
      <c r="G95" s="64">
        <v>61.71</v>
      </c>
      <c r="H95" s="64">
        <v>26.4</v>
      </c>
      <c r="I95" s="64">
        <v>4.8600000000000003</v>
      </c>
      <c r="J95" s="64">
        <v>0.45</v>
      </c>
      <c r="K95" s="64">
        <v>29.35</v>
      </c>
      <c r="L95" s="64">
        <v>37.44</v>
      </c>
      <c r="M95" s="64">
        <v>33.090000000000003</v>
      </c>
      <c r="N95" s="64">
        <v>10.6</v>
      </c>
      <c r="O95" s="64">
        <v>0</v>
      </c>
      <c r="P95" s="64">
        <v>0.55000000000000004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6" t="s">
        <v>2925</v>
      </c>
      <c r="B96" s="64">
        <v>2.34</v>
      </c>
      <c r="C96" s="64">
        <v>0.76</v>
      </c>
      <c r="D96" s="64">
        <v>3.42</v>
      </c>
      <c r="E96" s="64">
        <v>1.86</v>
      </c>
      <c r="F96" s="64">
        <v>5.55</v>
      </c>
      <c r="G96" s="64">
        <v>61.71</v>
      </c>
      <c r="H96" s="64">
        <v>26.4</v>
      </c>
      <c r="I96" s="64">
        <v>4.57</v>
      </c>
      <c r="J96" s="64">
        <v>0.6</v>
      </c>
      <c r="K96" s="64">
        <v>19.05</v>
      </c>
      <c r="L96" s="64">
        <v>37.119999999999997</v>
      </c>
      <c r="M96" s="64">
        <v>33.69</v>
      </c>
      <c r="N96" s="64">
        <v>10.9</v>
      </c>
      <c r="O96" s="64">
        <v>0</v>
      </c>
      <c r="P96" s="64">
        <v>0.54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2926</v>
      </c>
      <c r="B97" s="64">
        <v>2.4</v>
      </c>
      <c r="C97" s="64">
        <v>1.04</v>
      </c>
      <c r="D97" s="64">
        <v>3.61</v>
      </c>
      <c r="E97" s="64">
        <v>1.57</v>
      </c>
      <c r="F97" s="64">
        <v>5.21</v>
      </c>
      <c r="G97" s="64">
        <v>61.71</v>
      </c>
      <c r="H97" s="64">
        <v>26.4</v>
      </c>
      <c r="I97" s="64">
        <v>4.3899999999999997</v>
      </c>
      <c r="J97" s="64">
        <v>0.38</v>
      </c>
      <c r="K97" s="64">
        <v>340.49</v>
      </c>
      <c r="L97" s="64">
        <v>36.83</v>
      </c>
      <c r="M97" s="64">
        <v>34.049999999999997</v>
      </c>
      <c r="N97" s="64">
        <v>10.6</v>
      </c>
      <c r="O97" s="64">
        <v>0</v>
      </c>
      <c r="P97" s="64">
        <v>0.53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6" t="s">
        <v>2927</v>
      </c>
      <c r="B98" s="64">
        <v>2.33</v>
      </c>
      <c r="C98" s="64">
        <v>0.62</v>
      </c>
      <c r="D98" s="64">
        <v>3.34</v>
      </c>
      <c r="E98" s="64">
        <v>1.69</v>
      </c>
      <c r="F98" s="64">
        <v>5.22</v>
      </c>
      <c r="G98" s="64">
        <v>61.42</v>
      </c>
      <c r="H98" s="64">
        <v>26.06</v>
      </c>
      <c r="I98" s="64">
        <v>4.25</v>
      </c>
      <c r="J98" s="64">
        <v>0.43</v>
      </c>
      <c r="K98" s="64">
        <v>3.35</v>
      </c>
      <c r="L98" s="64">
        <v>36.6</v>
      </c>
      <c r="M98" s="64">
        <v>34.33</v>
      </c>
      <c r="N98" s="64">
        <v>10.7</v>
      </c>
      <c r="O98" s="64">
        <v>0</v>
      </c>
      <c r="P98" s="64">
        <v>0.51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6" t="s">
        <v>2928</v>
      </c>
      <c r="B99" s="64">
        <v>2.39</v>
      </c>
      <c r="C99" s="64">
        <v>0.81</v>
      </c>
      <c r="D99" s="64">
        <v>3.48</v>
      </c>
      <c r="E99" s="64">
        <v>1.46</v>
      </c>
      <c r="F99" s="64">
        <v>4.95</v>
      </c>
      <c r="G99" s="64">
        <v>57.92</v>
      </c>
      <c r="H99" s="64">
        <v>21.93</v>
      </c>
      <c r="I99" s="64">
        <v>4.18</v>
      </c>
      <c r="J99" s="64">
        <v>0.37</v>
      </c>
      <c r="K99" s="64">
        <v>28.61</v>
      </c>
      <c r="L99" s="64">
        <v>36.14</v>
      </c>
      <c r="M99" s="64">
        <v>35.549999999999997</v>
      </c>
      <c r="N99" s="64">
        <v>10.9</v>
      </c>
      <c r="O99" s="64">
        <v>0</v>
      </c>
      <c r="P99" s="64">
        <v>0.5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6" t="s">
        <v>2929</v>
      </c>
      <c r="B100" s="64">
        <v>2.38</v>
      </c>
      <c r="C100" s="64">
        <v>0.73</v>
      </c>
      <c r="D100" s="64">
        <v>3.44</v>
      </c>
      <c r="E100" s="64">
        <v>1.56</v>
      </c>
      <c r="F100" s="64">
        <v>4.82</v>
      </c>
      <c r="G100" s="64">
        <v>57.92</v>
      </c>
      <c r="H100" s="64">
        <v>21.93</v>
      </c>
      <c r="I100" s="64">
        <v>4.09</v>
      </c>
      <c r="J100" s="64">
        <v>0.52</v>
      </c>
      <c r="K100" s="64">
        <v>25.55</v>
      </c>
      <c r="L100" s="64">
        <v>35.950000000000003</v>
      </c>
      <c r="M100" s="64">
        <v>35.43</v>
      </c>
      <c r="N100" s="64">
        <v>10.6</v>
      </c>
      <c r="O100" s="64">
        <v>0</v>
      </c>
      <c r="P100" s="64">
        <v>0.49</v>
      </c>
      <c r="Q100" s="64">
        <v>9.35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2930</v>
      </c>
      <c r="B101" s="64">
        <v>2.4500000000000002</v>
      </c>
      <c r="C101" s="64">
        <v>1.04</v>
      </c>
      <c r="D101" s="64">
        <v>3.65</v>
      </c>
      <c r="E101" s="64">
        <v>1.44</v>
      </c>
      <c r="F101" s="64">
        <v>4.72</v>
      </c>
      <c r="G101" s="64">
        <v>57.92</v>
      </c>
      <c r="H101" s="64">
        <v>21.93</v>
      </c>
      <c r="I101" s="64">
        <v>4.07</v>
      </c>
      <c r="J101" s="64">
        <v>0.35</v>
      </c>
      <c r="K101" s="64">
        <v>0.99</v>
      </c>
      <c r="L101" s="64">
        <v>35.770000000000003</v>
      </c>
      <c r="M101" s="64">
        <v>36.090000000000003</v>
      </c>
      <c r="N101" s="64">
        <v>10.6</v>
      </c>
      <c r="O101" s="64">
        <v>0</v>
      </c>
      <c r="P101" s="64">
        <v>0.47</v>
      </c>
      <c r="Q101" s="64">
        <v>9.35</v>
      </c>
      <c r="R101" s="198"/>
      <c r="S101" s="198"/>
      <c r="T101" s="198"/>
      <c r="U101" s="198"/>
    </row>
    <row r="102" spans="1:33" s="12" customFormat="1" x14ac:dyDescent="0.25">
      <c r="A102" s="216" t="s">
        <v>2931</v>
      </c>
      <c r="B102" s="64">
        <v>2.34</v>
      </c>
      <c r="C102" s="64">
        <v>0.48</v>
      </c>
      <c r="D102" s="64">
        <v>3.27</v>
      </c>
      <c r="E102" s="64">
        <v>1.31</v>
      </c>
      <c r="F102" s="64">
        <v>4.71</v>
      </c>
      <c r="G102" s="64">
        <v>57.6</v>
      </c>
      <c r="H102" s="64">
        <v>21.82</v>
      </c>
      <c r="I102" s="64">
        <v>4.07</v>
      </c>
      <c r="J102" s="64">
        <v>0.26</v>
      </c>
      <c r="K102" s="64">
        <v>192.45</v>
      </c>
      <c r="L102" s="64">
        <v>35.57</v>
      </c>
      <c r="M102" s="64">
        <v>37.1</v>
      </c>
      <c r="N102" s="64">
        <v>10.6</v>
      </c>
      <c r="O102" s="64">
        <v>0</v>
      </c>
      <c r="P102" s="64">
        <v>0.46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6" t="s">
        <v>2932</v>
      </c>
      <c r="B103" s="64">
        <v>2.3199999999999998</v>
      </c>
      <c r="C103" s="64">
        <v>0.27</v>
      </c>
      <c r="D103" s="64">
        <v>3.14</v>
      </c>
      <c r="E103" s="64">
        <v>1.98</v>
      </c>
      <c r="F103" s="64">
        <v>4.5999999999999996</v>
      </c>
      <c r="G103" s="64">
        <v>53.78</v>
      </c>
      <c r="H103" s="64">
        <v>20.48</v>
      </c>
      <c r="I103" s="64">
        <v>3.95</v>
      </c>
      <c r="J103" s="64">
        <v>0.06</v>
      </c>
      <c r="K103" s="64">
        <v>255.35</v>
      </c>
      <c r="L103" s="64">
        <v>35.4</v>
      </c>
      <c r="M103" s="64">
        <v>38.64</v>
      </c>
      <c r="N103" s="64">
        <v>10.7</v>
      </c>
      <c r="O103" s="64">
        <v>0</v>
      </c>
      <c r="P103" s="64">
        <v>0.44</v>
      </c>
      <c r="Q103" s="64">
        <v>9.2899999999999991</v>
      </c>
      <c r="R103" s="198"/>
      <c r="S103" s="198"/>
      <c r="T103" s="198"/>
      <c r="U103" s="198"/>
    </row>
    <row r="104" spans="1:33" s="12" customFormat="1" x14ac:dyDescent="0.25">
      <c r="A104" s="216" t="s">
        <v>2933</v>
      </c>
      <c r="B104" s="64">
        <v>2.34</v>
      </c>
      <c r="C104" s="64">
        <v>0.28000000000000003</v>
      </c>
      <c r="D104" s="64">
        <v>3.16</v>
      </c>
      <c r="E104" s="64">
        <v>1.92</v>
      </c>
      <c r="F104" s="64">
        <v>4.4400000000000004</v>
      </c>
      <c r="G104" s="64">
        <v>53.78</v>
      </c>
      <c r="H104" s="64">
        <v>20.48</v>
      </c>
      <c r="I104" s="64">
        <v>3.85</v>
      </c>
      <c r="J104" s="64">
        <v>0.16</v>
      </c>
      <c r="K104" s="64">
        <v>179.39</v>
      </c>
      <c r="L104" s="64">
        <v>35</v>
      </c>
      <c r="M104" s="64">
        <v>41.42</v>
      </c>
      <c r="N104" s="64">
        <v>10.9</v>
      </c>
      <c r="O104" s="64">
        <v>0</v>
      </c>
      <c r="P104" s="64">
        <v>0.44</v>
      </c>
      <c r="Q104" s="64">
        <v>9.31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2.23</v>
      </c>
      <c r="C106" s="67">
        <f>MIN(C9:C104)</f>
        <v>0.27</v>
      </c>
      <c r="D106" s="67">
        <f t="shared" ref="D106:Q106" si="0">MIN(D9:D104)</f>
        <v>3.14</v>
      </c>
      <c r="E106" s="67">
        <f t="shared" si="0"/>
        <v>0.38</v>
      </c>
      <c r="F106" s="67">
        <f t="shared" si="0"/>
        <v>3.19</v>
      </c>
      <c r="G106" s="67">
        <f t="shared" si="0"/>
        <v>39.15</v>
      </c>
      <c r="H106" s="67">
        <f t="shared" si="0"/>
        <v>14.4</v>
      </c>
      <c r="I106" s="67">
        <f t="shared" si="0"/>
        <v>2.73</v>
      </c>
      <c r="J106" s="67">
        <f t="shared" si="0"/>
        <v>0.04</v>
      </c>
      <c r="K106" s="67">
        <f t="shared" si="0"/>
        <v>0.99</v>
      </c>
      <c r="L106" s="67">
        <f t="shared" si="0"/>
        <v>27.93</v>
      </c>
      <c r="M106" s="67">
        <f t="shared" si="0"/>
        <v>10.86</v>
      </c>
      <c r="N106" s="67">
        <f t="shared" si="0"/>
        <v>9.8000000000000007</v>
      </c>
      <c r="O106" s="67">
        <f t="shared" si="0"/>
        <v>0</v>
      </c>
      <c r="P106" s="67">
        <f t="shared" si="0"/>
        <v>0.37</v>
      </c>
      <c r="Q106" s="67">
        <f t="shared" si="0"/>
        <v>9.2100000000000009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3.56</v>
      </c>
      <c r="C107" s="66">
        <f t="shared" ref="C107:Q107" si="1">MAX(C9:C104)</f>
        <v>4.3499999999999996</v>
      </c>
      <c r="D107" s="66">
        <f t="shared" si="1"/>
        <v>5.86</v>
      </c>
      <c r="E107" s="66">
        <f t="shared" si="1"/>
        <v>3.63</v>
      </c>
      <c r="F107" s="66">
        <f t="shared" si="1"/>
        <v>23.2</v>
      </c>
      <c r="G107" s="66">
        <f t="shared" si="1"/>
        <v>82.01</v>
      </c>
      <c r="H107" s="66">
        <f t="shared" si="1"/>
        <v>34.299999999999997</v>
      </c>
      <c r="I107" s="66">
        <f t="shared" si="1"/>
        <v>9.57</v>
      </c>
      <c r="J107" s="66">
        <f t="shared" si="1"/>
        <v>1.06</v>
      </c>
      <c r="K107" s="66">
        <f t="shared" si="1"/>
        <v>359.31</v>
      </c>
      <c r="L107" s="66">
        <f t="shared" si="1"/>
        <v>45.49</v>
      </c>
      <c r="M107" s="66">
        <f t="shared" si="1"/>
        <v>53.06</v>
      </c>
      <c r="N107" s="66">
        <f t="shared" si="1"/>
        <v>861.9</v>
      </c>
      <c r="O107" s="66">
        <f t="shared" si="1"/>
        <v>0</v>
      </c>
      <c r="P107" s="66">
        <f t="shared" si="1"/>
        <v>0.85</v>
      </c>
      <c r="Q107" s="66">
        <f t="shared" si="1"/>
        <v>9.76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2.4472916666666666</v>
      </c>
      <c r="C108" s="67">
        <f t="shared" ref="C108:Q108" si="2">AVERAGE(C9:C104)</f>
        <v>0.97906250000000039</v>
      </c>
      <c r="D108" s="67">
        <f t="shared" si="2"/>
        <v>3.618749999999999</v>
      </c>
      <c r="E108" s="67">
        <f t="shared" si="2"/>
        <v>1.4404166666666667</v>
      </c>
      <c r="F108" s="67">
        <f t="shared" si="2"/>
        <v>7.029062500000002</v>
      </c>
      <c r="G108" s="67">
        <f t="shared" si="2"/>
        <v>56.263437499999981</v>
      </c>
      <c r="H108" s="67">
        <f t="shared" si="2"/>
        <v>23.966354166666672</v>
      </c>
      <c r="I108" s="67">
        <f t="shared" si="2"/>
        <v>4.9737499999999963</v>
      </c>
      <c r="J108" s="67">
        <f t="shared" si="2"/>
        <v>0.49979166666666669</v>
      </c>
      <c r="K108" s="67">
        <f t="shared" si="2"/>
        <v>193.87145833333327</v>
      </c>
      <c r="L108" s="67">
        <f t="shared" si="2"/>
        <v>36.328229166666667</v>
      </c>
      <c r="M108" s="67">
        <f t="shared" si="2"/>
        <v>32.800625000000004</v>
      </c>
      <c r="N108" s="67">
        <f t="shared" si="2"/>
        <v>243.45208333333335</v>
      </c>
      <c r="O108" s="67">
        <f t="shared" si="2"/>
        <v>0</v>
      </c>
      <c r="P108" s="67">
        <f t="shared" si="2"/>
        <v>0.52927083333333325</v>
      </c>
      <c r="Q108" s="67">
        <f t="shared" si="2"/>
        <v>9.3736458333333292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0.18833608909643501</v>
      </c>
      <c r="C109" s="67">
        <f t="shared" ref="C109:Q109" si="3">STDEV(C9:C104)</f>
        <v>0.66044973214031233</v>
      </c>
      <c r="D109" s="67">
        <f t="shared" si="3"/>
        <v>0.47216243859614859</v>
      </c>
      <c r="E109" s="67">
        <f t="shared" si="3"/>
        <v>0.66848598247975954</v>
      </c>
      <c r="F109" s="67">
        <f t="shared" si="3"/>
        <v>4.1090875099556721</v>
      </c>
      <c r="G109" s="67">
        <f t="shared" si="3"/>
        <v>10.191733991005799</v>
      </c>
      <c r="H109" s="67">
        <f t="shared" si="3"/>
        <v>4.9431036744542274</v>
      </c>
      <c r="I109" s="67">
        <f t="shared" si="3"/>
        <v>1.7918060574092414</v>
      </c>
      <c r="J109" s="67">
        <f t="shared" si="3"/>
        <v>0.2037334645103826</v>
      </c>
      <c r="K109" s="67">
        <f t="shared" si="3"/>
        <v>141.19735240531946</v>
      </c>
      <c r="L109" s="67">
        <f t="shared" si="3"/>
        <v>5.6093330112536615</v>
      </c>
      <c r="M109" s="67">
        <f t="shared" si="3"/>
        <v>11.502693397406379</v>
      </c>
      <c r="N109" s="67">
        <f t="shared" si="3"/>
        <v>316.38567602787271</v>
      </c>
      <c r="O109" s="67">
        <f t="shared" si="3"/>
        <v>0</v>
      </c>
      <c r="P109" s="67">
        <f t="shared" si="3"/>
        <v>0.11312075328851658</v>
      </c>
      <c r="Q109" s="67">
        <f t="shared" si="3"/>
        <v>0.11753718150052651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6" t="s">
        <v>2934</v>
      </c>
      <c r="B9" s="64">
        <v>2.4900000000000002</v>
      </c>
      <c r="C9" s="64">
        <v>0.9</v>
      </c>
      <c r="D9" s="64">
        <v>3.61</v>
      </c>
      <c r="E9" s="64">
        <v>1.46</v>
      </c>
      <c r="F9" s="64">
        <v>4.33</v>
      </c>
      <c r="G9" s="64">
        <v>53.78</v>
      </c>
      <c r="H9" s="64">
        <v>20.48</v>
      </c>
      <c r="I9" s="64">
        <v>4.1500000000000004</v>
      </c>
      <c r="J9" s="64">
        <v>0.18</v>
      </c>
      <c r="K9" s="64">
        <v>255.8</v>
      </c>
      <c r="L9" s="64">
        <v>34.97</v>
      </c>
      <c r="M9" s="64">
        <v>43.24</v>
      </c>
      <c r="N9" s="64">
        <v>10.6</v>
      </c>
      <c r="O9" s="64">
        <v>0</v>
      </c>
      <c r="P9" s="64">
        <v>0.43</v>
      </c>
      <c r="Q9" s="64">
        <v>9.34</v>
      </c>
      <c r="R9" s="198"/>
      <c r="S9" s="198"/>
      <c r="T9" s="198"/>
      <c r="U9" s="198"/>
    </row>
    <row r="10" spans="1:21" s="12" customFormat="1" x14ac:dyDescent="0.25">
      <c r="A10" s="216" t="s">
        <v>2935</v>
      </c>
      <c r="B10" s="64">
        <v>2.42</v>
      </c>
      <c r="C10" s="64">
        <v>0.65</v>
      </c>
      <c r="D10" s="64">
        <v>3.42</v>
      </c>
      <c r="E10" s="64">
        <v>2.33</v>
      </c>
      <c r="F10" s="64">
        <v>4.42</v>
      </c>
      <c r="G10" s="64">
        <v>53.64</v>
      </c>
      <c r="H10" s="64">
        <v>20.39</v>
      </c>
      <c r="I10" s="64">
        <v>4.63</v>
      </c>
      <c r="J10" s="64">
        <v>0.54</v>
      </c>
      <c r="K10" s="64">
        <v>200.7</v>
      </c>
      <c r="L10" s="64">
        <v>34.869999999999997</v>
      </c>
      <c r="M10" s="64">
        <v>45.24</v>
      </c>
      <c r="N10" s="64">
        <v>10.5</v>
      </c>
      <c r="O10" s="64">
        <v>0</v>
      </c>
      <c r="P10" s="64">
        <v>0.42</v>
      </c>
      <c r="Q10" s="64">
        <v>9.35</v>
      </c>
      <c r="R10" s="198"/>
      <c r="S10" s="198"/>
      <c r="T10" s="198"/>
      <c r="U10" s="198"/>
    </row>
    <row r="11" spans="1:21" s="12" customFormat="1" x14ac:dyDescent="0.25">
      <c r="A11" s="216" t="s">
        <v>2936</v>
      </c>
      <c r="B11" s="64">
        <v>2.34</v>
      </c>
      <c r="C11" s="64">
        <v>0.28999999999999998</v>
      </c>
      <c r="D11" s="64">
        <v>3.17</v>
      </c>
      <c r="E11" s="64">
        <v>1.91</v>
      </c>
      <c r="F11" s="64">
        <v>4.6399999999999997</v>
      </c>
      <c r="G11" s="64">
        <v>52.01</v>
      </c>
      <c r="H11" s="64">
        <v>19.29</v>
      </c>
      <c r="I11" s="64">
        <v>5</v>
      </c>
      <c r="J11" s="64">
        <v>0.56999999999999995</v>
      </c>
      <c r="K11" s="64">
        <v>203.05</v>
      </c>
      <c r="L11" s="64">
        <v>34.630000000000003</v>
      </c>
      <c r="M11" s="64">
        <v>46.75</v>
      </c>
      <c r="N11" s="64">
        <v>10.7</v>
      </c>
      <c r="O11" s="64">
        <v>0</v>
      </c>
      <c r="P11" s="64">
        <v>0.41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6" t="s">
        <v>2937</v>
      </c>
      <c r="B12" s="64">
        <v>2.35</v>
      </c>
      <c r="C12" s="64">
        <v>0.3</v>
      </c>
      <c r="D12" s="64">
        <v>3.19</v>
      </c>
      <c r="E12" s="64">
        <v>1.94</v>
      </c>
      <c r="F12" s="64">
        <v>4.3099999999999996</v>
      </c>
      <c r="G12" s="64">
        <v>52.01</v>
      </c>
      <c r="H12" s="64">
        <v>19.29</v>
      </c>
      <c r="I12" s="64">
        <v>5.28</v>
      </c>
      <c r="J12" s="64">
        <v>0.4</v>
      </c>
      <c r="K12" s="64">
        <v>213.9</v>
      </c>
      <c r="L12" s="64">
        <v>34.46</v>
      </c>
      <c r="M12" s="64">
        <v>47.68</v>
      </c>
      <c r="N12" s="64">
        <v>10.8</v>
      </c>
      <c r="O12" s="64">
        <v>0</v>
      </c>
      <c r="P12" s="64">
        <v>0.4</v>
      </c>
      <c r="Q12" s="64">
        <v>9.32</v>
      </c>
      <c r="R12" s="198"/>
      <c r="S12" s="198"/>
      <c r="T12" s="198"/>
      <c r="U12" s="198"/>
    </row>
    <row r="13" spans="1:21" s="12" customFormat="1" x14ac:dyDescent="0.25">
      <c r="A13" s="216" t="s">
        <v>2938</v>
      </c>
      <c r="B13" s="64">
        <v>2.38</v>
      </c>
      <c r="C13" s="64">
        <v>0.37</v>
      </c>
      <c r="D13" s="64">
        <v>3.25</v>
      </c>
      <c r="E13" s="64">
        <v>1.94</v>
      </c>
      <c r="F13" s="64">
        <v>4.43</v>
      </c>
      <c r="G13" s="64">
        <v>52.01</v>
      </c>
      <c r="H13" s="64">
        <v>19.29</v>
      </c>
      <c r="I13" s="64">
        <v>5.47</v>
      </c>
      <c r="J13" s="64">
        <v>0.24</v>
      </c>
      <c r="K13" s="64">
        <v>236.99</v>
      </c>
      <c r="L13" s="64">
        <v>34.39</v>
      </c>
      <c r="M13" s="64">
        <v>48</v>
      </c>
      <c r="N13" s="64">
        <v>10.6</v>
      </c>
      <c r="O13" s="64">
        <v>0</v>
      </c>
      <c r="P13" s="64">
        <v>0.41</v>
      </c>
      <c r="Q13" s="64">
        <v>9.31</v>
      </c>
      <c r="R13" s="198"/>
      <c r="S13" s="198"/>
      <c r="T13" s="198"/>
      <c r="U13" s="198"/>
    </row>
    <row r="14" spans="1:21" s="12" customFormat="1" x14ac:dyDescent="0.25">
      <c r="A14" s="216" t="s">
        <v>2939</v>
      </c>
      <c r="B14" s="64">
        <v>2.52</v>
      </c>
      <c r="C14" s="64">
        <v>1.03</v>
      </c>
      <c r="D14" s="64">
        <v>3.7</v>
      </c>
      <c r="E14" s="64">
        <v>1.56</v>
      </c>
      <c r="F14" s="64">
        <v>4.33</v>
      </c>
      <c r="G14" s="64">
        <v>51.77</v>
      </c>
      <c r="H14" s="64">
        <v>19.28</v>
      </c>
      <c r="I14" s="64">
        <v>5.58</v>
      </c>
      <c r="J14" s="64">
        <v>0.21</v>
      </c>
      <c r="K14" s="64">
        <v>166.7</v>
      </c>
      <c r="L14" s="64">
        <v>34.36</v>
      </c>
      <c r="M14" s="64">
        <v>48</v>
      </c>
      <c r="N14" s="64">
        <v>10.6</v>
      </c>
      <c r="O14" s="64">
        <v>0</v>
      </c>
      <c r="P14" s="64">
        <v>0.43</v>
      </c>
      <c r="Q14" s="64">
        <v>9.34</v>
      </c>
      <c r="R14" s="198"/>
      <c r="S14" s="198"/>
      <c r="T14" s="198"/>
      <c r="U14" s="198"/>
    </row>
    <row r="15" spans="1:21" s="12" customFormat="1" x14ac:dyDescent="0.25">
      <c r="A15" s="216" t="s">
        <v>2940</v>
      </c>
      <c r="B15" s="64">
        <v>2.46</v>
      </c>
      <c r="C15" s="64">
        <v>0.81</v>
      </c>
      <c r="D15" s="64">
        <v>3.54</v>
      </c>
      <c r="E15" s="64">
        <v>2.0099999999999998</v>
      </c>
      <c r="F15" s="64">
        <v>4.79</v>
      </c>
      <c r="G15" s="64">
        <v>48.98</v>
      </c>
      <c r="H15" s="64">
        <v>19.170000000000002</v>
      </c>
      <c r="I15" s="64">
        <v>5.95</v>
      </c>
      <c r="J15" s="64">
        <v>0.82</v>
      </c>
      <c r="K15" s="64">
        <v>184.06</v>
      </c>
      <c r="L15" s="64">
        <v>34.19</v>
      </c>
      <c r="M15" s="64">
        <v>48.58</v>
      </c>
      <c r="N15" s="64">
        <v>10.8</v>
      </c>
      <c r="O15" s="64">
        <v>0</v>
      </c>
      <c r="P15" s="64">
        <v>0.42</v>
      </c>
      <c r="Q15" s="64">
        <v>9.36</v>
      </c>
      <c r="R15" s="198"/>
      <c r="S15" s="198"/>
      <c r="T15" s="198"/>
      <c r="U15" s="198"/>
    </row>
    <row r="16" spans="1:21" s="12" customFormat="1" x14ac:dyDescent="0.25">
      <c r="A16" s="216" t="s">
        <v>2941</v>
      </c>
      <c r="B16" s="64">
        <v>2.36</v>
      </c>
      <c r="C16" s="64">
        <v>0.38</v>
      </c>
      <c r="D16" s="64">
        <v>3.24</v>
      </c>
      <c r="E16" s="64">
        <v>1.97</v>
      </c>
      <c r="F16" s="64">
        <v>4.76</v>
      </c>
      <c r="G16" s="64">
        <v>48.98</v>
      </c>
      <c r="H16" s="64">
        <v>19.170000000000002</v>
      </c>
      <c r="I16" s="64">
        <v>6.1</v>
      </c>
      <c r="J16" s="64">
        <v>0.5</v>
      </c>
      <c r="K16" s="64">
        <v>205.53</v>
      </c>
      <c r="L16" s="64">
        <v>33.94</v>
      </c>
      <c r="M16" s="64">
        <v>49.56</v>
      </c>
      <c r="N16" s="64">
        <v>10.9</v>
      </c>
      <c r="O16" s="64">
        <v>0</v>
      </c>
      <c r="P16" s="64">
        <v>0.41</v>
      </c>
      <c r="Q16" s="64">
        <v>9.39</v>
      </c>
      <c r="R16" s="198"/>
      <c r="S16" s="198"/>
      <c r="T16" s="198"/>
      <c r="U16" s="198"/>
    </row>
    <row r="17" spans="1:21" s="12" customFormat="1" x14ac:dyDescent="0.25">
      <c r="A17" s="216" t="s">
        <v>2942</v>
      </c>
      <c r="B17" s="64">
        <v>2.34</v>
      </c>
      <c r="C17" s="64">
        <v>0.28999999999999998</v>
      </c>
      <c r="D17" s="64">
        <v>3.18</v>
      </c>
      <c r="E17" s="64">
        <v>1.79</v>
      </c>
      <c r="F17" s="64">
        <v>4.8099999999999996</v>
      </c>
      <c r="G17" s="64">
        <v>48.98</v>
      </c>
      <c r="H17" s="64">
        <v>19.170000000000002</v>
      </c>
      <c r="I17" s="64">
        <v>6.05</v>
      </c>
      <c r="J17" s="64">
        <v>0.54</v>
      </c>
      <c r="K17" s="64">
        <v>208.22</v>
      </c>
      <c r="L17" s="64">
        <v>33.9</v>
      </c>
      <c r="M17" s="64">
        <v>49.25</v>
      </c>
      <c r="N17" s="64">
        <v>10.7</v>
      </c>
      <c r="O17" s="64">
        <v>0</v>
      </c>
      <c r="P17" s="64">
        <v>0.4</v>
      </c>
      <c r="Q17" s="64">
        <v>9.39</v>
      </c>
      <c r="R17" s="198"/>
      <c r="S17" s="198"/>
      <c r="T17" s="198"/>
      <c r="U17" s="198"/>
    </row>
    <row r="18" spans="1:21" s="12" customFormat="1" x14ac:dyDescent="0.25">
      <c r="A18" s="216" t="s">
        <v>2943</v>
      </c>
      <c r="B18" s="64">
        <v>2.5</v>
      </c>
      <c r="C18" s="64">
        <v>0.93</v>
      </c>
      <c r="D18" s="64">
        <v>3.64</v>
      </c>
      <c r="E18" s="64">
        <v>1.95</v>
      </c>
      <c r="F18" s="64">
        <v>4.91</v>
      </c>
      <c r="G18" s="64">
        <v>48.7</v>
      </c>
      <c r="H18" s="64">
        <v>18.97</v>
      </c>
      <c r="I18" s="64">
        <v>6.06</v>
      </c>
      <c r="J18" s="64">
        <v>0.48</v>
      </c>
      <c r="K18" s="64">
        <v>225.99</v>
      </c>
      <c r="L18" s="64">
        <v>33.869999999999997</v>
      </c>
      <c r="M18" s="64">
        <v>48.96</v>
      </c>
      <c r="N18" s="64">
        <v>10.7</v>
      </c>
      <c r="O18" s="64">
        <v>0</v>
      </c>
      <c r="P18" s="64">
        <v>0.38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16" t="s">
        <v>2944</v>
      </c>
      <c r="B19" s="64">
        <v>2.37</v>
      </c>
      <c r="C19" s="64">
        <v>0.41</v>
      </c>
      <c r="D19" s="64">
        <v>3.26</v>
      </c>
      <c r="E19" s="64">
        <v>1.88</v>
      </c>
      <c r="F19" s="64">
        <v>5.0999999999999996</v>
      </c>
      <c r="G19" s="64">
        <v>45.36</v>
      </c>
      <c r="H19" s="64">
        <v>16.61</v>
      </c>
      <c r="I19" s="64">
        <v>6.02</v>
      </c>
      <c r="J19" s="64">
        <v>0.15</v>
      </c>
      <c r="K19" s="64">
        <v>195.25</v>
      </c>
      <c r="L19" s="64">
        <v>33.76</v>
      </c>
      <c r="M19" s="64">
        <v>49.36</v>
      </c>
      <c r="N19" s="64">
        <v>10.8</v>
      </c>
      <c r="O19" s="64">
        <v>0</v>
      </c>
      <c r="P19" s="64">
        <v>0.38</v>
      </c>
      <c r="Q19" s="64">
        <v>9.36</v>
      </c>
      <c r="R19" s="198"/>
      <c r="S19" s="198"/>
      <c r="T19" s="198"/>
      <c r="U19" s="198"/>
    </row>
    <row r="20" spans="1:21" s="12" customFormat="1" x14ac:dyDescent="0.25">
      <c r="A20" s="216" t="s">
        <v>2945</v>
      </c>
      <c r="B20" s="64">
        <v>2.3199999999999998</v>
      </c>
      <c r="C20" s="64">
        <v>0.27</v>
      </c>
      <c r="D20" s="64">
        <v>3.14</v>
      </c>
      <c r="E20" s="64">
        <v>1.88</v>
      </c>
      <c r="F20" s="64">
        <v>5.55</v>
      </c>
      <c r="G20" s="64">
        <v>45.36</v>
      </c>
      <c r="H20" s="64">
        <v>16.61</v>
      </c>
      <c r="I20" s="64">
        <v>5.85</v>
      </c>
      <c r="J20" s="64">
        <v>0.53</v>
      </c>
      <c r="K20" s="64">
        <v>207.59</v>
      </c>
      <c r="L20" s="64">
        <v>33.72</v>
      </c>
      <c r="M20" s="64">
        <v>49.1</v>
      </c>
      <c r="N20" s="64">
        <v>10.6</v>
      </c>
      <c r="O20" s="64">
        <v>0</v>
      </c>
      <c r="P20" s="64">
        <v>0.37</v>
      </c>
      <c r="Q20" s="64">
        <v>9.36</v>
      </c>
      <c r="R20" s="198"/>
      <c r="S20" s="198"/>
      <c r="T20" s="198"/>
      <c r="U20" s="198"/>
    </row>
    <row r="21" spans="1:21" s="12" customFormat="1" x14ac:dyDescent="0.25">
      <c r="A21" s="216" t="s">
        <v>2946</v>
      </c>
      <c r="B21" s="64">
        <v>2.33</v>
      </c>
      <c r="C21" s="64">
        <v>0.24</v>
      </c>
      <c r="D21" s="64">
        <v>3.14</v>
      </c>
      <c r="E21" s="64">
        <v>1.77</v>
      </c>
      <c r="F21" s="64">
        <v>5.09</v>
      </c>
      <c r="G21" s="64">
        <v>45.36</v>
      </c>
      <c r="H21" s="64">
        <v>16.61</v>
      </c>
      <c r="I21" s="64">
        <v>5.64</v>
      </c>
      <c r="J21" s="64">
        <v>0.43</v>
      </c>
      <c r="K21" s="64">
        <v>209.72</v>
      </c>
      <c r="L21" s="64">
        <v>33.61</v>
      </c>
      <c r="M21" s="64">
        <v>49.66</v>
      </c>
      <c r="N21" s="64">
        <v>10.8</v>
      </c>
      <c r="O21" s="64">
        <v>0</v>
      </c>
      <c r="P21" s="64">
        <v>0.36</v>
      </c>
      <c r="Q21" s="64">
        <v>9.35</v>
      </c>
      <c r="R21" s="198"/>
      <c r="S21" s="198"/>
      <c r="T21" s="198"/>
      <c r="U21" s="198"/>
    </row>
    <row r="22" spans="1:21" s="12" customFormat="1" x14ac:dyDescent="0.25">
      <c r="A22" s="216" t="s">
        <v>2947</v>
      </c>
      <c r="B22" s="64">
        <v>2.3199999999999998</v>
      </c>
      <c r="C22" s="64">
        <v>0.26</v>
      </c>
      <c r="D22" s="64">
        <v>3.14</v>
      </c>
      <c r="E22" s="64">
        <v>2.08</v>
      </c>
      <c r="F22" s="64">
        <v>5.08</v>
      </c>
      <c r="G22" s="64">
        <v>44.9</v>
      </c>
      <c r="H22" s="64">
        <v>16.649999999999999</v>
      </c>
      <c r="I22" s="64">
        <v>5.52</v>
      </c>
      <c r="J22" s="64">
        <v>0.28000000000000003</v>
      </c>
      <c r="K22" s="64">
        <v>187.17</v>
      </c>
      <c r="L22" s="64">
        <v>33.53</v>
      </c>
      <c r="M22" s="64">
        <v>49.78</v>
      </c>
      <c r="N22" s="64">
        <v>10.6</v>
      </c>
      <c r="O22" s="64">
        <v>0</v>
      </c>
      <c r="P22" s="64">
        <v>0.35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16" t="s">
        <v>2948</v>
      </c>
      <c r="B23" s="64">
        <v>2.57</v>
      </c>
      <c r="C23" s="64">
        <v>1.02</v>
      </c>
      <c r="D23" s="64">
        <v>3.74</v>
      </c>
      <c r="E23" s="64">
        <v>1.83</v>
      </c>
      <c r="F23" s="64">
        <v>5.71</v>
      </c>
      <c r="G23" s="64">
        <v>39.39</v>
      </c>
      <c r="H23" s="64">
        <v>17.11</v>
      </c>
      <c r="I23" s="64">
        <v>5.23</v>
      </c>
      <c r="J23" s="64">
        <v>0.06</v>
      </c>
      <c r="K23" s="64">
        <v>315.31</v>
      </c>
      <c r="L23" s="64">
        <v>33.49</v>
      </c>
      <c r="M23" s="64">
        <v>49.78</v>
      </c>
      <c r="N23" s="64">
        <v>10.8</v>
      </c>
      <c r="O23" s="64">
        <v>0</v>
      </c>
      <c r="P23" s="64">
        <v>0.34</v>
      </c>
      <c r="Q23" s="64">
        <v>9.34</v>
      </c>
      <c r="R23" s="198"/>
      <c r="S23" s="198"/>
      <c r="T23" s="198"/>
      <c r="U23" s="198"/>
    </row>
    <row r="24" spans="1:21" s="12" customFormat="1" x14ac:dyDescent="0.25">
      <c r="A24" s="216" t="s">
        <v>2949</v>
      </c>
      <c r="B24" s="64">
        <v>2.41</v>
      </c>
      <c r="C24" s="64">
        <v>0.45</v>
      </c>
      <c r="D24" s="64">
        <v>3.31</v>
      </c>
      <c r="E24" s="64">
        <v>0.86</v>
      </c>
      <c r="F24" s="64">
        <v>5.09</v>
      </c>
      <c r="G24" s="64">
        <v>39.39</v>
      </c>
      <c r="H24" s="64">
        <v>17.11</v>
      </c>
      <c r="I24" s="64">
        <v>4.97</v>
      </c>
      <c r="J24" s="64">
        <v>0.24</v>
      </c>
      <c r="K24" s="64">
        <v>351.03</v>
      </c>
      <c r="L24" s="64">
        <v>33.549999999999997</v>
      </c>
      <c r="M24" s="64">
        <v>49.35</v>
      </c>
      <c r="N24" s="64">
        <v>10.7</v>
      </c>
      <c r="O24" s="64">
        <v>0</v>
      </c>
      <c r="P24" s="64">
        <v>0.33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16" t="s">
        <v>2950</v>
      </c>
      <c r="B25" s="64">
        <v>2.34</v>
      </c>
      <c r="C25" s="64">
        <v>0.24</v>
      </c>
      <c r="D25" s="64">
        <v>3.15</v>
      </c>
      <c r="E25" s="64">
        <v>0.82</v>
      </c>
      <c r="F25" s="64">
        <v>4.79</v>
      </c>
      <c r="G25" s="64">
        <v>39.39</v>
      </c>
      <c r="H25" s="64">
        <v>17.11</v>
      </c>
      <c r="I25" s="64">
        <v>4.88</v>
      </c>
      <c r="J25" s="64">
        <v>0.39</v>
      </c>
      <c r="K25" s="64">
        <v>210.81</v>
      </c>
      <c r="L25" s="64">
        <v>33.32</v>
      </c>
      <c r="M25" s="64">
        <v>50.56</v>
      </c>
      <c r="N25" s="64">
        <v>10.9</v>
      </c>
      <c r="O25" s="64">
        <v>0</v>
      </c>
      <c r="P25" s="64">
        <v>0.33</v>
      </c>
      <c r="Q25" s="64">
        <v>9.33</v>
      </c>
      <c r="R25" s="198"/>
      <c r="S25" s="198"/>
      <c r="T25" s="198"/>
      <c r="U25" s="198"/>
    </row>
    <row r="26" spans="1:21" s="12" customFormat="1" x14ac:dyDescent="0.25">
      <c r="A26" s="216" t="s">
        <v>2951</v>
      </c>
      <c r="B26" s="64">
        <v>2.34</v>
      </c>
      <c r="C26" s="64">
        <v>0.25</v>
      </c>
      <c r="D26" s="64">
        <v>3.16</v>
      </c>
      <c r="E26" s="64">
        <v>0.49</v>
      </c>
      <c r="F26" s="64">
        <v>4.1900000000000004</v>
      </c>
      <c r="G26" s="64">
        <v>39.33</v>
      </c>
      <c r="H26" s="64">
        <v>17.079999999999998</v>
      </c>
      <c r="I26" s="64">
        <v>4.58</v>
      </c>
      <c r="J26" s="64">
        <v>0.76</v>
      </c>
      <c r="K26" s="64">
        <v>186.07</v>
      </c>
      <c r="L26" s="64">
        <v>33.049999999999997</v>
      </c>
      <c r="M26" s="64">
        <v>51.37</v>
      </c>
      <c r="N26" s="64">
        <v>10.7</v>
      </c>
      <c r="O26" s="64">
        <v>0</v>
      </c>
      <c r="P26" s="64">
        <v>0.33</v>
      </c>
      <c r="Q26" s="64">
        <v>9.32</v>
      </c>
      <c r="R26" s="198"/>
      <c r="S26" s="198"/>
      <c r="T26" s="198"/>
      <c r="U26" s="198"/>
    </row>
    <row r="27" spans="1:21" s="12" customFormat="1" x14ac:dyDescent="0.25">
      <c r="A27" s="216" t="s">
        <v>2952</v>
      </c>
      <c r="B27" s="64">
        <v>2.52</v>
      </c>
      <c r="C27" s="64">
        <v>0.87</v>
      </c>
      <c r="D27" s="64">
        <v>3.62</v>
      </c>
      <c r="E27" s="64">
        <v>0.83</v>
      </c>
      <c r="F27" s="64">
        <v>4.24</v>
      </c>
      <c r="G27" s="64">
        <v>38.72</v>
      </c>
      <c r="H27" s="64">
        <v>16.8</v>
      </c>
      <c r="I27" s="64">
        <v>4.2300000000000004</v>
      </c>
      <c r="J27" s="64">
        <v>0.54</v>
      </c>
      <c r="K27" s="64">
        <v>194.72</v>
      </c>
      <c r="L27" s="64">
        <v>32.83</v>
      </c>
      <c r="M27" s="64">
        <v>52.07</v>
      </c>
      <c r="N27" s="64">
        <v>10.7</v>
      </c>
      <c r="O27" s="64">
        <v>0</v>
      </c>
      <c r="P27" s="64">
        <v>0.33</v>
      </c>
      <c r="Q27" s="64">
        <v>9.31</v>
      </c>
      <c r="R27" s="198"/>
      <c r="S27" s="198"/>
      <c r="T27" s="198"/>
      <c r="U27" s="198"/>
    </row>
    <row r="28" spans="1:21" s="12" customFormat="1" x14ac:dyDescent="0.25">
      <c r="A28" s="216" t="s">
        <v>2953</v>
      </c>
      <c r="B28" s="64">
        <v>2.4500000000000002</v>
      </c>
      <c r="C28" s="64">
        <v>0.55000000000000004</v>
      </c>
      <c r="D28" s="64">
        <v>3.39</v>
      </c>
      <c r="E28" s="64">
        <v>0.94</v>
      </c>
      <c r="F28" s="64">
        <v>4.13</v>
      </c>
      <c r="G28" s="64">
        <v>38.72</v>
      </c>
      <c r="H28" s="64">
        <v>16.8</v>
      </c>
      <c r="I28" s="64">
        <v>4.1900000000000004</v>
      </c>
      <c r="J28" s="64">
        <v>0.31</v>
      </c>
      <c r="K28" s="64">
        <v>174.43</v>
      </c>
      <c r="L28" s="64">
        <v>32.700000000000003</v>
      </c>
      <c r="M28" s="64">
        <v>52.7</v>
      </c>
      <c r="N28" s="64">
        <v>10.9</v>
      </c>
      <c r="O28" s="64">
        <v>0</v>
      </c>
      <c r="P28" s="64">
        <v>0.33</v>
      </c>
      <c r="Q28" s="64">
        <v>9.32</v>
      </c>
      <c r="R28" s="198"/>
      <c r="S28" s="198"/>
      <c r="T28" s="198"/>
      <c r="U28" s="198"/>
    </row>
    <row r="29" spans="1:21" s="12" customFormat="1" x14ac:dyDescent="0.25">
      <c r="A29" s="216" t="s">
        <v>2954</v>
      </c>
      <c r="B29" s="64">
        <v>2.4500000000000002</v>
      </c>
      <c r="C29" s="64">
        <v>0.52</v>
      </c>
      <c r="D29" s="64">
        <v>3.38</v>
      </c>
      <c r="E29" s="64">
        <v>1.22</v>
      </c>
      <c r="F29" s="64">
        <v>4.33</v>
      </c>
      <c r="G29" s="64">
        <v>38.72</v>
      </c>
      <c r="H29" s="64">
        <v>16.8</v>
      </c>
      <c r="I29" s="64">
        <v>4.41</v>
      </c>
      <c r="J29" s="64">
        <v>0.11</v>
      </c>
      <c r="K29" s="64">
        <v>335.06</v>
      </c>
      <c r="L29" s="64">
        <v>32.64</v>
      </c>
      <c r="M29" s="64">
        <v>52.61</v>
      </c>
      <c r="N29" s="64">
        <v>11.9</v>
      </c>
      <c r="O29" s="64">
        <v>0</v>
      </c>
      <c r="P29" s="64">
        <v>0.32</v>
      </c>
      <c r="Q29" s="64">
        <v>9.33</v>
      </c>
      <c r="R29" s="198"/>
      <c r="S29" s="198"/>
      <c r="T29" s="198"/>
      <c r="U29" s="198"/>
    </row>
    <row r="30" spans="1:21" s="12" customFormat="1" x14ac:dyDescent="0.25">
      <c r="A30" s="216" t="s">
        <v>2955</v>
      </c>
      <c r="B30" s="64">
        <v>2.56</v>
      </c>
      <c r="C30" s="64">
        <v>1.03</v>
      </c>
      <c r="D30" s="64">
        <v>3.74</v>
      </c>
      <c r="E30" s="64">
        <v>1.07</v>
      </c>
      <c r="F30" s="64">
        <v>4.25</v>
      </c>
      <c r="G30" s="64">
        <v>38.770000000000003</v>
      </c>
      <c r="H30" s="64">
        <v>16.88</v>
      </c>
      <c r="I30" s="64">
        <v>4.54</v>
      </c>
      <c r="J30" s="64">
        <v>7.0000000000000007E-2</v>
      </c>
      <c r="K30" s="64">
        <v>286.17</v>
      </c>
      <c r="L30" s="64">
        <v>32.74</v>
      </c>
      <c r="M30" s="64">
        <v>52.08</v>
      </c>
      <c r="N30" s="64">
        <v>16.5</v>
      </c>
      <c r="O30" s="64">
        <v>0</v>
      </c>
      <c r="P30" s="64">
        <v>0.32</v>
      </c>
      <c r="Q30" s="64">
        <v>9.33</v>
      </c>
      <c r="R30" s="198"/>
      <c r="S30" s="198"/>
      <c r="T30" s="198"/>
      <c r="U30" s="198"/>
    </row>
    <row r="31" spans="1:21" s="12" customFormat="1" x14ac:dyDescent="0.25">
      <c r="A31" s="216" t="s">
        <v>2956</v>
      </c>
      <c r="B31" s="64">
        <v>2.41</v>
      </c>
      <c r="C31" s="64">
        <v>0.5</v>
      </c>
      <c r="D31" s="64">
        <v>3.34</v>
      </c>
      <c r="E31" s="64">
        <v>1.03</v>
      </c>
      <c r="F31" s="64">
        <v>4.29</v>
      </c>
      <c r="G31" s="64">
        <v>39.340000000000003</v>
      </c>
      <c r="H31" s="64">
        <v>17.809999999999999</v>
      </c>
      <c r="I31" s="64">
        <v>4.76</v>
      </c>
      <c r="J31" s="64">
        <v>0.88</v>
      </c>
      <c r="K31" s="64">
        <v>162.91</v>
      </c>
      <c r="L31" s="64">
        <v>32.619999999999997</v>
      </c>
      <c r="M31" s="64">
        <v>53.15</v>
      </c>
      <c r="N31" s="64">
        <v>26</v>
      </c>
      <c r="O31" s="64">
        <v>0</v>
      </c>
      <c r="P31" s="64">
        <v>0.33</v>
      </c>
      <c r="Q31" s="64">
        <v>9.31</v>
      </c>
      <c r="R31" s="198"/>
      <c r="S31" s="198"/>
      <c r="T31" s="198"/>
      <c r="U31" s="198"/>
    </row>
    <row r="32" spans="1:21" s="12" customFormat="1" x14ac:dyDescent="0.25">
      <c r="A32" s="216" t="s">
        <v>2957</v>
      </c>
      <c r="B32" s="64">
        <v>2.36</v>
      </c>
      <c r="C32" s="64">
        <v>0.32</v>
      </c>
      <c r="D32" s="64">
        <v>3.21</v>
      </c>
      <c r="E32" s="64">
        <v>0.91</v>
      </c>
      <c r="F32" s="64">
        <v>3.6</v>
      </c>
      <c r="G32" s="64">
        <v>39.340000000000003</v>
      </c>
      <c r="H32" s="64">
        <v>17.809999999999999</v>
      </c>
      <c r="I32" s="64">
        <v>4.82</v>
      </c>
      <c r="J32" s="64">
        <v>0.13</v>
      </c>
      <c r="K32" s="64">
        <v>77.34</v>
      </c>
      <c r="L32" s="64">
        <v>32.67</v>
      </c>
      <c r="M32" s="64">
        <v>53.3</v>
      </c>
      <c r="N32" s="64">
        <v>40.6</v>
      </c>
      <c r="O32" s="64">
        <v>0</v>
      </c>
      <c r="P32" s="64">
        <v>0.32</v>
      </c>
      <c r="Q32" s="64">
        <v>9.32</v>
      </c>
      <c r="R32" s="198"/>
      <c r="S32" s="198"/>
      <c r="T32" s="198"/>
      <c r="U32" s="198"/>
    </row>
    <row r="33" spans="1:21" s="12" customFormat="1" x14ac:dyDescent="0.25">
      <c r="A33" s="216" t="s">
        <v>2958</v>
      </c>
      <c r="B33" s="64">
        <v>2.33</v>
      </c>
      <c r="C33" s="64">
        <v>0.27</v>
      </c>
      <c r="D33" s="64">
        <v>3.16</v>
      </c>
      <c r="E33" s="64">
        <v>0.84</v>
      </c>
      <c r="F33" s="64">
        <v>4.4000000000000004</v>
      </c>
      <c r="G33" s="64">
        <v>39.340000000000003</v>
      </c>
      <c r="H33" s="64">
        <v>17.809999999999999</v>
      </c>
      <c r="I33" s="64">
        <v>5.0599999999999996</v>
      </c>
      <c r="J33" s="64">
        <v>0.93</v>
      </c>
      <c r="K33" s="64">
        <v>202.75</v>
      </c>
      <c r="L33" s="64">
        <v>32.78</v>
      </c>
      <c r="M33" s="64">
        <v>52.47</v>
      </c>
      <c r="N33" s="64">
        <v>50.7</v>
      </c>
      <c r="O33" s="64">
        <v>0</v>
      </c>
      <c r="P33" s="64">
        <v>0.32</v>
      </c>
      <c r="Q33" s="64">
        <v>9.33</v>
      </c>
      <c r="R33" s="198"/>
      <c r="S33" s="198"/>
      <c r="T33" s="198"/>
      <c r="U33" s="198"/>
    </row>
    <row r="34" spans="1:21" s="12" customFormat="1" x14ac:dyDescent="0.25">
      <c r="A34" s="216" t="s">
        <v>2959</v>
      </c>
      <c r="B34" s="64">
        <v>2.33</v>
      </c>
      <c r="C34" s="64">
        <v>0.26</v>
      </c>
      <c r="D34" s="64">
        <v>3.15</v>
      </c>
      <c r="E34" s="64">
        <v>1.04</v>
      </c>
      <c r="F34" s="64">
        <v>4.1900000000000004</v>
      </c>
      <c r="G34" s="64">
        <v>39.799999999999997</v>
      </c>
      <c r="H34" s="64">
        <v>17.7</v>
      </c>
      <c r="I34" s="64">
        <v>5.53</v>
      </c>
      <c r="J34" s="64">
        <v>0.84</v>
      </c>
      <c r="K34" s="64">
        <v>171.53</v>
      </c>
      <c r="L34" s="64">
        <v>32.78</v>
      </c>
      <c r="M34" s="64">
        <v>53.37</v>
      </c>
      <c r="N34" s="64">
        <v>71.400000000000006</v>
      </c>
      <c r="O34" s="64">
        <v>0</v>
      </c>
      <c r="P34" s="64">
        <v>0.33</v>
      </c>
      <c r="Q34" s="64">
        <v>9.33</v>
      </c>
      <c r="R34" s="198"/>
      <c r="S34" s="198"/>
      <c r="T34" s="198"/>
      <c r="U34" s="198"/>
    </row>
    <row r="35" spans="1:21" s="12" customFormat="1" x14ac:dyDescent="0.25">
      <c r="A35" s="216" t="s">
        <v>2960</v>
      </c>
      <c r="B35" s="64">
        <v>2.5</v>
      </c>
      <c r="C35" s="64">
        <v>0.84</v>
      </c>
      <c r="D35" s="64">
        <v>3.59</v>
      </c>
      <c r="E35" s="64">
        <v>1.0900000000000001</v>
      </c>
      <c r="F35" s="64">
        <v>4.24</v>
      </c>
      <c r="G35" s="64">
        <v>45.26</v>
      </c>
      <c r="H35" s="64">
        <v>16.399999999999999</v>
      </c>
      <c r="I35" s="64">
        <v>5.65</v>
      </c>
      <c r="J35" s="64">
        <v>0.55000000000000004</v>
      </c>
      <c r="K35" s="64">
        <v>179.79</v>
      </c>
      <c r="L35" s="64">
        <v>32.92</v>
      </c>
      <c r="M35" s="64">
        <v>53.45</v>
      </c>
      <c r="N35" s="64">
        <v>101.6</v>
      </c>
      <c r="O35" s="64">
        <v>0</v>
      </c>
      <c r="P35" s="64">
        <v>0.33</v>
      </c>
      <c r="Q35" s="64">
        <v>9.33</v>
      </c>
      <c r="R35" s="198"/>
      <c r="S35" s="198"/>
      <c r="T35" s="198"/>
      <c r="U35" s="198"/>
    </row>
    <row r="36" spans="1:21" s="12" customFormat="1" x14ac:dyDescent="0.25">
      <c r="A36" s="216" t="s">
        <v>2961</v>
      </c>
      <c r="B36" s="64">
        <v>2.4500000000000002</v>
      </c>
      <c r="C36" s="64">
        <v>0.71</v>
      </c>
      <c r="D36" s="64">
        <v>3.48</v>
      </c>
      <c r="E36" s="64">
        <v>1.1399999999999999</v>
      </c>
      <c r="F36" s="64">
        <v>4.42</v>
      </c>
      <c r="G36" s="64">
        <v>45.26</v>
      </c>
      <c r="H36" s="64">
        <v>16.399999999999999</v>
      </c>
      <c r="I36" s="64">
        <v>5.55</v>
      </c>
      <c r="J36" s="64">
        <v>0.18</v>
      </c>
      <c r="K36" s="64">
        <v>201.32</v>
      </c>
      <c r="L36" s="64">
        <v>33.22</v>
      </c>
      <c r="M36" s="64">
        <v>52.34</v>
      </c>
      <c r="N36" s="64">
        <v>129.1</v>
      </c>
      <c r="O36" s="64">
        <v>0</v>
      </c>
      <c r="P36" s="64">
        <v>0.33</v>
      </c>
      <c r="Q36" s="64">
        <v>9.33</v>
      </c>
      <c r="R36" s="198"/>
      <c r="S36" s="198"/>
      <c r="T36" s="198"/>
      <c r="U36" s="198"/>
    </row>
    <row r="37" spans="1:21" s="12" customFormat="1" x14ac:dyDescent="0.25">
      <c r="A37" s="216" t="s">
        <v>2962</v>
      </c>
      <c r="B37" s="64">
        <v>2.35</v>
      </c>
      <c r="C37" s="64">
        <v>0.3</v>
      </c>
      <c r="D37" s="64">
        <v>3.19</v>
      </c>
      <c r="E37" s="64">
        <v>0.67</v>
      </c>
      <c r="F37" s="64">
        <v>4.3</v>
      </c>
      <c r="G37" s="64">
        <v>45.26</v>
      </c>
      <c r="H37" s="64">
        <v>16.399999999999999</v>
      </c>
      <c r="I37" s="64">
        <v>5.47</v>
      </c>
      <c r="J37" s="64">
        <v>0.1</v>
      </c>
      <c r="K37" s="64">
        <v>274.7</v>
      </c>
      <c r="L37" s="64">
        <v>33.72</v>
      </c>
      <c r="M37" s="64">
        <v>51.44</v>
      </c>
      <c r="N37" s="64">
        <v>148.5</v>
      </c>
      <c r="O37" s="64">
        <v>0</v>
      </c>
      <c r="P37" s="64">
        <v>0.31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6" t="s">
        <v>2963</v>
      </c>
      <c r="B38" s="64">
        <v>2.35</v>
      </c>
      <c r="C38" s="64">
        <v>0.27</v>
      </c>
      <c r="D38" s="64">
        <v>3.17</v>
      </c>
      <c r="E38" s="64">
        <v>1.24</v>
      </c>
      <c r="F38" s="64">
        <v>4.37</v>
      </c>
      <c r="G38" s="64">
        <v>45.29</v>
      </c>
      <c r="H38" s="64">
        <v>16.489999999999998</v>
      </c>
      <c r="I38" s="64">
        <v>5.39</v>
      </c>
      <c r="J38" s="64">
        <v>0.15</v>
      </c>
      <c r="K38" s="64">
        <v>308.06</v>
      </c>
      <c r="L38" s="64">
        <v>33.75</v>
      </c>
      <c r="M38" s="64">
        <v>50.96</v>
      </c>
      <c r="N38" s="64">
        <v>136.1</v>
      </c>
      <c r="O38" s="64">
        <v>0</v>
      </c>
      <c r="P38" s="64">
        <v>0.34</v>
      </c>
      <c r="Q38" s="64">
        <v>9.33</v>
      </c>
      <c r="R38" s="198"/>
      <c r="S38" s="198"/>
      <c r="T38" s="198"/>
      <c r="U38" s="198"/>
    </row>
    <row r="39" spans="1:21" s="12" customFormat="1" x14ac:dyDescent="0.25">
      <c r="A39" s="216" t="s">
        <v>2964</v>
      </c>
      <c r="B39" s="64">
        <v>2.4900000000000002</v>
      </c>
      <c r="C39" s="64">
        <v>0.86</v>
      </c>
      <c r="D39" s="64">
        <v>3.6</v>
      </c>
      <c r="E39" s="64">
        <v>0.96</v>
      </c>
      <c r="F39" s="64">
        <v>4.16</v>
      </c>
      <c r="G39" s="64">
        <v>45.59</v>
      </c>
      <c r="H39" s="64">
        <v>17.59</v>
      </c>
      <c r="I39" s="64">
        <v>5.26</v>
      </c>
      <c r="J39" s="64">
        <v>0.43</v>
      </c>
      <c r="K39" s="64">
        <v>345.37</v>
      </c>
      <c r="L39" s="64">
        <v>33.880000000000003</v>
      </c>
      <c r="M39" s="64">
        <v>49.34</v>
      </c>
      <c r="N39" s="64">
        <v>119.8</v>
      </c>
      <c r="O39" s="64">
        <v>0</v>
      </c>
      <c r="P39" s="64">
        <v>0.34</v>
      </c>
      <c r="Q39" s="64">
        <v>9.32</v>
      </c>
      <c r="R39" s="198"/>
      <c r="S39" s="198"/>
      <c r="T39" s="198"/>
      <c r="U39" s="198"/>
    </row>
    <row r="40" spans="1:21" s="12" customFormat="1" x14ac:dyDescent="0.25">
      <c r="A40" s="216" t="s">
        <v>2965</v>
      </c>
      <c r="B40" s="64">
        <v>2.4300000000000002</v>
      </c>
      <c r="C40" s="64">
        <v>0.62</v>
      </c>
      <c r="D40" s="64">
        <v>3.42</v>
      </c>
      <c r="E40" s="64">
        <v>1.21</v>
      </c>
      <c r="F40" s="64">
        <v>5.4</v>
      </c>
      <c r="G40" s="64">
        <v>45.59</v>
      </c>
      <c r="H40" s="64">
        <v>17.59</v>
      </c>
      <c r="I40" s="64">
        <v>5.13</v>
      </c>
      <c r="J40" s="64">
        <v>0.34</v>
      </c>
      <c r="K40" s="64">
        <v>1.75</v>
      </c>
      <c r="L40" s="64">
        <v>34.18</v>
      </c>
      <c r="M40" s="64">
        <v>46.14</v>
      </c>
      <c r="N40" s="64">
        <v>112.7</v>
      </c>
      <c r="O40" s="64">
        <v>0</v>
      </c>
      <c r="P40" s="64">
        <v>0.35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6" t="s">
        <v>2966</v>
      </c>
      <c r="B41" s="64">
        <v>2.34</v>
      </c>
      <c r="C41" s="64">
        <v>0.31</v>
      </c>
      <c r="D41" s="64">
        <v>3.18</v>
      </c>
      <c r="E41" s="64">
        <v>0.89</v>
      </c>
      <c r="F41" s="64">
        <v>4.97</v>
      </c>
      <c r="G41" s="64">
        <v>45.59</v>
      </c>
      <c r="H41" s="64">
        <v>17.59</v>
      </c>
      <c r="I41" s="64">
        <v>4.97</v>
      </c>
      <c r="J41" s="64">
        <v>0.38</v>
      </c>
      <c r="K41" s="64">
        <v>11.38</v>
      </c>
      <c r="L41" s="64">
        <v>34.409999999999997</v>
      </c>
      <c r="M41" s="64">
        <v>45.3</v>
      </c>
      <c r="N41" s="64">
        <v>98.9</v>
      </c>
      <c r="O41" s="64">
        <v>0</v>
      </c>
      <c r="P41" s="64">
        <v>0.36</v>
      </c>
      <c r="Q41" s="64">
        <v>9.33</v>
      </c>
      <c r="R41" s="198"/>
      <c r="S41" s="198"/>
      <c r="T41" s="198"/>
      <c r="U41" s="198"/>
    </row>
    <row r="42" spans="1:21" s="12" customFormat="1" x14ac:dyDescent="0.25">
      <c r="A42" s="216" t="s">
        <v>2967</v>
      </c>
      <c r="B42" s="64">
        <v>2.44</v>
      </c>
      <c r="C42" s="64">
        <v>0.84</v>
      </c>
      <c r="D42" s="64">
        <v>3.54</v>
      </c>
      <c r="E42" s="64">
        <v>0.75</v>
      </c>
      <c r="F42" s="64">
        <v>4.66</v>
      </c>
      <c r="G42" s="64">
        <v>45.75</v>
      </c>
      <c r="H42" s="64">
        <v>17.510000000000002</v>
      </c>
      <c r="I42" s="64">
        <v>4.74</v>
      </c>
      <c r="J42" s="64">
        <v>0.51</v>
      </c>
      <c r="K42" s="64">
        <v>3.25</v>
      </c>
      <c r="L42" s="64">
        <v>34.51</v>
      </c>
      <c r="M42" s="64">
        <v>43.66</v>
      </c>
      <c r="N42" s="64">
        <v>103.4</v>
      </c>
      <c r="O42" s="64">
        <v>0</v>
      </c>
      <c r="P42" s="64">
        <v>0.36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6" t="s">
        <v>2968</v>
      </c>
      <c r="B43" s="64">
        <v>2.36</v>
      </c>
      <c r="C43" s="64">
        <v>0.43</v>
      </c>
      <c r="D43" s="64">
        <v>3.26</v>
      </c>
      <c r="E43" s="64">
        <v>0.84</v>
      </c>
      <c r="F43" s="64">
        <v>5.79</v>
      </c>
      <c r="G43" s="64">
        <v>47.66</v>
      </c>
      <c r="H43" s="64">
        <v>16.54</v>
      </c>
      <c r="I43" s="64">
        <v>4.5</v>
      </c>
      <c r="J43" s="64">
        <v>0.57999999999999996</v>
      </c>
      <c r="K43" s="64">
        <v>359.44</v>
      </c>
      <c r="L43" s="64">
        <v>34.67</v>
      </c>
      <c r="M43" s="64">
        <v>42.94</v>
      </c>
      <c r="N43" s="64">
        <v>118.8</v>
      </c>
      <c r="O43" s="64">
        <v>0</v>
      </c>
      <c r="P43" s="64">
        <v>0.37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6" t="s">
        <v>2969</v>
      </c>
      <c r="B44" s="64">
        <v>2.35</v>
      </c>
      <c r="C44" s="64">
        <v>0.27</v>
      </c>
      <c r="D44" s="64">
        <v>3.17</v>
      </c>
      <c r="E44" s="64">
        <v>0.7</v>
      </c>
      <c r="F44" s="64">
        <v>6.47</v>
      </c>
      <c r="G44" s="64">
        <v>47.66</v>
      </c>
      <c r="H44" s="64">
        <v>16.54</v>
      </c>
      <c r="I44" s="64">
        <v>4.25</v>
      </c>
      <c r="J44" s="64">
        <v>0.57999999999999996</v>
      </c>
      <c r="K44" s="64">
        <v>10.52</v>
      </c>
      <c r="L44" s="64">
        <v>34.840000000000003</v>
      </c>
      <c r="M44" s="64">
        <v>42.43</v>
      </c>
      <c r="N44" s="64">
        <v>128.6</v>
      </c>
      <c r="O44" s="64">
        <v>0</v>
      </c>
      <c r="P44" s="64">
        <v>0.38</v>
      </c>
      <c r="Q44" s="64">
        <v>9.23</v>
      </c>
      <c r="R44" s="198"/>
      <c r="S44" s="198"/>
      <c r="T44" s="198"/>
      <c r="U44" s="198"/>
    </row>
    <row r="45" spans="1:21" s="12" customFormat="1" x14ac:dyDescent="0.25">
      <c r="A45" s="216" t="s">
        <v>2970</v>
      </c>
      <c r="B45" s="64">
        <v>2.46</v>
      </c>
      <c r="C45" s="64">
        <v>0.76</v>
      </c>
      <c r="D45" s="64">
        <v>3.52</v>
      </c>
      <c r="E45" s="64">
        <v>0.6</v>
      </c>
      <c r="F45" s="64">
        <v>6.69</v>
      </c>
      <c r="G45" s="64">
        <v>47.66</v>
      </c>
      <c r="H45" s="64">
        <v>16.54</v>
      </c>
      <c r="I45" s="64">
        <v>3.96</v>
      </c>
      <c r="J45" s="64">
        <v>0.32</v>
      </c>
      <c r="K45" s="64">
        <v>351.28</v>
      </c>
      <c r="L45" s="64">
        <v>35.04</v>
      </c>
      <c r="M45" s="64">
        <v>41.15</v>
      </c>
      <c r="N45" s="64">
        <v>166.2</v>
      </c>
      <c r="O45" s="64">
        <v>0</v>
      </c>
      <c r="P45" s="64">
        <v>0.39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6" t="s">
        <v>2971</v>
      </c>
      <c r="B46" s="64">
        <v>2.46</v>
      </c>
      <c r="C46" s="64">
        <v>0.77</v>
      </c>
      <c r="D46" s="64">
        <v>3.52</v>
      </c>
      <c r="E46" s="64">
        <v>0.82</v>
      </c>
      <c r="F46" s="64">
        <v>6.45</v>
      </c>
      <c r="G46" s="64">
        <v>48.42</v>
      </c>
      <c r="H46" s="64">
        <v>16.61</v>
      </c>
      <c r="I46" s="64">
        <v>3.75</v>
      </c>
      <c r="J46" s="64">
        <v>0.45</v>
      </c>
      <c r="K46" s="64">
        <v>22.39</v>
      </c>
      <c r="L46" s="64">
        <v>35.51</v>
      </c>
      <c r="M46" s="64">
        <v>40.479999999999997</v>
      </c>
      <c r="N46" s="64">
        <v>239.8</v>
      </c>
      <c r="O46" s="64">
        <v>0</v>
      </c>
      <c r="P46" s="64">
        <v>0.4</v>
      </c>
      <c r="Q46" s="64">
        <v>9.26</v>
      </c>
      <c r="R46" s="198"/>
      <c r="S46" s="198"/>
      <c r="T46" s="198"/>
      <c r="U46" s="198"/>
    </row>
    <row r="47" spans="1:21" s="12" customFormat="1" x14ac:dyDescent="0.25">
      <c r="A47" s="216" t="s">
        <v>2972</v>
      </c>
      <c r="B47" s="64">
        <v>2.36</v>
      </c>
      <c r="C47" s="64">
        <v>0.33</v>
      </c>
      <c r="D47" s="64">
        <v>3.21</v>
      </c>
      <c r="E47" s="64">
        <v>0.73</v>
      </c>
      <c r="F47" s="64">
        <v>6.22</v>
      </c>
      <c r="G47" s="64">
        <v>57.5</v>
      </c>
      <c r="H47" s="64">
        <v>17.47</v>
      </c>
      <c r="I47" s="64">
        <v>3.6</v>
      </c>
      <c r="J47" s="64">
        <v>0.37</v>
      </c>
      <c r="K47" s="64">
        <v>3.61</v>
      </c>
      <c r="L47" s="64">
        <v>36.21</v>
      </c>
      <c r="M47" s="64">
        <v>39.18</v>
      </c>
      <c r="N47" s="64">
        <v>356.2</v>
      </c>
      <c r="O47" s="64">
        <v>0</v>
      </c>
      <c r="P47" s="64">
        <v>0.42</v>
      </c>
      <c r="Q47" s="64">
        <v>9.2799999999999994</v>
      </c>
      <c r="R47" s="198"/>
      <c r="S47" s="198"/>
      <c r="T47" s="198"/>
      <c r="U47" s="198"/>
    </row>
    <row r="48" spans="1:21" s="12" customFormat="1" x14ac:dyDescent="0.25">
      <c r="A48" s="216" t="s">
        <v>2973</v>
      </c>
      <c r="B48" s="64">
        <v>2.35</v>
      </c>
      <c r="C48" s="64">
        <v>0.32</v>
      </c>
      <c r="D48" s="64">
        <v>3.2</v>
      </c>
      <c r="E48" s="64">
        <v>0.71</v>
      </c>
      <c r="F48" s="64">
        <v>6.37</v>
      </c>
      <c r="G48" s="64">
        <v>57.5</v>
      </c>
      <c r="H48" s="64">
        <v>17.47</v>
      </c>
      <c r="I48" s="64">
        <v>3.54</v>
      </c>
      <c r="J48" s="64">
        <v>0.51</v>
      </c>
      <c r="K48" s="64">
        <v>10.09</v>
      </c>
      <c r="L48" s="64">
        <v>37.22</v>
      </c>
      <c r="M48" s="64">
        <v>37.35</v>
      </c>
      <c r="N48" s="64">
        <v>316.60000000000002</v>
      </c>
      <c r="O48" s="64">
        <v>0</v>
      </c>
      <c r="P48" s="64">
        <v>0.43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16" t="s">
        <v>2974</v>
      </c>
      <c r="B49" s="64">
        <v>2.39</v>
      </c>
      <c r="C49" s="64">
        <v>0.46</v>
      </c>
      <c r="D49" s="64">
        <v>3.3</v>
      </c>
      <c r="E49" s="64">
        <v>0.7</v>
      </c>
      <c r="F49" s="64">
        <v>5.88</v>
      </c>
      <c r="G49" s="64">
        <v>57.5</v>
      </c>
      <c r="H49" s="64">
        <v>17.47</v>
      </c>
      <c r="I49" s="64">
        <v>3.6</v>
      </c>
      <c r="J49" s="64">
        <v>0.39</v>
      </c>
      <c r="K49" s="64">
        <v>12.91</v>
      </c>
      <c r="L49" s="64">
        <v>37.21</v>
      </c>
      <c r="M49" s="64">
        <v>37.270000000000003</v>
      </c>
      <c r="N49" s="64">
        <v>293.7</v>
      </c>
      <c r="O49" s="64">
        <v>0</v>
      </c>
      <c r="P49" s="64">
        <v>0.46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6" t="s">
        <v>2975</v>
      </c>
      <c r="B50" s="64">
        <v>2.36</v>
      </c>
      <c r="C50" s="64">
        <v>0.34</v>
      </c>
      <c r="D50" s="64">
        <v>3.22</v>
      </c>
      <c r="E50" s="64">
        <v>0.95</v>
      </c>
      <c r="F50" s="64">
        <v>5.7</v>
      </c>
      <c r="G50" s="64">
        <v>57.55</v>
      </c>
      <c r="H50" s="64">
        <v>17.78</v>
      </c>
      <c r="I50" s="64">
        <v>3.74</v>
      </c>
      <c r="J50" s="64">
        <v>0.22</v>
      </c>
      <c r="K50" s="64">
        <v>334.57</v>
      </c>
      <c r="L50" s="64">
        <v>38.17</v>
      </c>
      <c r="M50" s="64">
        <v>35.17</v>
      </c>
      <c r="N50" s="64">
        <v>675.6</v>
      </c>
      <c r="O50" s="64">
        <v>0</v>
      </c>
      <c r="P50" s="64">
        <v>0.48</v>
      </c>
      <c r="Q50" s="64">
        <v>9.27</v>
      </c>
      <c r="R50" s="198"/>
      <c r="S50" s="198"/>
      <c r="T50" s="198"/>
      <c r="U50" s="198"/>
    </row>
    <row r="51" spans="1:21" s="12" customFormat="1" x14ac:dyDescent="0.25">
      <c r="A51" s="216" t="s">
        <v>2976</v>
      </c>
      <c r="B51" s="64">
        <v>2.57</v>
      </c>
      <c r="C51" s="64">
        <v>1.54</v>
      </c>
      <c r="D51" s="64">
        <v>4.01</v>
      </c>
      <c r="E51" s="64">
        <v>1.1000000000000001</v>
      </c>
      <c r="F51" s="64">
        <v>5.77</v>
      </c>
      <c r="G51" s="64">
        <v>58.07</v>
      </c>
      <c r="H51" s="64">
        <v>21.41</v>
      </c>
      <c r="I51" s="64">
        <v>3.84</v>
      </c>
      <c r="J51" s="64">
        <v>0.41</v>
      </c>
      <c r="K51" s="64">
        <v>345.79</v>
      </c>
      <c r="L51" s="64">
        <v>40.75</v>
      </c>
      <c r="M51" s="64">
        <v>29.83</v>
      </c>
      <c r="N51" s="64">
        <v>774.2</v>
      </c>
      <c r="O51" s="64">
        <v>0</v>
      </c>
      <c r="P51" s="64">
        <v>0.49</v>
      </c>
      <c r="Q51" s="64">
        <v>9.2899999999999991</v>
      </c>
      <c r="R51" s="198"/>
      <c r="S51" s="198"/>
      <c r="T51" s="198"/>
      <c r="U51" s="198"/>
    </row>
    <row r="52" spans="1:21" s="12" customFormat="1" x14ac:dyDescent="0.25">
      <c r="A52" s="216" t="s">
        <v>2977</v>
      </c>
      <c r="B52" s="64">
        <v>2.4300000000000002</v>
      </c>
      <c r="C52" s="64">
        <v>0.77</v>
      </c>
      <c r="D52" s="64">
        <v>3.5</v>
      </c>
      <c r="E52" s="64">
        <v>0.94</v>
      </c>
      <c r="F52" s="64">
        <v>7.02</v>
      </c>
      <c r="G52" s="64">
        <v>58.07</v>
      </c>
      <c r="H52" s="64">
        <v>21.41</v>
      </c>
      <c r="I52" s="64">
        <v>3.94</v>
      </c>
      <c r="J52" s="64">
        <v>0.32</v>
      </c>
      <c r="K52" s="64">
        <v>352.57</v>
      </c>
      <c r="L52" s="64">
        <v>41.19</v>
      </c>
      <c r="M52" s="64">
        <v>28.32</v>
      </c>
      <c r="N52" s="64">
        <v>826.9</v>
      </c>
      <c r="O52" s="64">
        <v>0</v>
      </c>
      <c r="P52" s="64">
        <v>0.5</v>
      </c>
      <c r="Q52" s="64">
        <v>9.32</v>
      </c>
      <c r="R52" s="198"/>
      <c r="S52" s="198"/>
      <c r="T52" s="198"/>
      <c r="U52" s="198"/>
    </row>
    <row r="53" spans="1:21" s="12" customFormat="1" x14ac:dyDescent="0.25">
      <c r="A53" s="216" t="s">
        <v>2978</v>
      </c>
      <c r="B53" s="64">
        <v>2.34</v>
      </c>
      <c r="C53" s="64">
        <v>0.33</v>
      </c>
      <c r="D53" s="64">
        <v>3.19</v>
      </c>
      <c r="E53" s="64">
        <v>0.71</v>
      </c>
      <c r="F53" s="64">
        <v>8.36</v>
      </c>
      <c r="G53" s="64">
        <v>58.07</v>
      </c>
      <c r="H53" s="64">
        <v>21.41</v>
      </c>
      <c r="I53" s="64">
        <v>4.01</v>
      </c>
      <c r="J53" s="64">
        <v>0.64</v>
      </c>
      <c r="K53" s="64">
        <v>312.33</v>
      </c>
      <c r="L53" s="64">
        <v>42.22</v>
      </c>
      <c r="M53" s="64">
        <v>25.53</v>
      </c>
      <c r="N53" s="64">
        <v>844.1</v>
      </c>
      <c r="O53" s="64">
        <v>0</v>
      </c>
      <c r="P53" s="64">
        <v>0.53</v>
      </c>
      <c r="Q53" s="64">
        <v>9.3000000000000007</v>
      </c>
      <c r="R53" s="198"/>
      <c r="S53" s="198"/>
      <c r="T53" s="198"/>
      <c r="U53" s="198"/>
    </row>
    <row r="54" spans="1:21" s="12" customFormat="1" x14ac:dyDescent="0.25">
      <c r="A54" s="216" t="s">
        <v>2979</v>
      </c>
      <c r="B54" s="64">
        <v>2.34</v>
      </c>
      <c r="C54" s="64">
        <v>0.34</v>
      </c>
      <c r="D54" s="64">
        <v>3.2</v>
      </c>
      <c r="E54" s="64">
        <v>0.72</v>
      </c>
      <c r="F54" s="64">
        <v>8.5</v>
      </c>
      <c r="G54" s="64">
        <v>58.42</v>
      </c>
      <c r="H54" s="64">
        <v>21.73</v>
      </c>
      <c r="I54" s="64">
        <v>3.98</v>
      </c>
      <c r="J54" s="64">
        <v>0.66</v>
      </c>
      <c r="K54" s="64">
        <v>340.44</v>
      </c>
      <c r="L54" s="64">
        <v>43.74</v>
      </c>
      <c r="M54" s="64">
        <v>23.65</v>
      </c>
      <c r="N54" s="64">
        <v>800.2</v>
      </c>
      <c r="O54" s="64">
        <v>0</v>
      </c>
      <c r="P54" s="64">
        <v>0.55000000000000004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16" t="s">
        <v>2980</v>
      </c>
      <c r="B55" s="64">
        <v>2.5099999999999998</v>
      </c>
      <c r="C55" s="64">
        <v>1.55</v>
      </c>
      <c r="D55" s="64">
        <v>3.97</v>
      </c>
      <c r="E55" s="64">
        <v>0.97</v>
      </c>
      <c r="F55" s="64">
        <v>8.9</v>
      </c>
      <c r="G55" s="64">
        <v>62.58</v>
      </c>
      <c r="H55" s="64">
        <v>25.49</v>
      </c>
      <c r="I55" s="64">
        <v>3.79</v>
      </c>
      <c r="J55" s="64">
        <v>0.72</v>
      </c>
      <c r="K55" s="64">
        <v>300.13</v>
      </c>
      <c r="L55" s="64">
        <v>44.07</v>
      </c>
      <c r="M55" s="64">
        <v>23.46</v>
      </c>
      <c r="N55" s="64">
        <v>780</v>
      </c>
      <c r="O55" s="64">
        <v>0</v>
      </c>
      <c r="P55" s="64">
        <v>0.57999999999999996</v>
      </c>
      <c r="Q55" s="64">
        <v>9.31</v>
      </c>
      <c r="R55" s="198"/>
      <c r="S55" s="198"/>
      <c r="T55" s="198"/>
      <c r="U55" s="198"/>
    </row>
    <row r="56" spans="1:21" s="12" customFormat="1" x14ac:dyDescent="0.25">
      <c r="A56" s="216" t="s">
        <v>2981</v>
      </c>
      <c r="B56" s="64">
        <v>2.38</v>
      </c>
      <c r="C56" s="64">
        <v>0.77</v>
      </c>
      <c r="D56" s="64">
        <v>3.46</v>
      </c>
      <c r="E56" s="64">
        <v>1.6</v>
      </c>
      <c r="F56" s="64">
        <v>10.210000000000001</v>
      </c>
      <c r="G56" s="64">
        <v>62.58</v>
      </c>
      <c r="H56" s="64">
        <v>25.49</v>
      </c>
      <c r="I56" s="64">
        <v>3.67</v>
      </c>
      <c r="J56" s="64">
        <v>0.69</v>
      </c>
      <c r="K56" s="64">
        <v>329.36</v>
      </c>
      <c r="L56" s="64">
        <v>42.88</v>
      </c>
      <c r="M56" s="64">
        <v>23.52</v>
      </c>
      <c r="N56" s="64">
        <v>810.8</v>
      </c>
      <c r="O56" s="64">
        <v>0</v>
      </c>
      <c r="P56" s="64">
        <v>0.61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6" t="s">
        <v>2982</v>
      </c>
      <c r="B57" s="64">
        <v>2.35</v>
      </c>
      <c r="C57" s="64">
        <v>0.5</v>
      </c>
      <c r="D57" s="64">
        <v>3.29</v>
      </c>
      <c r="E57" s="64">
        <v>1.46</v>
      </c>
      <c r="F57" s="64">
        <v>10.41</v>
      </c>
      <c r="G57" s="64">
        <v>62.58</v>
      </c>
      <c r="H57" s="64">
        <v>25.49</v>
      </c>
      <c r="I57" s="64">
        <v>3.75</v>
      </c>
      <c r="J57" s="64">
        <v>0.37</v>
      </c>
      <c r="K57" s="64">
        <v>177.57</v>
      </c>
      <c r="L57" s="64">
        <v>42.82</v>
      </c>
      <c r="M57" s="64">
        <v>22.4</v>
      </c>
      <c r="N57" s="64">
        <v>809.2</v>
      </c>
      <c r="O57" s="64">
        <v>0</v>
      </c>
      <c r="P57" s="64">
        <v>0.64</v>
      </c>
      <c r="Q57" s="64">
        <v>9.2899999999999991</v>
      </c>
      <c r="R57" s="198"/>
      <c r="S57" s="198"/>
      <c r="T57" s="198"/>
      <c r="U57" s="198"/>
    </row>
    <row r="58" spans="1:21" s="12" customFormat="1" x14ac:dyDescent="0.25">
      <c r="A58" s="216" t="s">
        <v>2983</v>
      </c>
      <c r="B58" s="64">
        <v>2.35</v>
      </c>
      <c r="C58" s="64">
        <v>0.49</v>
      </c>
      <c r="D58" s="64">
        <v>3.28</v>
      </c>
      <c r="E58" s="64">
        <v>1.27</v>
      </c>
      <c r="F58" s="64">
        <v>10.44</v>
      </c>
      <c r="G58" s="64">
        <v>62.86</v>
      </c>
      <c r="H58" s="64">
        <v>25.52</v>
      </c>
      <c r="I58" s="64">
        <v>3.88</v>
      </c>
      <c r="J58" s="64">
        <v>0.68</v>
      </c>
      <c r="K58" s="64">
        <v>327.68</v>
      </c>
      <c r="L58" s="64">
        <v>43.95</v>
      </c>
      <c r="M58" s="64">
        <v>21.47</v>
      </c>
      <c r="N58" s="64">
        <v>776.9</v>
      </c>
      <c r="O58" s="64">
        <v>0</v>
      </c>
      <c r="P58" s="64">
        <v>0.65</v>
      </c>
      <c r="Q58" s="64">
        <v>9.2899999999999991</v>
      </c>
      <c r="R58" s="198"/>
      <c r="S58" s="198"/>
      <c r="T58" s="198"/>
      <c r="U58" s="198"/>
    </row>
    <row r="59" spans="1:21" s="12" customFormat="1" x14ac:dyDescent="0.25">
      <c r="A59" s="216" t="s">
        <v>2984</v>
      </c>
      <c r="B59" s="64">
        <v>2.38</v>
      </c>
      <c r="C59" s="64">
        <v>0.67</v>
      </c>
      <c r="D59" s="64">
        <v>3.4</v>
      </c>
      <c r="E59" s="64">
        <v>1.24</v>
      </c>
      <c r="F59" s="64">
        <v>10.11</v>
      </c>
      <c r="G59" s="64">
        <v>66.180000000000007</v>
      </c>
      <c r="H59" s="64">
        <v>25.9</v>
      </c>
      <c r="I59" s="64">
        <v>4.1399999999999997</v>
      </c>
      <c r="J59" s="64">
        <v>0.09</v>
      </c>
      <c r="K59" s="64">
        <v>344.86</v>
      </c>
      <c r="L59" s="64">
        <v>43.44</v>
      </c>
      <c r="M59" s="64">
        <v>18.88</v>
      </c>
      <c r="N59" s="64">
        <v>787.7</v>
      </c>
      <c r="O59" s="64">
        <v>0</v>
      </c>
      <c r="P59" s="64">
        <v>0.66</v>
      </c>
      <c r="Q59" s="64">
        <v>9.2899999999999991</v>
      </c>
      <c r="R59" s="198"/>
      <c r="S59" s="198"/>
      <c r="T59" s="198"/>
      <c r="U59" s="198"/>
    </row>
    <row r="60" spans="1:21" s="12" customFormat="1" x14ac:dyDescent="0.25">
      <c r="A60" s="216" t="s">
        <v>2985</v>
      </c>
      <c r="B60" s="64">
        <v>2.46</v>
      </c>
      <c r="C60" s="64">
        <v>1.19</v>
      </c>
      <c r="D60" s="64">
        <v>3.74</v>
      </c>
      <c r="E60" s="64">
        <v>1.01</v>
      </c>
      <c r="F60" s="64">
        <v>10.25</v>
      </c>
      <c r="G60" s="64">
        <v>66.180000000000007</v>
      </c>
      <c r="H60" s="64">
        <v>25.9</v>
      </c>
      <c r="I60" s="64">
        <v>4.38</v>
      </c>
      <c r="J60" s="64">
        <v>0.76</v>
      </c>
      <c r="K60" s="64">
        <v>322.98</v>
      </c>
      <c r="L60" s="64">
        <v>44.74</v>
      </c>
      <c r="M60" s="64">
        <v>18.239999999999998</v>
      </c>
      <c r="N60" s="64">
        <v>795.1</v>
      </c>
      <c r="O60" s="64">
        <v>0</v>
      </c>
      <c r="P60" s="64">
        <v>0.67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6" t="s">
        <v>2986</v>
      </c>
      <c r="B61" s="64">
        <v>2.35</v>
      </c>
      <c r="C61" s="64">
        <v>0.46</v>
      </c>
      <c r="D61" s="64">
        <v>3.27</v>
      </c>
      <c r="E61" s="64">
        <v>1.41</v>
      </c>
      <c r="F61" s="64">
        <v>9.49</v>
      </c>
      <c r="G61" s="64">
        <v>66.180000000000007</v>
      </c>
      <c r="H61" s="64">
        <v>25.9</v>
      </c>
      <c r="I61" s="64">
        <v>4.46</v>
      </c>
      <c r="J61" s="64">
        <v>1.33</v>
      </c>
      <c r="K61" s="64">
        <v>316.87</v>
      </c>
      <c r="L61" s="64">
        <v>46.31</v>
      </c>
      <c r="M61" s="64">
        <v>14.56</v>
      </c>
      <c r="N61" s="64">
        <v>790.7</v>
      </c>
      <c r="O61" s="64">
        <v>0</v>
      </c>
      <c r="P61" s="64">
        <v>0.56999999999999995</v>
      </c>
      <c r="Q61" s="64">
        <v>9.26</v>
      </c>
      <c r="R61" s="198"/>
      <c r="S61" s="198"/>
      <c r="T61" s="198"/>
      <c r="U61" s="198"/>
    </row>
    <row r="62" spans="1:21" s="12" customFormat="1" x14ac:dyDescent="0.25">
      <c r="A62" s="216" t="s">
        <v>2987</v>
      </c>
      <c r="B62" s="64">
        <v>2.4900000000000002</v>
      </c>
      <c r="C62" s="64">
        <v>1.43</v>
      </c>
      <c r="D62" s="64">
        <v>3.89</v>
      </c>
      <c r="E62" s="64">
        <v>1.45</v>
      </c>
      <c r="F62" s="64">
        <v>8.76</v>
      </c>
      <c r="G62" s="64">
        <v>66.12</v>
      </c>
      <c r="H62" s="64">
        <v>26.12</v>
      </c>
      <c r="I62" s="64">
        <v>4.43</v>
      </c>
      <c r="J62" s="64">
        <v>0.7</v>
      </c>
      <c r="K62" s="64">
        <v>345.31</v>
      </c>
      <c r="L62" s="64">
        <v>45.54</v>
      </c>
      <c r="M62" s="64">
        <v>14.64</v>
      </c>
      <c r="N62" s="64">
        <v>757</v>
      </c>
      <c r="O62" s="64">
        <v>0</v>
      </c>
      <c r="P62" s="64">
        <v>0.56999999999999995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6" t="s">
        <v>2988</v>
      </c>
      <c r="B63" s="64">
        <v>2.37</v>
      </c>
      <c r="C63" s="64">
        <v>0.71</v>
      </c>
      <c r="D63" s="64">
        <v>3.42</v>
      </c>
      <c r="E63" s="64">
        <v>1.35</v>
      </c>
      <c r="F63" s="64">
        <v>8.48</v>
      </c>
      <c r="G63" s="64">
        <v>65.349999999999994</v>
      </c>
      <c r="H63" s="64">
        <v>28.78</v>
      </c>
      <c r="I63" s="64">
        <v>4.26</v>
      </c>
      <c r="J63" s="64">
        <v>0.66</v>
      </c>
      <c r="K63" s="64">
        <v>340.34</v>
      </c>
      <c r="L63" s="64">
        <v>45.77</v>
      </c>
      <c r="M63" s="64">
        <v>14.8</v>
      </c>
      <c r="N63" s="64">
        <v>707.8</v>
      </c>
      <c r="O63" s="64">
        <v>0</v>
      </c>
      <c r="P63" s="64">
        <v>0.56000000000000005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6" t="s">
        <v>2989</v>
      </c>
      <c r="B64" s="64">
        <v>2.33</v>
      </c>
      <c r="C64" s="64">
        <v>0.38</v>
      </c>
      <c r="D64" s="64">
        <v>3.21</v>
      </c>
      <c r="E64" s="64">
        <v>1.37</v>
      </c>
      <c r="F64" s="64">
        <v>8.23</v>
      </c>
      <c r="G64" s="64">
        <v>65.349999999999994</v>
      </c>
      <c r="H64" s="64">
        <v>28.78</v>
      </c>
      <c r="I64" s="64">
        <v>4.1399999999999997</v>
      </c>
      <c r="J64" s="64">
        <v>0.55000000000000004</v>
      </c>
      <c r="K64" s="64">
        <v>334.46</v>
      </c>
      <c r="L64" s="64">
        <v>44.98</v>
      </c>
      <c r="M64" s="64">
        <v>15.86</v>
      </c>
      <c r="N64" s="64">
        <v>677.6</v>
      </c>
      <c r="O64" s="64">
        <v>0</v>
      </c>
      <c r="P64" s="64">
        <v>0.53</v>
      </c>
      <c r="Q64" s="64">
        <v>9.2100000000000009</v>
      </c>
      <c r="R64" s="198"/>
      <c r="S64" s="198"/>
      <c r="T64" s="198"/>
      <c r="U64" s="198"/>
    </row>
    <row r="65" spans="1:21" s="12" customFormat="1" x14ac:dyDescent="0.25">
      <c r="A65" s="216" t="s">
        <v>2990</v>
      </c>
      <c r="B65" s="64">
        <v>2.4700000000000002</v>
      </c>
      <c r="C65" s="64">
        <v>1.27</v>
      </c>
      <c r="D65" s="64">
        <v>3.79</v>
      </c>
      <c r="E65" s="64">
        <v>1.51</v>
      </c>
      <c r="F65" s="64">
        <v>8.19</v>
      </c>
      <c r="G65" s="64">
        <v>65.349999999999994</v>
      </c>
      <c r="H65" s="64">
        <v>28.78</v>
      </c>
      <c r="I65" s="64">
        <v>4.0599999999999996</v>
      </c>
      <c r="J65" s="64">
        <v>0.83</v>
      </c>
      <c r="K65" s="64">
        <v>313.5</v>
      </c>
      <c r="L65" s="64">
        <v>45.71</v>
      </c>
      <c r="M65" s="64">
        <v>14.22</v>
      </c>
      <c r="N65" s="64">
        <v>531.70000000000005</v>
      </c>
      <c r="O65" s="64">
        <v>0</v>
      </c>
      <c r="P65" s="64">
        <v>0.52</v>
      </c>
      <c r="Q65" s="64">
        <v>9.1999999999999993</v>
      </c>
      <c r="R65" s="198"/>
      <c r="S65" s="198"/>
      <c r="T65" s="198"/>
      <c r="U65" s="198"/>
    </row>
    <row r="66" spans="1:21" s="12" customFormat="1" x14ac:dyDescent="0.25">
      <c r="A66" s="216" t="s">
        <v>2991</v>
      </c>
      <c r="B66" s="64">
        <v>2.38</v>
      </c>
      <c r="C66" s="64">
        <v>0.66</v>
      </c>
      <c r="D66" s="64">
        <v>3.4</v>
      </c>
      <c r="E66" s="64">
        <v>1.1100000000000001</v>
      </c>
      <c r="F66" s="64">
        <v>7.1</v>
      </c>
      <c r="G66" s="64">
        <v>65.099999999999994</v>
      </c>
      <c r="H66" s="64">
        <v>28.79</v>
      </c>
      <c r="I66" s="64">
        <v>4</v>
      </c>
      <c r="J66" s="64">
        <v>0.62</v>
      </c>
      <c r="K66" s="64">
        <v>328.05</v>
      </c>
      <c r="L66" s="64">
        <v>45.28</v>
      </c>
      <c r="M66" s="64">
        <v>14.45</v>
      </c>
      <c r="N66" s="64">
        <v>583.79999999999995</v>
      </c>
      <c r="O66" s="64">
        <v>0</v>
      </c>
      <c r="P66" s="64">
        <v>0.5</v>
      </c>
      <c r="Q66" s="64">
        <v>9.23</v>
      </c>
      <c r="R66" s="198"/>
      <c r="S66" s="198"/>
      <c r="T66" s="198"/>
      <c r="U66" s="198"/>
    </row>
    <row r="67" spans="1:21" s="12" customFormat="1" x14ac:dyDescent="0.25">
      <c r="A67" s="216" t="s">
        <v>2992</v>
      </c>
      <c r="B67" s="64">
        <v>2.38</v>
      </c>
      <c r="C67" s="64">
        <v>0.66</v>
      </c>
      <c r="D67" s="64">
        <v>3.39</v>
      </c>
      <c r="E67" s="64">
        <v>1.08</v>
      </c>
      <c r="F67" s="64">
        <v>6.26</v>
      </c>
      <c r="G67" s="64">
        <v>62.13</v>
      </c>
      <c r="H67" s="64">
        <v>28.96</v>
      </c>
      <c r="I67" s="64">
        <v>3.96</v>
      </c>
      <c r="J67" s="64">
        <v>0.98</v>
      </c>
      <c r="K67" s="64">
        <v>327.52</v>
      </c>
      <c r="L67" s="64">
        <v>45.38</v>
      </c>
      <c r="M67" s="64">
        <v>13.92</v>
      </c>
      <c r="N67" s="64">
        <v>283.5</v>
      </c>
      <c r="O67" s="64">
        <v>0</v>
      </c>
      <c r="P67" s="64">
        <v>0.5</v>
      </c>
      <c r="Q67" s="64">
        <v>9.2100000000000009</v>
      </c>
      <c r="R67" s="198"/>
      <c r="S67" s="198"/>
      <c r="T67" s="198"/>
      <c r="U67" s="198"/>
    </row>
    <row r="68" spans="1:21" s="12" customFormat="1" x14ac:dyDescent="0.25">
      <c r="A68" s="216" t="s">
        <v>2993</v>
      </c>
      <c r="B68" s="64">
        <v>2.4900000000000002</v>
      </c>
      <c r="C68" s="64">
        <v>1.5</v>
      </c>
      <c r="D68" s="64">
        <v>3.93</v>
      </c>
      <c r="E68" s="64">
        <v>1.47</v>
      </c>
      <c r="F68" s="64">
        <v>6.88</v>
      </c>
      <c r="G68" s="64">
        <v>62.13</v>
      </c>
      <c r="H68" s="64">
        <v>28.96</v>
      </c>
      <c r="I68" s="64">
        <v>3.95</v>
      </c>
      <c r="J68" s="64">
        <v>0.57999999999999996</v>
      </c>
      <c r="K68" s="64">
        <v>14.04</v>
      </c>
      <c r="L68" s="64">
        <v>44</v>
      </c>
      <c r="M68" s="64">
        <v>17.14</v>
      </c>
      <c r="N68" s="64">
        <v>275.5</v>
      </c>
      <c r="O68" s="64">
        <v>0</v>
      </c>
      <c r="P68" s="64">
        <v>0.48</v>
      </c>
      <c r="Q68" s="64">
        <v>9.2200000000000006</v>
      </c>
      <c r="R68" s="198"/>
      <c r="S68" s="198"/>
      <c r="T68" s="198"/>
      <c r="U68" s="198"/>
    </row>
    <row r="69" spans="1:21" s="12" customFormat="1" x14ac:dyDescent="0.25">
      <c r="A69" s="216" t="s">
        <v>2994</v>
      </c>
      <c r="B69" s="64">
        <v>2.2999999999999998</v>
      </c>
      <c r="C69" s="64">
        <v>0.49</v>
      </c>
      <c r="D69" s="64">
        <v>3.24</v>
      </c>
      <c r="E69" s="64">
        <v>1.46</v>
      </c>
      <c r="F69" s="64">
        <v>10.41</v>
      </c>
      <c r="G69" s="64">
        <v>62.13</v>
      </c>
      <c r="H69" s="64">
        <v>28.96</v>
      </c>
      <c r="I69" s="64">
        <v>4.26</v>
      </c>
      <c r="J69" s="64">
        <v>0.6</v>
      </c>
      <c r="K69" s="64">
        <v>1.31</v>
      </c>
      <c r="L69" s="64">
        <v>43.36</v>
      </c>
      <c r="M69" s="64">
        <v>19.190000000000001</v>
      </c>
      <c r="N69" s="64">
        <v>309</v>
      </c>
      <c r="O69" s="64">
        <v>0</v>
      </c>
      <c r="P69" s="64">
        <v>0.47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6" t="s">
        <v>2995</v>
      </c>
      <c r="B70" s="64">
        <v>2.2999999999999998</v>
      </c>
      <c r="C70" s="64">
        <v>0.42</v>
      </c>
      <c r="D70" s="64">
        <v>3.21</v>
      </c>
      <c r="E70" s="64">
        <v>1.68</v>
      </c>
      <c r="F70" s="64">
        <v>10.71</v>
      </c>
      <c r="G70" s="64">
        <v>62.29</v>
      </c>
      <c r="H70" s="64">
        <v>28.97</v>
      </c>
      <c r="I70" s="64">
        <v>4.13</v>
      </c>
      <c r="J70" s="64">
        <v>0.26</v>
      </c>
      <c r="K70" s="64">
        <v>12.47</v>
      </c>
      <c r="L70" s="64">
        <v>43.04</v>
      </c>
      <c r="M70" s="64">
        <v>20.37</v>
      </c>
      <c r="N70" s="64">
        <v>229.6</v>
      </c>
      <c r="O70" s="64">
        <v>0</v>
      </c>
      <c r="P70" s="64">
        <v>0.47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16" t="s">
        <v>2996</v>
      </c>
      <c r="B71" s="64">
        <v>2.4500000000000002</v>
      </c>
      <c r="C71" s="64">
        <v>1.38</v>
      </c>
      <c r="D71" s="64">
        <v>3.83</v>
      </c>
      <c r="E71" s="64">
        <v>1.81</v>
      </c>
      <c r="F71" s="64">
        <v>11.16</v>
      </c>
      <c r="G71" s="64">
        <v>64.239999999999995</v>
      </c>
      <c r="H71" s="64">
        <v>29.08</v>
      </c>
      <c r="I71" s="64">
        <v>3.77</v>
      </c>
      <c r="J71" s="64">
        <v>0.4</v>
      </c>
      <c r="K71" s="64">
        <v>22.6</v>
      </c>
      <c r="L71" s="64">
        <v>42.86</v>
      </c>
      <c r="M71" s="64">
        <v>20.16</v>
      </c>
      <c r="N71" s="64">
        <v>189.4</v>
      </c>
      <c r="O71" s="64">
        <v>0</v>
      </c>
      <c r="P71" s="64">
        <v>0.45</v>
      </c>
      <c r="Q71" s="64">
        <v>9.25</v>
      </c>
      <c r="R71" s="198"/>
      <c r="S71" s="198"/>
      <c r="T71" s="198"/>
      <c r="U71" s="198"/>
    </row>
    <row r="72" spans="1:21" s="12" customFormat="1" x14ac:dyDescent="0.25">
      <c r="A72" s="216" t="s">
        <v>2997</v>
      </c>
      <c r="B72" s="64">
        <v>2.31</v>
      </c>
      <c r="C72" s="64">
        <v>0.51</v>
      </c>
      <c r="D72" s="64">
        <v>3.26</v>
      </c>
      <c r="E72" s="64">
        <v>0.71</v>
      </c>
      <c r="F72" s="64">
        <v>11.4</v>
      </c>
      <c r="G72" s="64">
        <v>64.239999999999995</v>
      </c>
      <c r="H72" s="64">
        <v>29.08</v>
      </c>
      <c r="I72" s="64">
        <v>3.6</v>
      </c>
      <c r="J72" s="64">
        <v>0.77</v>
      </c>
      <c r="K72" s="64">
        <v>22.62</v>
      </c>
      <c r="L72" s="64">
        <v>42.56</v>
      </c>
      <c r="M72" s="64">
        <v>18.68</v>
      </c>
      <c r="N72" s="64">
        <v>166.5</v>
      </c>
      <c r="O72" s="64">
        <v>0</v>
      </c>
      <c r="P72" s="64">
        <v>0.43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6" t="s">
        <v>2998</v>
      </c>
      <c r="B73" s="64">
        <v>2.34</v>
      </c>
      <c r="C73" s="64">
        <v>0.67</v>
      </c>
      <c r="D73" s="64">
        <v>3.37</v>
      </c>
      <c r="E73" s="64">
        <v>0.85</v>
      </c>
      <c r="F73" s="64">
        <v>11.19</v>
      </c>
      <c r="G73" s="64">
        <v>64.239999999999995</v>
      </c>
      <c r="H73" s="64">
        <v>29.08</v>
      </c>
      <c r="I73" s="64">
        <v>3.42</v>
      </c>
      <c r="J73" s="64">
        <v>0.33</v>
      </c>
      <c r="K73" s="64">
        <v>14.82</v>
      </c>
      <c r="L73" s="64">
        <v>42.08</v>
      </c>
      <c r="M73" s="64">
        <v>19.11</v>
      </c>
      <c r="N73" s="64">
        <v>162</v>
      </c>
      <c r="O73" s="64">
        <v>0</v>
      </c>
      <c r="P73" s="64">
        <v>0.41</v>
      </c>
      <c r="Q73" s="64">
        <v>9.2100000000000009</v>
      </c>
      <c r="R73" s="198"/>
      <c r="S73" s="198"/>
      <c r="T73" s="198"/>
      <c r="U73" s="198"/>
    </row>
    <row r="74" spans="1:21" s="12" customFormat="1" x14ac:dyDescent="0.25">
      <c r="A74" s="216" t="s">
        <v>2999</v>
      </c>
      <c r="B74" s="64">
        <v>2.38</v>
      </c>
      <c r="C74" s="64">
        <v>0.9</v>
      </c>
      <c r="D74" s="64">
        <v>3.52</v>
      </c>
      <c r="E74" s="64">
        <v>0.88</v>
      </c>
      <c r="F74" s="64">
        <v>10.37</v>
      </c>
      <c r="G74" s="64">
        <v>63.87</v>
      </c>
      <c r="H74" s="64">
        <v>28.9</v>
      </c>
      <c r="I74" s="64">
        <v>3.19</v>
      </c>
      <c r="J74" s="64">
        <v>0.54</v>
      </c>
      <c r="K74" s="64">
        <v>18.989999999999998</v>
      </c>
      <c r="L74" s="64">
        <v>41.84</v>
      </c>
      <c r="M74" s="64">
        <v>19.14</v>
      </c>
      <c r="N74" s="64">
        <v>147.30000000000001</v>
      </c>
      <c r="O74" s="64">
        <v>0</v>
      </c>
      <c r="P74" s="64">
        <v>0.4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6" t="s">
        <v>3000</v>
      </c>
      <c r="B75" s="64">
        <v>2.29</v>
      </c>
      <c r="C75" s="64">
        <v>0.34</v>
      </c>
      <c r="D75" s="64">
        <v>3.16</v>
      </c>
      <c r="E75" s="64">
        <v>0.71</v>
      </c>
      <c r="F75" s="64">
        <v>9.43</v>
      </c>
      <c r="G75" s="64">
        <v>59.45</v>
      </c>
      <c r="H75" s="64">
        <v>26.8</v>
      </c>
      <c r="I75" s="64">
        <v>2.98</v>
      </c>
      <c r="J75" s="64">
        <v>0.54</v>
      </c>
      <c r="K75" s="64">
        <v>23.3</v>
      </c>
      <c r="L75" s="64">
        <v>41.64</v>
      </c>
      <c r="M75" s="64">
        <v>19.059999999999999</v>
      </c>
      <c r="N75" s="64">
        <v>129.6</v>
      </c>
      <c r="O75" s="64">
        <v>0</v>
      </c>
      <c r="P75" s="64">
        <v>0.39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6" t="s">
        <v>3001</v>
      </c>
      <c r="B76" s="64">
        <v>2.35</v>
      </c>
      <c r="C76" s="64">
        <v>0.53</v>
      </c>
      <c r="D76" s="64">
        <v>3.31</v>
      </c>
      <c r="E76" s="64">
        <v>0.52</v>
      </c>
      <c r="F76" s="64">
        <v>9.01</v>
      </c>
      <c r="G76" s="64">
        <v>59.45</v>
      </c>
      <c r="H76" s="64">
        <v>26.8</v>
      </c>
      <c r="I76" s="64">
        <v>2.83</v>
      </c>
      <c r="J76" s="64">
        <v>0.6</v>
      </c>
      <c r="K76" s="64">
        <v>11.29</v>
      </c>
      <c r="L76" s="64">
        <v>41.41</v>
      </c>
      <c r="M76" s="64">
        <v>19.52</v>
      </c>
      <c r="N76" s="64">
        <v>112.8</v>
      </c>
      <c r="O76" s="64">
        <v>0</v>
      </c>
      <c r="P76" s="64">
        <v>0.38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6" t="s">
        <v>3002</v>
      </c>
      <c r="B77" s="64">
        <v>2.4900000000000002</v>
      </c>
      <c r="C77" s="64">
        <v>1.46</v>
      </c>
      <c r="D77" s="64">
        <v>3.9</v>
      </c>
      <c r="E77" s="64">
        <v>0.73</v>
      </c>
      <c r="F77" s="64">
        <v>8.74</v>
      </c>
      <c r="G77" s="64">
        <v>59.45</v>
      </c>
      <c r="H77" s="64">
        <v>26.8</v>
      </c>
      <c r="I77" s="64">
        <v>2.7</v>
      </c>
      <c r="J77" s="64">
        <v>0.59</v>
      </c>
      <c r="K77" s="64">
        <v>12.36</v>
      </c>
      <c r="L77" s="64">
        <v>41.15</v>
      </c>
      <c r="M77" s="64">
        <v>19.38</v>
      </c>
      <c r="N77" s="64">
        <v>91.3</v>
      </c>
      <c r="O77" s="64">
        <v>0</v>
      </c>
      <c r="P77" s="64">
        <v>0.38</v>
      </c>
      <c r="Q77" s="64">
        <v>9.2200000000000006</v>
      </c>
      <c r="R77" s="198"/>
      <c r="S77" s="198"/>
      <c r="T77" s="198"/>
      <c r="U77" s="198"/>
    </row>
    <row r="78" spans="1:21" s="12" customFormat="1" x14ac:dyDescent="0.25">
      <c r="A78" s="216" t="s">
        <v>3003</v>
      </c>
      <c r="B78" s="64">
        <v>2.38</v>
      </c>
      <c r="C78" s="64">
        <v>1</v>
      </c>
      <c r="D78" s="64">
        <v>3.57</v>
      </c>
      <c r="E78" s="64">
        <v>0.91</v>
      </c>
      <c r="F78" s="64">
        <v>8.33</v>
      </c>
      <c r="G78" s="64">
        <v>59.2</v>
      </c>
      <c r="H78" s="64">
        <v>26.49</v>
      </c>
      <c r="I78" s="64">
        <v>2.61</v>
      </c>
      <c r="J78" s="64">
        <v>0.47</v>
      </c>
      <c r="K78" s="64">
        <v>4.51</v>
      </c>
      <c r="L78" s="64">
        <v>40.86</v>
      </c>
      <c r="M78" s="64">
        <v>19.68</v>
      </c>
      <c r="N78" s="64">
        <v>66.3</v>
      </c>
      <c r="O78" s="64">
        <v>0</v>
      </c>
      <c r="P78" s="64">
        <v>0.38</v>
      </c>
      <c r="Q78" s="64">
        <v>9.24</v>
      </c>
      <c r="R78" s="198"/>
      <c r="S78" s="198"/>
      <c r="T78" s="198"/>
      <c r="U78" s="198"/>
    </row>
    <row r="79" spans="1:21" s="12" customFormat="1" x14ac:dyDescent="0.25">
      <c r="A79" s="216" t="s">
        <v>3004</v>
      </c>
      <c r="B79" s="64">
        <v>2.2999999999999998</v>
      </c>
      <c r="C79" s="64">
        <v>0.39</v>
      </c>
      <c r="D79" s="64">
        <v>3.19</v>
      </c>
      <c r="E79" s="64">
        <v>0.88</v>
      </c>
      <c r="F79" s="64">
        <v>7.54</v>
      </c>
      <c r="G79" s="64">
        <v>56.27</v>
      </c>
      <c r="H79" s="64">
        <v>22.85</v>
      </c>
      <c r="I79" s="64">
        <v>2.5099999999999998</v>
      </c>
      <c r="J79" s="64">
        <v>0.51</v>
      </c>
      <c r="K79" s="64">
        <v>23.11</v>
      </c>
      <c r="L79" s="64">
        <v>40.5</v>
      </c>
      <c r="M79" s="64">
        <v>20.23</v>
      </c>
      <c r="N79" s="64">
        <v>45.2</v>
      </c>
      <c r="O79" s="64">
        <v>0</v>
      </c>
      <c r="P79" s="64">
        <v>0.38</v>
      </c>
      <c r="Q79" s="64">
        <v>9.24</v>
      </c>
      <c r="R79" s="198"/>
      <c r="S79" s="198"/>
      <c r="T79" s="198"/>
      <c r="U79" s="198"/>
    </row>
    <row r="80" spans="1:21" s="12" customFormat="1" x14ac:dyDescent="0.25">
      <c r="A80" s="216" t="s">
        <v>3005</v>
      </c>
      <c r="B80" s="64">
        <v>2.29</v>
      </c>
      <c r="C80" s="64">
        <v>0.31</v>
      </c>
      <c r="D80" s="64">
        <v>3.14</v>
      </c>
      <c r="E80" s="64">
        <v>0.98</v>
      </c>
      <c r="F80" s="64">
        <v>7.18</v>
      </c>
      <c r="G80" s="64">
        <v>56.27</v>
      </c>
      <c r="H80" s="64">
        <v>22.85</v>
      </c>
      <c r="I80" s="64">
        <v>2.48</v>
      </c>
      <c r="J80" s="64">
        <v>0.36</v>
      </c>
      <c r="K80" s="64">
        <v>25.21</v>
      </c>
      <c r="L80" s="64">
        <v>40.020000000000003</v>
      </c>
      <c r="M80" s="64">
        <v>21.76</v>
      </c>
      <c r="N80" s="64">
        <v>32.1</v>
      </c>
      <c r="O80" s="64">
        <v>0</v>
      </c>
      <c r="P80" s="64">
        <v>0.39</v>
      </c>
      <c r="Q80" s="64">
        <v>9.23</v>
      </c>
      <c r="R80" s="198"/>
      <c r="S80" s="198"/>
      <c r="T80" s="198"/>
      <c r="U80" s="198"/>
    </row>
    <row r="81" spans="1:26" s="12" customFormat="1" x14ac:dyDescent="0.25">
      <c r="A81" s="216" t="s">
        <v>3006</v>
      </c>
      <c r="B81" s="64">
        <v>2.4700000000000002</v>
      </c>
      <c r="C81" s="64">
        <v>1.45</v>
      </c>
      <c r="D81" s="64">
        <v>3.88</v>
      </c>
      <c r="E81" s="64">
        <v>1.05</v>
      </c>
      <c r="F81" s="64">
        <v>7.72</v>
      </c>
      <c r="G81" s="64">
        <v>56.27</v>
      </c>
      <c r="H81" s="64">
        <v>22.85</v>
      </c>
      <c r="I81" s="64">
        <v>2.5099999999999998</v>
      </c>
      <c r="J81" s="64">
        <v>0.42</v>
      </c>
      <c r="K81" s="64">
        <v>356.02</v>
      </c>
      <c r="L81" s="64">
        <v>39.67</v>
      </c>
      <c r="M81" s="64">
        <v>22.53</v>
      </c>
      <c r="N81" s="64">
        <v>22.5</v>
      </c>
      <c r="O81" s="64">
        <v>0</v>
      </c>
      <c r="P81" s="64">
        <v>0.41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6" t="s">
        <v>3007</v>
      </c>
      <c r="B82" s="64">
        <v>2.37</v>
      </c>
      <c r="C82" s="64">
        <v>0.76</v>
      </c>
      <c r="D82" s="64">
        <v>3.45</v>
      </c>
      <c r="E82" s="64">
        <v>0.9</v>
      </c>
      <c r="F82" s="64">
        <v>6.87</v>
      </c>
      <c r="G82" s="64">
        <v>56.74</v>
      </c>
      <c r="H82" s="64">
        <v>23.01</v>
      </c>
      <c r="I82" s="64">
        <v>2.64</v>
      </c>
      <c r="J82" s="64">
        <v>0.46</v>
      </c>
      <c r="K82" s="64">
        <v>5.74</v>
      </c>
      <c r="L82" s="64">
        <v>39.369999999999997</v>
      </c>
      <c r="M82" s="64">
        <v>23.21</v>
      </c>
      <c r="N82" s="64">
        <v>15.8</v>
      </c>
      <c r="O82" s="64">
        <v>0</v>
      </c>
      <c r="P82" s="64">
        <v>0.42</v>
      </c>
      <c r="Q82" s="64">
        <v>9.25</v>
      </c>
      <c r="R82" s="198"/>
      <c r="S82" s="198"/>
      <c r="T82" s="198"/>
      <c r="U82" s="198"/>
    </row>
    <row r="83" spans="1:26" s="12" customFormat="1" x14ac:dyDescent="0.25">
      <c r="A83" s="216" t="s">
        <v>3008</v>
      </c>
      <c r="B83" s="64">
        <v>2.35</v>
      </c>
      <c r="C83" s="64">
        <v>0.49</v>
      </c>
      <c r="D83" s="64">
        <v>3.29</v>
      </c>
      <c r="E83" s="64">
        <v>0.66</v>
      </c>
      <c r="F83" s="64">
        <v>6.27</v>
      </c>
      <c r="G83" s="64">
        <v>62.28</v>
      </c>
      <c r="H83" s="64">
        <v>24.98</v>
      </c>
      <c r="I83" s="64">
        <v>2.81</v>
      </c>
      <c r="J83" s="64">
        <v>0.42</v>
      </c>
      <c r="K83" s="64">
        <v>18.16</v>
      </c>
      <c r="L83" s="64">
        <v>38.94</v>
      </c>
      <c r="M83" s="64">
        <v>24.5</v>
      </c>
      <c r="N83" s="64">
        <v>12.2</v>
      </c>
      <c r="O83" s="64">
        <v>0</v>
      </c>
      <c r="P83" s="64">
        <v>0.43</v>
      </c>
      <c r="Q83" s="64">
        <v>9.26</v>
      </c>
      <c r="R83" s="198"/>
      <c r="S83" s="198"/>
      <c r="T83" s="198"/>
      <c r="U83" s="198"/>
    </row>
    <row r="84" spans="1:26" s="12" customFormat="1" x14ac:dyDescent="0.25">
      <c r="A84" s="216" t="s">
        <v>3009</v>
      </c>
      <c r="B84" s="64">
        <v>2.33</v>
      </c>
      <c r="C84" s="64">
        <v>0.42</v>
      </c>
      <c r="D84" s="64">
        <v>3.23</v>
      </c>
      <c r="E84" s="64">
        <v>1.08</v>
      </c>
      <c r="F84" s="64">
        <v>5.64</v>
      </c>
      <c r="G84" s="64">
        <v>62.28</v>
      </c>
      <c r="H84" s="64">
        <v>24.98</v>
      </c>
      <c r="I84" s="64">
        <v>3.19</v>
      </c>
      <c r="J84" s="64">
        <v>0.22</v>
      </c>
      <c r="K84" s="64">
        <v>308.58999999999997</v>
      </c>
      <c r="L84" s="64">
        <v>38.520000000000003</v>
      </c>
      <c r="M84" s="64">
        <v>25.46</v>
      </c>
      <c r="N84" s="64">
        <v>10.8</v>
      </c>
      <c r="O84" s="64">
        <v>0</v>
      </c>
      <c r="P84" s="64">
        <v>0.46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6" t="s">
        <v>3010</v>
      </c>
      <c r="B85" s="64">
        <v>2.33</v>
      </c>
      <c r="C85" s="64">
        <v>0.33</v>
      </c>
      <c r="D85" s="64">
        <v>3.18</v>
      </c>
      <c r="E85" s="64">
        <v>1.01</v>
      </c>
      <c r="F85" s="64">
        <v>5.29</v>
      </c>
      <c r="G85" s="64">
        <v>62.28</v>
      </c>
      <c r="H85" s="64">
        <v>24.98</v>
      </c>
      <c r="I85" s="64">
        <v>3.38</v>
      </c>
      <c r="J85" s="64">
        <v>0.25</v>
      </c>
      <c r="K85" s="64">
        <v>324.48</v>
      </c>
      <c r="L85" s="64">
        <v>38.18</v>
      </c>
      <c r="M85" s="64">
        <v>25.64</v>
      </c>
      <c r="N85" s="64">
        <v>10.6</v>
      </c>
      <c r="O85" s="64">
        <v>0</v>
      </c>
      <c r="P85" s="64">
        <v>0.47</v>
      </c>
      <c r="Q85" s="64">
        <v>9.3000000000000007</v>
      </c>
      <c r="R85" s="198"/>
      <c r="S85" s="198"/>
      <c r="T85" s="198"/>
      <c r="U85" s="198"/>
    </row>
    <row r="86" spans="1:26" s="12" customFormat="1" x14ac:dyDescent="0.25">
      <c r="A86" s="216" t="s">
        <v>3011</v>
      </c>
      <c r="B86" s="64">
        <v>2.5099999999999998</v>
      </c>
      <c r="C86" s="64">
        <v>1.3</v>
      </c>
      <c r="D86" s="64">
        <v>3.84</v>
      </c>
      <c r="E86" s="64">
        <v>0.89</v>
      </c>
      <c r="F86" s="64">
        <v>5.13</v>
      </c>
      <c r="G86" s="64">
        <v>62.67</v>
      </c>
      <c r="H86" s="64">
        <v>25.13</v>
      </c>
      <c r="I86" s="64">
        <v>3.63</v>
      </c>
      <c r="J86" s="64">
        <v>0.41</v>
      </c>
      <c r="K86" s="64">
        <v>19.28</v>
      </c>
      <c r="L86" s="64">
        <v>37.93</v>
      </c>
      <c r="M86" s="64">
        <v>25.81</v>
      </c>
      <c r="N86" s="64">
        <v>10.4</v>
      </c>
      <c r="O86" s="64">
        <v>0</v>
      </c>
      <c r="P86" s="64">
        <v>0.52</v>
      </c>
      <c r="Q86" s="64">
        <v>9.33</v>
      </c>
      <c r="R86" s="198"/>
      <c r="S86" s="198"/>
      <c r="T86" s="198"/>
      <c r="U86" s="198"/>
    </row>
    <row r="87" spans="1:26" s="12" customFormat="1" x14ac:dyDescent="0.25">
      <c r="A87" s="216" t="s">
        <v>3012</v>
      </c>
      <c r="B87" s="64">
        <v>2.5099999999999998</v>
      </c>
      <c r="C87" s="64">
        <v>1.29</v>
      </c>
      <c r="D87" s="64">
        <v>3.83</v>
      </c>
      <c r="E87" s="64">
        <v>0.79</v>
      </c>
      <c r="F87" s="64">
        <v>5.31</v>
      </c>
      <c r="G87" s="64">
        <v>67.36</v>
      </c>
      <c r="H87" s="64">
        <v>26.89</v>
      </c>
      <c r="I87" s="64">
        <v>4.1399999999999997</v>
      </c>
      <c r="J87" s="64">
        <v>0.35</v>
      </c>
      <c r="K87" s="64">
        <v>0.88</v>
      </c>
      <c r="L87" s="64">
        <v>37.68</v>
      </c>
      <c r="M87" s="64">
        <v>26.03</v>
      </c>
      <c r="N87" s="64">
        <v>10.4</v>
      </c>
      <c r="O87" s="64">
        <v>0</v>
      </c>
      <c r="P87" s="64">
        <v>0.53</v>
      </c>
      <c r="Q87" s="64">
        <v>9.35</v>
      </c>
      <c r="R87" s="198"/>
      <c r="S87" s="198"/>
      <c r="T87" s="198"/>
      <c r="U87" s="198"/>
    </row>
    <row r="88" spans="1:26" s="12" customFormat="1" x14ac:dyDescent="0.25">
      <c r="A88" s="216" t="s">
        <v>3013</v>
      </c>
      <c r="B88" s="64">
        <v>2.34</v>
      </c>
      <c r="C88" s="64">
        <v>0.53</v>
      </c>
      <c r="D88" s="64">
        <v>3.3</v>
      </c>
      <c r="E88" s="64">
        <v>0.91</v>
      </c>
      <c r="F88" s="64">
        <v>4.49</v>
      </c>
      <c r="G88" s="64">
        <v>67.36</v>
      </c>
      <c r="H88" s="64">
        <v>26.89</v>
      </c>
      <c r="I88" s="64">
        <v>4.8600000000000003</v>
      </c>
      <c r="J88" s="64">
        <v>0.13</v>
      </c>
      <c r="K88" s="64">
        <v>247.55</v>
      </c>
      <c r="L88" s="64">
        <v>37.049999999999997</v>
      </c>
      <c r="M88" s="64">
        <v>27.27</v>
      </c>
      <c r="N88" s="64">
        <v>10.7</v>
      </c>
      <c r="O88" s="64">
        <v>0</v>
      </c>
      <c r="P88" s="64">
        <v>0.53</v>
      </c>
      <c r="Q88" s="64">
        <v>9.3699999999999992</v>
      </c>
      <c r="R88" s="198"/>
      <c r="S88" s="198"/>
      <c r="T88" s="198"/>
      <c r="U88" s="198"/>
    </row>
    <row r="89" spans="1:26" s="12" customFormat="1" x14ac:dyDescent="0.25">
      <c r="A89" s="216" t="s">
        <v>3014</v>
      </c>
      <c r="B89" s="64">
        <v>2.42</v>
      </c>
      <c r="C89" s="64">
        <v>0.92</v>
      </c>
      <c r="D89" s="64">
        <v>3.57</v>
      </c>
      <c r="E89" s="64">
        <v>1.17</v>
      </c>
      <c r="F89" s="64">
        <v>5.08</v>
      </c>
      <c r="G89" s="64">
        <v>67.36</v>
      </c>
      <c r="H89" s="64">
        <v>26.89</v>
      </c>
      <c r="I89" s="64">
        <v>5.21</v>
      </c>
      <c r="J89" s="64">
        <v>0.11</v>
      </c>
      <c r="K89" s="64">
        <v>200.87</v>
      </c>
      <c r="L89" s="64">
        <v>36.79</v>
      </c>
      <c r="M89" s="64">
        <v>26.98</v>
      </c>
      <c r="N89" s="64">
        <v>10.4</v>
      </c>
      <c r="O89" s="64">
        <v>0</v>
      </c>
      <c r="P89" s="64">
        <v>0.55000000000000004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6" t="s">
        <v>3015</v>
      </c>
      <c r="B90" s="64">
        <v>2.41</v>
      </c>
      <c r="C90" s="64">
        <v>0.97</v>
      </c>
      <c r="D90" s="64">
        <v>3.58</v>
      </c>
      <c r="E90" s="64">
        <v>1.23</v>
      </c>
      <c r="F90" s="64">
        <v>4.62</v>
      </c>
      <c r="G90" s="64">
        <v>68.02</v>
      </c>
      <c r="H90" s="64">
        <v>27</v>
      </c>
      <c r="I90" s="64">
        <v>5.37</v>
      </c>
      <c r="J90" s="64">
        <v>0.26</v>
      </c>
      <c r="K90" s="64">
        <v>189.36</v>
      </c>
      <c r="L90" s="64">
        <v>36.36</v>
      </c>
      <c r="M90" s="64">
        <v>27.85</v>
      </c>
      <c r="N90" s="64">
        <v>10.6</v>
      </c>
      <c r="O90" s="64">
        <v>0</v>
      </c>
      <c r="P90" s="64">
        <v>0.56000000000000005</v>
      </c>
      <c r="Q90" s="64">
        <v>9.39</v>
      </c>
      <c r="R90" s="198"/>
      <c r="S90" s="198"/>
      <c r="T90" s="198"/>
      <c r="U90" s="198"/>
    </row>
    <row r="91" spans="1:26" s="12" customFormat="1" x14ac:dyDescent="0.25">
      <c r="A91" s="216" t="s">
        <v>3016</v>
      </c>
      <c r="B91" s="64">
        <v>2.33</v>
      </c>
      <c r="C91" s="64">
        <v>0.39</v>
      </c>
      <c r="D91" s="64">
        <v>3.21</v>
      </c>
      <c r="E91" s="64">
        <v>1.07</v>
      </c>
      <c r="F91" s="64">
        <v>4.6399999999999997</v>
      </c>
      <c r="G91" s="64">
        <v>75.81</v>
      </c>
      <c r="H91" s="64">
        <v>28.27</v>
      </c>
      <c r="I91" s="64">
        <v>5.46</v>
      </c>
      <c r="J91" s="64">
        <v>0.14000000000000001</v>
      </c>
      <c r="K91" s="64">
        <v>233.52</v>
      </c>
      <c r="L91" s="64">
        <v>35.74</v>
      </c>
      <c r="M91" s="64">
        <v>29.14</v>
      </c>
      <c r="N91" s="64">
        <v>10.9</v>
      </c>
      <c r="O91" s="64">
        <v>0</v>
      </c>
      <c r="P91" s="64">
        <v>0.6</v>
      </c>
      <c r="Q91" s="64">
        <v>9.34</v>
      </c>
      <c r="R91" s="198"/>
      <c r="S91" s="198"/>
      <c r="T91" s="198"/>
      <c r="U91" s="198"/>
    </row>
    <row r="92" spans="1:26" s="12" customFormat="1" x14ac:dyDescent="0.25">
      <c r="A92" s="216" t="s">
        <v>3017</v>
      </c>
      <c r="B92" s="64">
        <v>2.34</v>
      </c>
      <c r="C92" s="64">
        <v>0.45</v>
      </c>
      <c r="D92" s="64">
        <v>3.26</v>
      </c>
      <c r="E92" s="64">
        <v>1.08</v>
      </c>
      <c r="F92" s="64">
        <v>4.67</v>
      </c>
      <c r="G92" s="64">
        <v>75.81</v>
      </c>
      <c r="H92" s="64">
        <v>28.27</v>
      </c>
      <c r="I92" s="64">
        <v>5.56</v>
      </c>
      <c r="J92" s="64">
        <v>0.22</v>
      </c>
      <c r="K92" s="64">
        <v>135.94</v>
      </c>
      <c r="L92" s="64">
        <v>35.4</v>
      </c>
      <c r="M92" s="64">
        <v>29.61</v>
      </c>
      <c r="N92" s="64">
        <v>10.7</v>
      </c>
      <c r="O92" s="64">
        <v>0</v>
      </c>
      <c r="P92" s="64">
        <v>0.6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6" t="s">
        <v>3018</v>
      </c>
      <c r="B93" s="64">
        <v>2.56</v>
      </c>
      <c r="C93" s="64">
        <v>1.83</v>
      </c>
      <c r="D93" s="64">
        <v>4.16</v>
      </c>
      <c r="E93" s="64">
        <v>1.18</v>
      </c>
      <c r="F93" s="64">
        <v>4.3</v>
      </c>
      <c r="G93" s="64">
        <v>75.81</v>
      </c>
      <c r="H93" s="64">
        <v>28.27</v>
      </c>
      <c r="I93" s="64">
        <v>5.86</v>
      </c>
      <c r="J93" s="64">
        <v>0.53</v>
      </c>
      <c r="K93" s="64">
        <v>197.91</v>
      </c>
      <c r="L93" s="64">
        <v>35.18</v>
      </c>
      <c r="M93" s="64">
        <v>29.69</v>
      </c>
      <c r="N93" s="64">
        <v>10.5</v>
      </c>
      <c r="O93" s="64">
        <v>0</v>
      </c>
      <c r="P93" s="64">
        <v>0.63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6" t="s">
        <v>3019</v>
      </c>
      <c r="B94" s="64">
        <v>2.37</v>
      </c>
      <c r="C94" s="64">
        <v>0.66</v>
      </c>
      <c r="D94" s="64">
        <v>3.39</v>
      </c>
      <c r="E94" s="64">
        <v>1.41</v>
      </c>
      <c r="F94" s="64">
        <v>3.9</v>
      </c>
      <c r="G94" s="64">
        <v>76.12</v>
      </c>
      <c r="H94" s="64">
        <v>28.44</v>
      </c>
      <c r="I94" s="64">
        <v>6.07</v>
      </c>
      <c r="J94" s="64">
        <v>0.51</v>
      </c>
      <c r="K94" s="64">
        <v>173.1</v>
      </c>
      <c r="L94" s="64">
        <v>35.06</v>
      </c>
      <c r="M94" s="64">
        <v>30.11</v>
      </c>
      <c r="N94" s="64">
        <v>10.5</v>
      </c>
      <c r="O94" s="64">
        <v>0</v>
      </c>
      <c r="P94" s="64">
        <v>0.64</v>
      </c>
      <c r="Q94" s="64">
        <v>9.43</v>
      </c>
      <c r="R94" s="198"/>
      <c r="S94" s="198"/>
      <c r="T94" s="198"/>
      <c r="U94" s="198"/>
    </row>
    <row r="95" spans="1:26" s="12" customFormat="1" x14ac:dyDescent="0.25">
      <c r="A95" s="216" t="s">
        <v>3020</v>
      </c>
      <c r="B95" s="64">
        <v>2.35</v>
      </c>
      <c r="C95" s="64">
        <v>0.48</v>
      </c>
      <c r="D95" s="64">
        <v>3.28</v>
      </c>
      <c r="E95" s="64">
        <v>1.38</v>
      </c>
      <c r="F95" s="64">
        <v>3.77</v>
      </c>
      <c r="G95" s="64">
        <v>79.84</v>
      </c>
      <c r="H95" s="64">
        <v>30.4</v>
      </c>
      <c r="I95" s="64">
        <v>6.23</v>
      </c>
      <c r="J95" s="64">
        <v>0.45</v>
      </c>
      <c r="K95" s="64">
        <v>224.9</v>
      </c>
      <c r="L95" s="64">
        <v>35.07</v>
      </c>
      <c r="M95" s="64">
        <v>29.51</v>
      </c>
      <c r="N95" s="64">
        <v>10.4</v>
      </c>
      <c r="O95" s="64">
        <v>0</v>
      </c>
      <c r="P95" s="64">
        <v>0.64</v>
      </c>
      <c r="Q95" s="64">
        <v>9.41</v>
      </c>
      <c r="R95" s="198"/>
      <c r="S95" s="198"/>
      <c r="T95" s="198"/>
      <c r="U95" s="198"/>
    </row>
    <row r="96" spans="1:26" s="12" customFormat="1" x14ac:dyDescent="0.25">
      <c r="A96" s="216" t="s">
        <v>3021</v>
      </c>
      <c r="B96" s="64">
        <v>2.58</v>
      </c>
      <c r="C96" s="64">
        <v>1.71</v>
      </c>
      <c r="D96" s="64">
        <v>4.1100000000000003</v>
      </c>
      <c r="E96" s="64">
        <v>1.46</v>
      </c>
      <c r="F96" s="64">
        <v>3.88</v>
      </c>
      <c r="G96" s="64">
        <v>79.84</v>
      </c>
      <c r="H96" s="64">
        <v>30.4</v>
      </c>
      <c r="I96" s="64">
        <v>6.28</v>
      </c>
      <c r="J96" s="64">
        <v>0.42</v>
      </c>
      <c r="K96" s="64">
        <v>199.2</v>
      </c>
      <c r="L96" s="64">
        <v>35.1</v>
      </c>
      <c r="M96" s="64">
        <v>29.21</v>
      </c>
      <c r="N96" s="64">
        <v>10.6</v>
      </c>
      <c r="O96" s="64">
        <v>0</v>
      </c>
      <c r="P96" s="64">
        <v>0.63</v>
      </c>
      <c r="Q96" s="64">
        <v>9.4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3022</v>
      </c>
      <c r="B97" s="64">
        <v>2.37</v>
      </c>
      <c r="C97" s="64">
        <v>0.52</v>
      </c>
      <c r="D97" s="64">
        <v>3.31</v>
      </c>
      <c r="E97" s="64">
        <v>1.17</v>
      </c>
      <c r="F97" s="64">
        <v>4.0999999999999996</v>
      </c>
      <c r="G97" s="64">
        <v>79.84</v>
      </c>
      <c r="H97" s="64">
        <v>30.4</v>
      </c>
      <c r="I97" s="64">
        <v>6.37</v>
      </c>
      <c r="J97" s="64">
        <v>0.39</v>
      </c>
      <c r="K97" s="64">
        <v>232.07</v>
      </c>
      <c r="L97" s="64">
        <v>35.03</v>
      </c>
      <c r="M97" s="64">
        <v>29.88</v>
      </c>
      <c r="N97" s="64">
        <v>10.9</v>
      </c>
      <c r="O97" s="64">
        <v>0</v>
      </c>
      <c r="P97" s="64">
        <v>0.63</v>
      </c>
      <c r="Q97" s="64">
        <v>9.3699999999999992</v>
      </c>
      <c r="R97" s="198"/>
      <c r="S97" s="198"/>
      <c r="T97" s="198"/>
      <c r="U97" s="198"/>
    </row>
    <row r="98" spans="1:33" s="12" customFormat="1" x14ac:dyDescent="0.25">
      <c r="A98" s="216" t="s">
        <v>3023</v>
      </c>
      <c r="B98" s="64">
        <v>2.34</v>
      </c>
      <c r="C98" s="64">
        <v>0.36</v>
      </c>
      <c r="D98" s="64">
        <v>3.21</v>
      </c>
      <c r="E98" s="64">
        <v>1.42</v>
      </c>
      <c r="F98" s="64">
        <v>4.1399999999999997</v>
      </c>
      <c r="G98" s="64">
        <v>79.69</v>
      </c>
      <c r="H98" s="64">
        <v>30.44</v>
      </c>
      <c r="I98" s="64">
        <v>6.45</v>
      </c>
      <c r="J98" s="64">
        <v>0.28999999999999998</v>
      </c>
      <c r="K98" s="64">
        <v>249.23</v>
      </c>
      <c r="L98" s="64">
        <v>34.869999999999997</v>
      </c>
      <c r="M98" s="64">
        <v>30.27</v>
      </c>
      <c r="N98" s="64">
        <v>10.9</v>
      </c>
      <c r="O98" s="64">
        <v>0</v>
      </c>
      <c r="P98" s="64">
        <v>0.62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6" t="s">
        <v>3024</v>
      </c>
      <c r="B99" s="64">
        <v>2.5499999999999998</v>
      </c>
      <c r="C99" s="64">
        <v>1.5</v>
      </c>
      <c r="D99" s="64">
        <v>3.98</v>
      </c>
      <c r="E99" s="64">
        <v>1.0900000000000001</v>
      </c>
      <c r="F99" s="64">
        <v>4.37</v>
      </c>
      <c r="G99" s="64">
        <v>77.92</v>
      </c>
      <c r="H99" s="64">
        <v>30.84</v>
      </c>
      <c r="I99" s="64">
        <v>6.46</v>
      </c>
      <c r="J99" s="64">
        <v>0.38</v>
      </c>
      <c r="K99" s="64">
        <v>224.32</v>
      </c>
      <c r="L99" s="64">
        <v>34.69</v>
      </c>
      <c r="M99" s="64">
        <v>30.88</v>
      </c>
      <c r="N99" s="64">
        <v>10.6</v>
      </c>
      <c r="O99" s="64">
        <v>0</v>
      </c>
      <c r="P99" s="64">
        <v>0.62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6" t="s">
        <v>3025</v>
      </c>
      <c r="B100" s="64">
        <v>2.4300000000000002</v>
      </c>
      <c r="C100" s="64">
        <v>0.81</v>
      </c>
      <c r="D100" s="64">
        <v>3.52</v>
      </c>
      <c r="E100" s="64">
        <v>0.7</v>
      </c>
      <c r="F100" s="64">
        <v>4.29</v>
      </c>
      <c r="G100" s="64">
        <v>77.92</v>
      </c>
      <c r="H100" s="64">
        <v>30.84</v>
      </c>
      <c r="I100" s="64">
        <v>5.83</v>
      </c>
      <c r="J100" s="64">
        <v>0.66</v>
      </c>
      <c r="K100" s="64">
        <v>170.99</v>
      </c>
      <c r="L100" s="64">
        <v>34.61</v>
      </c>
      <c r="M100" s="64">
        <v>31.58</v>
      </c>
      <c r="N100" s="64">
        <v>10.5</v>
      </c>
      <c r="O100" s="64">
        <v>0</v>
      </c>
      <c r="P100" s="64">
        <v>0.62</v>
      </c>
      <c r="Q100" s="64">
        <v>9.34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3026</v>
      </c>
      <c r="B101" s="64">
        <v>2.36</v>
      </c>
      <c r="C101" s="64">
        <v>0.36</v>
      </c>
      <c r="D101" s="64">
        <v>3.23</v>
      </c>
      <c r="E101" s="64">
        <v>0.89</v>
      </c>
      <c r="F101" s="64">
        <v>4.1100000000000003</v>
      </c>
      <c r="G101" s="64">
        <v>77.92</v>
      </c>
      <c r="H101" s="64">
        <v>30.84</v>
      </c>
      <c r="I101" s="64">
        <v>5.55</v>
      </c>
      <c r="J101" s="64">
        <v>0.56999999999999995</v>
      </c>
      <c r="K101" s="64">
        <v>161.54</v>
      </c>
      <c r="L101" s="64">
        <v>34.4</v>
      </c>
      <c r="M101" s="64">
        <v>32.31</v>
      </c>
      <c r="N101" s="64">
        <v>10.8</v>
      </c>
      <c r="O101" s="64">
        <v>0</v>
      </c>
      <c r="P101" s="64">
        <v>0.62</v>
      </c>
      <c r="Q101" s="64">
        <v>9.3800000000000008</v>
      </c>
      <c r="R101" s="198"/>
      <c r="S101" s="198"/>
      <c r="T101" s="198"/>
      <c r="U101" s="198"/>
    </row>
    <row r="102" spans="1:33" s="12" customFormat="1" x14ac:dyDescent="0.25">
      <c r="A102" s="216" t="s">
        <v>3027</v>
      </c>
      <c r="B102" s="64">
        <v>2.36</v>
      </c>
      <c r="C102" s="64">
        <v>0.32</v>
      </c>
      <c r="D102" s="64">
        <v>3.21</v>
      </c>
      <c r="E102" s="64">
        <v>0.99</v>
      </c>
      <c r="F102" s="64">
        <v>4.05</v>
      </c>
      <c r="G102" s="64">
        <v>78.010000000000005</v>
      </c>
      <c r="H102" s="64">
        <v>30.72</v>
      </c>
      <c r="I102" s="64">
        <v>5.77</v>
      </c>
      <c r="J102" s="64">
        <v>0.42</v>
      </c>
      <c r="K102" s="64">
        <v>241.96</v>
      </c>
      <c r="L102" s="64">
        <v>34.33</v>
      </c>
      <c r="M102" s="64">
        <v>32.369999999999997</v>
      </c>
      <c r="N102" s="64">
        <v>11</v>
      </c>
      <c r="O102" s="64">
        <v>0</v>
      </c>
      <c r="P102" s="64">
        <v>0.61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6" t="s">
        <v>3028</v>
      </c>
      <c r="B103" s="64">
        <v>2.44</v>
      </c>
      <c r="C103" s="64">
        <v>0.63</v>
      </c>
      <c r="D103" s="64">
        <v>3.43</v>
      </c>
      <c r="E103" s="64">
        <v>0.73</v>
      </c>
      <c r="F103" s="64">
        <v>4.07</v>
      </c>
      <c r="G103" s="64">
        <v>79.14</v>
      </c>
      <c r="H103" s="64">
        <v>29.24</v>
      </c>
      <c r="I103" s="64">
        <v>5.99</v>
      </c>
      <c r="J103" s="64">
        <v>0.17</v>
      </c>
      <c r="K103" s="64">
        <v>193.49</v>
      </c>
      <c r="L103" s="64">
        <v>34.01</v>
      </c>
      <c r="M103" s="64">
        <v>33.14</v>
      </c>
      <c r="N103" s="64">
        <v>11.1</v>
      </c>
      <c r="O103" s="64">
        <v>0</v>
      </c>
      <c r="P103" s="64">
        <v>0.61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16" t="s">
        <v>3029</v>
      </c>
      <c r="B104" s="64">
        <v>2.6</v>
      </c>
      <c r="C104" s="64">
        <v>1.35</v>
      </c>
      <c r="D104" s="64">
        <v>3.94</v>
      </c>
      <c r="E104" s="64">
        <v>1.1499999999999999</v>
      </c>
      <c r="F104" s="64">
        <v>3.96</v>
      </c>
      <c r="G104" s="64">
        <v>79.14</v>
      </c>
      <c r="H104" s="64">
        <v>29.24</v>
      </c>
      <c r="I104" s="64">
        <v>6.05</v>
      </c>
      <c r="J104" s="64">
        <v>0.46</v>
      </c>
      <c r="K104" s="64">
        <v>181.75</v>
      </c>
      <c r="L104" s="64">
        <v>33.770000000000003</v>
      </c>
      <c r="M104" s="64">
        <v>33.770000000000003</v>
      </c>
      <c r="N104" s="64">
        <v>10.8</v>
      </c>
      <c r="O104" s="64">
        <v>0</v>
      </c>
      <c r="P104" s="64">
        <v>0.62</v>
      </c>
      <c r="Q104" s="64">
        <v>9.43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2.29</v>
      </c>
      <c r="C106" s="67">
        <f>MIN(C9:C104)</f>
        <v>0.24</v>
      </c>
      <c r="D106" s="67">
        <f t="shared" ref="D106:Q106" si="0">MIN(D9:D104)</f>
        <v>3.14</v>
      </c>
      <c r="E106" s="67">
        <f t="shared" si="0"/>
        <v>0.49</v>
      </c>
      <c r="F106" s="67">
        <f t="shared" si="0"/>
        <v>3.6</v>
      </c>
      <c r="G106" s="67">
        <f t="shared" si="0"/>
        <v>38.72</v>
      </c>
      <c r="H106" s="67">
        <f t="shared" si="0"/>
        <v>16.399999999999999</v>
      </c>
      <c r="I106" s="67">
        <f t="shared" si="0"/>
        <v>2.48</v>
      </c>
      <c r="J106" s="67">
        <f t="shared" si="0"/>
        <v>0.06</v>
      </c>
      <c r="K106" s="67">
        <f t="shared" si="0"/>
        <v>0.88</v>
      </c>
      <c r="L106" s="67">
        <f t="shared" si="0"/>
        <v>32.619999999999997</v>
      </c>
      <c r="M106" s="67">
        <f t="shared" si="0"/>
        <v>13.92</v>
      </c>
      <c r="N106" s="67">
        <f t="shared" si="0"/>
        <v>10.4</v>
      </c>
      <c r="O106" s="67">
        <f t="shared" si="0"/>
        <v>0</v>
      </c>
      <c r="P106" s="67">
        <f t="shared" si="0"/>
        <v>0.31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2.6</v>
      </c>
      <c r="C107" s="66">
        <f t="shared" ref="C107:Q107" si="1">MAX(C9:C104)</f>
        <v>1.83</v>
      </c>
      <c r="D107" s="66">
        <f t="shared" si="1"/>
        <v>4.16</v>
      </c>
      <c r="E107" s="66">
        <f t="shared" si="1"/>
        <v>2.33</v>
      </c>
      <c r="F107" s="66">
        <f t="shared" si="1"/>
        <v>11.4</v>
      </c>
      <c r="G107" s="66">
        <f t="shared" si="1"/>
        <v>79.84</v>
      </c>
      <c r="H107" s="66">
        <f t="shared" si="1"/>
        <v>30.84</v>
      </c>
      <c r="I107" s="66">
        <f t="shared" si="1"/>
        <v>6.46</v>
      </c>
      <c r="J107" s="66">
        <f t="shared" si="1"/>
        <v>1.33</v>
      </c>
      <c r="K107" s="66">
        <f t="shared" si="1"/>
        <v>359.44</v>
      </c>
      <c r="L107" s="66">
        <f t="shared" si="1"/>
        <v>46.31</v>
      </c>
      <c r="M107" s="66">
        <f t="shared" si="1"/>
        <v>53.45</v>
      </c>
      <c r="N107" s="66">
        <f t="shared" si="1"/>
        <v>844.1</v>
      </c>
      <c r="O107" s="66">
        <f t="shared" si="1"/>
        <v>0</v>
      </c>
      <c r="P107" s="66">
        <f t="shared" si="1"/>
        <v>0.67</v>
      </c>
      <c r="Q107" s="66">
        <f t="shared" si="1"/>
        <v>9.43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2.4018750000000009</v>
      </c>
      <c r="C108" s="67">
        <f t="shared" ref="C108:Q108" si="2">AVERAGE(C9:C104)</f>
        <v>0.68010416666666673</v>
      </c>
      <c r="D108" s="67">
        <f t="shared" si="2"/>
        <v>3.426770833333332</v>
      </c>
      <c r="E108" s="67">
        <f t="shared" si="2"/>
        <v>1.1630208333333334</v>
      </c>
      <c r="F108" s="67">
        <f t="shared" si="2"/>
        <v>6.1390625000000005</v>
      </c>
      <c r="G108" s="67">
        <f t="shared" si="2"/>
        <v>57.676666666666669</v>
      </c>
      <c r="H108" s="67">
        <f t="shared" si="2"/>
        <v>22.936249999999998</v>
      </c>
      <c r="I108" s="67">
        <f t="shared" si="2"/>
        <v>4.5873958333333311</v>
      </c>
      <c r="J108" s="67">
        <f t="shared" si="2"/>
        <v>0.45197916666666682</v>
      </c>
      <c r="K108" s="67">
        <f t="shared" si="2"/>
        <v>189.12989583333339</v>
      </c>
      <c r="L108" s="67">
        <f t="shared" si="2"/>
        <v>37.444479166666675</v>
      </c>
      <c r="M108" s="67">
        <f t="shared" si="2"/>
        <v>34.192604166666669</v>
      </c>
      <c r="N108" s="67">
        <f t="shared" si="2"/>
        <v>190.05729166666666</v>
      </c>
      <c r="O108" s="67">
        <f t="shared" si="2"/>
        <v>0</v>
      </c>
      <c r="P108" s="67">
        <f t="shared" si="2"/>
        <v>0.45999999999999996</v>
      </c>
      <c r="Q108" s="67">
        <f t="shared" si="2"/>
        <v>9.3069791666666699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7.7150741034064385E-2</v>
      </c>
      <c r="C109" s="67">
        <f t="shared" ref="C109:Q109" si="3">STDEV(C9:C104)</f>
        <v>0.4013332905301023</v>
      </c>
      <c r="D109" s="67">
        <f t="shared" si="3"/>
        <v>0.2650183500763541</v>
      </c>
      <c r="E109" s="67">
        <f t="shared" si="3"/>
        <v>0.41369228277133857</v>
      </c>
      <c r="F109" s="67">
        <f t="shared" si="3"/>
        <v>2.2104250975416697</v>
      </c>
      <c r="G109" s="67">
        <f t="shared" si="3"/>
        <v>12.134374458898636</v>
      </c>
      <c r="H109" s="67">
        <f t="shared" si="3"/>
        <v>5.1771179240964038</v>
      </c>
      <c r="I109" s="67">
        <f t="shared" si="3"/>
        <v>1.0655221055689807</v>
      </c>
      <c r="J109" s="67">
        <f t="shared" si="3"/>
        <v>0.22889491862409209</v>
      </c>
      <c r="K109" s="67">
        <f t="shared" si="3"/>
        <v>121.38935333090073</v>
      </c>
      <c r="L109" s="67">
        <f t="shared" si="3"/>
        <v>4.2469436365688367</v>
      </c>
      <c r="M109" s="67">
        <f t="shared" si="3"/>
        <v>13.138895190659701</v>
      </c>
      <c r="N109" s="67">
        <f t="shared" si="3"/>
        <v>275.39502795068057</v>
      </c>
      <c r="O109" s="67">
        <f t="shared" si="3"/>
        <v>0</v>
      </c>
      <c r="P109" s="67">
        <f t="shared" si="3"/>
        <v>0.1081519399052239</v>
      </c>
      <c r="Q109" s="67">
        <f t="shared" si="3"/>
        <v>6.0751777823961066E-2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6" t="s">
        <v>3030</v>
      </c>
      <c r="B9" s="64">
        <v>2.4500000000000002</v>
      </c>
      <c r="C9" s="64">
        <v>0.67</v>
      </c>
      <c r="D9" s="64">
        <v>3.46</v>
      </c>
      <c r="E9" s="64">
        <v>1.62</v>
      </c>
      <c r="F9" s="64">
        <v>4.21</v>
      </c>
      <c r="G9" s="64">
        <v>79.14</v>
      </c>
      <c r="H9" s="64">
        <v>29.24</v>
      </c>
      <c r="I9" s="64">
        <v>6.34</v>
      </c>
      <c r="J9" s="64">
        <v>0.73</v>
      </c>
      <c r="K9" s="64">
        <v>340.6</v>
      </c>
      <c r="L9" s="64">
        <v>33.15</v>
      </c>
      <c r="M9" s="64">
        <v>39.799999999999997</v>
      </c>
      <c r="N9" s="64">
        <v>11.5</v>
      </c>
      <c r="O9" s="64">
        <v>0</v>
      </c>
      <c r="P9" s="64">
        <v>0.65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6" t="s">
        <v>3031</v>
      </c>
      <c r="B10" s="64">
        <v>2.37</v>
      </c>
      <c r="C10" s="64">
        <v>0.33</v>
      </c>
      <c r="D10" s="64">
        <v>3.22</v>
      </c>
      <c r="E10" s="64">
        <v>1.47</v>
      </c>
      <c r="F10" s="64">
        <v>3.63</v>
      </c>
      <c r="G10" s="64">
        <v>79.239999999999995</v>
      </c>
      <c r="H10" s="64">
        <v>29.03</v>
      </c>
      <c r="I10" s="64">
        <v>6.63</v>
      </c>
      <c r="J10" s="64">
        <v>0.57999999999999996</v>
      </c>
      <c r="K10" s="64">
        <v>332.42</v>
      </c>
      <c r="L10" s="64">
        <v>32.49</v>
      </c>
      <c r="M10" s="64">
        <v>41.61</v>
      </c>
      <c r="N10" s="64">
        <v>11.2</v>
      </c>
      <c r="O10" s="64">
        <v>0</v>
      </c>
      <c r="P10" s="64">
        <v>0.65</v>
      </c>
      <c r="Q10" s="64">
        <v>9.48</v>
      </c>
      <c r="R10" s="198"/>
      <c r="S10" s="198"/>
      <c r="T10" s="198"/>
      <c r="U10" s="198"/>
    </row>
    <row r="11" spans="1:21" s="12" customFormat="1" x14ac:dyDescent="0.25">
      <c r="A11" s="216" t="s">
        <v>3032</v>
      </c>
      <c r="B11" s="64">
        <v>2.58</v>
      </c>
      <c r="C11" s="64">
        <v>1.28</v>
      </c>
      <c r="D11" s="64">
        <v>3.88</v>
      </c>
      <c r="E11" s="64">
        <v>1.52</v>
      </c>
      <c r="F11" s="64">
        <v>3.39</v>
      </c>
      <c r="G11" s="64">
        <v>80.45</v>
      </c>
      <c r="H11" s="64">
        <v>26.62</v>
      </c>
      <c r="I11" s="64">
        <v>7.09</v>
      </c>
      <c r="J11" s="64">
        <v>0.39</v>
      </c>
      <c r="K11" s="64">
        <v>22.38</v>
      </c>
      <c r="L11" s="64">
        <v>32.57</v>
      </c>
      <c r="M11" s="64">
        <v>40.909999999999997</v>
      </c>
      <c r="N11" s="64">
        <v>10.5</v>
      </c>
      <c r="O11" s="64">
        <v>0</v>
      </c>
      <c r="P11" s="64">
        <v>0.66</v>
      </c>
      <c r="Q11" s="64">
        <v>9.4600000000000009</v>
      </c>
      <c r="R11" s="198"/>
      <c r="S11" s="198"/>
      <c r="T11" s="198"/>
      <c r="U11" s="198"/>
    </row>
    <row r="12" spans="1:21" s="12" customFormat="1" x14ac:dyDescent="0.25">
      <c r="A12" s="216" t="s">
        <v>3033</v>
      </c>
      <c r="B12" s="64">
        <v>2.42</v>
      </c>
      <c r="C12" s="64">
        <v>0.71</v>
      </c>
      <c r="D12" s="64">
        <v>3.46</v>
      </c>
      <c r="E12" s="64">
        <v>1.73</v>
      </c>
      <c r="F12" s="64">
        <v>3.65</v>
      </c>
      <c r="G12" s="64">
        <v>80.45</v>
      </c>
      <c r="H12" s="64">
        <v>26.62</v>
      </c>
      <c r="I12" s="64">
        <v>7.8</v>
      </c>
      <c r="J12" s="64">
        <v>0.54</v>
      </c>
      <c r="K12" s="64">
        <v>349.45</v>
      </c>
      <c r="L12" s="64">
        <v>32.79</v>
      </c>
      <c r="M12" s="64">
        <v>40.840000000000003</v>
      </c>
      <c r="N12" s="64">
        <v>10.8</v>
      </c>
      <c r="O12" s="64">
        <v>0</v>
      </c>
      <c r="P12" s="64">
        <v>0.64</v>
      </c>
      <c r="Q12" s="64">
        <v>9.49</v>
      </c>
      <c r="R12" s="198"/>
      <c r="S12" s="198"/>
      <c r="T12" s="198"/>
      <c r="U12" s="198"/>
    </row>
    <row r="13" spans="1:21" s="12" customFormat="1" x14ac:dyDescent="0.25">
      <c r="A13" s="216" t="s">
        <v>3034</v>
      </c>
      <c r="B13" s="64">
        <v>2.34</v>
      </c>
      <c r="C13" s="64">
        <v>0.33</v>
      </c>
      <c r="D13" s="64">
        <v>3.19</v>
      </c>
      <c r="E13" s="64">
        <v>1.68</v>
      </c>
      <c r="F13" s="64">
        <v>4.3099999999999996</v>
      </c>
      <c r="G13" s="64">
        <v>80.45</v>
      </c>
      <c r="H13" s="64">
        <v>26.62</v>
      </c>
      <c r="I13" s="64">
        <v>7.71</v>
      </c>
      <c r="J13" s="64">
        <v>0.55000000000000004</v>
      </c>
      <c r="K13" s="64">
        <v>226.37</v>
      </c>
      <c r="L13" s="64">
        <v>33.15</v>
      </c>
      <c r="M13" s="64">
        <v>38.770000000000003</v>
      </c>
      <c r="N13" s="64">
        <v>9.8000000000000007</v>
      </c>
      <c r="O13" s="64">
        <v>0</v>
      </c>
      <c r="P13" s="64">
        <v>0.63</v>
      </c>
      <c r="Q13" s="64">
        <v>9.48</v>
      </c>
      <c r="R13" s="198"/>
      <c r="S13" s="198"/>
      <c r="T13" s="198"/>
      <c r="U13" s="198"/>
    </row>
    <row r="14" spans="1:21" s="12" customFormat="1" x14ac:dyDescent="0.25">
      <c r="A14" s="216" t="s">
        <v>3035</v>
      </c>
      <c r="B14" s="64">
        <v>2.34</v>
      </c>
      <c r="C14" s="64">
        <v>0.28000000000000003</v>
      </c>
      <c r="D14" s="64">
        <v>3.17</v>
      </c>
      <c r="E14" s="64">
        <v>1.48</v>
      </c>
      <c r="F14" s="64">
        <v>4.3600000000000003</v>
      </c>
      <c r="G14" s="64">
        <v>80.22</v>
      </c>
      <c r="H14" s="64">
        <v>26.67</v>
      </c>
      <c r="I14" s="64">
        <v>7.46</v>
      </c>
      <c r="J14" s="64">
        <v>0.45</v>
      </c>
      <c r="K14" s="64">
        <v>57.96</v>
      </c>
      <c r="L14" s="64">
        <v>33.130000000000003</v>
      </c>
      <c r="M14" s="64">
        <v>40.51</v>
      </c>
      <c r="N14" s="64">
        <v>11.1</v>
      </c>
      <c r="O14" s="64">
        <v>0</v>
      </c>
      <c r="P14" s="64">
        <v>0.65</v>
      </c>
      <c r="Q14" s="64">
        <v>9.49</v>
      </c>
      <c r="R14" s="198"/>
      <c r="S14" s="198"/>
      <c r="T14" s="198"/>
      <c r="U14" s="198"/>
    </row>
    <row r="15" spans="1:21" s="12" customFormat="1" x14ac:dyDescent="0.25">
      <c r="A15" s="216" t="s">
        <v>3036</v>
      </c>
      <c r="B15" s="64">
        <v>2.35</v>
      </c>
      <c r="C15" s="64">
        <v>0.34</v>
      </c>
      <c r="D15" s="64">
        <v>3.2</v>
      </c>
      <c r="E15" s="64">
        <v>1.47</v>
      </c>
      <c r="F15" s="64">
        <v>4.16</v>
      </c>
      <c r="G15" s="64">
        <v>77.459999999999994</v>
      </c>
      <c r="H15" s="64">
        <v>27.28</v>
      </c>
      <c r="I15" s="64">
        <v>7.05</v>
      </c>
      <c r="J15" s="64">
        <v>0.21</v>
      </c>
      <c r="K15" s="64">
        <v>262.70999999999998</v>
      </c>
      <c r="L15" s="64">
        <v>32.659999999999997</v>
      </c>
      <c r="M15" s="64">
        <v>42.86</v>
      </c>
      <c r="N15" s="64">
        <v>10.8</v>
      </c>
      <c r="O15" s="64">
        <v>0</v>
      </c>
      <c r="P15" s="64">
        <v>0.64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6" t="s">
        <v>3037</v>
      </c>
      <c r="B16" s="64">
        <v>2.6</v>
      </c>
      <c r="C16" s="64">
        <v>1.32</v>
      </c>
      <c r="D16" s="64">
        <v>3.92</v>
      </c>
      <c r="E16" s="64">
        <v>1.67</v>
      </c>
      <c r="F16" s="64">
        <v>4.01</v>
      </c>
      <c r="G16" s="64">
        <v>77.459999999999994</v>
      </c>
      <c r="H16" s="64">
        <v>27.28</v>
      </c>
      <c r="I16" s="64">
        <v>6.57</v>
      </c>
      <c r="J16" s="64">
        <v>0.28999999999999998</v>
      </c>
      <c r="K16" s="64">
        <v>105.37</v>
      </c>
      <c r="L16" s="64">
        <v>32.28</v>
      </c>
      <c r="M16" s="64">
        <v>44.81</v>
      </c>
      <c r="N16" s="64">
        <v>11</v>
      </c>
      <c r="O16" s="64">
        <v>0</v>
      </c>
      <c r="P16" s="64">
        <v>0.64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6" t="s">
        <v>3038</v>
      </c>
      <c r="B17" s="64">
        <v>2.39</v>
      </c>
      <c r="C17" s="64">
        <v>0.55000000000000004</v>
      </c>
      <c r="D17" s="64">
        <v>3.35</v>
      </c>
      <c r="E17" s="64">
        <v>1.53</v>
      </c>
      <c r="F17" s="64">
        <v>3.88</v>
      </c>
      <c r="G17" s="64">
        <v>77.459999999999994</v>
      </c>
      <c r="H17" s="64">
        <v>27.28</v>
      </c>
      <c r="I17" s="64">
        <v>6.66</v>
      </c>
      <c r="J17" s="64">
        <v>0.24</v>
      </c>
      <c r="K17" s="64">
        <v>221.79</v>
      </c>
      <c r="L17" s="64">
        <v>32.130000000000003</v>
      </c>
      <c r="M17" s="64">
        <v>46.98</v>
      </c>
      <c r="N17" s="64">
        <v>10.7</v>
      </c>
      <c r="O17" s="64">
        <v>0</v>
      </c>
      <c r="P17" s="64">
        <v>0.63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6" t="s">
        <v>3039</v>
      </c>
      <c r="B18" s="64">
        <v>2.54</v>
      </c>
      <c r="C18" s="64">
        <v>1.06</v>
      </c>
      <c r="D18" s="64">
        <v>3.74</v>
      </c>
      <c r="E18" s="64">
        <v>1.67</v>
      </c>
      <c r="F18" s="64">
        <v>3.8</v>
      </c>
      <c r="G18" s="64">
        <v>77.14</v>
      </c>
      <c r="H18" s="64">
        <v>27.25</v>
      </c>
      <c r="I18" s="64">
        <v>6.74</v>
      </c>
      <c r="J18" s="64">
        <v>0.09</v>
      </c>
      <c r="K18" s="64">
        <v>245.54</v>
      </c>
      <c r="L18" s="64">
        <v>32.130000000000003</v>
      </c>
      <c r="M18" s="64">
        <v>46.84</v>
      </c>
      <c r="N18" s="64">
        <v>10.8</v>
      </c>
      <c r="O18" s="64">
        <v>0</v>
      </c>
      <c r="P18" s="64">
        <v>0.61</v>
      </c>
      <c r="Q18" s="64">
        <v>9.42</v>
      </c>
      <c r="R18" s="198"/>
      <c r="S18" s="198"/>
      <c r="T18" s="198"/>
      <c r="U18" s="198"/>
    </row>
    <row r="19" spans="1:21" s="12" customFormat="1" x14ac:dyDescent="0.25">
      <c r="A19" s="216" t="s">
        <v>3040</v>
      </c>
      <c r="B19" s="64">
        <v>2.54</v>
      </c>
      <c r="C19" s="64">
        <v>1.0900000000000001</v>
      </c>
      <c r="D19" s="64">
        <v>3.75</v>
      </c>
      <c r="E19" s="64">
        <v>1.81</v>
      </c>
      <c r="F19" s="64">
        <v>3.73</v>
      </c>
      <c r="G19" s="64">
        <v>73.45</v>
      </c>
      <c r="H19" s="64">
        <v>26.87</v>
      </c>
      <c r="I19" s="64">
        <v>6.64</v>
      </c>
      <c r="J19" s="64">
        <v>0.73</v>
      </c>
      <c r="K19" s="64">
        <v>148.11000000000001</v>
      </c>
      <c r="L19" s="64">
        <v>32.479999999999997</v>
      </c>
      <c r="M19" s="64">
        <v>42.14</v>
      </c>
      <c r="N19" s="64">
        <v>10.199999999999999</v>
      </c>
      <c r="O19" s="64">
        <v>0</v>
      </c>
      <c r="P19" s="64">
        <v>0.61</v>
      </c>
      <c r="Q19" s="64">
        <v>9.44</v>
      </c>
      <c r="R19" s="198"/>
      <c r="S19" s="198"/>
      <c r="T19" s="198"/>
      <c r="U19" s="198"/>
    </row>
    <row r="20" spans="1:21" s="12" customFormat="1" x14ac:dyDescent="0.25">
      <c r="A20" s="216" t="s">
        <v>3041</v>
      </c>
      <c r="B20" s="64">
        <v>2.37</v>
      </c>
      <c r="C20" s="64">
        <v>0.38</v>
      </c>
      <c r="D20" s="64">
        <v>3.24</v>
      </c>
      <c r="E20" s="64">
        <v>1.38</v>
      </c>
      <c r="F20" s="64">
        <v>3.79</v>
      </c>
      <c r="G20" s="64">
        <v>73.45</v>
      </c>
      <c r="H20" s="64">
        <v>26.87</v>
      </c>
      <c r="I20" s="64">
        <v>6.42</v>
      </c>
      <c r="J20" s="64">
        <v>0.28999999999999998</v>
      </c>
      <c r="K20" s="64">
        <v>182.28</v>
      </c>
      <c r="L20" s="64">
        <v>32.31</v>
      </c>
      <c r="M20" s="64">
        <v>42.62</v>
      </c>
      <c r="N20" s="64">
        <v>10.8</v>
      </c>
      <c r="O20" s="64">
        <v>0</v>
      </c>
      <c r="P20" s="64">
        <v>0.59</v>
      </c>
      <c r="Q20" s="64">
        <v>9.41</v>
      </c>
      <c r="R20" s="198"/>
      <c r="S20" s="198"/>
      <c r="T20" s="198"/>
      <c r="U20" s="198"/>
    </row>
    <row r="21" spans="1:21" s="12" customFormat="1" x14ac:dyDescent="0.25">
      <c r="A21" s="216" t="s">
        <v>3042</v>
      </c>
      <c r="B21" s="64">
        <v>2.35</v>
      </c>
      <c r="C21" s="64">
        <v>0.32</v>
      </c>
      <c r="D21" s="64">
        <v>3.19</v>
      </c>
      <c r="E21" s="64">
        <v>1.83</v>
      </c>
      <c r="F21" s="64">
        <v>3.62</v>
      </c>
      <c r="G21" s="64">
        <v>73.45</v>
      </c>
      <c r="H21" s="64">
        <v>26.87</v>
      </c>
      <c r="I21" s="64">
        <v>6.19</v>
      </c>
      <c r="J21" s="64">
        <v>0.73</v>
      </c>
      <c r="K21" s="64">
        <v>137.88999999999999</v>
      </c>
      <c r="L21" s="64">
        <v>32.200000000000003</v>
      </c>
      <c r="M21" s="64">
        <v>43.41</v>
      </c>
      <c r="N21" s="64">
        <v>10.6</v>
      </c>
      <c r="O21" s="64">
        <v>0</v>
      </c>
      <c r="P21" s="64">
        <v>0.56000000000000005</v>
      </c>
      <c r="Q21" s="64">
        <v>9.41</v>
      </c>
      <c r="R21" s="198"/>
      <c r="S21" s="198"/>
      <c r="T21" s="198"/>
      <c r="U21" s="198"/>
    </row>
    <row r="22" spans="1:21" s="12" customFormat="1" x14ac:dyDescent="0.25">
      <c r="A22" s="216" t="s">
        <v>3043</v>
      </c>
      <c r="B22" s="64">
        <v>2.74</v>
      </c>
      <c r="C22" s="64">
        <v>1.96</v>
      </c>
      <c r="D22" s="64">
        <v>4.37</v>
      </c>
      <c r="E22" s="64">
        <v>1.48</v>
      </c>
      <c r="F22" s="64">
        <v>3.92</v>
      </c>
      <c r="G22" s="64">
        <v>72.89</v>
      </c>
      <c r="H22" s="64">
        <v>26.82</v>
      </c>
      <c r="I22" s="64">
        <v>5.85</v>
      </c>
      <c r="J22" s="64">
        <v>0.45</v>
      </c>
      <c r="K22" s="64">
        <v>296.29000000000002</v>
      </c>
      <c r="L22" s="64">
        <v>31.97</v>
      </c>
      <c r="M22" s="64">
        <v>44.43</v>
      </c>
      <c r="N22" s="64">
        <v>11</v>
      </c>
      <c r="O22" s="64">
        <v>0</v>
      </c>
      <c r="P22" s="64">
        <v>0.56000000000000005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6" t="s">
        <v>3044</v>
      </c>
      <c r="B23" s="64">
        <v>2.74</v>
      </c>
      <c r="C23" s="64">
        <v>2.0099999999999998</v>
      </c>
      <c r="D23" s="64">
        <v>4.4000000000000004</v>
      </c>
      <c r="E23" s="64">
        <v>1.85</v>
      </c>
      <c r="F23" s="64">
        <v>4.29</v>
      </c>
      <c r="G23" s="64">
        <v>66.180000000000007</v>
      </c>
      <c r="H23" s="64">
        <v>26.14</v>
      </c>
      <c r="I23" s="64">
        <v>5.47</v>
      </c>
      <c r="J23" s="64">
        <v>0.38</v>
      </c>
      <c r="K23" s="64">
        <v>149.38999999999999</v>
      </c>
      <c r="L23" s="64">
        <v>31.95</v>
      </c>
      <c r="M23" s="64">
        <v>44.73</v>
      </c>
      <c r="N23" s="64">
        <v>10.6</v>
      </c>
      <c r="O23" s="64">
        <v>0</v>
      </c>
      <c r="P23" s="64">
        <v>0.56000000000000005</v>
      </c>
      <c r="Q23" s="64">
        <v>9.42</v>
      </c>
      <c r="R23" s="198"/>
      <c r="S23" s="198"/>
      <c r="T23" s="198"/>
      <c r="U23" s="198"/>
    </row>
    <row r="24" spans="1:21" s="12" customFormat="1" x14ac:dyDescent="0.25">
      <c r="A24" s="216" t="s">
        <v>3045</v>
      </c>
      <c r="B24" s="64">
        <v>2.9</v>
      </c>
      <c r="C24" s="64">
        <v>2.77</v>
      </c>
      <c r="D24" s="64">
        <v>4.92</v>
      </c>
      <c r="E24" s="64">
        <v>1.58</v>
      </c>
      <c r="F24" s="64">
        <v>3.92</v>
      </c>
      <c r="G24" s="64">
        <v>66.180000000000007</v>
      </c>
      <c r="H24" s="64">
        <v>26.14</v>
      </c>
      <c r="I24" s="64">
        <v>5.23</v>
      </c>
      <c r="J24" s="64">
        <v>0.28000000000000003</v>
      </c>
      <c r="K24" s="64">
        <v>255.09</v>
      </c>
      <c r="L24" s="64">
        <v>31.75</v>
      </c>
      <c r="M24" s="64">
        <v>46.88</v>
      </c>
      <c r="N24" s="64">
        <v>10.8</v>
      </c>
      <c r="O24" s="64">
        <v>0</v>
      </c>
      <c r="P24" s="64">
        <v>0.55000000000000004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6" t="s">
        <v>3046</v>
      </c>
      <c r="B25" s="64">
        <v>2.95</v>
      </c>
      <c r="C25" s="64">
        <v>3.04</v>
      </c>
      <c r="D25" s="64">
        <v>5.0999999999999996</v>
      </c>
      <c r="E25" s="64">
        <v>1.79</v>
      </c>
      <c r="F25" s="64">
        <v>3.97</v>
      </c>
      <c r="G25" s="64">
        <v>66.180000000000007</v>
      </c>
      <c r="H25" s="64">
        <v>26.14</v>
      </c>
      <c r="I25" s="64">
        <v>5.45</v>
      </c>
      <c r="J25" s="64">
        <v>0.21</v>
      </c>
      <c r="K25" s="64">
        <v>283.51</v>
      </c>
      <c r="L25" s="64">
        <v>31.79</v>
      </c>
      <c r="M25" s="64">
        <v>46.88</v>
      </c>
      <c r="N25" s="64">
        <v>10.6</v>
      </c>
      <c r="O25" s="64">
        <v>0</v>
      </c>
      <c r="P25" s="64">
        <v>0.54</v>
      </c>
      <c r="Q25" s="64">
        <v>9.41</v>
      </c>
      <c r="R25" s="198"/>
      <c r="S25" s="198"/>
      <c r="T25" s="198"/>
      <c r="U25" s="198"/>
    </row>
    <row r="26" spans="1:21" s="12" customFormat="1" x14ac:dyDescent="0.25">
      <c r="A26" s="216" t="s">
        <v>3047</v>
      </c>
      <c r="B26" s="64">
        <v>2.92</v>
      </c>
      <c r="C26" s="64">
        <v>2.87</v>
      </c>
      <c r="D26" s="64">
        <v>4.99</v>
      </c>
      <c r="E26" s="64">
        <v>1.91</v>
      </c>
      <c r="F26" s="64">
        <v>3.64</v>
      </c>
      <c r="G26" s="64">
        <v>65.36</v>
      </c>
      <c r="H26" s="64">
        <v>25.96</v>
      </c>
      <c r="I26" s="64">
        <v>5.4</v>
      </c>
      <c r="J26" s="64">
        <v>0.51</v>
      </c>
      <c r="K26" s="64">
        <v>302.06</v>
      </c>
      <c r="L26" s="64">
        <v>31.79</v>
      </c>
      <c r="M26" s="64">
        <v>45.9</v>
      </c>
      <c r="N26" s="64">
        <v>10.9</v>
      </c>
      <c r="O26" s="64">
        <v>0</v>
      </c>
      <c r="P26" s="64">
        <v>0.53</v>
      </c>
      <c r="Q26" s="64">
        <v>9.4</v>
      </c>
      <c r="R26" s="198"/>
      <c r="S26" s="198"/>
      <c r="T26" s="198"/>
      <c r="U26" s="198"/>
    </row>
    <row r="27" spans="1:21" s="12" customFormat="1" x14ac:dyDescent="0.25">
      <c r="A27" s="216" t="s">
        <v>3048</v>
      </c>
      <c r="B27" s="64">
        <v>3.08</v>
      </c>
      <c r="C27" s="64">
        <v>3.53</v>
      </c>
      <c r="D27" s="64">
        <v>5.46</v>
      </c>
      <c r="E27" s="64">
        <v>2.27</v>
      </c>
      <c r="F27" s="64">
        <v>4</v>
      </c>
      <c r="G27" s="64">
        <v>55.67</v>
      </c>
      <c r="H27" s="64">
        <v>23.79</v>
      </c>
      <c r="I27" s="64">
        <v>5.3</v>
      </c>
      <c r="J27" s="64">
        <v>0.37</v>
      </c>
      <c r="K27" s="64">
        <v>304.35000000000002</v>
      </c>
      <c r="L27" s="64">
        <v>31.7</v>
      </c>
      <c r="M27" s="64">
        <v>45.89</v>
      </c>
      <c r="N27" s="64">
        <v>10.7</v>
      </c>
      <c r="O27" s="64">
        <v>0</v>
      </c>
      <c r="P27" s="64">
        <v>0.53</v>
      </c>
      <c r="Q27" s="64">
        <v>9.43</v>
      </c>
      <c r="R27" s="198"/>
      <c r="S27" s="198"/>
      <c r="T27" s="198"/>
      <c r="U27" s="198"/>
    </row>
    <row r="28" spans="1:21" s="12" customFormat="1" x14ac:dyDescent="0.25">
      <c r="A28" s="216" t="s">
        <v>3049</v>
      </c>
      <c r="B28" s="64">
        <v>3.13</v>
      </c>
      <c r="C28" s="64">
        <v>3.89</v>
      </c>
      <c r="D28" s="64">
        <v>5.69</v>
      </c>
      <c r="E28" s="64">
        <v>2.2400000000000002</v>
      </c>
      <c r="F28" s="64">
        <v>3.7</v>
      </c>
      <c r="G28" s="64">
        <v>55.67</v>
      </c>
      <c r="H28" s="64">
        <v>23.79</v>
      </c>
      <c r="I28" s="64">
        <v>5.29</v>
      </c>
      <c r="J28" s="64">
        <v>0.34</v>
      </c>
      <c r="K28" s="64">
        <v>267.43</v>
      </c>
      <c r="L28" s="64">
        <v>31.66</v>
      </c>
      <c r="M28" s="64">
        <v>46.43</v>
      </c>
      <c r="N28" s="64">
        <v>10.6</v>
      </c>
      <c r="O28" s="64">
        <v>0</v>
      </c>
      <c r="P28" s="64">
        <v>0.53</v>
      </c>
      <c r="Q28" s="64">
        <v>9.43</v>
      </c>
      <c r="R28" s="198"/>
      <c r="S28" s="198"/>
      <c r="T28" s="198"/>
      <c r="U28" s="198"/>
    </row>
    <row r="29" spans="1:21" s="12" customFormat="1" x14ac:dyDescent="0.25">
      <c r="A29" s="216" t="s">
        <v>3050</v>
      </c>
      <c r="B29" s="64">
        <v>3.17</v>
      </c>
      <c r="C29" s="64">
        <v>4.7699999999999996</v>
      </c>
      <c r="D29" s="64">
        <v>6.18</v>
      </c>
      <c r="E29" s="64">
        <v>2.17</v>
      </c>
      <c r="F29" s="64">
        <v>4.3600000000000003</v>
      </c>
      <c r="G29" s="64">
        <v>55.67</v>
      </c>
      <c r="H29" s="64">
        <v>23.79</v>
      </c>
      <c r="I29" s="64">
        <v>5.34</v>
      </c>
      <c r="J29" s="64">
        <v>0.26</v>
      </c>
      <c r="K29" s="64">
        <v>310.85000000000002</v>
      </c>
      <c r="L29" s="64">
        <v>31.66</v>
      </c>
      <c r="M29" s="64">
        <v>46.59</v>
      </c>
      <c r="N29" s="64">
        <v>12.6</v>
      </c>
      <c r="O29" s="64">
        <v>0</v>
      </c>
      <c r="P29" s="64">
        <v>0.53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6" t="s">
        <v>3051</v>
      </c>
      <c r="B30" s="64">
        <v>3.26</v>
      </c>
      <c r="C30" s="64">
        <v>5.69</v>
      </c>
      <c r="D30" s="64">
        <v>6.74</v>
      </c>
      <c r="E30" s="64">
        <v>2.9</v>
      </c>
      <c r="F30" s="64">
        <v>3.61</v>
      </c>
      <c r="G30" s="64">
        <v>55.94</v>
      </c>
      <c r="H30" s="64">
        <v>23.64</v>
      </c>
      <c r="I30" s="64">
        <v>6.47</v>
      </c>
      <c r="J30" s="64">
        <v>0.61</v>
      </c>
      <c r="K30" s="64">
        <v>168.79</v>
      </c>
      <c r="L30" s="64">
        <v>31.55</v>
      </c>
      <c r="M30" s="64">
        <v>47.59</v>
      </c>
      <c r="N30" s="64">
        <v>22.4</v>
      </c>
      <c r="O30" s="64">
        <v>0</v>
      </c>
      <c r="P30" s="64">
        <v>0.53</v>
      </c>
      <c r="Q30" s="64">
        <v>9.44</v>
      </c>
      <c r="R30" s="198"/>
      <c r="S30" s="198"/>
      <c r="T30" s="198"/>
      <c r="U30" s="198"/>
    </row>
    <row r="31" spans="1:21" s="12" customFormat="1" x14ac:dyDescent="0.25">
      <c r="A31" s="216" t="s">
        <v>3052</v>
      </c>
      <c r="B31" s="64">
        <v>3.32</v>
      </c>
      <c r="C31" s="64">
        <v>5.0999999999999996</v>
      </c>
      <c r="D31" s="64">
        <v>6.47</v>
      </c>
      <c r="E31" s="64">
        <v>2.38</v>
      </c>
      <c r="F31" s="64">
        <v>3.58</v>
      </c>
      <c r="G31" s="64">
        <v>59.21</v>
      </c>
      <c r="H31" s="64">
        <v>21.79</v>
      </c>
      <c r="I31" s="64">
        <v>7.28</v>
      </c>
      <c r="J31" s="64">
        <v>1.1299999999999999</v>
      </c>
      <c r="K31" s="64">
        <v>149.02000000000001</v>
      </c>
      <c r="L31" s="64">
        <v>31.59</v>
      </c>
      <c r="M31" s="64">
        <v>47.66</v>
      </c>
      <c r="N31" s="64">
        <v>43.5</v>
      </c>
      <c r="O31" s="64">
        <v>0</v>
      </c>
      <c r="P31" s="64">
        <v>0.52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6" t="s">
        <v>3053</v>
      </c>
      <c r="B32" s="64">
        <v>3.33</v>
      </c>
      <c r="C32" s="64">
        <v>4.8499999999999996</v>
      </c>
      <c r="D32" s="64">
        <v>6.35</v>
      </c>
      <c r="E32" s="64">
        <v>2.2799999999999998</v>
      </c>
      <c r="F32" s="64">
        <v>3.64</v>
      </c>
      <c r="G32" s="64">
        <v>59.21</v>
      </c>
      <c r="H32" s="64">
        <v>21.79</v>
      </c>
      <c r="I32" s="64">
        <v>7.05</v>
      </c>
      <c r="J32" s="64">
        <v>1.38</v>
      </c>
      <c r="K32" s="64">
        <v>155.69</v>
      </c>
      <c r="L32" s="64">
        <v>31.76</v>
      </c>
      <c r="M32" s="64">
        <v>47.29</v>
      </c>
      <c r="N32" s="64">
        <v>66.599999999999994</v>
      </c>
      <c r="O32" s="64">
        <v>0</v>
      </c>
      <c r="P32" s="64">
        <v>0.52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6" t="s">
        <v>3054</v>
      </c>
      <c r="B33" s="64">
        <v>3.34</v>
      </c>
      <c r="C33" s="64">
        <v>4.84</v>
      </c>
      <c r="D33" s="64">
        <v>6.35</v>
      </c>
      <c r="E33" s="64">
        <v>2.19</v>
      </c>
      <c r="F33" s="64">
        <v>3.95</v>
      </c>
      <c r="G33" s="64">
        <v>59.21</v>
      </c>
      <c r="H33" s="64">
        <v>21.79</v>
      </c>
      <c r="I33" s="64">
        <v>7.2</v>
      </c>
      <c r="J33" s="64">
        <v>1.18</v>
      </c>
      <c r="K33" s="64">
        <v>164.48</v>
      </c>
      <c r="L33" s="64">
        <v>31.76</v>
      </c>
      <c r="M33" s="64">
        <v>47.47</v>
      </c>
      <c r="N33" s="64">
        <v>93.4</v>
      </c>
      <c r="O33" s="64">
        <v>0</v>
      </c>
      <c r="P33" s="64">
        <v>0.51</v>
      </c>
      <c r="Q33" s="64">
        <v>9.43</v>
      </c>
      <c r="R33" s="198"/>
      <c r="S33" s="198"/>
      <c r="T33" s="198"/>
      <c r="U33" s="198"/>
    </row>
    <row r="34" spans="1:21" s="12" customFormat="1" x14ac:dyDescent="0.25">
      <c r="A34" s="216" t="s">
        <v>3055</v>
      </c>
      <c r="B34" s="64">
        <v>3.34</v>
      </c>
      <c r="C34" s="64">
        <v>4.87</v>
      </c>
      <c r="D34" s="64">
        <v>6.37</v>
      </c>
      <c r="E34" s="64">
        <v>2</v>
      </c>
      <c r="F34" s="64">
        <v>3.81</v>
      </c>
      <c r="G34" s="64">
        <v>59.15</v>
      </c>
      <c r="H34" s="64">
        <v>21.82</v>
      </c>
      <c r="I34" s="64">
        <v>7.41</v>
      </c>
      <c r="J34" s="64">
        <v>1.1200000000000001</v>
      </c>
      <c r="K34" s="64">
        <v>167.46</v>
      </c>
      <c r="L34" s="64">
        <v>31.91</v>
      </c>
      <c r="M34" s="64">
        <v>48.26</v>
      </c>
      <c r="N34" s="64">
        <v>121</v>
      </c>
      <c r="O34" s="64">
        <v>0</v>
      </c>
      <c r="P34" s="64">
        <v>0.5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6" t="s">
        <v>3056</v>
      </c>
      <c r="B35" s="64">
        <v>3.31</v>
      </c>
      <c r="C35" s="64">
        <v>4.8899999999999997</v>
      </c>
      <c r="D35" s="64">
        <v>6.36</v>
      </c>
      <c r="E35" s="64">
        <v>2.2599999999999998</v>
      </c>
      <c r="F35" s="64">
        <v>3.97</v>
      </c>
      <c r="G35" s="64">
        <v>58.41</v>
      </c>
      <c r="H35" s="64">
        <v>22.12</v>
      </c>
      <c r="I35" s="64">
        <v>7.28</v>
      </c>
      <c r="J35" s="64">
        <v>0.16</v>
      </c>
      <c r="K35" s="64">
        <v>145.41999999999999</v>
      </c>
      <c r="L35" s="64">
        <v>32.659999999999997</v>
      </c>
      <c r="M35" s="64">
        <v>47.51</v>
      </c>
      <c r="N35" s="64">
        <v>189.9</v>
      </c>
      <c r="O35" s="64">
        <v>0</v>
      </c>
      <c r="P35" s="64">
        <v>0.49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6" t="s">
        <v>3057</v>
      </c>
      <c r="B36" s="64">
        <v>3.27</v>
      </c>
      <c r="C36" s="64">
        <v>4.8600000000000003</v>
      </c>
      <c r="D36" s="64">
        <v>6.31</v>
      </c>
      <c r="E36" s="64">
        <v>2.2400000000000002</v>
      </c>
      <c r="F36" s="64">
        <v>4.16</v>
      </c>
      <c r="G36" s="64">
        <v>58.41</v>
      </c>
      <c r="H36" s="64">
        <v>22.12</v>
      </c>
      <c r="I36" s="64">
        <v>7.14</v>
      </c>
      <c r="J36" s="64">
        <v>0.27</v>
      </c>
      <c r="K36" s="64">
        <v>359.5</v>
      </c>
      <c r="L36" s="64">
        <v>33.69</v>
      </c>
      <c r="M36" s="64">
        <v>46.34</v>
      </c>
      <c r="N36" s="64">
        <v>225</v>
      </c>
      <c r="O36" s="64">
        <v>0</v>
      </c>
      <c r="P36" s="64">
        <v>0.5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16" t="s">
        <v>3058</v>
      </c>
      <c r="B37" s="64">
        <v>3.21</v>
      </c>
      <c r="C37" s="64">
        <v>4.96</v>
      </c>
      <c r="D37" s="64">
        <v>6.31</v>
      </c>
      <c r="E37" s="64">
        <v>1.98</v>
      </c>
      <c r="F37" s="64">
        <v>4.62</v>
      </c>
      <c r="G37" s="64">
        <v>58.41</v>
      </c>
      <c r="H37" s="64">
        <v>22.12</v>
      </c>
      <c r="I37" s="64">
        <v>6.99</v>
      </c>
      <c r="J37" s="64">
        <v>0.39</v>
      </c>
      <c r="K37" s="64">
        <v>16.7</v>
      </c>
      <c r="L37" s="64">
        <v>34.729999999999997</v>
      </c>
      <c r="M37" s="64">
        <v>43.77</v>
      </c>
      <c r="N37" s="64">
        <v>266.7</v>
      </c>
      <c r="O37" s="64">
        <v>0</v>
      </c>
      <c r="P37" s="64">
        <v>0.5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6" t="s">
        <v>3059</v>
      </c>
      <c r="B38" s="64">
        <v>3.16</v>
      </c>
      <c r="C38" s="64">
        <v>5.08</v>
      </c>
      <c r="D38" s="64">
        <v>6.34</v>
      </c>
      <c r="E38" s="64">
        <v>2.4300000000000002</v>
      </c>
      <c r="F38" s="64">
        <v>4.79</v>
      </c>
      <c r="G38" s="64">
        <v>58.92</v>
      </c>
      <c r="H38" s="64">
        <v>22.17</v>
      </c>
      <c r="I38" s="64">
        <v>6.78</v>
      </c>
      <c r="J38" s="64">
        <v>0.18</v>
      </c>
      <c r="K38" s="64">
        <v>29.26</v>
      </c>
      <c r="L38" s="64">
        <v>34.96</v>
      </c>
      <c r="M38" s="64">
        <v>41.66</v>
      </c>
      <c r="N38" s="64">
        <v>318.3</v>
      </c>
      <c r="O38" s="64">
        <v>0</v>
      </c>
      <c r="P38" s="64">
        <v>0.52</v>
      </c>
      <c r="Q38" s="64">
        <v>9.41</v>
      </c>
      <c r="R38" s="198"/>
      <c r="S38" s="198"/>
      <c r="T38" s="198"/>
      <c r="U38" s="198"/>
    </row>
    <row r="39" spans="1:21" s="12" customFormat="1" x14ac:dyDescent="0.25">
      <c r="A39" s="216" t="s">
        <v>3060</v>
      </c>
      <c r="B39" s="64">
        <v>3.07</v>
      </c>
      <c r="C39" s="64">
        <v>5.12</v>
      </c>
      <c r="D39" s="64">
        <v>6.28</v>
      </c>
      <c r="E39" s="64">
        <v>1.91</v>
      </c>
      <c r="F39" s="64">
        <v>5.08</v>
      </c>
      <c r="G39" s="64">
        <v>64.819999999999993</v>
      </c>
      <c r="H39" s="64">
        <v>22.74</v>
      </c>
      <c r="I39" s="64">
        <v>6.6</v>
      </c>
      <c r="J39" s="64">
        <v>0.44</v>
      </c>
      <c r="K39" s="64">
        <v>28.19</v>
      </c>
      <c r="L39" s="64">
        <v>35.97</v>
      </c>
      <c r="M39" s="64">
        <v>39.28</v>
      </c>
      <c r="N39" s="64">
        <v>367.9</v>
      </c>
      <c r="O39" s="64">
        <v>0</v>
      </c>
      <c r="P39" s="64">
        <v>0.51</v>
      </c>
      <c r="Q39" s="64">
        <v>9.36</v>
      </c>
      <c r="R39" s="198"/>
      <c r="S39" s="198"/>
      <c r="T39" s="198"/>
      <c r="U39" s="198"/>
    </row>
    <row r="40" spans="1:21" s="12" customFormat="1" x14ac:dyDescent="0.25">
      <c r="A40" s="216" t="s">
        <v>3061</v>
      </c>
      <c r="B40" s="64">
        <v>3.02</v>
      </c>
      <c r="C40" s="64">
        <v>5.37</v>
      </c>
      <c r="D40" s="64">
        <v>6.38</v>
      </c>
      <c r="E40" s="64">
        <v>1.97</v>
      </c>
      <c r="F40" s="64">
        <v>5.64</v>
      </c>
      <c r="G40" s="64">
        <v>64.819999999999993</v>
      </c>
      <c r="H40" s="64">
        <v>22.74</v>
      </c>
      <c r="I40" s="64">
        <v>6.42</v>
      </c>
      <c r="J40" s="64">
        <v>0.6</v>
      </c>
      <c r="K40" s="64">
        <v>19.77</v>
      </c>
      <c r="L40" s="64">
        <v>36.700000000000003</v>
      </c>
      <c r="M40" s="64">
        <v>36.090000000000003</v>
      </c>
      <c r="N40" s="64">
        <v>424.6</v>
      </c>
      <c r="O40" s="64">
        <v>0</v>
      </c>
      <c r="P40" s="64">
        <v>0.51</v>
      </c>
      <c r="Q40" s="64">
        <v>9.34</v>
      </c>
      <c r="R40" s="198"/>
      <c r="S40" s="198"/>
      <c r="T40" s="198"/>
      <c r="U40" s="198"/>
    </row>
    <row r="41" spans="1:21" s="12" customFormat="1" x14ac:dyDescent="0.25">
      <c r="A41" s="216" t="s">
        <v>3062</v>
      </c>
      <c r="B41" s="64">
        <v>2.98</v>
      </c>
      <c r="C41" s="64">
        <v>5.52</v>
      </c>
      <c r="D41" s="64">
        <v>6.42</v>
      </c>
      <c r="E41" s="64">
        <v>2.19</v>
      </c>
      <c r="F41" s="64">
        <v>6.43</v>
      </c>
      <c r="G41" s="64">
        <v>64.819999999999993</v>
      </c>
      <c r="H41" s="64">
        <v>22.74</v>
      </c>
      <c r="I41" s="64">
        <v>6.18</v>
      </c>
      <c r="J41" s="64">
        <v>0.69</v>
      </c>
      <c r="K41" s="64">
        <v>24.64</v>
      </c>
      <c r="L41" s="64">
        <v>37.29</v>
      </c>
      <c r="M41" s="64">
        <v>32.54</v>
      </c>
      <c r="N41" s="64">
        <v>476.2</v>
      </c>
      <c r="O41" s="64">
        <v>0</v>
      </c>
      <c r="P41" s="64">
        <v>0.5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16" t="s">
        <v>3063</v>
      </c>
      <c r="B42" s="64">
        <v>2.95</v>
      </c>
      <c r="C42" s="64">
        <v>5.55</v>
      </c>
      <c r="D42" s="64">
        <v>6.41</v>
      </c>
      <c r="E42" s="64">
        <v>2.14</v>
      </c>
      <c r="F42" s="64">
        <v>7.34</v>
      </c>
      <c r="G42" s="64">
        <v>64.739999999999995</v>
      </c>
      <c r="H42" s="64">
        <v>22.66</v>
      </c>
      <c r="I42" s="64">
        <v>5.76</v>
      </c>
      <c r="J42" s="64">
        <v>0.56000000000000005</v>
      </c>
      <c r="K42" s="64">
        <v>19.34</v>
      </c>
      <c r="L42" s="64">
        <v>37.979999999999997</v>
      </c>
      <c r="M42" s="64">
        <v>31.65</v>
      </c>
      <c r="N42" s="64">
        <v>520.20000000000005</v>
      </c>
      <c r="O42" s="64">
        <v>0</v>
      </c>
      <c r="P42" s="64">
        <v>0.5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6" t="s">
        <v>3064</v>
      </c>
      <c r="B43" s="64">
        <v>2.93</v>
      </c>
      <c r="C43" s="64">
        <v>5.64</v>
      </c>
      <c r="D43" s="64">
        <v>6.44</v>
      </c>
      <c r="E43" s="64">
        <v>2.1800000000000002</v>
      </c>
      <c r="F43" s="64">
        <v>7.08</v>
      </c>
      <c r="G43" s="64">
        <v>63.86</v>
      </c>
      <c r="H43" s="64">
        <v>21.73</v>
      </c>
      <c r="I43" s="64">
        <v>5.3</v>
      </c>
      <c r="J43" s="64">
        <v>0.52</v>
      </c>
      <c r="K43" s="64">
        <v>0.56999999999999995</v>
      </c>
      <c r="L43" s="64">
        <v>39.700000000000003</v>
      </c>
      <c r="M43" s="64">
        <v>28.46</v>
      </c>
      <c r="N43" s="64">
        <v>562.1</v>
      </c>
      <c r="O43" s="64">
        <v>0</v>
      </c>
      <c r="P43" s="64">
        <v>0.5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16" t="s">
        <v>3065</v>
      </c>
      <c r="B44" s="64">
        <v>2.94</v>
      </c>
      <c r="C44" s="64">
        <v>5.7</v>
      </c>
      <c r="D44" s="64">
        <v>6.48</v>
      </c>
      <c r="E44" s="64">
        <v>2.4900000000000002</v>
      </c>
      <c r="F44" s="64">
        <v>6.59</v>
      </c>
      <c r="G44" s="64">
        <v>63.86</v>
      </c>
      <c r="H44" s="64">
        <v>21.73</v>
      </c>
      <c r="I44" s="64">
        <v>4.99</v>
      </c>
      <c r="J44" s="64">
        <v>0.52</v>
      </c>
      <c r="K44" s="64">
        <v>3.71</v>
      </c>
      <c r="L44" s="64">
        <v>40.130000000000003</v>
      </c>
      <c r="M44" s="64">
        <v>28.35</v>
      </c>
      <c r="N44" s="64">
        <v>601.20000000000005</v>
      </c>
      <c r="O44" s="64">
        <v>0</v>
      </c>
      <c r="P44" s="64">
        <v>0.53</v>
      </c>
      <c r="Q44" s="64">
        <v>9.41</v>
      </c>
      <c r="R44" s="198"/>
      <c r="S44" s="198"/>
      <c r="T44" s="198"/>
      <c r="U44" s="198"/>
    </row>
    <row r="45" spans="1:21" s="12" customFormat="1" x14ac:dyDescent="0.25">
      <c r="A45" s="216" t="s">
        <v>3066</v>
      </c>
      <c r="B45" s="64">
        <v>2.94</v>
      </c>
      <c r="C45" s="64">
        <v>5.85</v>
      </c>
      <c r="D45" s="64">
        <v>6.56</v>
      </c>
      <c r="E45" s="64">
        <v>2.39</v>
      </c>
      <c r="F45" s="64">
        <v>7.57</v>
      </c>
      <c r="G45" s="64">
        <v>63.86</v>
      </c>
      <c r="H45" s="64">
        <v>21.73</v>
      </c>
      <c r="I45" s="64">
        <v>4.78</v>
      </c>
      <c r="J45" s="64">
        <v>0.51</v>
      </c>
      <c r="K45" s="64">
        <v>353.19</v>
      </c>
      <c r="L45" s="64">
        <v>40.619999999999997</v>
      </c>
      <c r="M45" s="64">
        <v>27.65</v>
      </c>
      <c r="N45" s="64">
        <v>632.79999999999995</v>
      </c>
      <c r="O45" s="64">
        <v>0</v>
      </c>
      <c r="P45" s="64">
        <v>0.56000000000000005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6" t="s">
        <v>3067</v>
      </c>
      <c r="B46" s="64">
        <v>2.92</v>
      </c>
      <c r="C46" s="64">
        <v>5.89</v>
      </c>
      <c r="D46" s="64">
        <v>6.56</v>
      </c>
      <c r="E46" s="64">
        <v>2.2400000000000002</v>
      </c>
      <c r="F46" s="64">
        <v>7.65</v>
      </c>
      <c r="G46" s="64">
        <v>64.180000000000007</v>
      </c>
      <c r="H46" s="64">
        <v>22.19</v>
      </c>
      <c r="I46" s="64">
        <v>4.87</v>
      </c>
      <c r="J46" s="64">
        <v>1.02</v>
      </c>
      <c r="K46" s="64">
        <v>329.42</v>
      </c>
      <c r="L46" s="64">
        <v>42.59</v>
      </c>
      <c r="M46" s="64">
        <v>24.21</v>
      </c>
      <c r="N46" s="64">
        <v>679.7</v>
      </c>
      <c r="O46" s="64">
        <v>0</v>
      </c>
      <c r="P46" s="64">
        <v>0.6</v>
      </c>
      <c r="Q46" s="64">
        <v>9.42</v>
      </c>
      <c r="R46" s="198"/>
      <c r="S46" s="198"/>
      <c r="T46" s="198"/>
      <c r="U46" s="198"/>
    </row>
    <row r="47" spans="1:21" s="12" customFormat="1" x14ac:dyDescent="0.25">
      <c r="A47" s="216" t="s">
        <v>3068</v>
      </c>
      <c r="B47" s="64">
        <v>2.96</v>
      </c>
      <c r="C47" s="64">
        <v>5.86</v>
      </c>
      <c r="D47" s="64">
        <v>6.58</v>
      </c>
      <c r="E47" s="64">
        <v>2.36</v>
      </c>
      <c r="F47" s="64">
        <v>6.25</v>
      </c>
      <c r="G47" s="64">
        <v>67.89</v>
      </c>
      <c r="H47" s="64">
        <v>27.62</v>
      </c>
      <c r="I47" s="64">
        <v>5.19</v>
      </c>
      <c r="J47" s="64">
        <v>0.98</v>
      </c>
      <c r="K47" s="64">
        <v>322.83999999999997</v>
      </c>
      <c r="L47" s="64">
        <v>44.21</v>
      </c>
      <c r="M47" s="64">
        <v>22.44</v>
      </c>
      <c r="N47" s="64">
        <v>713.8</v>
      </c>
      <c r="O47" s="64">
        <v>0</v>
      </c>
      <c r="P47" s="64">
        <v>0.61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6" t="s">
        <v>3069</v>
      </c>
      <c r="B48" s="64">
        <v>2.93</v>
      </c>
      <c r="C48" s="64">
        <v>5.74</v>
      </c>
      <c r="D48" s="64">
        <v>6.49</v>
      </c>
      <c r="E48" s="64">
        <v>2.5299999999999998</v>
      </c>
      <c r="F48" s="64">
        <v>7.1</v>
      </c>
      <c r="G48" s="64">
        <v>67.89</v>
      </c>
      <c r="H48" s="64">
        <v>27.62</v>
      </c>
      <c r="I48" s="64">
        <v>5.5</v>
      </c>
      <c r="J48" s="64">
        <v>1.07</v>
      </c>
      <c r="K48" s="64">
        <v>315.89</v>
      </c>
      <c r="L48" s="64">
        <v>44.98</v>
      </c>
      <c r="M48" s="64">
        <v>21.59</v>
      </c>
      <c r="N48" s="64">
        <v>742.6</v>
      </c>
      <c r="O48" s="64">
        <v>0</v>
      </c>
      <c r="P48" s="64">
        <v>0.61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6" t="s">
        <v>3070</v>
      </c>
      <c r="B49" s="64">
        <v>2.93</v>
      </c>
      <c r="C49" s="64">
        <v>5.86</v>
      </c>
      <c r="D49" s="64">
        <v>6.55</v>
      </c>
      <c r="E49" s="64">
        <v>2.64</v>
      </c>
      <c r="F49" s="64">
        <v>7.05</v>
      </c>
      <c r="G49" s="64">
        <v>67.89</v>
      </c>
      <c r="H49" s="64">
        <v>27.62</v>
      </c>
      <c r="I49" s="64">
        <v>5.48</v>
      </c>
      <c r="J49" s="64">
        <v>1.63</v>
      </c>
      <c r="K49" s="64">
        <v>325.89</v>
      </c>
      <c r="L49" s="64">
        <v>45.12</v>
      </c>
      <c r="M49" s="64">
        <v>20.46</v>
      </c>
      <c r="N49" s="64">
        <v>778.9</v>
      </c>
      <c r="O49" s="64">
        <v>0</v>
      </c>
      <c r="P49" s="64">
        <v>0.61</v>
      </c>
      <c r="Q49" s="64">
        <v>9.43</v>
      </c>
      <c r="R49" s="198"/>
      <c r="S49" s="198"/>
      <c r="T49" s="198"/>
      <c r="U49" s="198"/>
    </row>
    <row r="50" spans="1:21" s="12" customFormat="1" x14ac:dyDescent="0.25">
      <c r="A50" s="216" t="s">
        <v>3071</v>
      </c>
      <c r="B50" s="64">
        <v>2.95</v>
      </c>
      <c r="C50" s="64">
        <v>5.88</v>
      </c>
      <c r="D50" s="64">
        <v>6.58</v>
      </c>
      <c r="E50" s="64">
        <v>2.23</v>
      </c>
      <c r="F50" s="64">
        <v>6.66</v>
      </c>
      <c r="G50" s="64">
        <v>67.849999999999994</v>
      </c>
      <c r="H50" s="64">
        <v>27.72</v>
      </c>
      <c r="I50" s="64">
        <v>5.26</v>
      </c>
      <c r="J50" s="64">
        <v>1.54</v>
      </c>
      <c r="K50" s="64">
        <v>326.64</v>
      </c>
      <c r="L50" s="64">
        <v>45.77</v>
      </c>
      <c r="M50" s="64">
        <v>19.72</v>
      </c>
      <c r="N50" s="64">
        <v>795.9</v>
      </c>
      <c r="O50" s="64">
        <v>0</v>
      </c>
      <c r="P50" s="64">
        <v>0.62</v>
      </c>
      <c r="Q50" s="64">
        <v>9.43</v>
      </c>
      <c r="R50" s="198"/>
      <c r="S50" s="198"/>
      <c r="T50" s="198"/>
      <c r="U50" s="198"/>
    </row>
    <row r="51" spans="1:21" s="12" customFormat="1" x14ac:dyDescent="0.25">
      <c r="A51" s="216" t="s">
        <v>3072</v>
      </c>
      <c r="B51" s="64">
        <v>2.95</v>
      </c>
      <c r="C51" s="64">
        <v>6.38</v>
      </c>
      <c r="D51" s="64">
        <v>6.84</v>
      </c>
      <c r="E51" s="64">
        <v>2.46</v>
      </c>
      <c r="F51" s="64">
        <v>13.16</v>
      </c>
      <c r="G51" s="64">
        <v>67.38</v>
      </c>
      <c r="H51" s="64">
        <v>28.92</v>
      </c>
      <c r="I51" s="64">
        <v>5.04</v>
      </c>
      <c r="J51" s="64">
        <v>1.1399999999999999</v>
      </c>
      <c r="K51" s="64">
        <v>318.5</v>
      </c>
      <c r="L51" s="64">
        <v>46.03</v>
      </c>
      <c r="M51" s="64">
        <v>19.190000000000001</v>
      </c>
      <c r="N51" s="64">
        <v>810.5</v>
      </c>
      <c r="O51" s="64">
        <v>0</v>
      </c>
      <c r="P51" s="64">
        <v>0.59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6" t="s">
        <v>3073</v>
      </c>
      <c r="B52" s="64">
        <v>2.87</v>
      </c>
      <c r="C52" s="64">
        <v>6.7</v>
      </c>
      <c r="D52" s="64">
        <v>6.95</v>
      </c>
      <c r="E52" s="64">
        <v>2.21</v>
      </c>
      <c r="F52" s="64">
        <v>12.28</v>
      </c>
      <c r="G52" s="64">
        <v>67.38</v>
      </c>
      <c r="H52" s="64">
        <v>28.92</v>
      </c>
      <c r="I52" s="64">
        <v>4.82</v>
      </c>
      <c r="J52" s="64">
        <v>1.33</v>
      </c>
      <c r="K52" s="64">
        <v>315.36</v>
      </c>
      <c r="L52" s="64">
        <v>46.47</v>
      </c>
      <c r="M52" s="64">
        <v>18.899999999999999</v>
      </c>
      <c r="N52" s="64">
        <v>823.1</v>
      </c>
      <c r="O52" s="64">
        <v>0</v>
      </c>
      <c r="P52" s="64">
        <v>0.57999999999999996</v>
      </c>
      <c r="Q52" s="64">
        <v>9.39</v>
      </c>
      <c r="R52" s="198"/>
      <c r="S52" s="198"/>
      <c r="T52" s="198"/>
      <c r="U52" s="198"/>
    </row>
    <row r="53" spans="1:21" s="12" customFormat="1" x14ac:dyDescent="0.25">
      <c r="A53" s="216" t="s">
        <v>3074</v>
      </c>
      <c r="B53" s="64">
        <v>2.85</v>
      </c>
      <c r="C53" s="64">
        <v>6.57</v>
      </c>
      <c r="D53" s="64">
        <v>6.87</v>
      </c>
      <c r="E53" s="64">
        <v>2.25</v>
      </c>
      <c r="F53" s="64">
        <v>10.91</v>
      </c>
      <c r="G53" s="64">
        <v>67.38</v>
      </c>
      <c r="H53" s="64">
        <v>28.92</v>
      </c>
      <c r="I53" s="64">
        <v>4.43</v>
      </c>
      <c r="J53" s="64">
        <v>0.85</v>
      </c>
      <c r="K53" s="64">
        <v>332.36</v>
      </c>
      <c r="L53" s="64">
        <v>46.71</v>
      </c>
      <c r="M53" s="64">
        <v>18.329999999999998</v>
      </c>
      <c r="N53" s="64">
        <v>833.5</v>
      </c>
      <c r="O53" s="64">
        <v>0</v>
      </c>
      <c r="P53" s="64">
        <v>0.57999999999999996</v>
      </c>
      <c r="Q53" s="64">
        <v>9.3800000000000008</v>
      </c>
      <c r="R53" s="198"/>
      <c r="S53" s="198"/>
      <c r="T53" s="198"/>
      <c r="U53" s="198"/>
    </row>
    <row r="54" spans="1:21" s="12" customFormat="1" x14ac:dyDescent="0.25">
      <c r="A54" s="216" t="s">
        <v>3075</v>
      </c>
      <c r="B54" s="64">
        <v>2.89</v>
      </c>
      <c r="C54" s="64">
        <v>7.39</v>
      </c>
      <c r="D54" s="64">
        <v>7.32</v>
      </c>
      <c r="E54" s="64">
        <v>2.23</v>
      </c>
      <c r="F54" s="64">
        <v>10.44</v>
      </c>
      <c r="G54" s="64">
        <v>66.41</v>
      </c>
      <c r="H54" s="64">
        <v>28.61</v>
      </c>
      <c r="I54" s="64">
        <v>4.1100000000000003</v>
      </c>
      <c r="J54" s="64">
        <v>1</v>
      </c>
      <c r="K54" s="64">
        <v>335.99</v>
      </c>
      <c r="L54" s="64">
        <v>43.03</v>
      </c>
      <c r="M54" s="64">
        <v>18.399999999999999</v>
      </c>
      <c r="N54" s="64">
        <v>826.5</v>
      </c>
      <c r="O54" s="64">
        <v>0</v>
      </c>
      <c r="P54" s="64">
        <v>0.56999999999999995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6" t="s">
        <v>3076</v>
      </c>
      <c r="B55" s="64">
        <v>2.87</v>
      </c>
      <c r="C55" s="64">
        <v>8.0399999999999991</v>
      </c>
      <c r="D55" s="64">
        <v>7.65</v>
      </c>
      <c r="E55" s="64">
        <v>2.5</v>
      </c>
      <c r="F55" s="64">
        <v>8.6999999999999993</v>
      </c>
      <c r="G55" s="64">
        <v>54.81</v>
      </c>
      <c r="H55" s="64">
        <v>24.85</v>
      </c>
      <c r="I55" s="64">
        <v>3.88</v>
      </c>
      <c r="J55" s="64">
        <v>0.71</v>
      </c>
      <c r="K55" s="64">
        <v>327.56</v>
      </c>
      <c r="L55" s="64">
        <v>41.68</v>
      </c>
      <c r="M55" s="64">
        <v>17.739999999999998</v>
      </c>
      <c r="N55" s="64">
        <v>834</v>
      </c>
      <c r="O55" s="64">
        <v>0</v>
      </c>
      <c r="P55" s="64">
        <v>0.56999999999999995</v>
      </c>
      <c r="Q55" s="64">
        <v>9.4499999999999993</v>
      </c>
      <c r="R55" s="198"/>
      <c r="S55" s="198"/>
      <c r="T55" s="198"/>
      <c r="U55" s="198"/>
    </row>
    <row r="56" spans="1:21" s="12" customFormat="1" x14ac:dyDescent="0.25">
      <c r="A56" s="216" t="s">
        <v>3077</v>
      </c>
      <c r="B56" s="64">
        <v>2.84</v>
      </c>
      <c r="C56" s="64">
        <v>7.54</v>
      </c>
      <c r="D56" s="64">
        <v>7.36</v>
      </c>
      <c r="E56" s="64">
        <v>1.64</v>
      </c>
      <c r="F56" s="64">
        <v>12.5</v>
      </c>
      <c r="G56" s="64">
        <v>54.81</v>
      </c>
      <c r="H56" s="64">
        <v>24.85</v>
      </c>
      <c r="I56" s="64">
        <v>3.9</v>
      </c>
      <c r="J56" s="64">
        <v>1.39</v>
      </c>
      <c r="K56" s="64">
        <v>334.19</v>
      </c>
      <c r="L56" s="64">
        <v>41.48</v>
      </c>
      <c r="M56" s="64">
        <v>17.649999999999999</v>
      </c>
      <c r="N56" s="64">
        <v>842.7</v>
      </c>
      <c r="O56" s="64">
        <v>0</v>
      </c>
      <c r="P56" s="64">
        <v>0.55000000000000004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6" t="s">
        <v>3078</v>
      </c>
      <c r="B57" s="64">
        <v>2.82</v>
      </c>
      <c r="C57" s="64">
        <v>7.23</v>
      </c>
      <c r="D57" s="64">
        <v>7.18</v>
      </c>
      <c r="E57" s="64">
        <v>2.1800000000000002</v>
      </c>
      <c r="F57" s="64">
        <v>13.3</v>
      </c>
      <c r="G57" s="64">
        <v>54.81</v>
      </c>
      <c r="H57" s="64">
        <v>24.85</v>
      </c>
      <c r="I57" s="64">
        <v>4.01</v>
      </c>
      <c r="J57" s="64">
        <v>0.92</v>
      </c>
      <c r="K57" s="64">
        <v>337.31</v>
      </c>
      <c r="L57" s="64">
        <v>41.12</v>
      </c>
      <c r="M57" s="64">
        <v>17.059999999999999</v>
      </c>
      <c r="N57" s="64">
        <v>833.9</v>
      </c>
      <c r="O57" s="64">
        <v>0</v>
      </c>
      <c r="P57" s="64">
        <v>0.54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6" t="s">
        <v>3079</v>
      </c>
      <c r="B58" s="64">
        <v>2.78</v>
      </c>
      <c r="C58" s="64">
        <v>6.86</v>
      </c>
      <c r="D58" s="64">
        <v>6.96</v>
      </c>
      <c r="E58" s="64">
        <v>2.2599999999999998</v>
      </c>
      <c r="F58" s="64">
        <v>12.36</v>
      </c>
      <c r="G58" s="64">
        <v>54.71</v>
      </c>
      <c r="H58" s="64">
        <v>24.55</v>
      </c>
      <c r="I58" s="64">
        <v>4.01</v>
      </c>
      <c r="J58" s="64">
        <v>0.31</v>
      </c>
      <c r="K58" s="64">
        <v>15.13</v>
      </c>
      <c r="L58" s="64">
        <v>40.450000000000003</v>
      </c>
      <c r="M58" s="64">
        <v>16.21</v>
      </c>
      <c r="N58" s="64">
        <v>833.1</v>
      </c>
      <c r="O58" s="64">
        <v>0</v>
      </c>
      <c r="P58" s="64">
        <v>0.51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6" t="s">
        <v>3080</v>
      </c>
      <c r="B59" s="64">
        <v>2.77</v>
      </c>
      <c r="C59" s="64">
        <v>5.86</v>
      </c>
      <c r="D59" s="64">
        <v>6.43</v>
      </c>
      <c r="E59" s="64">
        <v>2.1</v>
      </c>
      <c r="F59" s="64">
        <v>10.09</v>
      </c>
      <c r="G59" s="64">
        <v>53.52</v>
      </c>
      <c r="H59" s="64">
        <v>21.07</v>
      </c>
      <c r="I59" s="64">
        <v>4.1100000000000003</v>
      </c>
      <c r="J59" s="64">
        <v>0.61</v>
      </c>
      <c r="K59" s="64">
        <v>349.16</v>
      </c>
      <c r="L59" s="64">
        <v>40.700000000000003</v>
      </c>
      <c r="M59" s="64">
        <v>15.96</v>
      </c>
      <c r="N59" s="64">
        <v>823.4</v>
      </c>
      <c r="O59" s="64">
        <v>0</v>
      </c>
      <c r="P59" s="64">
        <v>0.48</v>
      </c>
      <c r="Q59" s="64">
        <v>9.2899999999999991</v>
      </c>
      <c r="R59" s="198"/>
      <c r="S59" s="198"/>
      <c r="T59" s="198"/>
      <c r="U59" s="198"/>
    </row>
    <row r="60" spans="1:21" s="12" customFormat="1" x14ac:dyDescent="0.25">
      <c r="A60" s="216" t="s">
        <v>3081</v>
      </c>
      <c r="B60" s="64">
        <v>2.8</v>
      </c>
      <c r="C60" s="64">
        <v>5.44</v>
      </c>
      <c r="D60" s="64">
        <v>6.23</v>
      </c>
      <c r="E60" s="64">
        <v>2.19</v>
      </c>
      <c r="F60" s="64">
        <v>7.45</v>
      </c>
      <c r="G60" s="64">
        <v>53.52</v>
      </c>
      <c r="H60" s="64">
        <v>21.07</v>
      </c>
      <c r="I60" s="64">
        <v>4.12</v>
      </c>
      <c r="J60" s="64">
        <v>1.22</v>
      </c>
      <c r="K60" s="64">
        <v>330.36</v>
      </c>
      <c r="L60" s="64">
        <v>41.42</v>
      </c>
      <c r="M60" s="64">
        <v>15.82</v>
      </c>
      <c r="N60" s="64">
        <v>818.2</v>
      </c>
      <c r="O60" s="64">
        <v>0</v>
      </c>
      <c r="P60" s="64">
        <v>0.47</v>
      </c>
      <c r="Q60" s="64">
        <v>9.2899999999999991</v>
      </c>
      <c r="R60" s="198"/>
      <c r="S60" s="198"/>
      <c r="T60" s="198"/>
      <c r="U60" s="198"/>
    </row>
    <row r="61" spans="1:21" s="12" customFormat="1" x14ac:dyDescent="0.25">
      <c r="A61" s="216" t="s">
        <v>3082</v>
      </c>
      <c r="B61" s="64">
        <v>2.8</v>
      </c>
      <c r="C61" s="64">
        <v>5.3</v>
      </c>
      <c r="D61" s="64">
        <v>6.16</v>
      </c>
      <c r="E61" s="64">
        <v>1.81</v>
      </c>
      <c r="F61" s="64">
        <v>8.4499999999999993</v>
      </c>
      <c r="G61" s="64">
        <v>53.52</v>
      </c>
      <c r="H61" s="64">
        <v>21.07</v>
      </c>
      <c r="I61" s="64">
        <v>4.07</v>
      </c>
      <c r="J61" s="64">
        <v>0.33</v>
      </c>
      <c r="K61" s="64">
        <v>355.91</v>
      </c>
      <c r="L61" s="64">
        <v>41.61</v>
      </c>
      <c r="M61" s="64">
        <v>15.14</v>
      </c>
      <c r="N61" s="64">
        <v>784.5</v>
      </c>
      <c r="O61" s="64">
        <v>0</v>
      </c>
      <c r="P61" s="64">
        <v>0.42</v>
      </c>
      <c r="Q61" s="64">
        <v>9.2799999999999994</v>
      </c>
      <c r="R61" s="198"/>
      <c r="S61" s="198"/>
      <c r="T61" s="198"/>
      <c r="U61" s="198"/>
    </row>
    <row r="62" spans="1:21" s="12" customFormat="1" x14ac:dyDescent="0.25">
      <c r="A62" s="216" t="s">
        <v>3083</v>
      </c>
      <c r="B62" s="64">
        <v>2.79</v>
      </c>
      <c r="C62" s="64">
        <v>5.18</v>
      </c>
      <c r="D62" s="64">
        <v>6.09</v>
      </c>
      <c r="E62" s="64">
        <v>2.2400000000000002</v>
      </c>
      <c r="F62" s="64">
        <v>9.5</v>
      </c>
      <c r="G62" s="64">
        <v>54.01</v>
      </c>
      <c r="H62" s="64">
        <v>21.4</v>
      </c>
      <c r="I62" s="64">
        <v>4.09</v>
      </c>
      <c r="J62" s="64">
        <v>0.15</v>
      </c>
      <c r="K62" s="64">
        <v>309.66000000000003</v>
      </c>
      <c r="L62" s="64">
        <v>40.83</v>
      </c>
      <c r="M62" s="64">
        <v>16.02</v>
      </c>
      <c r="N62" s="64">
        <v>758.1</v>
      </c>
      <c r="O62" s="64">
        <v>0</v>
      </c>
      <c r="P62" s="64">
        <v>0.43</v>
      </c>
      <c r="Q62" s="64">
        <v>9.2899999999999991</v>
      </c>
      <c r="R62" s="198"/>
      <c r="S62" s="198"/>
      <c r="T62" s="198"/>
      <c r="U62" s="198"/>
    </row>
    <row r="63" spans="1:21" s="12" customFormat="1" x14ac:dyDescent="0.25">
      <c r="A63" s="216" t="s">
        <v>3084</v>
      </c>
      <c r="B63" s="64">
        <v>2.78</v>
      </c>
      <c r="C63" s="64">
        <v>4.75</v>
      </c>
      <c r="D63" s="64">
        <v>5.85</v>
      </c>
      <c r="E63" s="64">
        <v>2.98</v>
      </c>
      <c r="F63" s="64">
        <v>10.4</v>
      </c>
      <c r="G63" s="64">
        <v>59.78</v>
      </c>
      <c r="H63" s="64">
        <v>25.37</v>
      </c>
      <c r="I63" s="64">
        <v>3.96</v>
      </c>
      <c r="J63" s="64">
        <v>1.02</v>
      </c>
      <c r="K63" s="64">
        <v>339.91</v>
      </c>
      <c r="L63" s="64">
        <v>41.85</v>
      </c>
      <c r="M63" s="64">
        <v>14.95</v>
      </c>
      <c r="N63" s="64">
        <v>727.6</v>
      </c>
      <c r="O63" s="64">
        <v>0</v>
      </c>
      <c r="P63" s="64">
        <v>0.4</v>
      </c>
      <c r="Q63" s="64">
        <v>9.3000000000000007</v>
      </c>
      <c r="R63" s="198"/>
      <c r="S63" s="198"/>
      <c r="T63" s="198"/>
      <c r="U63" s="198"/>
    </row>
    <row r="64" spans="1:21" s="12" customFormat="1" x14ac:dyDescent="0.25">
      <c r="A64" s="216" t="s">
        <v>3085</v>
      </c>
      <c r="B64" s="64">
        <v>2.78</v>
      </c>
      <c r="C64" s="64">
        <v>4.51</v>
      </c>
      <c r="D64" s="64">
        <v>5.73</v>
      </c>
      <c r="E64" s="64">
        <v>2.14</v>
      </c>
      <c r="F64" s="64">
        <v>6.94</v>
      </c>
      <c r="G64" s="64">
        <v>59.78</v>
      </c>
      <c r="H64" s="64">
        <v>25.37</v>
      </c>
      <c r="I64" s="64">
        <v>4.13</v>
      </c>
      <c r="J64" s="64">
        <v>0.77</v>
      </c>
      <c r="K64" s="64">
        <v>332.16</v>
      </c>
      <c r="L64" s="64">
        <v>42.33</v>
      </c>
      <c r="M64" s="64">
        <v>14.17</v>
      </c>
      <c r="N64" s="64">
        <v>703</v>
      </c>
      <c r="O64" s="64">
        <v>0</v>
      </c>
      <c r="P64" s="64">
        <v>0.39</v>
      </c>
      <c r="Q64" s="64">
        <v>9.31</v>
      </c>
      <c r="R64" s="198"/>
      <c r="S64" s="198"/>
      <c r="T64" s="198"/>
      <c r="U64" s="198"/>
    </row>
    <row r="65" spans="1:21" s="12" customFormat="1" x14ac:dyDescent="0.25">
      <c r="A65" s="216" t="s">
        <v>3086</v>
      </c>
      <c r="B65" s="64">
        <v>2.83</v>
      </c>
      <c r="C65" s="64">
        <v>4.78</v>
      </c>
      <c r="D65" s="64">
        <v>5.91</v>
      </c>
      <c r="E65" s="64">
        <v>2.4500000000000002</v>
      </c>
      <c r="F65" s="64">
        <v>5.63</v>
      </c>
      <c r="G65" s="64">
        <v>59.78</v>
      </c>
      <c r="H65" s="64">
        <v>25.37</v>
      </c>
      <c r="I65" s="64">
        <v>4.25</v>
      </c>
      <c r="J65" s="64">
        <v>1.59</v>
      </c>
      <c r="K65" s="64">
        <v>333.88</v>
      </c>
      <c r="L65" s="64">
        <v>42.23</v>
      </c>
      <c r="M65" s="64">
        <v>13.87</v>
      </c>
      <c r="N65" s="64">
        <v>650.4</v>
      </c>
      <c r="O65" s="64">
        <v>0</v>
      </c>
      <c r="P65" s="64">
        <v>0.39</v>
      </c>
      <c r="Q65" s="64">
        <v>9.31</v>
      </c>
      <c r="R65" s="198"/>
      <c r="S65" s="198"/>
      <c r="T65" s="198"/>
      <c r="U65" s="198"/>
    </row>
    <row r="66" spans="1:21" s="12" customFormat="1" x14ac:dyDescent="0.25">
      <c r="A66" s="216" t="s">
        <v>3087</v>
      </c>
      <c r="B66" s="64">
        <v>2.83</v>
      </c>
      <c r="C66" s="64">
        <v>4.79</v>
      </c>
      <c r="D66" s="64">
        <v>5.92</v>
      </c>
      <c r="E66" s="64">
        <v>2.61</v>
      </c>
      <c r="F66" s="64">
        <v>5.76</v>
      </c>
      <c r="G66" s="64">
        <v>59.58</v>
      </c>
      <c r="H66" s="64">
        <v>25.23</v>
      </c>
      <c r="I66" s="64">
        <v>4.59</v>
      </c>
      <c r="J66" s="64">
        <v>0.45</v>
      </c>
      <c r="K66" s="64">
        <v>328.5</v>
      </c>
      <c r="L66" s="64">
        <v>41.32</v>
      </c>
      <c r="M66" s="64">
        <v>15.25</v>
      </c>
      <c r="N66" s="64">
        <v>598.9</v>
      </c>
      <c r="O66" s="64">
        <v>0</v>
      </c>
      <c r="P66" s="64">
        <v>0.39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6" t="s">
        <v>3088</v>
      </c>
      <c r="B67" s="64">
        <v>2.83</v>
      </c>
      <c r="C67" s="64">
        <v>5.03</v>
      </c>
      <c r="D67" s="64">
        <v>6.04</v>
      </c>
      <c r="E67" s="64">
        <v>2.2400000000000002</v>
      </c>
      <c r="F67" s="64">
        <v>6.13</v>
      </c>
      <c r="G67" s="64">
        <v>57.18</v>
      </c>
      <c r="H67" s="64">
        <v>23.52</v>
      </c>
      <c r="I67" s="64">
        <v>5.05</v>
      </c>
      <c r="J67" s="64">
        <v>0.77</v>
      </c>
      <c r="K67" s="64">
        <v>338.94</v>
      </c>
      <c r="L67" s="64">
        <v>40.72</v>
      </c>
      <c r="M67" s="64">
        <v>16.170000000000002</v>
      </c>
      <c r="N67" s="64">
        <v>233.5</v>
      </c>
      <c r="O67" s="64">
        <v>0</v>
      </c>
      <c r="P67" s="64">
        <v>0.39</v>
      </c>
      <c r="Q67" s="64">
        <v>9.39</v>
      </c>
      <c r="R67" s="198"/>
      <c r="S67" s="198"/>
      <c r="T67" s="198"/>
      <c r="U67" s="198"/>
    </row>
    <row r="68" spans="1:21" s="12" customFormat="1" x14ac:dyDescent="0.25">
      <c r="A68" s="216" t="s">
        <v>3089</v>
      </c>
      <c r="B68" s="64">
        <v>2.82</v>
      </c>
      <c r="C68" s="64">
        <v>5.19</v>
      </c>
      <c r="D68" s="64">
        <v>6.12</v>
      </c>
      <c r="E68" s="64">
        <v>2.67</v>
      </c>
      <c r="F68" s="64">
        <v>5.86</v>
      </c>
      <c r="G68" s="64">
        <v>57.18</v>
      </c>
      <c r="H68" s="64">
        <v>23.52</v>
      </c>
      <c r="I68" s="64">
        <v>5.16</v>
      </c>
      <c r="J68" s="64">
        <v>0.33</v>
      </c>
      <c r="K68" s="64">
        <v>6.12</v>
      </c>
      <c r="L68" s="64">
        <v>39.700000000000003</v>
      </c>
      <c r="M68" s="64">
        <v>16.86</v>
      </c>
      <c r="N68" s="64">
        <v>296.2</v>
      </c>
      <c r="O68" s="64">
        <v>0</v>
      </c>
      <c r="P68" s="64">
        <v>0.38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6" t="s">
        <v>3090</v>
      </c>
      <c r="B69" s="64">
        <v>2.88</v>
      </c>
      <c r="C69" s="64">
        <v>5.58</v>
      </c>
      <c r="D69" s="64">
        <v>6.37</v>
      </c>
      <c r="E69" s="64">
        <v>2.54</v>
      </c>
      <c r="F69" s="64">
        <v>5.69</v>
      </c>
      <c r="G69" s="64">
        <v>57.18</v>
      </c>
      <c r="H69" s="64">
        <v>23.52</v>
      </c>
      <c r="I69" s="64">
        <v>4.99</v>
      </c>
      <c r="J69" s="64">
        <v>0.2</v>
      </c>
      <c r="K69" s="64">
        <v>121.78</v>
      </c>
      <c r="L69" s="64">
        <v>39.869999999999997</v>
      </c>
      <c r="M69" s="64">
        <v>14.58</v>
      </c>
      <c r="N69" s="64">
        <v>246.9</v>
      </c>
      <c r="O69" s="64">
        <v>0</v>
      </c>
      <c r="P69" s="64">
        <v>0.38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6" t="s">
        <v>3091</v>
      </c>
      <c r="B70" s="64">
        <v>2.86</v>
      </c>
      <c r="C70" s="64">
        <v>5.62</v>
      </c>
      <c r="D70" s="64">
        <v>6.38</v>
      </c>
      <c r="E70" s="64">
        <v>2.74</v>
      </c>
      <c r="F70" s="64">
        <v>5.87</v>
      </c>
      <c r="G70" s="64">
        <v>56.78</v>
      </c>
      <c r="H70" s="64">
        <v>23.4</v>
      </c>
      <c r="I70" s="64">
        <v>5.18</v>
      </c>
      <c r="J70" s="64">
        <v>0.4</v>
      </c>
      <c r="K70" s="64">
        <v>140.9</v>
      </c>
      <c r="L70" s="64">
        <v>38.81</v>
      </c>
      <c r="M70" s="64">
        <v>15.35</v>
      </c>
      <c r="N70" s="64">
        <v>170.6</v>
      </c>
      <c r="O70" s="64">
        <v>0</v>
      </c>
      <c r="P70" s="64">
        <v>0.36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6" t="s">
        <v>3092</v>
      </c>
      <c r="B71" s="64">
        <v>2.82</v>
      </c>
      <c r="C71" s="64">
        <v>5.4</v>
      </c>
      <c r="D71" s="64">
        <v>6.23</v>
      </c>
      <c r="E71" s="64">
        <v>2.89</v>
      </c>
      <c r="F71" s="64">
        <v>7.48</v>
      </c>
      <c r="G71" s="64">
        <v>52.06</v>
      </c>
      <c r="H71" s="64">
        <v>21.93</v>
      </c>
      <c r="I71" s="64">
        <v>5.46</v>
      </c>
      <c r="J71" s="64">
        <v>0.93</v>
      </c>
      <c r="K71" s="64">
        <v>313.62</v>
      </c>
      <c r="L71" s="64">
        <v>39.39</v>
      </c>
      <c r="M71" s="64">
        <v>15.38</v>
      </c>
      <c r="N71" s="64">
        <v>130.6</v>
      </c>
      <c r="O71" s="64">
        <v>0</v>
      </c>
      <c r="P71" s="64">
        <v>0.35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6" t="s">
        <v>3093</v>
      </c>
      <c r="B72" s="64">
        <v>2.77</v>
      </c>
      <c r="C72" s="64">
        <v>6.01</v>
      </c>
      <c r="D72" s="64">
        <v>6.51</v>
      </c>
      <c r="E72" s="64">
        <v>1.77</v>
      </c>
      <c r="F72" s="64">
        <v>7.57</v>
      </c>
      <c r="G72" s="64">
        <v>52.06</v>
      </c>
      <c r="H72" s="64">
        <v>21.93</v>
      </c>
      <c r="I72" s="64">
        <v>5.74</v>
      </c>
      <c r="J72" s="64">
        <v>0.14000000000000001</v>
      </c>
      <c r="K72" s="64">
        <v>23.23</v>
      </c>
      <c r="L72" s="64">
        <v>38.909999999999997</v>
      </c>
      <c r="M72" s="64">
        <v>14.73</v>
      </c>
      <c r="N72" s="64">
        <v>123.3</v>
      </c>
      <c r="O72" s="64">
        <v>0</v>
      </c>
      <c r="P72" s="64">
        <v>0.35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6" t="s">
        <v>3094</v>
      </c>
      <c r="B73" s="64">
        <v>2.83</v>
      </c>
      <c r="C73" s="64">
        <v>6.75</v>
      </c>
      <c r="D73" s="64">
        <v>6.94</v>
      </c>
      <c r="E73" s="64">
        <v>1.69</v>
      </c>
      <c r="F73" s="64">
        <v>5.7</v>
      </c>
      <c r="G73" s="64">
        <v>52.06</v>
      </c>
      <c r="H73" s="64">
        <v>21.93</v>
      </c>
      <c r="I73" s="64">
        <v>5.5</v>
      </c>
      <c r="J73" s="64">
        <v>0.73</v>
      </c>
      <c r="K73" s="64">
        <v>320.77</v>
      </c>
      <c r="L73" s="64">
        <v>41.69</v>
      </c>
      <c r="M73" s="64">
        <v>15.52</v>
      </c>
      <c r="N73" s="64">
        <v>122.5</v>
      </c>
      <c r="O73" s="64">
        <v>0</v>
      </c>
      <c r="P73" s="64">
        <v>0.35</v>
      </c>
      <c r="Q73" s="64">
        <v>9.35</v>
      </c>
      <c r="R73" s="198"/>
      <c r="S73" s="198"/>
      <c r="T73" s="198"/>
      <c r="U73" s="198"/>
    </row>
    <row r="74" spans="1:21" s="12" customFormat="1" x14ac:dyDescent="0.25">
      <c r="A74" s="216" t="s">
        <v>3095</v>
      </c>
      <c r="B74" s="64">
        <v>2.88</v>
      </c>
      <c r="C74" s="64">
        <v>7.85</v>
      </c>
      <c r="D74" s="64">
        <v>7.56</v>
      </c>
      <c r="E74" s="64">
        <v>1.72</v>
      </c>
      <c r="F74" s="64">
        <v>6.8</v>
      </c>
      <c r="G74" s="64">
        <v>51.07</v>
      </c>
      <c r="H74" s="64">
        <v>21.71</v>
      </c>
      <c r="I74" s="64">
        <v>5.25</v>
      </c>
      <c r="J74" s="64">
        <v>0.56999999999999995</v>
      </c>
      <c r="K74" s="64">
        <v>3.28</v>
      </c>
      <c r="L74" s="64">
        <v>45.92</v>
      </c>
      <c r="M74" s="64">
        <v>14.26</v>
      </c>
      <c r="N74" s="64">
        <v>108</v>
      </c>
      <c r="O74" s="64">
        <v>0</v>
      </c>
      <c r="P74" s="64">
        <v>0.36</v>
      </c>
      <c r="Q74" s="64">
        <v>9.42</v>
      </c>
      <c r="R74" s="198"/>
      <c r="S74" s="198"/>
      <c r="T74" s="198"/>
      <c r="U74" s="198"/>
    </row>
    <row r="75" spans="1:21" s="12" customFormat="1" x14ac:dyDescent="0.25">
      <c r="A75" s="216" t="s">
        <v>3096</v>
      </c>
      <c r="B75" s="64">
        <v>2.84</v>
      </c>
      <c r="C75" s="64">
        <v>8.43</v>
      </c>
      <c r="D75" s="64">
        <v>7.83</v>
      </c>
      <c r="E75" s="64">
        <v>1.26</v>
      </c>
      <c r="F75" s="64">
        <v>6.89</v>
      </c>
      <c r="G75" s="64">
        <v>39.24</v>
      </c>
      <c r="H75" s="64">
        <v>19.03</v>
      </c>
      <c r="I75" s="64">
        <v>5.08</v>
      </c>
      <c r="J75" s="64">
        <v>0.31</v>
      </c>
      <c r="K75" s="64">
        <v>348.67</v>
      </c>
      <c r="L75" s="64">
        <v>45.66</v>
      </c>
      <c r="M75" s="64">
        <v>14.09</v>
      </c>
      <c r="N75" s="64">
        <v>87.9</v>
      </c>
      <c r="O75" s="64">
        <v>0</v>
      </c>
      <c r="P75" s="64">
        <v>0.38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6" t="s">
        <v>3097</v>
      </c>
      <c r="B76" s="64">
        <v>2.78</v>
      </c>
      <c r="C76" s="64">
        <v>8.7200000000000006</v>
      </c>
      <c r="D76" s="64">
        <v>7.93</v>
      </c>
      <c r="E76" s="64">
        <v>1.45</v>
      </c>
      <c r="F76" s="64">
        <v>7.72</v>
      </c>
      <c r="G76" s="64">
        <v>39.24</v>
      </c>
      <c r="H76" s="64">
        <v>19.03</v>
      </c>
      <c r="I76" s="64">
        <v>4.74</v>
      </c>
      <c r="J76" s="64">
        <v>0.45</v>
      </c>
      <c r="K76" s="64">
        <v>6.55</v>
      </c>
      <c r="L76" s="64">
        <v>45.2</v>
      </c>
      <c r="M76" s="64">
        <v>13.85</v>
      </c>
      <c r="N76" s="64">
        <v>61.4</v>
      </c>
      <c r="O76" s="64">
        <v>0</v>
      </c>
      <c r="P76" s="64">
        <v>0.38</v>
      </c>
      <c r="Q76" s="64">
        <v>9.44</v>
      </c>
      <c r="R76" s="198"/>
      <c r="S76" s="198"/>
      <c r="T76" s="198"/>
      <c r="U76" s="198"/>
    </row>
    <row r="77" spans="1:21" s="12" customFormat="1" x14ac:dyDescent="0.25">
      <c r="A77" s="216" t="s">
        <v>3098</v>
      </c>
      <c r="B77" s="64">
        <v>2.75</v>
      </c>
      <c r="C77" s="64">
        <v>7.36</v>
      </c>
      <c r="D77" s="64">
        <v>7.2</v>
      </c>
      <c r="E77" s="64">
        <v>1.35</v>
      </c>
      <c r="F77" s="64">
        <v>7.46</v>
      </c>
      <c r="G77" s="64">
        <v>39.24</v>
      </c>
      <c r="H77" s="64">
        <v>19.03</v>
      </c>
      <c r="I77" s="64">
        <v>4.4400000000000004</v>
      </c>
      <c r="J77" s="64">
        <v>0.37</v>
      </c>
      <c r="K77" s="64">
        <v>348.49</v>
      </c>
      <c r="L77" s="64">
        <v>44.56</v>
      </c>
      <c r="M77" s="64">
        <v>14.68</v>
      </c>
      <c r="N77" s="64">
        <v>49.1</v>
      </c>
      <c r="O77" s="64">
        <v>0</v>
      </c>
      <c r="P77" s="64">
        <v>0.44</v>
      </c>
      <c r="Q77" s="64">
        <v>9.3800000000000008</v>
      </c>
      <c r="R77" s="198"/>
      <c r="S77" s="198"/>
      <c r="T77" s="198"/>
      <c r="U77" s="198"/>
    </row>
    <row r="78" spans="1:21" s="12" customFormat="1" x14ac:dyDescent="0.25">
      <c r="A78" s="216" t="s">
        <v>3099</v>
      </c>
      <c r="B78" s="64">
        <v>2.72</v>
      </c>
      <c r="C78" s="64">
        <v>5.62</v>
      </c>
      <c r="D78" s="64">
        <v>6.26</v>
      </c>
      <c r="E78" s="64">
        <v>1.31</v>
      </c>
      <c r="F78" s="64">
        <v>5.52</v>
      </c>
      <c r="G78" s="64">
        <v>40.659999999999997</v>
      </c>
      <c r="H78" s="64">
        <v>19.48</v>
      </c>
      <c r="I78" s="64">
        <v>4.54</v>
      </c>
      <c r="J78" s="64">
        <v>0.39</v>
      </c>
      <c r="K78" s="64">
        <v>5.52</v>
      </c>
      <c r="L78" s="64">
        <v>44.29</v>
      </c>
      <c r="M78" s="64">
        <v>15.11</v>
      </c>
      <c r="N78" s="64">
        <v>51.3</v>
      </c>
      <c r="O78" s="64">
        <v>0</v>
      </c>
      <c r="P78" s="64">
        <v>0.47</v>
      </c>
      <c r="Q78" s="64">
        <v>9.3800000000000008</v>
      </c>
      <c r="R78" s="198"/>
      <c r="S78" s="198"/>
      <c r="T78" s="198"/>
      <c r="U78" s="198"/>
    </row>
    <row r="79" spans="1:21" s="12" customFormat="1" x14ac:dyDescent="0.25">
      <c r="A79" s="216" t="s">
        <v>3100</v>
      </c>
      <c r="B79" s="64">
        <v>2.83</v>
      </c>
      <c r="C79" s="64">
        <v>6.19</v>
      </c>
      <c r="D79" s="64">
        <v>6.65</v>
      </c>
      <c r="E79" s="64">
        <v>1.24</v>
      </c>
      <c r="F79" s="64">
        <v>4.71</v>
      </c>
      <c r="G79" s="64">
        <v>57.53</v>
      </c>
      <c r="H79" s="64">
        <v>24.84</v>
      </c>
      <c r="I79" s="64">
        <v>4.82</v>
      </c>
      <c r="J79" s="64">
        <v>0.39</v>
      </c>
      <c r="K79" s="64">
        <v>3.31</v>
      </c>
      <c r="L79" s="64">
        <v>44.05</v>
      </c>
      <c r="M79" s="64">
        <v>16.66</v>
      </c>
      <c r="N79" s="64">
        <v>42.7</v>
      </c>
      <c r="O79" s="64">
        <v>0</v>
      </c>
      <c r="P79" s="64">
        <v>0.53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6" t="s">
        <v>3101</v>
      </c>
      <c r="B80" s="64">
        <v>2.91</v>
      </c>
      <c r="C80" s="64">
        <v>5.86</v>
      </c>
      <c r="D80" s="64">
        <v>6.54</v>
      </c>
      <c r="E80" s="64">
        <v>1.1200000000000001</v>
      </c>
      <c r="F80" s="64">
        <v>3.94</v>
      </c>
      <c r="G80" s="64">
        <v>57.53</v>
      </c>
      <c r="H80" s="64">
        <v>24.84</v>
      </c>
      <c r="I80" s="64">
        <v>5.54</v>
      </c>
      <c r="J80" s="64">
        <v>0.32</v>
      </c>
      <c r="K80" s="64">
        <v>278.66000000000003</v>
      </c>
      <c r="L80" s="64">
        <v>43.45</v>
      </c>
      <c r="M80" s="64">
        <v>18.41</v>
      </c>
      <c r="N80" s="64">
        <v>32.5</v>
      </c>
      <c r="O80" s="64">
        <v>0</v>
      </c>
      <c r="P80" s="64">
        <v>0.59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6" t="s">
        <v>3102</v>
      </c>
      <c r="B81" s="64">
        <v>3.11</v>
      </c>
      <c r="C81" s="64">
        <v>6.43</v>
      </c>
      <c r="D81" s="64">
        <v>7</v>
      </c>
      <c r="E81" s="64">
        <v>1.22</v>
      </c>
      <c r="F81" s="64">
        <v>3.75</v>
      </c>
      <c r="G81" s="64">
        <v>57.53</v>
      </c>
      <c r="H81" s="64">
        <v>24.84</v>
      </c>
      <c r="I81" s="64">
        <v>6.65</v>
      </c>
      <c r="J81" s="64">
        <v>0.4</v>
      </c>
      <c r="K81" s="64">
        <v>328.39</v>
      </c>
      <c r="L81" s="64">
        <v>43.04</v>
      </c>
      <c r="M81" s="64">
        <v>19.55</v>
      </c>
      <c r="N81" s="64">
        <v>26.1</v>
      </c>
      <c r="O81" s="64">
        <v>0</v>
      </c>
      <c r="P81" s="64">
        <v>0.66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16" t="s">
        <v>3103</v>
      </c>
      <c r="B82" s="64">
        <v>3.26</v>
      </c>
      <c r="C82" s="64">
        <v>6.48</v>
      </c>
      <c r="D82" s="64">
        <v>7.15</v>
      </c>
      <c r="E82" s="64">
        <v>1.25</v>
      </c>
      <c r="F82" s="64">
        <v>3.4</v>
      </c>
      <c r="G82" s="64">
        <v>58.62</v>
      </c>
      <c r="H82" s="64">
        <v>25.05</v>
      </c>
      <c r="I82" s="64">
        <v>7.51</v>
      </c>
      <c r="J82" s="64">
        <v>0.42</v>
      </c>
      <c r="K82" s="64">
        <v>311.44</v>
      </c>
      <c r="L82" s="64">
        <v>42.72</v>
      </c>
      <c r="M82" s="64">
        <v>19.66</v>
      </c>
      <c r="N82" s="64">
        <v>18.5</v>
      </c>
      <c r="O82" s="64">
        <v>0</v>
      </c>
      <c r="P82" s="64">
        <v>0.7</v>
      </c>
      <c r="Q82" s="64">
        <v>9.44</v>
      </c>
      <c r="R82" s="198"/>
      <c r="S82" s="198"/>
      <c r="T82" s="198"/>
      <c r="U82" s="198"/>
    </row>
    <row r="83" spans="1:26" s="12" customFormat="1" x14ac:dyDescent="0.25">
      <c r="A83" s="216" t="s">
        <v>3104</v>
      </c>
      <c r="B83" s="64">
        <v>2.82</v>
      </c>
      <c r="C83" s="64">
        <v>3.36</v>
      </c>
      <c r="D83" s="64">
        <v>5.16</v>
      </c>
      <c r="E83" s="64">
        <v>1.1100000000000001</v>
      </c>
      <c r="F83" s="64">
        <v>3.34</v>
      </c>
      <c r="G83" s="64">
        <v>71.53</v>
      </c>
      <c r="H83" s="64">
        <v>27.47</v>
      </c>
      <c r="I83" s="64">
        <v>8.15</v>
      </c>
      <c r="J83" s="64">
        <v>0.42</v>
      </c>
      <c r="K83" s="64">
        <v>0.28000000000000003</v>
      </c>
      <c r="L83" s="64">
        <v>42.46</v>
      </c>
      <c r="M83" s="64">
        <v>20.14</v>
      </c>
      <c r="N83" s="64">
        <v>14.5</v>
      </c>
      <c r="O83" s="64">
        <v>0</v>
      </c>
      <c r="P83" s="64">
        <v>0.74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6" t="s">
        <v>3105</v>
      </c>
      <c r="B84" s="64">
        <v>2.94</v>
      </c>
      <c r="C84" s="64">
        <v>3.7</v>
      </c>
      <c r="D84" s="64">
        <v>5.43</v>
      </c>
      <c r="E84" s="64">
        <v>1.0900000000000001</v>
      </c>
      <c r="F84" s="64">
        <v>3.84</v>
      </c>
      <c r="G84" s="64">
        <v>71.53</v>
      </c>
      <c r="H84" s="64">
        <v>27.47</v>
      </c>
      <c r="I84" s="64">
        <v>8.56</v>
      </c>
      <c r="J84" s="64">
        <v>1.1000000000000001</v>
      </c>
      <c r="K84" s="64">
        <v>312.02999999999997</v>
      </c>
      <c r="L84" s="64">
        <v>42.05</v>
      </c>
      <c r="M84" s="64">
        <v>22.09</v>
      </c>
      <c r="N84" s="64">
        <v>11.1</v>
      </c>
      <c r="O84" s="64">
        <v>0</v>
      </c>
      <c r="P84" s="64">
        <v>0.73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16" t="s">
        <v>3106</v>
      </c>
      <c r="B85" s="64">
        <v>3.39</v>
      </c>
      <c r="C85" s="64">
        <v>6.96</v>
      </c>
      <c r="D85" s="64">
        <v>7.5</v>
      </c>
      <c r="E85" s="64">
        <v>1.53</v>
      </c>
      <c r="F85" s="64">
        <v>3.86</v>
      </c>
      <c r="G85" s="64">
        <v>71.53</v>
      </c>
      <c r="H85" s="64">
        <v>27.47</v>
      </c>
      <c r="I85" s="64">
        <v>9.27</v>
      </c>
      <c r="J85" s="64">
        <v>0.77</v>
      </c>
      <c r="K85" s="64">
        <v>310.76</v>
      </c>
      <c r="L85" s="64">
        <v>41.66</v>
      </c>
      <c r="M85" s="64">
        <v>22.64</v>
      </c>
      <c r="N85" s="64">
        <v>11.4</v>
      </c>
      <c r="O85" s="64">
        <v>0</v>
      </c>
      <c r="P85" s="64">
        <v>0.69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6" t="s">
        <v>3107</v>
      </c>
      <c r="B86" s="64">
        <v>3.38</v>
      </c>
      <c r="C86" s="64">
        <v>7.11</v>
      </c>
      <c r="D86" s="64">
        <v>7.57</v>
      </c>
      <c r="E86" s="64">
        <v>1.48</v>
      </c>
      <c r="F86" s="64">
        <v>3.52</v>
      </c>
      <c r="G86" s="64">
        <v>71.64</v>
      </c>
      <c r="H86" s="64">
        <v>27.51</v>
      </c>
      <c r="I86" s="64">
        <v>9.86</v>
      </c>
      <c r="J86" s="64">
        <v>0.48</v>
      </c>
      <c r="K86" s="64">
        <v>317.49</v>
      </c>
      <c r="L86" s="64">
        <v>41.37</v>
      </c>
      <c r="M86" s="64">
        <v>23.15</v>
      </c>
      <c r="N86" s="64">
        <v>11.4</v>
      </c>
      <c r="O86" s="64">
        <v>0</v>
      </c>
      <c r="P86" s="64">
        <v>0.77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6" t="s">
        <v>3108</v>
      </c>
      <c r="B87" s="64">
        <v>3.48</v>
      </c>
      <c r="C87" s="64">
        <v>7.26</v>
      </c>
      <c r="D87" s="64">
        <v>7.73</v>
      </c>
      <c r="E87" s="64">
        <v>1.19</v>
      </c>
      <c r="F87" s="64">
        <v>3.44</v>
      </c>
      <c r="G87" s="64">
        <v>72.94</v>
      </c>
      <c r="H87" s="64">
        <v>27.97</v>
      </c>
      <c r="I87" s="64">
        <v>9.15</v>
      </c>
      <c r="J87" s="64">
        <v>0.61</v>
      </c>
      <c r="K87" s="64">
        <v>323.49</v>
      </c>
      <c r="L87" s="64">
        <v>41.11</v>
      </c>
      <c r="M87" s="64">
        <v>23.85</v>
      </c>
      <c r="N87" s="64">
        <v>11.4</v>
      </c>
      <c r="O87" s="64">
        <v>0</v>
      </c>
      <c r="P87" s="64">
        <v>0.82</v>
      </c>
      <c r="Q87" s="64">
        <v>9.66</v>
      </c>
      <c r="R87" s="198"/>
      <c r="S87" s="198"/>
      <c r="T87" s="198"/>
      <c r="U87" s="198"/>
    </row>
    <row r="88" spans="1:26" s="12" customFormat="1" x14ac:dyDescent="0.25">
      <c r="A88" s="216" t="s">
        <v>3109</v>
      </c>
      <c r="B88" s="64">
        <v>3.74</v>
      </c>
      <c r="C88" s="64">
        <v>7.99</v>
      </c>
      <c r="D88" s="64">
        <v>8.32</v>
      </c>
      <c r="E88" s="64">
        <v>1.1399999999999999</v>
      </c>
      <c r="F88" s="64">
        <v>3.47</v>
      </c>
      <c r="G88" s="64">
        <v>72.94</v>
      </c>
      <c r="H88" s="64">
        <v>27.97</v>
      </c>
      <c r="I88" s="64">
        <v>8.35</v>
      </c>
      <c r="J88" s="64">
        <v>0.59</v>
      </c>
      <c r="K88" s="64">
        <v>307.76</v>
      </c>
      <c r="L88" s="64">
        <v>40.630000000000003</v>
      </c>
      <c r="M88" s="64">
        <v>25.04</v>
      </c>
      <c r="N88" s="64">
        <v>11.3</v>
      </c>
      <c r="O88" s="64">
        <v>0</v>
      </c>
      <c r="P88" s="64">
        <v>0.87</v>
      </c>
      <c r="Q88" s="64">
        <v>9.6999999999999993</v>
      </c>
      <c r="R88" s="198"/>
      <c r="S88" s="198"/>
      <c r="T88" s="198"/>
      <c r="U88" s="198"/>
    </row>
    <row r="89" spans="1:26" s="12" customFormat="1" x14ac:dyDescent="0.25">
      <c r="A89" s="216" t="s">
        <v>3110</v>
      </c>
      <c r="B89" s="64">
        <v>3.63</v>
      </c>
      <c r="C89" s="64">
        <v>7.07</v>
      </c>
      <c r="D89" s="64">
        <v>7.75</v>
      </c>
      <c r="E89" s="64">
        <v>2.02</v>
      </c>
      <c r="F89" s="64">
        <v>3.7</v>
      </c>
      <c r="G89" s="64">
        <v>72.94</v>
      </c>
      <c r="H89" s="64">
        <v>27.97</v>
      </c>
      <c r="I89" s="64">
        <v>8.4600000000000009</v>
      </c>
      <c r="J89" s="64">
        <v>0.63</v>
      </c>
      <c r="K89" s="64">
        <v>312.13</v>
      </c>
      <c r="L89" s="64">
        <v>40.28</v>
      </c>
      <c r="M89" s="64">
        <v>25.4</v>
      </c>
      <c r="N89" s="64">
        <v>11.2</v>
      </c>
      <c r="O89" s="64">
        <v>0</v>
      </c>
      <c r="P89" s="64">
        <v>0.91</v>
      </c>
      <c r="Q89" s="64">
        <v>9.74</v>
      </c>
      <c r="R89" s="198"/>
      <c r="S89" s="198"/>
      <c r="T89" s="198"/>
      <c r="U89" s="198"/>
    </row>
    <row r="90" spans="1:26" s="12" customFormat="1" x14ac:dyDescent="0.25">
      <c r="A90" s="216" t="s">
        <v>3111</v>
      </c>
      <c r="B90" s="64">
        <v>3.9</v>
      </c>
      <c r="C90" s="64">
        <v>8.0500000000000007</v>
      </c>
      <c r="D90" s="64">
        <v>8.48</v>
      </c>
      <c r="E90" s="64">
        <v>1.78</v>
      </c>
      <c r="F90" s="64">
        <v>3.53</v>
      </c>
      <c r="G90" s="64">
        <v>72.66</v>
      </c>
      <c r="H90" s="64">
        <v>28.02</v>
      </c>
      <c r="I90" s="64">
        <v>8.75</v>
      </c>
      <c r="J90" s="64">
        <v>0.5</v>
      </c>
      <c r="K90" s="64">
        <v>324.89999999999998</v>
      </c>
      <c r="L90" s="64">
        <v>40.03</v>
      </c>
      <c r="M90" s="64">
        <v>25.47</v>
      </c>
      <c r="N90" s="64">
        <v>11.3</v>
      </c>
      <c r="O90" s="64">
        <v>0</v>
      </c>
      <c r="P90" s="64">
        <v>0.95</v>
      </c>
      <c r="Q90" s="64">
        <v>9.74</v>
      </c>
      <c r="R90" s="198"/>
      <c r="S90" s="198"/>
      <c r="T90" s="198"/>
      <c r="U90" s="198"/>
    </row>
    <row r="91" spans="1:26" s="12" customFormat="1" x14ac:dyDescent="0.25">
      <c r="A91" s="216" t="s">
        <v>3112</v>
      </c>
      <c r="B91" s="64">
        <v>4.2</v>
      </c>
      <c r="C91" s="64">
        <v>8.4600000000000009</v>
      </c>
      <c r="D91" s="64">
        <v>8.93</v>
      </c>
      <c r="E91" s="64">
        <v>1.4</v>
      </c>
      <c r="F91" s="64">
        <v>3.53</v>
      </c>
      <c r="G91" s="64">
        <v>69.400000000000006</v>
      </c>
      <c r="H91" s="64">
        <v>28.67</v>
      </c>
      <c r="I91" s="64">
        <v>8.59</v>
      </c>
      <c r="J91" s="64">
        <v>0.14000000000000001</v>
      </c>
      <c r="K91" s="64">
        <v>28.02</v>
      </c>
      <c r="L91" s="64">
        <v>40.03</v>
      </c>
      <c r="M91" s="64">
        <v>25.65</v>
      </c>
      <c r="N91" s="64">
        <v>11.1</v>
      </c>
      <c r="O91" s="64">
        <v>0</v>
      </c>
      <c r="P91" s="64">
        <v>0.98</v>
      </c>
      <c r="Q91" s="64">
        <v>9.75</v>
      </c>
      <c r="R91" s="198"/>
      <c r="S91" s="198"/>
      <c r="T91" s="198"/>
      <c r="U91" s="198"/>
    </row>
    <row r="92" spans="1:26" s="12" customFormat="1" x14ac:dyDescent="0.25">
      <c r="A92" s="216" t="s">
        <v>3113</v>
      </c>
      <c r="B92" s="64">
        <v>4.37</v>
      </c>
      <c r="C92" s="64">
        <v>8.6300000000000008</v>
      </c>
      <c r="D92" s="64">
        <v>9.16</v>
      </c>
      <c r="E92" s="64">
        <v>1.73</v>
      </c>
      <c r="F92" s="64">
        <v>3.64</v>
      </c>
      <c r="G92" s="64">
        <v>69.400000000000006</v>
      </c>
      <c r="H92" s="64">
        <v>28.67</v>
      </c>
      <c r="I92" s="64">
        <v>8.2799999999999994</v>
      </c>
      <c r="J92" s="64">
        <v>0.44</v>
      </c>
      <c r="K92" s="64">
        <v>246.84</v>
      </c>
      <c r="L92" s="64">
        <v>40.090000000000003</v>
      </c>
      <c r="M92" s="64">
        <v>25.29</v>
      </c>
      <c r="N92" s="64">
        <v>11.1</v>
      </c>
      <c r="O92" s="64">
        <v>0</v>
      </c>
      <c r="P92" s="64">
        <v>0.99</v>
      </c>
      <c r="Q92" s="64">
        <v>9.7799999999999994</v>
      </c>
      <c r="R92" s="198"/>
      <c r="S92" s="198"/>
      <c r="T92" s="198"/>
      <c r="U92" s="198"/>
    </row>
    <row r="93" spans="1:26" s="12" customFormat="1" x14ac:dyDescent="0.25">
      <c r="A93" s="216" t="s">
        <v>3114</v>
      </c>
      <c r="B93" s="64">
        <v>4.57</v>
      </c>
      <c r="C93" s="64">
        <v>8.84</v>
      </c>
      <c r="D93" s="64">
        <v>9.42</v>
      </c>
      <c r="E93" s="64">
        <v>1.7</v>
      </c>
      <c r="F93" s="64">
        <v>3.61</v>
      </c>
      <c r="G93" s="64">
        <v>69.400000000000006</v>
      </c>
      <c r="H93" s="64">
        <v>28.67</v>
      </c>
      <c r="I93" s="64">
        <v>8.2899999999999991</v>
      </c>
      <c r="J93" s="64">
        <v>0.5</v>
      </c>
      <c r="K93" s="64">
        <v>254.43</v>
      </c>
      <c r="L93" s="64">
        <v>39.26</v>
      </c>
      <c r="M93" s="64">
        <v>28.87</v>
      </c>
      <c r="N93" s="64">
        <v>11.4</v>
      </c>
      <c r="O93" s="64">
        <v>0</v>
      </c>
      <c r="P93" s="64">
        <v>1.04</v>
      </c>
      <c r="Q93" s="64">
        <v>9.82</v>
      </c>
      <c r="R93" s="198"/>
      <c r="S93" s="198"/>
      <c r="T93" s="198"/>
      <c r="U93" s="198"/>
    </row>
    <row r="94" spans="1:26" s="12" customFormat="1" x14ac:dyDescent="0.25">
      <c r="A94" s="216" t="s">
        <v>3115</v>
      </c>
      <c r="B94" s="64">
        <v>5.17</v>
      </c>
      <c r="C94" s="64">
        <v>9.7799999999999994</v>
      </c>
      <c r="D94" s="64">
        <v>10.4</v>
      </c>
      <c r="E94" s="64">
        <v>1.49</v>
      </c>
      <c r="F94" s="64">
        <v>3.8</v>
      </c>
      <c r="G94" s="64">
        <v>69.709999999999994</v>
      </c>
      <c r="H94" s="64">
        <v>28.59</v>
      </c>
      <c r="I94" s="64">
        <v>8.24</v>
      </c>
      <c r="J94" s="64">
        <v>0.63</v>
      </c>
      <c r="K94" s="64">
        <v>299.62</v>
      </c>
      <c r="L94" s="64">
        <v>38.94</v>
      </c>
      <c r="M94" s="64">
        <v>28.6</v>
      </c>
      <c r="N94" s="64">
        <v>11.1</v>
      </c>
      <c r="O94" s="64">
        <v>0</v>
      </c>
      <c r="P94" s="64">
        <v>1.1200000000000001</v>
      </c>
      <c r="Q94" s="64">
        <v>9.85</v>
      </c>
      <c r="R94" s="198"/>
      <c r="S94" s="198"/>
      <c r="T94" s="198"/>
      <c r="U94" s="198"/>
    </row>
    <row r="95" spans="1:26" s="12" customFormat="1" x14ac:dyDescent="0.25">
      <c r="A95" s="216" t="s">
        <v>3116</v>
      </c>
      <c r="B95" s="64">
        <v>5.63</v>
      </c>
      <c r="C95" s="64">
        <v>9.93</v>
      </c>
      <c r="D95" s="64">
        <v>10.85</v>
      </c>
      <c r="E95" s="64">
        <v>1.52</v>
      </c>
      <c r="F95" s="64">
        <v>3.83</v>
      </c>
      <c r="G95" s="64">
        <v>73.48</v>
      </c>
      <c r="H95" s="64">
        <v>27.66</v>
      </c>
      <c r="I95" s="64">
        <v>8.61</v>
      </c>
      <c r="J95" s="64">
        <v>0.7</v>
      </c>
      <c r="K95" s="64">
        <v>302.27999999999997</v>
      </c>
      <c r="L95" s="64">
        <v>38.83</v>
      </c>
      <c r="M95" s="64">
        <v>29.25</v>
      </c>
      <c r="N95" s="64">
        <v>11.3</v>
      </c>
      <c r="O95" s="64">
        <v>0</v>
      </c>
      <c r="P95" s="64">
        <v>1.1100000000000001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16" t="s">
        <v>3117</v>
      </c>
      <c r="B96" s="64">
        <v>6.08</v>
      </c>
      <c r="C96" s="64">
        <v>9.77</v>
      </c>
      <c r="D96" s="64">
        <v>11.12</v>
      </c>
      <c r="E96" s="64">
        <v>1.57</v>
      </c>
      <c r="F96" s="64">
        <v>3.55</v>
      </c>
      <c r="G96" s="64">
        <v>73.48</v>
      </c>
      <c r="H96" s="64">
        <v>27.66</v>
      </c>
      <c r="I96" s="64">
        <v>8.32</v>
      </c>
      <c r="J96" s="64">
        <v>0.5</v>
      </c>
      <c r="K96" s="64">
        <v>302.77999999999997</v>
      </c>
      <c r="L96" s="64">
        <v>38.43</v>
      </c>
      <c r="M96" s="64">
        <v>29.4</v>
      </c>
      <c r="N96" s="64">
        <v>11.2</v>
      </c>
      <c r="O96" s="64">
        <v>0</v>
      </c>
      <c r="P96" s="64">
        <v>1.1399999999999999</v>
      </c>
      <c r="Q96" s="64">
        <v>9.91</v>
      </c>
      <c r="R96" s="198"/>
      <c r="S96" s="198"/>
      <c r="T96" s="215"/>
      <c r="U96" s="198"/>
      <c r="Z96" s="109"/>
    </row>
    <row r="97" spans="1:33" s="12" customFormat="1" x14ac:dyDescent="0.25">
      <c r="A97" s="216" t="s">
        <v>3118</v>
      </c>
      <c r="B97" s="64">
        <v>6.63</v>
      </c>
      <c r="C97" s="64">
        <v>9.56</v>
      </c>
      <c r="D97" s="64">
        <v>11.46</v>
      </c>
      <c r="E97" s="64">
        <v>1.86</v>
      </c>
      <c r="F97" s="64">
        <v>3.57</v>
      </c>
      <c r="G97" s="64">
        <v>73.48</v>
      </c>
      <c r="H97" s="64">
        <v>27.66</v>
      </c>
      <c r="I97" s="64">
        <v>8.4</v>
      </c>
      <c r="J97" s="64">
        <v>0.6</v>
      </c>
      <c r="K97" s="64">
        <v>281.45999999999998</v>
      </c>
      <c r="L97" s="64">
        <v>38.26</v>
      </c>
      <c r="M97" s="64">
        <v>29.39</v>
      </c>
      <c r="N97" s="64">
        <v>11.2</v>
      </c>
      <c r="O97" s="64">
        <v>0</v>
      </c>
      <c r="P97" s="64">
        <v>1.1599999999999999</v>
      </c>
      <c r="Q97" s="64">
        <v>9.9700000000000006</v>
      </c>
      <c r="R97" s="198"/>
      <c r="S97" s="198"/>
      <c r="T97" s="198"/>
      <c r="U97" s="198"/>
    </row>
    <row r="98" spans="1:33" s="12" customFormat="1" x14ac:dyDescent="0.25">
      <c r="A98" s="216" t="s">
        <v>3119</v>
      </c>
      <c r="B98" s="64">
        <v>7.05</v>
      </c>
      <c r="C98" s="64">
        <v>9.17</v>
      </c>
      <c r="D98" s="64">
        <v>11.59</v>
      </c>
      <c r="E98" s="64">
        <v>1.91</v>
      </c>
      <c r="F98" s="64">
        <v>3.78</v>
      </c>
      <c r="G98" s="64">
        <v>74.209999999999994</v>
      </c>
      <c r="H98" s="64">
        <v>27.85</v>
      </c>
      <c r="I98" s="64">
        <v>9.49</v>
      </c>
      <c r="J98" s="64">
        <v>0.7</v>
      </c>
      <c r="K98" s="64">
        <v>240.6</v>
      </c>
      <c r="L98" s="64">
        <v>38.630000000000003</v>
      </c>
      <c r="M98" s="64">
        <v>27.92</v>
      </c>
      <c r="N98" s="64">
        <v>11.1</v>
      </c>
      <c r="O98" s="64">
        <v>0</v>
      </c>
      <c r="P98" s="64">
        <v>1.1499999999999999</v>
      </c>
      <c r="Q98" s="64">
        <v>10</v>
      </c>
      <c r="R98" s="198"/>
      <c r="S98" s="198"/>
      <c r="T98" s="198"/>
      <c r="U98" s="198"/>
    </row>
    <row r="99" spans="1:33" s="12" customFormat="1" x14ac:dyDescent="0.25">
      <c r="A99" s="216" t="s">
        <v>3120</v>
      </c>
      <c r="B99" s="64">
        <v>7.16</v>
      </c>
      <c r="C99" s="64">
        <v>8.98</v>
      </c>
      <c r="D99" s="64">
        <v>11.58</v>
      </c>
      <c r="E99" s="64">
        <v>1.82</v>
      </c>
      <c r="F99" s="64">
        <v>3.71</v>
      </c>
      <c r="G99" s="64">
        <v>82.85</v>
      </c>
      <c r="H99" s="64">
        <v>30.05</v>
      </c>
      <c r="I99" s="64">
        <v>10.33</v>
      </c>
      <c r="J99" s="64">
        <v>0.08</v>
      </c>
      <c r="K99" s="64">
        <v>264.11</v>
      </c>
      <c r="L99" s="64">
        <v>38.89</v>
      </c>
      <c r="M99" s="64">
        <v>26.55</v>
      </c>
      <c r="N99" s="64">
        <v>10.5</v>
      </c>
      <c r="O99" s="64">
        <v>0</v>
      </c>
      <c r="P99" s="64">
        <v>1.1399999999999999</v>
      </c>
      <c r="Q99" s="64">
        <v>10</v>
      </c>
      <c r="R99" s="198"/>
      <c r="S99" s="198"/>
      <c r="T99" s="198"/>
      <c r="U99" s="198"/>
    </row>
    <row r="100" spans="1:33" s="12" customFormat="1" x14ac:dyDescent="0.25">
      <c r="A100" s="216" t="s">
        <v>3121</v>
      </c>
      <c r="B100" s="64">
        <v>6.98</v>
      </c>
      <c r="C100" s="64">
        <v>8.8699999999999992</v>
      </c>
      <c r="D100" s="64">
        <v>11.38</v>
      </c>
      <c r="E100" s="64">
        <v>1.83</v>
      </c>
      <c r="F100" s="64">
        <v>3.56</v>
      </c>
      <c r="G100" s="64">
        <v>82.85</v>
      </c>
      <c r="H100" s="64">
        <v>30.05</v>
      </c>
      <c r="I100" s="64">
        <v>10.94</v>
      </c>
      <c r="J100" s="64">
        <v>0.74</v>
      </c>
      <c r="K100" s="64">
        <v>220.23</v>
      </c>
      <c r="L100" s="64">
        <v>38.68</v>
      </c>
      <c r="M100" s="64">
        <v>27.65</v>
      </c>
      <c r="N100" s="64">
        <v>10.5</v>
      </c>
      <c r="O100" s="64">
        <v>0</v>
      </c>
      <c r="P100" s="64">
        <v>1.17</v>
      </c>
      <c r="Q100" s="64">
        <v>10.02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3122</v>
      </c>
      <c r="B101" s="64">
        <v>6.86</v>
      </c>
      <c r="C101" s="64">
        <v>8.8699999999999992</v>
      </c>
      <c r="D101" s="64">
        <v>11.28</v>
      </c>
      <c r="E101" s="64">
        <v>1.75</v>
      </c>
      <c r="F101" s="64">
        <v>3.45</v>
      </c>
      <c r="G101" s="64">
        <v>82.85</v>
      </c>
      <c r="H101" s="64">
        <v>30.05</v>
      </c>
      <c r="I101" s="64">
        <v>12.21</v>
      </c>
      <c r="J101" s="64">
        <v>0.37</v>
      </c>
      <c r="K101" s="64">
        <v>214.84</v>
      </c>
      <c r="L101" s="64">
        <v>37.86</v>
      </c>
      <c r="M101" s="64">
        <v>29.61</v>
      </c>
      <c r="N101" s="64">
        <v>11.4</v>
      </c>
      <c r="O101" s="64">
        <v>0</v>
      </c>
      <c r="P101" s="64">
        <v>1.1200000000000001</v>
      </c>
      <c r="Q101" s="64">
        <v>10.029999999999999</v>
      </c>
      <c r="R101" s="198"/>
      <c r="S101" s="198"/>
      <c r="T101" s="198"/>
      <c r="U101" s="198"/>
    </row>
    <row r="102" spans="1:33" s="12" customFormat="1" x14ac:dyDescent="0.25">
      <c r="A102" s="216" t="s">
        <v>3123</v>
      </c>
      <c r="B102" s="64">
        <v>6.98</v>
      </c>
      <c r="C102" s="64">
        <v>8.4700000000000006</v>
      </c>
      <c r="D102" s="64">
        <v>11.17</v>
      </c>
      <c r="E102" s="64">
        <v>2.08</v>
      </c>
      <c r="F102" s="64">
        <v>3.6</v>
      </c>
      <c r="G102" s="64">
        <v>83.38</v>
      </c>
      <c r="H102" s="64">
        <v>30.27</v>
      </c>
      <c r="I102" s="64">
        <v>12.09</v>
      </c>
      <c r="J102" s="64">
        <v>0.61</v>
      </c>
      <c r="K102" s="64">
        <v>300.89</v>
      </c>
      <c r="L102" s="64">
        <v>37.04</v>
      </c>
      <c r="M102" s="64">
        <v>33.18</v>
      </c>
      <c r="N102" s="64">
        <v>11.5</v>
      </c>
      <c r="O102" s="64">
        <v>0</v>
      </c>
      <c r="P102" s="64">
        <v>1.1299999999999999</v>
      </c>
      <c r="Q102" s="64">
        <v>10</v>
      </c>
      <c r="R102" s="198"/>
      <c r="S102" s="198"/>
      <c r="T102" s="198"/>
      <c r="U102" s="198"/>
    </row>
    <row r="103" spans="1:33" s="12" customFormat="1" x14ac:dyDescent="0.25">
      <c r="A103" s="216" t="s">
        <v>3124</v>
      </c>
      <c r="B103" s="64">
        <v>7.48</v>
      </c>
      <c r="C103" s="64">
        <v>9</v>
      </c>
      <c r="D103" s="64">
        <v>11.85</v>
      </c>
      <c r="E103" s="64">
        <v>1.65</v>
      </c>
      <c r="F103" s="64">
        <v>3.54</v>
      </c>
      <c r="G103" s="64">
        <v>89.69</v>
      </c>
      <c r="H103" s="64">
        <v>32.909999999999997</v>
      </c>
      <c r="I103" s="64">
        <v>10.72</v>
      </c>
      <c r="J103" s="64">
        <v>0.47</v>
      </c>
      <c r="K103" s="64">
        <v>42.75</v>
      </c>
      <c r="L103" s="64">
        <v>36.42</v>
      </c>
      <c r="M103" s="64">
        <v>34.909999999999997</v>
      </c>
      <c r="N103" s="64">
        <v>11.5</v>
      </c>
      <c r="O103" s="64">
        <v>0</v>
      </c>
      <c r="P103" s="64">
        <v>1.1599999999999999</v>
      </c>
      <c r="Q103" s="64">
        <v>10</v>
      </c>
      <c r="R103" s="198"/>
      <c r="S103" s="198"/>
      <c r="T103" s="198"/>
      <c r="U103" s="198"/>
    </row>
    <row r="104" spans="1:33" s="12" customFormat="1" x14ac:dyDescent="0.25">
      <c r="A104" s="216" t="s">
        <v>3125</v>
      </c>
      <c r="B104" s="64">
        <v>8.24</v>
      </c>
      <c r="C104" s="64">
        <v>9.9</v>
      </c>
      <c r="D104" s="64">
        <v>12.93</v>
      </c>
      <c r="E104" s="64">
        <v>1.86</v>
      </c>
      <c r="F104" s="64">
        <v>3.51</v>
      </c>
      <c r="G104" s="64">
        <v>89.69</v>
      </c>
      <c r="H104" s="64">
        <v>32.909999999999997</v>
      </c>
      <c r="I104" s="64">
        <v>10.79</v>
      </c>
      <c r="J104" s="64">
        <v>0.14000000000000001</v>
      </c>
      <c r="K104" s="64">
        <v>339.21</v>
      </c>
      <c r="L104" s="64">
        <v>35.97</v>
      </c>
      <c r="M104" s="64">
        <v>42.81</v>
      </c>
      <c r="N104" s="64">
        <v>11.4</v>
      </c>
      <c r="O104" s="64">
        <v>0</v>
      </c>
      <c r="P104" s="64">
        <v>1.1399999999999999</v>
      </c>
      <c r="Q104" s="64">
        <v>10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2.34</v>
      </c>
      <c r="C106" s="67">
        <f>MIN(C9:C104)</f>
        <v>0.28000000000000003</v>
      </c>
      <c r="D106" s="67">
        <f t="shared" ref="D106:Q106" si="0">MIN(D9:D104)</f>
        <v>3.17</v>
      </c>
      <c r="E106" s="67">
        <f t="shared" si="0"/>
        <v>1.0900000000000001</v>
      </c>
      <c r="F106" s="67">
        <f t="shared" si="0"/>
        <v>3.34</v>
      </c>
      <c r="G106" s="67">
        <f t="shared" si="0"/>
        <v>39.24</v>
      </c>
      <c r="H106" s="67">
        <f t="shared" si="0"/>
        <v>19.03</v>
      </c>
      <c r="I106" s="67">
        <f t="shared" si="0"/>
        <v>3.88</v>
      </c>
      <c r="J106" s="67">
        <f t="shared" si="0"/>
        <v>0.08</v>
      </c>
      <c r="K106" s="67">
        <f t="shared" si="0"/>
        <v>0.28000000000000003</v>
      </c>
      <c r="L106" s="67">
        <f t="shared" si="0"/>
        <v>31.55</v>
      </c>
      <c r="M106" s="67">
        <f t="shared" si="0"/>
        <v>13.85</v>
      </c>
      <c r="N106" s="67">
        <f t="shared" si="0"/>
        <v>9.8000000000000007</v>
      </c>
      <c r="O106" s="67">
        <f t="shared" si="0"/>
        <v>0</v>
      </c>
      <c r="P106" s="67">
        <f t="shared" si="0"/>
        <v>0.35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8.24</v>
      </c>
      <c r="C107" s="66">
        <f t="shared" ref="C107:Q107" si="1">MAX(C9:C104)</f>
        <v>9.93</v>
      </c>
      <c r="D107" s="66">
        <f t="shared" si="1"/>
        <v>12.93</v>
      </c>
      <c r="E107" s="66">
        <f t="shared" si="1"/>
        <v>2.98</v>
      </c>
      <c r="F107" s="66">
        <f t="shared" si="1"/>
        <v>13.3</v>
      </c>
      <c r="G107" s="66">
        <f t="shared" si="1"/>
        <v>89.69</v>
      </c>
      <c r="H107" s="66">
        <f t="shared" si="1"/>
        <v>32.909999999999997</v>
      </c>
      <c r="I107" s="66">
        <f t="shared" si="1"/>
        <v>12.21</v>
      </c>
      <c r="J107" s="66">
        <f t="shared" si="1"/>
        <v>1.63</v>
      </c>
      <c r="K107" s="66">
        <f t="shared" si="1"/>
        <v>359.5</v>
      </c>
      <c r="L107" s="66">
        <f t="shared" si="1"/>
        <v>46.71</v>
      </c>
      <c r="M107" s="66">
        <f t="shared" si="1"/>
        <v>48.26</v>
      </c>
      <c r="N107" s="66">
        <f t="shared" si="1"/>
        <v>842.7</v>
      </c>
      <c r="O107" s="66">
        <f t="shared" si="1"/>
        <v>0</v>
      </c>
      <c r="P107" s="66">
        <f t="shared" si="1"/>
        <v>1.17</v>
      </c>
      <c r="Q107" s="66">
        <f t="shared" si="1"/>
        <v>10.029999999999999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3.3973958333333347</v>
      </c>
      <c r="C108" s="67">
        <f t="shared" ref="C108:Q108" si="2">AVERAGE(C9:C104)</f>
        <v>5.4811458333333336</v>
      </c>
      <c r="D108" s="67">
        <f t="shared" si="2"/>
        <v>6.7336458333333349</v>
      </c>
      <c r="E108" s="67">
        <f t="shared" si="2"/>
        <v>1.919791666666667</v>
      </c>
      <c r="F108" s="67">
        <f t="shared" si="2"/>
        <v>5.5276041666666638</v>
      </c>
      <c r="G108" s="67">
        <f t="shared" si="2"/>
        <v>65.155104166666632</v>
      </c>
      <c r="H108" s="67">
        <f t="shared" si="2"/>
        <v>25.383437499999996</v>
      </c>
      <c r="I108" s="67">
        <f t="shared" si="2"/>
        <v>6.4747916666666674</v>
      </c>
      <c r="J108" s="67">
        <f t="shared" si="2"/>
        <v>0.60156250000000033</v>
      </c>
      <c r="K108" s="67">
        <f t="shared" si="2"/>
        <v>225.73708333333332</v>
      </c>
      <c r="L108" s="67">
        <f t="shared" si="2"/>
        <v>38.412187499999995</v>
      </c>
      <c r="M108" s="67">
        <f t="shared" si="2"/>
        <v>29.127083333333331</v>
      </c>
      <c r="N108" s="67">
        <f t="shared" si="2"/>
        <v>243.98645833333333</v>
      </c>
      <c r="O108" s="67">
        <f t="shared" si="2"/>
        <v>0</v>
      </c>
      <c r="P108" s="67">
        <f t="shared" si="2"/>
        <v>0.63229166666666659</v>
      </c>
      <c r="Q108" s="67">
        <f t="shared" si="2"/>
        <v>9.4963541666666682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1.3033755728000747</v>
      </c>
      <c r="C109" s="67">
        <f t="shared" ref="C109:Q109" si="3">STDEV(C9:C104)</f>
        <v>2.5976652958060407</v>
      </c>
      <c r="D109" s="67">
        <f t="shared" si="3"/>
        <v>2.1882490572152618</v>
      </c>
      <c r="E109" s="67">
        <f t="shared" si="3"/>
        <v>0.45153767498385389</v>
      </c>
      <c r="F109" s="67">
        <f t="shared" si="3"/>
        <v>2.536859120952804</v>
      </c>
      <c r="G109" s="67">
        <f t="shared" si="3"/>
        <v>10.780635953782468</v>
      </c>
      <c r="H109" s="67">
        <f t="shared" si="3"/>
        <v>3.1053088084846285</v>
      </c>
      <c r="I109" s="67">
        <f t="shared" si="3"/>
        <v>1.9526467754882213</v>
      </c>
      <c r="J109" s="67">
        <f t="shared" si="3"/>
        <v>0.35468689861993935</v>
      </c>
      <c r="K109" s="67">
        <f t="shared" si="3"/>
        <v>123.77724655216372</v>
      </c>
      <c r="L109" s="67">
        <f t="shared" si="3"/>
        <v>4.6701926485959673</v>
      </c>
      <c r="M109" s="67">
        <f t="shared" si="3"/>
        <v>12.061311608581343</v>
      </c>
      <c r="N109" s="67">
        <f t="shared" si="3"/>
        <v>314.48772902838334</v>
      </c>
      <c r="O109" s="67">
        <f t="shared" si="3"/>
        <v>0</v>
      </c>
      <c r="P109" s="67">
        <f t="shared" si="3"/>
        <v>0.23110935742137126</v>
      </c>
      <c r="Q109" s="67">
        <f t="shared" si="3"/>
        <v>0.19968459230373473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6" t="s">
        <v>3126</v>
      </c>
      <c r="B9" s="64">
        <v>8.9600000000000009</v>
      </c>
      <c r="C9" s="64">
        <v>10.63</v>
      </c>
      <c r="D9" s="64">
        <v>13.88</v>
      </c>
      <c r="E9" s="64">
        <v>2.46</v>
      </c>
      <c r="F9" s="64">
        <v>3.4</v>
      </c>
      <c r="G9" s="64">
        <v>89.69</v>
      </c>
      <c r="H9" s="64">
        <v>32.909999999999997</v>
      </c>
      <c r="I9" s="64">
        <v>11.76</v>
      </c>
      <c r="J9" s="64">
        <v>0.21</v>
      </c>
      <c r="K9" s="64">
        <v>164.37</v>
      </c>
      <c r="L9" s="64">
        <v>35.75</v>
      </c>
      <c r="M9" s="64">
        <v>40.46</v>
      </c>
      <c r="N9" s="64">
        <v>10.7</v>
      </c>
      <c r="O9" s="64">
        <v>0</v>
      </c>
      <c r="P9" s="64">
        <v>1.1299999999999999</v>
      </c>
      <c r="Q9" s="64">
        <v>10.08</v>
      </c>
      <c r="R9" s="198"/>
      <c r="S9" s="198"/>
      <c r="T9" s="198"/>
      <c r="U9" s="198"/>
    </row>
    <row r="10" spans="1:21" s="12" customFormat="1" x14ac:dyDescent="0.25">
      <c r="A10" s="216" t="s">
        <v>3127</v>
      </c>
      <c r="B10" s="64">
        <v>8.93</v>
      </c>
      <c r="C10" s="64">
        <v>10.81</v>
      </c>
      <c r="D10" s="64">
        <v>13.95</v>
      </c>
      <c r="E10" s="64">
        <v>2.63</v>
      </c>
      <c r="F10" s="64">
        <v>3.36</v>
      </c>
      <c r="G10" s="64">
        <v>89.86</v>
      </c>
      <c r="H10" s="64">
        <v>32.94</v>
      </c>
      <c r="I10" s="64">
        <v>12.34</v>
      </c>
      <c r="J10" s="64">
        <v>0.24</v>
      </c>
      <c r="K10" s="64">
        <v>224.35</v>
      </c>
      <c r="L10" s="64">
        <v>36.24</v>
      </c>
      <c r="M10" s="64">
        <v>36.76</v>
      </c>
      <c r="N10" s="64">
        <v>10.5</v>
      </c>
      <c r="O10" s="64">
        <v>0</v>
      </c>
      <c r="P10" s="64">
        <v>1.1000000000000001</v>
      </c>
      <c r="Q10" s="64">
        <v>10.16</v>
      </c>
      <c r="R10" s="198"/>
      <c r="S10" s="198"/>
      <c r="T10" s="198"/>
      <c r="U10" s="198"/>
    </row>
    <row r="11" spans="1:21" s="12" customFormat="1" x14ac:dyDescent="0.25">
      <c r="A11" s="216" t="s">
        <v>3128</v>
      </c>
      <c r="B11" s="64">
        <v>8.77</v>
      </c>
      <c r="C11" s="64">
        <v>11.08</v>
      </c>
      <c r="D11" s="64">
        <v>13.96</v>
      </c>
      <c r="E11" s="64">
        <v>2.4900000000000002</v>
      </c>
      <c r="F11" s="64">
        <v>3.46</v>
      </c>
      <c r="G11" s="64">
        <v>91.88</v>
      </c>
      <c r="H11" s="64">
        <v>33.29</v>
      </c>
      <c r="I11" s="64">
        <v>11.42</v>
      </c>
      <c r="J11" s="64">
        <v>0.28999999999999998</v>
      </c>
      <c r="K11" s="64">
        <v>295.83999999999997</v>
      </c>
      <c r="L11" s="64">
        <v>36.590000000000003</v>
      </c>
      <c r="M11" s="64">
        <v>33.409999999999997</v>
      </c>
      <c r="N11" s="64">
        <v>10.9</v>
      </c>
      <c r="O11" s="64">
        <v>0</v>
      </c>
      <c r="P11" s="64">
        <v>1.07</v>
      </c>
      <c r="Q11" s="64">
        <v>10.15</v>
      </c>
      <c r="R11" s="198"/>
      <c r="S11" s="198"/>
      <c r="T11" s="198"/>
      <c r="U11" s="198"/>
    </row>
    <row r="12" spans="1:21" s="12" customFormat="1" x14ac:dyDescent="0.25">
      <c r="A12" s="216" t="s">
        <v>3129</v>
      </c>
      <c r="B12" s="64">
        <v>8.27</v>
      </c>
      <c r="C12" s="64">
        <v>10.75</v>
      </c>
      <c r="D12" s="64">
        <v>13.39</v>
      </c>
      <c r="E12" s="64">
        <v>2.37</v>
      </c>
      <c r="F12" s="64">
        <v>3.51</v>
      </c>
      <c r="G12" s="64">
        <v>91.88</v>
      </c>
      <c r="H12" s="64">
        <v>33.29</v>
      </c>
      <c r="I12" s="64">
        <v>10.51</v>
      </c>
      <c r="J12" s="64">
        <v>0.18</v>
      </c>
      <c r="K12" s="64">
        <v>262.99</v>
      </c>
      <c r="L12" s="64">
        <v>36.1</v>
      </c>
      <c r="M12" s="64">
        <v>36.47</v>
      </c>
      <c r="N12" s="64">
        <v>10.9</v>
      </c>
      <c r="O12" s="64">
        <v>0</v>
      </c>
      <c r="P12" s="64">
        <v>1.03</v>
      </c>
      <c r="Q12" s="64">
        <v>10.14</v>
      </c>
      <c r="R12" s="198"/>
      <c r="S12" s="198"/>
      <c r="T12" s="198"/>
      <c r="U12" s="198"/>
    </row>
    <row r="13" spans="1:21" s="12" customFormat="1" x14ac:dyDescent="0.25">
      <c r="A13" s="216" t="s">
        <v>3130</v>
      </c>
      <c r="B13" s="64">
        <v>8.17</v>
      </c>
      <c r="C13" s="64">
        <v>10.210000000000001</v>
      </c>
      <c r="D13" s="64">
        <v>13.03</v>
      </c>
      <c r="E13" s="64">
        <v>2.19</v>
      </c>
      <c r="F13" s="64">
        <v>3.5</v>
      </c>
      <c r="G13" s="64">
        <v>91.88</v>
      </c>
      <c r="H13" s="64">
        <v>33.29</v>
      </c>
      <c r="I13" s="64">
        <v>10.24</v>
      </c>
      <c r="J13" s="64">
        <v>0.46</v>
      </c>
      <c r="K13" s="64">
        <v>291.56</v>
      </c>
      <c r="L13" s="64">
        <v>35.53</v>
      </c>
      <c r="M13" s="64">
        <v>38.520000000000003</v>
      </c>
      <c r="N13" s="64">
        <v>11.2</v>
      </c>
      <c r="O13" s="64">
        <v>0</v>
      </c>
      <c r="P13" s="64">
        <v>0.96</v>
      </c>
      <c r="Q13" s="64">
        <v>10.130000000000001</v>
      </c>
      <c r="R13" s="198"/>
      <c r="S13" s="198"/>
      <c r="T13" s="198"/>
      <c r="U13" s="198"/>
    </row>
    <row r="14" spans="1:21" s="12" customFormat="1" x14ac:dyDescent="0.25">
      <c r="A14" s="216" t="s">
        <v>3131</v>
      </c>
      <c r="B14" s="64">
        <v>8.2799999999999994</v>
      </c>
      <c r="C14" s="64">
        <v>9.83</v>
      </c>
      <c r="D14" s="64">
        <v>12.92</v>
      </c>
      <c r="E14" s="64">
        <v>2.4300000000000002</v>
      </c>
      <c r="F14" s="64">
        <v>3.7</v>
      </c>
      <c r="G14" s="64">
        <v>91.69</v>
      </c>
      <c r="H14" s="64">
        <v>33.130000000000003</v>
      </c>
      <c r="I14" s="64">
        <v>10.43</v>
      </c>
      <c r="J14" s="64">
        <v>0.55000000000000004</v>
      </c>
      <c r="K14" s="64">
        <v>354.07</v>
      </c>
      <c r="L14" s="64">
        <v>34.97</v>
      </c>
      <c r="M14" s="64">
        <v>44.2</v>
      </c>
      <c r="N14" s="64">
        <v>11.4</v>
      </c>
      <c r="O14" s="64">
        <v>0</v>
      </c>
      <c r="P14" s="64">
        <v>0.98</v>
      </c>
      <c r="Q14" s="64">
        <v>10.07</v>
      </c>
      <c r="R14" s="198"/>
      <c r="S14" s="198"/>
      <c r="T14" s="198"/>
      <c r="U14" s="198"/>
    </row>
    <row r="15" spans="1:21" s="12" customFormat="1" x14ac:dyDescent="0.25">
      <c r="A15" s="216" t="s">
        <v>3132</v>
      </c>
      <c r="B15" s="64">
        <v>8.36</v>
      </c>
      <c r="C15" s="64">
        <v>9.2899999999999991</v>
      </c>
      <c r="D15" s="64">
        <v>12.71</v>
      </c>
      <c r="E15" s="64">
        <v>2.2999999999999998</v>
      </c>
      <c r="F15" s="64">
        <v>3.58</v>
      </c>
      <c r="G15" s="64">
        <v>89.35</v>
      </c>
      <c r="H15" s="64">
        <v>31.22</v>
      </c>
      <c r="I15" s="64">
        <v>10.23</v>
      </c>
      <c r="J15" s="64">
        <v>0.34</v>
      </c>
      <c r="K15" s="64">
        <v>21.77</v>
      </c>
      <c r="L15" s="64">
        <v>34.54</v>
      </c>
      <c r="M15" s="64">
        <v>43.72</v>
      </c>
      <c r="N15" s="64">
        <v>11.2</v>
      </c>
      <c r="O15" s="64">
        <v>0</v>
      </c>
      <c r="P15" s="64">
        <v>0.96</v>
      </c>
      <c r="Q15" s="64">
        <v>10.050000000000001</v>
      </c>
      <c r="R15" s="198"/>
      <c r="S15" s="198"/>
      <c r="T15" s="198"/>
      <c r="U15" s="198"/>
    </row>
    <row r="16" spans="1:21" s="12" customFormat="1" x14ac:dyDescent="0.25">
      <c r="A16" s="216" t="s">
        <v>3133</v>
      </c>
      <c r="B16" s="64">
        <v>8.35</v>
      </c>
      <c r="C16" s="64">
        <v>9.08</v>
      </c>
      <c r="D16" s="64">
        <v>12.58</v>
      </c>
      <c r="E16" s="64">
        <v>2.35</v>
      </c>
      <c r="F16" s="64">
        <v>3.33</v>
      </c>
      <c r="G16" s="64">
        <v>89.35</v>
      </c>
      <c r="H16" s="64">
        <v>31.22</v>
      </c>
      <c r="I16" s="64">
        <v>9.7899999999999991</v>
      </c>
      <c r="J16" s="64">
        <v>0.27</v>
      </c>
      <c r="K16" s="64">
        <v>249.25</v>
      </c>
      <c r="L16" s="64">
        <v>34.35</v>
      </c>
      <c r="M16" s="64">
        <v>48.8</v>
      </c>
      <c r="N16" s="64">
        <v>11</v>
      </c>
      <c r="O16" s="64">
        <v>0</v>
      </c>
      <c r="P16" s="64">
        <v>0.93</v>
      </c>
      <c r="Q16" s="64">
        <v>9.99</v>
      </c>
      <c r="R16" s="198"/>
      <c r="S16" s="198"/>
      <c r="T16" s="198"/>
      <c r="U16" s="198"/>
    </row>
    <row r="17" spans="1:21" s="12" customFormat="1" x14ac:dyDescent="0.25">
      <c r="A17" s="216" t="s">
        <v>3134</v>
      </c>
      <c r="B17" s="64">
        <v>8.92</v>
      </c>
      <c r="C17" s="64">
        <v>8.7899999999999991</v>
      </c>
      <c r="D17" s="64">
        <v>12.89</v>
      </c>
      <c r="E17" s="64">
        <v>2.2999999999999998</v>
      </c>
      <c r="F17" s="64">
        <v>3.18</v>
      </c>
      <c r="G17" s="64">
        <v>89.35</v>
      </c>
      <c r="H17" s="64">
        <v>31.22</v>
      </c>
      <c r="I17" s="64">
        <v>9.67</v>
      </c>
      <c r="J17" s="64">
        <v>0.52</v>
      </c>
      <c r="K17" s="64">
        <v>269.37</v>
      </c>
      <c r="L17" s="64">
        <v>34.56</v>
      </c>
      <c r="M17" s="64">
        <v>45.79</v>
      </c>
      <c r="N17" s="64">
        <v>10.8</v>
      </c>
      <c r="O17" s="64">
        <v>0</v>
      </c>
      <c r="P17" s="64">
        <v>0.9</v>
      </c>
      <c r="Q17" s="64">
        <v>9.9700000000000006</v>
      </c>
      <c r="R17" s="198"/>
      <c r="S17" s="198"/>
      <c r="T17" s="198"/>
      <c r="U17" s="198"/>
    </row>
    <row r="18" spans="1:21" s="12" customFormat="1" x14ac:dyDescent="0.25">
      <c r="A18" s="216" t="s">
        <v>3135</v>
      </c>
      <c r="B18" s="64">
        <v>9.52</v>
      </c>
      <c r="C18" s="64">
        <v>7.26</v>
      </c>
      <c r="D18" s="64">
        <v>12.57</v>
      </c>
      <c r="E18" s="64">
        <v>2.48</v>
      </c>
      <c r="F18" s="64">
        <v>3.4</v>
      </c>
      <c r="G18" s="64">
        <v>88.9</v>
      </c>
      <c r="H18" s="64">
        <v>31.19</v>
      </c>
      <c r="I18" s="64">
        <v>9.14</v>
      </c>
      <c r="J18" s="64">
        <v>0.42</v>
      </c>
      <c r="K18" s="64">
        <v>239.25</v>
      </c>
      <c r="L18" s="64">
        <v>34.28</v>
      </c>
      <c r="M18" s="64">
        <v>42.31</v>
      </c>
      <c r="N18" s="64">
        <v>11</v>
      </c>
      <c r="O18" s="64">
        <v>0</v>
      </c>
      <c r="P18" s="64">
        <v>0.88</v>
      </c>
      <c r="Q18" s="64">
        <v>9.9700000000000006</v>
      </c>
      <c r="R18" s="198"/>
      <c r="S18" s="198"/>
      <c r="T18" s="198"/>
      <c r="U18" s="198"/>
    </row>
    <row r="19" spans="1:21" s="12" customFormat="1" x14ac:dyDescent="0.25">
      <c r="A19" s="216" t="s">
        <v>3136</v>
      </c>
      <c r="B19" s="64">
        <v>10.25</v>
      </c>
      <c r="C19" s="64">
        <v>6.28</v>
      </c>
      <c r="D19" s="64">
        <v>12.65</v>
      </c>
      <c r="E19" s="64">
        <v>2.29</v>
      </c>
      <c r="F19" s="64">
        <v>3.56</v>
      </c>
      <c r="G19" s="64">
        <v>83.65</v>
      </c>
      <c r="H19" s="64">
        <v>30.75</v>
      </c>
      <c r="I19" s="64">
        <v>8.5</v>
      </c>
      <c r="J19" s="64">
        <v>0.37</v>
      </c>
      <c r="K19" s="64">
        <v>296.64999999999998</v>
      </c>
      <c r="L19" s="64">
        <v>34.18</v>
      </c>
      <c r="M19" s="64">
        <v>44.08</v>
      </c>
      <c r="N19" s="64">
        <v>11</v>
      </c>
      <c r="O19" s="64">
        <v>0</v>
      </c>
      <c r="P19" s="64">
        <v>0.86</v>
      </c>
      <c r="Q19" s="64">
        <v>9.9600000000000009</v>
      </c>
      <c r="R19" s="198"/>
      <c r="S19" s="198"/>
      <c r="T19" s="198"/>
      <c r="U19" s="198"/>
    </row>
    <row r="20" spans="1:21" s="12" customFormat="1" x14ac:dyDescent="0.25">
      <c r="A20" s="216" t="s">
        <v>3137</v>
      </c>
      <c r="B20" s="64">
        <v>10.24</v>
      </c>
      <c r="C20" s="64">
        <v>6.23</v>
      </c>
      <c r="D20" s="64">
        <v>12.61</v>
      </c>
      <c r="E20" s="64">
        <v>2.59</v>
      </c>
      <c r="F20" s="64">
        <v>3.47</v>
      </c>
      <c r="G20" s="64">
        <v>83.65</v>
      </c>
      <c r="H20" s="64">
        <v>30.75</v>
      </c>
      <c r="I20" s="64">
        <v>8.25</v>
      </c>
      <c r="J20" s="64">
        <v>0.6</v>
      </c>
      <c r="K20" s="64">
        <v>233.6</v>
      </c>
      <c r="L20" s="64">
        <v>34.35</v>
      </c>
      <c r="M20" s="64">
        <v>38.01</v>
      </c>
      <c r="N20" s="64">
        <v>10.7</v>
      </c>
      <c r="O20" s="64">
        <v>0</v>
      </c>
      <c r="P20" s="64">
        <v>0.83</v>
      </c>
      <c r="Q20" s="64">
        <v>9.98</v>
      </c>
      <c r="R20" s="198"/>
      <c r="S20" s="198"/>
      <c r="T20" s="198"/>
      <c r="U20" s="198"/>
    </row>
    <row r="21" spans="1:21" s="12" customFormat="1" x14ac:dyDescent="0.25">
      <c r="A21" s="216" t="s">
        <v>3138</v>
      </c>
      <c r="B21" s="64">
        <v>9.3000000000000007</v>
      </c>
      <c r="C21" s="64">
        <v>7.28</v>
      </c>
      <c r="D21" s="64">
        <v>12.41</v>
      </c>
      <c r="E21" s="64">
        <v>2.57</v>
      </c>
      <c r="F21" s="64">
        <v>3.64</v>
      </c>
      <c r="G21" s="64">
        <v>83.65</v>
      </c>
      <c r="H21" s="64">
        <v>30.75</v>
      </c>
      <c r="I21" s="64">
        <v>8.1</v>
      </c>
      <c r="J21" s="64">
        <v>0.75</v>
      </c>
      <c r="K21" s="64">
        <v>323.89999999999998</v>
      </c>
      <c r="L21" s="64">
        <v>34.54</v>
      </c>
      <c r="M21" s="64">
        <v>38.4</v>
      </c>
      <c r="N21" s="64">
        <v>10.9</v>
      </c>
      <c r="O21" s="64">
        <v>0</v>
      </c>
      <c r="P21" s="64">
        <v>0.82</v>
      </c>
      <c r="Q21" s="64">
        <v>9.9600000000000009</v>
      </c>
      <c r="R21" s="198"/>
      <c r="S21" s="198"/>
      <c r="T21" s="198"/>
      <c r="U21" s="198"/>
    </row>
    <row r="22" spans="1:21" s="12" customFormat="1" x14ac:dyDescent="0.25">
      <c r="A22" s="216" t="s">
        <v>3139</v>
      </c>
      <c r="B22" s="64">
        <v>8.58</v>
      </c>
      <c r="C22" s="64">
        <v>8.08</v>
      </c>
      <c r="D22" s="64">
        <v>12.25</v>
      </c>
      <c r="E22" s="64">
        <v>2.3199999999999998</v>
      </c>
      <c r="F22" s="64">
        <v>3.55</v>
      </c>
      <c r="G22" s="64">
        <v>83.18</v>
      </c>
      <c r="H22" s="64">
        <v>30.61</v>
      </c>
      <c r="I22" s="64">
        <v>7.94</v>
      </c>
      <c r="J22" s="64">
        <v>0.56000000000000005</v>
      </c>
      <c r="K22" s="64">
        <v>261.25</v>
      </c>
      <c r="L22" s="64">
        <v>33.99</v>
      </c>
      <c r="M22" s="64">
        <v>39.28</v>
      </c>
      <c r="N22" s="64">
        <v>11.2</v>
      </c>
      <c r="O22" s="64">
        <v>0</v>
      </c>
      <c r="P22" s="64">
        <v>0.8</v>
      </c>
      <c r="Q22" s="64">
        <v>9.9700000000000006</v>
      </c>
      <c r="R22" s="198"/>
      <c r="S22" s="198"/>
      <c r="T22" s="198"/>
      <c r="U22" s="198"/>
    </row>
    <row r="23" spans="1:21" s="12" customFormat="1" x14ac:dyDescent="0.25">
      <c r="A23" s="216" t="s">
        <v>3140</v>
      </c>
      <c r="B23" s="64">
        <v>8.3699999999999992</v>
      </c>
      <c r="C23" s="64">
        <v>8</v>
      </c>
      <c r="D23" s="64">
        <v>12.04</v>
      </c>
      <c r="E23" s="64">
        <v>2.2000000000000002</v>
      </c>
      <c r="F23" s="64">
        <v>3.48</v>
      </c>
      <c r="G23" s="64">
        <v>77.58</v>
      </c>
      <c r="H23" s="64">
        <v>28.94</v>
      </c>
      <c r="I23" s="64">
        <v>8.33</v>
      </c>
      <c r="J23" s="64">
        <v>0.2</v>
      </c>
      <c r="K23" s="64">
        <v>346.31</v>
      </c>
      <c r="L23" s="64">
        <v>33.54</v>
      </c>
      <c r="M23" s="64">
        <v>44.47</v>
      </c>
      <c r="N23" s="64">
        <v>11.4</v>
      </c>
      <c r="O23" s="64">
        <v>0</v>
      </c>
      <c r="P23" s="64">
        <v>0.8</v>
      </c>
      <c r="Q23" s="64">
        <v>9.98</v>
      </c>
      <c r="R23" s="198"/>
      <c r="S23" s="198"/>
      <c r="T23" s="198"/>
      <c r="U23" s="198"/>
    </row>
    <row r="24" spans="1:21" s="12" customFormat="1" x14ac:dyDescent="0.25">
      <c r="A24" s="216" t="s">
        <v>3141</v>
      </c>
      <c r="B24" s="64">
        <v>8.09</v>
      </c>
      <c r="C24" s="64">
        <v>7.96</v>
      </c>
      <c r="D24" s="64">
        <v>11.79</v>
      </c>
      <c r="E24" s="64">
        <v>1.42</v>
      </c>
      <c r="F24" s="64">
        <v>3.84</v>
      </c>
      <c r="G24" s="64">
        <v>77.58</v>
      </c>
      <c r="H24" s="64">
        <v>28.94</v>
      </c>
      <c r="I24" s="64">
        <v>8.3000000000000007</v>
      </c>
      <c r="J24" s="64">
        <v>0.56000000000000005</v>
      </c>
      <c r="K24" s="64">
        <v>247.12</v>
      </c>
      <c r="L24" s="64">
        <v>33.71</v>
      </c>
      <c r="M24" s="64">
        <v>40.549999999999997</v>
      </c>
      <c r="N24" s="64">
        <v>10.9</v>
      </c>
      <c r="O24" s="64">
        <v>0</v>
      </c>
      <c r="P24" s="64">
        <v>0.79</v>
      </c>
      <c r="Q24" s="64">
        <v>9.9499999999999993</v>
      </c>
      <c r="R24" s="198"/>
      <c r="S24" s="198"/>
      <c r="T24" s="198"/>
      <c r="U24" s="198"/>
    </row>
    <row r="25" spans="1:21" s="12" customFormat="1" x14ac:dyDescent="0.25">
      <c r="A25" s="216" t="s">
        <v>3142</v>
      </c>
      <c r="B25" s="64">
        <v>7.66</v>
      </c>
      <c r="C25" s="64">
        <v>8.67</v>
      </c>
      <c r="D25" s="64">
        <v>11.81</v>
      </c>
      <c r="E25" s="64">
        <v>1.06</v>
      </c>
      <c r="F25" s="64">
        <v>3.63</v>
      </c>
      <c r="G25" s="64">
        <v>77.58</v>
      </c>
      <c r="H25" s="64">
        <v>28.94</v>
      </c>
      <c r="I25" s="64">
        <v>8.5500000000000007</v>
      </c>
      <c r="J25" s="64">
        <v>0.64</v>
      </c>
      <c r="K25" s="64">
        <v>195.5</v>
      </c>
      <c r="L25" s="64">
        <v>33.93</v>
      </c>
      <c r="M25" s="64">
        <v>39.26</v>
      </c>
      <c r="N25" s="64">
        <v>10.3</v>
      </c>
      <c r="O25" s="64">
        <v>0</v>
      </c>
      <c r="P25" s="64">
        <v>0.77</v>
      </c>
      <c r="Q25" s="64">
        <v>9.92</v>
      </c>
      <c r="R25" s="198"/>
      <c r="S25" s="198"/>
      <c r="T25" s="198"/>
      <c r="U25" s="198"/>
    </row>
    <row r="26" spans="1:21" s="12" customFormat="1" x14ac:dyDescent="0.25">
      <c r="A26" s="216" t="s">
        <v>3143</v>
      </c>
      <c r="B26" s="64">
        <v>7.54</v>
      </c>
      <c r="C26" s="64">
        <v>8.83</v>
      </c>
      <c r="D26" s="64">
        <v>11.81</v>
      </c>
      <c r="E26" s="64">
        <v>1.33</v>
      </c>
      <c r="F26" s="64">
        <v>3.42</v>
      </c>
      <c r="G26" s="64">
        <v>77.11</v>
      </c>
      <c r="H26" s="64">
        <v>28.7</v>
      </c>
      <c r="I26" s="64">
        <v>8.99</v>
      </c>
      <c r="J26" s="64">
        <v>0.36</v>
      </c>
      <c r="K26" s="64">
        <v>238.13</v>
      </c>
      <c r="L26" s="64">
        <v>33.94</v>
      </c>
      <c r="M26" s="64">
        <v>39.49</v>
      </c>
      <c r="N26" s="64">
        <v>11</v>
      </c>
      <c r="O26" s="64">
        <v>0</v>
      </c>
      <c r="P26" s="64">
        <v>0.75</v>
      </c>
      <c r="Q26" s="64">
        <v>9.92</v>
      </c>
      <c r="R26" s="198"/>
      <c r="S26" s="198"/>
      <c r="T26" s="198"/>
      <c r="U26" s="198"/>
    </row>
    <row r="27" spans="1:21" s="12" customFormat="1" x14ac:dyDescent="0.25">
      <c r="A27" s="216" t="s">
        <v>3144</v>
      </c>
      <c r="B27" s="64">
        <v>7.28</v>
      </c>
      <c r="C27" s="64">
        <v>8.93</v>
      </c>
      <c r="D27" s="64">
        <v>11.65</v>
      </c>
      <c r="E27" s="64">
        <v>1.1299999999999999</v>
      </c>
      <c r="F27" s="64">
        <v>3.41</v>
      </c>
      <c r="G27" s="64">
        <v>71.48</v>
      </c>
      <c r="H27" s="64">
        <v>25.93</v>
      </c>
      <c r="I27" s="64">
        <v>8.8699999999999992</v>
      </c>
      <c r="J27" s="64">
        <v>0.61</v>
      </c>
      <c r="K27" s="64">
        <v>282.68</v>
      </c>
      <c r="L27" s="64">
        <v>33.729999999999997</v>
      </c>
      <c r="M27" s="64">
        <v>42.01</v>
      </c>
      <c r="N27" s="64">
        <v>11.1</v>
      </c>
      <c r="O27" s="64">
        <v>0</v>
      </c>
      <c r="P27" s="64">
        <v>0.73</v>
      </c>
      <c r="Q27" s="64">
        <v>9.89</v>
      </c>
      <c r="R27" s="198"/>
      <c r="S27" s="198"/>
      <c r="T27" s="198"/>
      <c r="U27" s="198"/>
    </row>
    <row r="28" spans="1:21" s="12" customFormat="1" x14ac:dyDescent="0.25">
      <c r="A28" s="216" t="s">
        <v>3145</v>
      </c>
      <c r="B28" s="64">
        <v>7.66</v>
      </c>
      <c r="C28" s="64">
        <v>9.1999999999999993</v>
      </c>
      <c r="D28" s="64">
        <v>12.09</v>
      </c>
      <c r="E28" s="64">
        <v>0.92</v>
      </c>
      <c r="F28" s="64">
        <v>3.6</v>
      </c>
      <c r="G28" s="64">
        <v>71.48</v>
      </c>
      <c r="H28" s="64">
        <v>25.93</v>
      </c>
      <c r="I28" s="64">
        <v>8.4700000000000006</v>
      </c>
      <c r="J28" s="64">
        <v>0.57999999999999996</v>
      </c>
      <c r="K28" s="64">
        <v>284.82</v>
      </c>
      <c r="L28" s="64">
        <v>33.07</v>
      </c>
      <c r="M28" s="64">
        <v>47.66</v>
      </c>
      <c r="N28" s="64">
        <v>11.5</v>
      </c>
      <c r="O28" s="64">
        <v>0</v>
      </c>
      <c r="P28" s="64">
        <v>0.73</v>
      </c>
      <c r="Q28" s="64">
        <v>9.85</v>
      </c>
      <c r="R28" s="198"/>
      <c r="S28" s="198"/>
      <c r="T28" s="198"/>
      <c r="U28" s="198"/>
    </row>
    <row r="29" spans="1:21" s="12" customFormat="1" x14ac:dyDescent="0.25">
      <c r="A29" s="216" t="s">
        <v>3146</v>
      </c>
      <c r="B29" s="64">
        <v>7.88</v>
      </c>
      <c r="C29" s="64">
        <v>9.15</v>
      </c>
      <c r="D29" s="64">
        <v>12.25</v>
      </c>
      <c r="E29" s="64">
        <v>1</v>
      </c>
      <c r="F29" s="64">
        <v>3.3</v>
      </c>
      <c r="G29" s="64">
        <v>71.48</v>
      </c>
      <c r="H29" s="64">
        <v>25.93</v>
      </c>
      <c r="I29" s="64">
        <v>8.5399999999999991</v>
      </c>
      <c r="J29" s="64">
        <v>0.6</v>
      </c>
      <c r="K29" s="64">
        <v>280.54000000000002</v>
      </c>
      <c r="L29" s="64">
        <v>32.78</v>
      </c>
      <c r="M29" s="64">
        <v>45.69</v>
      </c>
      <c r="N29" s="64">
        <v>12.1</v>
      </c>
      <c r="O29" s="64">
        <v>0</v>
      </c>
      <c r="P29" s="64">
        <v>0.72</v>
      </c>
      <c r="Q29" s="64">
        <v>9.8699999999999992</v>
      </c>
      <c r="R29" s="198"/>
      <c r="S29" s="198"/>
      <c r="T29" s="198"/>
      <c r="U29" s="198"/>
    </row>
    <row r="30" spans="1:21" s="12" customFormat="1" x14ac:dyDescent="0.25">
      <c r="A30" s="216" t="s">
        <v>3147</v>
      </c>
      <c r="B30" s="64">
        <v>7.94</v>
      </c>
      <c r="C30" s="64">
        <v>9.06</v>
      </c>
      <c r="D30" s="64">
        <v>12.25</v>
      </c>
      <c r="E30" s="64">
        <v>0.75</v>
      </c>
      <c r="F30" s="64">
        <v>3.05</v>
      </c>
      <c r="G30" s="64">
        <v>71.650000000000006</v>
      </c>
      <c r="H30" s="64">
        <v>25.79</v>
      </c>
      <c r="I30" s="64">
        <v>8.64</v>
      </c>
      <c r="J30" s="64">
        <v>0.69</v>
      </c>
      <c r="K30" s="64">
        <v>285.10000000000002</v>
      </c>
      <c r="L30" s="64">
        <v>32.74</v>
      </c>
      <c r="M30" s="64">
        <v>45.41</v>
      </c>
      <c r="N30" s="64">
        <v>19.399999999999999</v>
      </c>
      <c r="O30" s="64">
        <v>0</v>
      </c>
      <c r="P30" s="64">
        <v>0.72</v>
      </c>
      <c r="Q30" s="64">
        <v>9.91</v>
      </c>
      <c r="R30" s="198"/>
      <c r="S30" s="198"/>
      <c r="T30" s="198"/>
      <c r="U30" s="198"/>
    </row>
    <row r="31" spans="1:21" s="12" customFormat="1" x14ac:dyDescent="0.25">
      <c r="A31" s="216" t="s">
        <v>3148</v>
      </c>
      <c r="B31" s="64">
        <v>8.33</v>
      </c>
      <c r="C31" s="64">
        <v>9.7899999999999991</v>
      </c>
      <c r="D31" s="64">
        <v>12.94</v>
      </c>
      <c r="E31" s="64">
        <v>0.86</v>
      </c>
      <c r="F31" s="64">
        <v>3.58</v>
      </c>
      <c r="G31" s="64">
        <v>73.66</v>
      </c>
      <c r="H31" s="64">
        <v>24.24</v>
      </c>
      <c r="I31" s="64">
        <v>8.27</v>
      </c>
      <c r="J31" s="64">
        <v>0.52</v>
      </c>
      <c r="K31" s="64">
        <v>357.54</v>
      </c>
      <c r="L31" s="64">
        <v>33.22</v>
      </c>
      <c r="M31" s="64">
        <v>46.14</v>
      </c>
      <c r="N31" s="64">
        <v>33.299999999999997</v>
      </c>
      <c r="O31" s="64">
        <v>0</v>
      </c>
      <c r="P31" s="64">
        <v>0.73</v>
      </c>
      <c r="Q31" s="64">
        <v>9.93</v>
      </c>
      <c r="R31" s="198"/>
      <c r="S31" s="198"/>
      <c r="T31" s="198"/>
      <c r="U31" s="198"/>
    </row>
    <row r="32" spans="1:21" s="12" customFormat="1" x14ac:dyDescent="0.25">
      <c r="A32" s="216" t="s">
        <v>3149</v>
      </c>
      <c r="B32" s="64">
        <v>8.8800000000000008</v>
      </c>
      <c r="C32" s="64">
        <v>10.62</v>
      </c>
      <c r="D32" s="64">
        <v>13.82</v>
      </c>
      <c r="E32" s="64">
        <v>1.1200000000000001</v>
      </c>
      <c r="F32" s="64">
        <v>3.49</v>
      </c>
      <c r="G32" s="64">
        <v>73.66</v>
      </c>
      <c r="H32" s="64">
        <v>24.24</v>
      </c>
      <c r="I32" s="64">
        <v>8.36</v>
      </c>
      <c r="J32" s="64">
        <v>0.61</v>
      </c>
      <c r="K32" s="64">
        <v>268.62</v>
      </c>
      <c r="L32" s="64">
        <v>33.14</v>
      </c>
      <c r="M32" s="64">
        <v>47.11</v>
      </c>
      <c r="N32" s="64">
        <v>55.1</v>
      </c>
      <c r="O32" s="64">
        <v>0</v>
      </c>
      <c r="P32" s="64">
        <v>0.75</v>
      </c>
      <c r="Q32" s="64">
        <v>9.9499999999999993</v>
      </c>
      <c r="R32" s="198"/>
      <c r="S32" s="198"/>
      <c r="T32" s="198"/>
      <c r="U32" s="198"/>
    </row>
    <row r="33" spans="1:21" s="12" customFormat="1" x14ac:dyDescent="0.25">
      <c r="A33" s="216" t="s">
        <v>3150</v>
      </c>
      <c r="B33" s="64">
        <v>9.32</v>
      </c>
      <c r="C33" s="64">
        <v>10.47</v>
      </c>
      <c r="D33" s="64">
        <v>14.09</v>
      </c>
      <c r="E33" s="64">
        <v>1.03</v>
      </c>
      <c r="F33" s="64">
        <v>3.65</v>
      </c>
      <c r="G33" s="64">
        <v>73.66</v>
      </c>
      <c r="H33" s="64">
        <v>24.24</v>
      </c>
      <c r="I33" s="64">
        <v>8.36</v>
      </c>
      <c r="J33" s="64">
        <v>0.56999999999999995</v>
      </c>
      <c r="K33" s="64">
        <v>256.38</v>
      </c>
      <c r="L33" s="64">
        <v>34.15</v>
      </c>
      <c r="M33" s="64">
        <v>42.53</v>
      </c>
      <c r="N33" s="64">
        <v>83.7</v>
      </c>
      <c r="O33" s="64">
        <v>0</v>
      </c>
      <c r="P33" s="64">
        <v>0.77</v>
      </c>
      <c r="Q33" s="64">
        <v>9.98</v>
      </c>
      <c r="R33" s="198"/>
      <c r="S33" s="198"/>
      <c r="T33" s="198"/>
      <c r="U33" s="198"/>
    </row>
    <row r="34" spans="1:21" s="12" customFormat="1" x14ac:dyDescent="0.25">
      <c r="A34" s="216" t="s">
        <v>3151</v>
      </c>
      <c r="B34" s="64">
        <v>9.26</v>
      </c>
      <c r="C34" s="64">
        <v>10.34</v>
      </c>
      <c r="D34" s="64">
        <v>13.98</v>
      </c>
      <c r="E34" s="64">
        <v>1.05</v>
      </c>
      <c r="F34" s="64">
        <v>3.78</v>
      </c>
      <c r="G34" s="64">
        <v>74.58</v>
      </c>
      <c r="H34" s="64">
        <v>24.68</v>
      </c>
      <c r="I34" s="64">
        <v>8.1999999999999993</v>
      </c>
      <c r="J34" s="64">
        <v>0.55000000000000004</v>
      </c>
      <c r="K34" s="64">
        <v>257.97000000000003</v>
      </c>
      <c r="L34" s="64">
        <v>35.520000000000003</v>
      </c>
      <c r="M34" s="64">
        <v>39.25</v>
      </c>
      <c r="N34" s="64">
        <v>115.5</v>
      </c>
      <c r="O34" s="64">
        <v>0</v>
      </c>
      <c r="P34" s="64">
        <v>0.78</v>
      </c>
      <c r="Q34" s="64">
        <v>10.01</v>
      </c>
      <c r="R34" s="198"/>
      <c r="S34" s="198"/>
      <c r="T34" s="198"/>
      <c r="U34" s="198"/>
    </row>
    <row r="35" spans="1:21" s="12" customFormat="1" x14ac:dyDescent="0.25">
      <c r="A35" s="216" t="s">
        <v>3152</v>
      </c>
      <c r="B35" s="64">
        <v>9.0299999999999994</v>
      </c>
      <c r="C35" s="64">
        <v>10.58</v>
      </c>
      <c r="D35" s="64">
        <v>13.91</v>
      </c>
      <c r="E35" s="64">
        <v>1.23</v>
      </c>
      <c r="F35" s="64">
        <v>3.46</v>
      </c>
      <c r="G35" s="64">
        <v>85.5</v>
      </c>
      <c r="H35" s="64">
        <v>29.95</v>
      </c>
      <c r="I35" s="64">
        <v>8.2899999999999991</v>
      </c>
      <c r="J35" s="64">
        <v>0.45</v>
      </c>
      <c r="K35" s="64">
        <v>292.88</v>
      </c>
      <c r="L35" s="64">
        <v>36.79</v>
      </c>
      <c r="M35" s="64">
        <v>35.93</v>
      </c>
      <c r="N35" s="64">
        <v>153</v>
      </c>
      <c r="O35" s="64">
        <v>0</v>
      </c>
      <c r="P35" s="64">
        <v>0.78</v>
      </c>
      <c r="Q35" s="64">
        <v>10.029999999999999</v>
      </c>
      <c r="R35" s="198"/>
      <c r="S35" s="198"/>
      <c r="T35" s="198"/>
      <c r="U35" s="198"/>
    </row>
    <row r="36" spans="1:21" s="12" customFormat="1" x14ac:dyDescent="0.25">
      <c r="A36" s="216" t="s">
        <v>3153</v>
      </c>
      <c r="B36" s="64">
        <v>8.9</v>
      </c>
      <c r="C36" s="64">
        <v>10.51</v>
      </c>
      <c r="D36" s="64">
        <v>13.77</v>
      </c>
      <c r="E36" s="64">
        <v>0.72</v>
      </c>
      <c r="F36" s="64">
        <v>3.49</v>
      </c>
      <c r="G36" s="64">
        <v>85.5</v>
      </c>
      <c r="H36" s="64">
        <v>29.95</v>
      </c>
      <c r="I36" s="64">
        <v>8.49</v>
      </c>
      <c r="J36" s="64">
        <v>0.55000000000000004</v>
      </c>
      <c r="K36" s="64">
        <v>286.72000000000003</v>
      </c>
      <c r="L36" s="64">
        <v>38.340000000000003</v>
      </c>
      <c r="M36" s="64">
        <v>32.56</v>
      </c>
      <c r="N36" s="64">
        <v>204.3</v>
      </c>
      <c r="O36" s="64">
        <v>0</v>
      </c>
      <c r="P36" s="64">
        <v>0.78</v>
      </c>
      <c r="Q36" s="64">
        <v>10.029999999999999</v>
      </c>
      <c r="R36" s="198"/>
      <c r="S36" s="198"/>
      <c r="T36" s="198"/>
      <c r="U36" s="198"/>
    </row>
    <row r="37" spans="1:21" s="12" customFormat="1" x14ac:dyDescent="0.25">
      <c r="A37" s="216" t="s">
        <v>3154</v>
      </c>
      <c r="B37" s="64">
        <v>8.6999999999999993</v>
      </c>
      <c r="C37" s="64">
        <v>10.130000000000001</v>
      </c>
      <c r="D37" s="64">
        <v>13.42</v>
      </c>
      <c r="E37" s="64">
        <v>1.1100000000000001</v>
      </c>
      <c r="F37" s="64">
        <v>3.4</v>
      </c>
      <c r="G37" s="64">
        <v>85.5</v>
      </c>
      <c r="H37" s="64">
        <v>29.95</v>
      </c>
      <c r="I37" s="64">
        <v>8.42</v>
      </c>
      <c r="J37" s="64">
        <v>0.86</v>
      </c>
      <c r="K37" s="64">
        <v>325.88</v>
      </c>
      <c r="L37" s="64">
        <v>39.869999999999997</v>
      </c>
      <c r="M37" s="64">
        <v>29.49</v>
      </c>
      <c r="N37" s="64">
        <v>261.60000000000002</v>
      </c>
      <c r="O37" s="64">
        <v>0</v>
      </c>
      <c r="P37" s="64">
        <v>0.75</v>
      </c>
      <c r="Q37" s="64">
        <v>10.039999999999999</v>
      </c>
      <c r="R37" s="198"/>
      <c r="S37" s="198"/>
      <c r="T37" s="198"/>
      <c r="U37" s="198"/>
    </row>
    <row r="38" spans="1:21" s="12" customFormat="1" x14ac:dyDescent="0.25">
      <c r="A38" s="216" t="s">
        <v>3155</v>
      </c>
      <c r="B38" s="64">
        <v>8.49</v>
      </c>
      <c r="C38" s="64">
        <v>10.130000000000001</v>
      </c>
      <c r="D38" s="64">
        <v>13.25</v>
      </c>
      <c r="E38" s="64">
        <v>0.85</v>
      </c>
      <c r="F38" s="64">
        <v>3.6</v>
      </c>
      <c r="G38" s="64">
        <v>85.58</v>
      </c>
      <c r="H38" s="64">
        <v>30.15</v>
      </c>
      <c r="I38" s="64">
        <v>8.41</v>
      </c>
      <c r="J38" s="64">
        <v>1.1299999999999999</v>
      </c>
      <c r="K38" s="64">
        <v>343.72</v>
      </c>
      <c r="L38" s="64">
        <v>41.4</v>
      </c>
      <c r="M38" s="64">
        <v>26.86</v>
      </c>
      <c r="N38" s="64">
        <v>312.8</v>
      </c>
      <c r="O38" s="64">
        <v>0</v>
      </c>
      <c r="P38" s="64">
        <v>0.77</v>
      </c>
      <c r="Q38" s="64">
        <v>10.029999999999999</v>
      </c>
      <c r="R38" s="198"/>
      <c r="S38" s="198"/>
      <c r="T38" s="198"/>
      <c r="U38" s="198"/>
    </row>
    <row r="39" spans="1:21" s="12" customFormat="1" x14ac:dyDescent="0.25">
      <c r="A39" s="216" t="s">
        <v>3156</v>
      </c>
      <c r="B39" s="64">
        <v>8.07</v>
      </c>
      <c r="C39" s="64">
        <v>9.9</v>
      </c>
      <c r="D39" s="64">
        <v>12.79</v>
      </c>
      <c r="E39" s="64">
        <v>1.18</v>
      </c>
      <c r="F39" s="64">
        <v>3.01</v>
      </c>
      <c r="G39" s="64">
        <v>86.6</v>
      </c>
      <c r="H39" s="64">
        <v>32.51</v>
      </c>
      <c r="I39" s="64">
        <v>8.3699999999999992</v>
      </c>
      <c r="J39" s="64">
        <v>0.71</v>
      </c>
      <c r="K39" s="64">
        <v>346.89</v>
      </c>
      <c r="L39" s="64">
        <v>42.09</v>
      </c>
      <c r="M39" s="64">
        <v>26.03</v>
      </c>
      <c r="N39" s="64">
        <v>365.8</v>
      </c>
      <c r="O39" s="64">
        <v>0</v>
      </c>
      <c r="P39" s="64">
        <v>0.77</v>
      </c>
      <c r="Q39" s="64">
        <v>10.01</v>
      </c>
      <c r="R39" s="198"/>
      <c r="S39" s="198"/>
      <c r="T39" s="198"/>
      <c r="U39" s="198"/>
    </row>
    <row r="40" spans="1:21" s="12" customFormat="1" x14ac:dyDescent="0.25">
      <c r="A40" s="216" t="s">
        <v>3157</v>
      </c>
      <c r="B40" s="64">
        <v>7.77</v>
      </c>
      <c r="C40" s="64">
        <v>10</v>
      </c>
      <c r="D40" s="64">
        <v>12.6</v>
      </c>
      <c r="E40" s="64">
        <v>1.9</v>
      </c>
      <c r="F40" s="64">
        <v>3.45</v>
      </c>
      <c r="G40" s="64">
        <v>86.6</v>
      </c>
      <c r="H40" s="64">
        <v>32.51</v>
      </c>
      <c r="I40" s="64">
        <v>8.11</v>
      </c>
      <c r="J40" s="64">
        <v>1.1200000000000001</v>
      </c>
      <c r="K40" s="64">
        <v>353.91</v>
      </c>
      <c r="L40" s="64">
        <v>43.27</v>
      </c>
      <c r="M40" s="64">
        <v>23.51</v>
      </c>
      <c r="N40" s="64">
        <v>395.3</v>
      </c>
      <c r="O40" s="64">
        <v>0</v>
      </c>
      <c r="P40" s="64">
        <v>0.77</v>
      </c>
      <c r="Q40" s="64">
        <v>10.02</v>
      </c>
      <c r="R40" s="198"/>
      <c r="S40" s="198"/>
      <c r="T40" s="198"/>
      <c r="U40" s="198"/>
    </row>
    <row r="41" spans="1:21" s="12" customFormat="1" x14ac:dyDescent="0.25">
      <c r="A41" s="216" t="s">
        <v>3158</v>
      </c>
      <c r="B41" s="64">
        <v>7.42</v>
      </c>
      <c r="C41" s="64">
        <v>10.130000000000001</v>
      </c>
      <c r="D41" s="64">
        <v>12.38</v>
      </c>
      <c r="E41" s="64">
        <v>1.83</v>
      </c>
      <c r="F41" s="64">
        <v>4.0999999999999996</v>
      </c>
      <c r="G41" s="64">
        <v>86.6</v>
      </c>
      <c r="H41" s="64">
        <v>32.51</v>
      </c>
      <c r="I41" s="64">
        <v>8.14</v>
      </c>
      <c r="J41" s="64">
        <v>0.98</v>
      </c>
      <c r="K41" s="64">
        <v>350.31</v>
      </c>
      <c r="L41" s="64">
        <v>43.81</v>
      </c>
      <c r="M41" s="64">
        <v>23.05</v>
      </c>
      <c r="N41" s="64">
        <v>426.4</v>
      </c>
      <c r="O41" s="64">
        <v>0</v>
      </c>
      <c r="P41" s="64">
        <v>0.76</v>
      </c>
      <c r="Q41" s="64">
        <v>10.02</v>
      </c>
      <c r="R41" s="198"/>
      <c r="S41" s="198"/>
      <c r="T41" s="198"/>
      <c r="U41" s="198"/>
    </row>
    <row r="42" spans="1:21" s="12" customFormat="1" x14ac:dyDescent="0.25">
      <c r="A42" s="216" t="s">
        <v>3159</v>
      </c>
      <c r="B42" s="64">
        <v>6.97</v>
      </c>
      <c r="C42" s="64">
        <v>10.199999999999999</v>
      </c>
      <c r="D42" s="64">
        <v>12.06</v>
      </c>
      <c r="E42" s="64">
        <v>1.54</v>
      </c>
      <c r="F42" s="64">
        <v>4.03</v>
      </c>
      <c r="G42" s="64">
        <v>86.52</v>
      </c>
      <c r="H42" s="64">
        <v>32.409999999999997</v>
      </c>
      <c r="I42" s="64">
        <v>8.0500000000000007</v>
      </c>
      <c r="J42" s="64">
        <v>0.64</v>
      </c>
      <c r="K42" s="64">
        <v>359.14</v>
      </c>
      <c r="L42" s="64">
        <v>44.11</v>
      </c>
      <c r="M42" s="64">
        <v>22.89</v>
      </c>
      <c r="N42" s="64">
        <v>481.3</v>
      </c>
      <c r="O42" s="64">
        <v>0</v>
      </c>
      <c r="P42" s="64">
        <v>0.75</v>
      </c>
      <c r="Q42" s="64">
        <v>10</v>
      </c>
      <c r="R42" s="198"/>
      <c r="S42" s="198"/>
      <c r="T42" s="198"/>
      <c r="U42" s="198"/>
    </row>
    <row r="43" spans="1:21" s="12" customFormat="1" x14ac:dyDescent="0.25">
      <c r="A43" s="216" t="s">
        <v>3160</v>
      </c>
      <c r="B43" s="64">
        <v>6.45</v>
      </c>
      <c r="C43" s="64">
        <v>10.95</v>
      </c>
      <c r="D43" s="64">
        <v>12.04</v>
      </c>
      <c r="E43" s="64">
        <v>1.62</v>
      </c>
      <c r="F43" s="64">
        <v>3.96</v>
      </c>
      <c r="G43" s="64">
        <v>85.59</v>
      </c>
      <c r="H43" s="64">
        <v>31.25</v>
      </c>
      <c r="I43" s="64">
        <v>8.02</v>
      </c>
      <c r="J43" s="64">
        <v>0.83</v>
      </c>
      <c r="K43" s="64">
        <v>332.03</v>
      </c>
      <c r="L43" s="64">
        <v>44.8</v>
      </c>
      <c r="M43" s="64">
        <v>21.69</v>
      </c>
      <c r="N43" s="64">
        <v>510.1</v>
      </c>
      <c r="O43" s="64">
        <v>0</v>
      </c>
      <c r="P43" s="64">
        <v>0.75</v>
      </c>
      <c r="Q43" s="64">
        <v>9.9600000000000009</v>
      </c>
      <c r="R43" s="198"/>
      <c r="S43" s="198"/>
      <c r="T43" s="198"/>
      <c r="U43" s="198"/>
    </row>
    <row r="44" spans="1:21" s="12" customFormat="1" x14ac:dyDescent="0.25">
      <c r="A44" s="216" t="s">
        <v>3161</v>
      </c>
      <c r="B44" s="64">
        <v>5.85</v>
      </c>
      <c r="C44" s="64">
        <v>11.57</v>
      </c>
      <c r="D44" s="64">
        <v>11.88</v>
      </c>
      <c r="E44" s="64">
        <v>1.79</v>
      </c>
      <c r="F44" s="64">
        <v>4.33</v>
      </c>
      <c r="G44" s="64">
        <v>85.59</v>
      </c>
      <c r="H44" s="64">
        <v>31.25</v>
      </c>
      <c r="I44" s="64">
        <v>8.2200000000000006</v>
      </c>
      <c r="J44" s="64">
        <v>1.52</v>
      </c>
      <c r="K44" s="64">
        <v>334.66</v>
      </c>
      <c r="L44" s="64">
        <v>45.96</v>
      </c>
      <c r="M44" s="64">
        <v>18.64</v>
      </c>
      <c r="N44" s="64">
        <v>562.6</v>
      </c>
      <c r="O44" s="64">
        <v>0</v>
      </c>
      <c r="P44" s="64">
        <v>0.76</v>
      </c>
      <c r="Q44" s="64">
        <v>9.9499999999999993</v>
      </c>
      <c r="R44" s="198"/>
      <c r="S44" s="198"/>
      <c r="T44" s="198"/>
      <c r="U44" s="198"/>
    </row>
    <row r="45" spans="1:21" s="12" customFormat="1" x14ac:dyDescent="0.25">
      <c r="A45" s="216" t="s">
        <v>3162</v>
      </c>
      <c r="B45" s="64">
        <v>5.28</v>
      </c>
      <c r="C45" s="64">
        <v>11.66</v>
      </c>
      <c r="D45" s="64">
        <v>11.47</v>
      </c>
      <c r="E45" s="64">
        <v>1.5</v>
      </c>
      <c r="F45" s="64">
        <v>4.16</v>
      </c>
      <c r="G45" s="64">
        <v>85.59</v>
      </c>
      <c r="H45" s="64">
        <v>31.25</v>
      </c>
      <c r="I45" s="64">
        <v>8.66</v>
      </c>
      <c r="J45" s="64">
        <v>1.6</v>
      </c>
      <c r="K45" s="64">
        <v>342</v>
      </c>
      <c r="L45" s="64">
        <v>46.92</v>
      </c>
      <c r="M45" s="64">
        <v>16.87</v>
      </c>
      <c r="N45" s="64">
        <v>608.79999999999995</v>
      </c>
      <c r="O45" s="64">
        <v>0</v>
      </c>
      <c r="P45" s="64">
        <v>0.76</v>
      </c>
      <c r="Q45" s="64">
        <v>9.92</v>
      </c>
      <c r="R45" s="198"/>
      <c r="S45" s="198"/>
      <c r="T45" s="198"/>
      <c r="U45" s="198"/>
    </row>
    <row r="46" spans="1:21" s="12" customFormat="1" x14ac:dyDescent="0.25">
      <c r="A46" s="216" t="s">
        <v>3163</v>
      </c>
      <c r="B46" s="64">
        <v>4.88</v>
      </c>
      <c r="C46" s="64">
        <v>11.55</v>
      </c>
      <c r="D46" s="64">
        <v>11.1</v>
      </c>
      <c r="E46" s="64">
        <v>1.68</v>
      </c>
      <c r="F46" s="64">
        <v>4.24</v>
      </c>
      <c r="G46" s="64">
        <v>85.69</v>
      </c>
      <c r="H46" s="64">
        <v>31.51</v>
      </c>
      <c r="I46" s="64">
        <v>9.08</v>
      </c>
      <c r="J46" s="64">
        <v>1.56</v>
      </c>
      <c r="K46" s="64">
        <v>331.51</v>
      </c>
      <c r="L46" s="64">
        <v>47.48</v>
      </c>
      <c r="M46" s="64">
        <v>16.23</v>
      </c>
      <c r="N46" s="64">
        <v>664.9</v>
      </c>
      <c r="O46" s="64">
        <v>0</v>
      </c>
      <c r="P46" s="64">
        <v>0.74</v>
      </c>
      <c r="Q46" s="64">
        <v>9.86</v>
      </c>
      <c r="R46" s="198"/>
      <c r="S46" s="198"/>
      <c r="T46" s="198"/>
      <c r="U46" s="198"/>
    </row>
    <row r="47" spans="1:21" s="12" customFormat="1" x14ac:dyDescent="0.25">
      <c r="A47" s="216" t="s">
        <v>3164</v>
      </c>
      <c r="B47" s="64">
        <v>4.51</v>
      </c>
      <c r="C47" s="64">
        <v>11.39</v>
      </c>
      <c r="D47" s="64">
        <v>10.71</v>
      </c>
      <c r="E47" s="64">
        <v>1.43</v>
      </c>
      <c r="F47" s="64">
        <v>4.32</v>
      </c>
      <c r="G47" s="64">
        <v>86.8</v>
      </c>
      <c r="H47" s="64">
        <v>34.61</v>
      </c>
      <c r="I47" s="64">
        <v>8.9600000000000009</v>
      </c>
      <c r="J47" s="64">
        <v>1.85</v>
      </c>
      <c r="K47" s="64">
        <v>345.85</v>
      </c>
      <c r="L47" s="64">
        <v>48.42</v>
      </c>
      <c r="M47" s="64">
        <v>14.93</v>
      </c>
      <c r="N47" s="64">
        <v>713.6</v>
      </c>
      <c r="O47" s="64">
        <v>0</v>
      </c>
      <c r="P47" s="64">
        <v>0.73</v>
      </c>
      <c r="Q47" s="64">
        <v>9.85</v>
      </c>
      <c r="R47" s="198"/>
      <c r="S47" s="198"/>
      <c r="T47" s="198"/>
      <c r="U47" s="198"/>
    </row>
    <row r="48" spans="1:21" s="12" customFormat="1" x14ac:dyDescent="0.25">
      <c r="A48" s="216" t="s">
        <v>3165</v>
      </c>
      <c r="B48" s="64">
        <v>4.17</v>
      </c>
      <c r="C48" s="64">
        <v>11.04</v>
      </c>
      <c r="D48" s="64">
        <v>10.25</v>
      </c>
      <c r="E48" s="64">
        <v>1.08</v>
      </c>
      <c r="F48" s="64">
        <v>4.2699999999999996</v>
      </c>
      <c r="G48" s="64">
        <v>86.8</v>
      </c>
      <c r="H48" s="64">
        <v>34.61</v>
      </c>
      <c r="I48" s="64">
        <v>8.61</v>
      </c>
      <c r="J48" s="64">
        <v>1.37</v>
      </c>
      <c r="K48" s="64">
        <v>341.31</v>
      </c>
      <c r="L48" s="64">
        <v>48.65</v>
      </c>
      <c r="M48" s="64">
        <v>14.8</v>
      </c>
      <c r="N48" s="64">
        <v>739.9</v>
      </c>
      <c r="O48" s="64">
        <v>0</v>
      </c>
      <c r="P48" s="64">
        <v>0.73</v>
      </c>
      <c r="Q48" s="64">
        <v>9.7899999999999991</v>
      </c>
      <c r="R48" s="198"/>
      <c r="S48" s="198"/>
      <c r="T48" s="198"/>
      <c r="U48" s="198"/>
    </row>
    <row r="49" spans="1:21" s="12" customFormat="1" x14ac:dyDescent="0.25">
      <c r="A49" s="216" t="s">
        <v>3166</v>
      </c>
      <c r="B49" s="64">
        <v>3.86</v>
      </c>
      <c r="C49" s="64">
        <v>10.89</v>
      </c>
      <c r="D49" s="64">
        <v>9.92</v>
      </c>
      <c r="E49" s="64">
        <v>1.1200000000000001</v>
      </c>
      <c r="F49" s="64">
        <v>4.5999999999999996</v>
      </c>
      <c r="G49" s="64">
        <v>86.8</v>
      </c>
      <c r="H49" s="64">
        <v>34.61</v>
      </c>
      <c r="I49" s="64">
        <v>8.2799999999999994</v>
      </c>
      <c r="J49" s="64">
        <v>1.49</v>
      </c>
      <c r="K49" s="64">
        <v>349.47</v>
      </c>
      <c r="L49" s="64">
        <v>48.76</v>
      </c>
      <c r="M49" s="64">
        <v>14.32</v>
      </c>
      <c r="N49" s="64">
        <v>758.8</v>
      </c>
      <c r="O49" s="64">
        <v>0</v>
      </c>
      <c r="P49" s="64">
        <v>0.73</v>
      </c>
      <c r="Q49" s="64">
        <v>9.76</v>
      </c>
      <c r="R49" s="198"/>
      <c r="S49" s="198"/>
      <c r="T49" s="198"/>
      <c r="U49" s="198"/>
    </row>
    <row r="50" spans="1:21" s="12" customFormat="1" x14ac:dyDescent="0.25">
      <c r="A50" s="216" t="s">
        <v>3167</v>
      </c>
      <c r="B50" s="64">
        <v>3.56</v>
      </c>
      <c r="C50" s="64">
        <v>10.65</v>
      </c>
      <c r="D50" s="64">
        <v>9.57</v>
      </c>
      <c r="E50" s="64">
        <v>1.47</v>
      </c>
      <c r="F50" s="64">
        <v>7.51</v>
      </c>
      <c r="G50" s="64">
        <v>86.34</v>
      </c>
      <c r="H50" s="64">
        <v>34.56</v>
      </c>
      <c r="I50" s="64">
        <v>7.76</v>
      </c>
      <c r="J50" s="64">
        <v>1.69</v>
      </c>
      <c r="K50" s="64">
        <v>340.44</v>
      </c>
      <c r="L50" s="64">
        <v>47.43</v>
      </c>
      <c r="M50" s="64">
        <v>13.16</v>
      </c>
      <c r="N50" s="64">
        <v>773.8</v>
      </c>
      <c r="O50" s="64">
        <v>0</v>
      </c>
      <c r="P50" s="64">
        <v>0.72</v>
      </c>
      <c r="Q50" s="64">
        <v>9.7200000000000006</v>
      </c>
      <c r="R50" s="198"/>
      <c r="S50" s="198"/>
      <c r="T50" s="198"/>
      <c r="U50" s="198"/>
    </row>
    <row r="51" spans="1:21" s="12" customFormat="1" x14ac:dyDescent="0.25">
      <c r="A51" s="216" t="s">
        <v>3168</v>
      </c>
      <c r="B51" s="64">
        <v>3.18</v>
      </c>
      <c r="C51" s="64">
        <v>10.54</v>
      </c>
      <c r="D51" s="64">
        <v>9.2100000000000009</v>
      </c>
      <c r="E51" s="64">
        <v>1.53</v>
      </c>
      <c r="F51" s="64">
        <v>9.52</v>
      </c>
      <c r="G51" s="64">
        <v>80.900000000000006</v>
      </c>
      <c r="H51" s="64">
        <v>34.06</v>
      </c>
      <c r="I51" s="64">
        <v>7.63</v>
      </c>
      <c r="J51" s="64">
        <v>1.71</v>
      </c>
      <c r="K51" s="64">
        <v>335.23</v>
      </c>
      <c r="L51" s="64">
        <v>44.34</v>
      </c>
      <c r="M51" s="64">
        <v>13.34</v>
      </c>
      <c r="N51" s="64">
        <v>806.4</v>
      </c>
      <c r="O51" s="64">
        <v>0</v>
      </c>
      <c r="P51" s="64">
        <v>0.69</v>
      </c>
      <c r="Q51" s="64">
        <v>9.6999999999999993</v>
      </c>
      <c r="R51" s="198"/>
      <c r="S51" s="198"/>
      <c r="T51" s="198"/>
      <c r="U51" s="198"/>
    </row>
    <row r="52" spans="1:21" s="12" customFormat="1" x14ac:dyDescent="0.25">
      <c r="A52" s="216" t="s">
        <v>3169</v>
      </c>
      <c r="B52" s="64">
        <v>3.11</v>
      </c>
      <c r="C52" s="64">
        <v>10.09</v>
      </c>
      <c r="D52" s="64">
        <v>8.91</v>
      </c>
      <c r="E52" s="64">
        <v>1.57</v>
      </c>
      <c r="F52" s="64">
        <v>7.85</v>
      </c>
      <c r="G52" s="64">
        <v>80.900000000000006</v>
      </c>
      <c r="H52" s="64">
        <v>34.06</v>
      </c>
      <c r="I52" s="64">
        <v>7.31</v>
      </c>
      <c r="J52" s="64">
        <v>2.0099999999999998</v>
      </c>
      <c r="K52" s="64">
        <v>334.3</v>
      </c>
      <c r="L52" s="64">
        <v>44.42</v>
      </c>
      <c r="M52" s="64">
        <v>12.98</v>
      </c>
      <c r="N52" s="64">
        <v>824.2</v>
      </c>
      <c r="O52" s="64">
        <v>0</v>
      </c>
      <c r="P52" s="64">
        <v>0.67</v>
      </c>
      <c r="Q52" s="64">
        <v>9.7100000000000009</v>
      </c>
      <c r="R52" s="198"/>
      <c r="S52" s="198"/>
      <c r="T52" s="198"/>
      <c r="U52" s="198"/>
    </row>
    <row r="53" spans="1:21" s="12" customFormat="1" x14ac:dyDescent="0.25">
      <c r="A53" s="216" t="s">
        <v>3170</v>
      </c>
      <c r="B53" s="64">
        <v>3.12</v>
      </c>
      <c r="C53" s="64">
        <v>9.94</v>
      </c>
      <c r="D53" s="64">
        <v>8.84</v>
      </c>
      <c r="E53" s="64">
        <v>1.38</v>
      </c>
      <c r="F53" s="64">
        <v>6.51</v>
      </c>
      <c r="G53" s="64">
        <v>80.900000000000006</v>
      </c>
      <c r="H53" s="64">
        <v>34.06</v>
      </c>
      <c r="I53" s="64">
        <v>6.79</v>
      </c>
      <c r="J53" s="64">
        <v>1.66</v>
      </c>
      <c r="K53" s="64">
        <v>336.83</v>
      </c>
      <c r="L53" s="64">
        <v>44.55</v>
      </c>
      <c r="M53" s="64">
        <v>12.83</v>
      </c>
      <c r="N53" s="64">
        <v>826.6</v>
      </c>
      <c r="O53" s="64">
        <v>0</v>
      </c>
      <c r="P53" s="64">
        <v>0.65</v>
      </c>
      <c r="Q53" s="64">
        <v>9.74</v>
      </c>
      <c r="R53" s="198"/>
      <c r="S53" s="198"/>
      <c r="T53" s="198"/>
      <c r="U53" s="198"/>
    </row>
    <row r="54" spans="1:21" s="12" customFormat="1" x14ac:dyDescent="0.25">
      <c r="A54" s="216" t="s">
        <v>3171</v>
      </c>
      <c r="B54" s="64">
        <v>3.09</v>
      </c>
      <c r="C54" s="64">
        <v>9.36</v>
      </c>
      <c r="D54" s="64">
        <v>8.51</v>
      </c>
      <c r="E54" s="64">
        <v>1.2</v>
      </c>
      <c r="F54" s="64">
        <v>10.130000000000001</v>
      </c>
      <c r="G54" s="64">
        <v>80.84</v>
      </c>
      <c r="H54" s="64">
        <v>34.119999999999997</v>
      </c>
      <c r="I54" s="64">
        <v>6.44</v>
      </c>
      <c r="J54" s="64">
        <v>2.2400000000000002</v>
      </c>
      <c r="K54" s="64">
        <v>344.53</v>
      </c>
      <c r="L54" s="64">
        <v>44.79</v>
      </c>
      <c r="M54" s="64">
        <v>12.26</v>
      </c>
      <c r="N54" s="64">
        <v>817.6</v>
      </c>
      <c r="O54" s="64">
        <v>0</v>
      </c>
      <c r="P54" s="64">
        <v>0.61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6" t="s">
        <v>3172</v>
      </c>
      <c r="B55" s="64">
        <v>2.99</v>
      </c>
      <c r="C55" s="64">
        <v>8.56</v>
      </c>
      <c r="D55" s="64">
        <v>8.01</v>
      </c>
      <c r="E55" s="64">
        <v>1.27</v>
      </c>
      <c r="F55" s="64">
        <v>7.3</v>
      </c>
      <c r="G55" s="64">
        <v>80.11</v>
      </c>
      <c r="H55" s="64">
        <v>34.770000000000003</v>
      </c>
      <c r="I55" s="64">
        <v>6.35</v>
      </c>
      <c r="J55" s="64">
        <v>2.11</v>
      </c>
      <c r="K55" s="64">
        <v>335.59</v>
      </c>
      <c r="L55" s="64">
        <v>44.24</v>
      </c>
      <c r="M55" s="64">
        <v>13.09</v>
      </c>
      <c r="N55" s="64">
        <v>831.5</v>
      </c>
      <c r="O55" s="64">
        <v>0</v>
      </c>
      <c r="P55" s="64">
        <v>0.59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6" t="s">
        <v>3173</v>
      </c>
      <c r="B56" s="64">
        <v>3.01</v>
      </c>
      <c r="C56" s="64">
        <v>8.3000000000000007</v>
      </c>
      <c r="D56" s="64">
        <v>7.89</v>
      </c>
      <c r="E56" s="64">
        <v>1.02</v>
      </c>
      <c r="F56" s="64">
        <v>5.35</v>
      </c>
      <c r="G56" s="64">
        <v>80.11</v>
      </c>
      <c r="H56" s="64">
        <v>34.770000000000003</v>
      </c>
      <c r="I56" s="64">
        <v>6.13</v>
      </c>
      <c r="J56" s="64">
        <v>1.34</v>
      </c>
      <c r="K56" s="64">
        <v>334.45</v>
      </c>
      <c r="L56" s="64">
        <v>44.22</v>
      </c>
      <c r="M56" s="64">
        <v>13.01</v>
      </c>
      <c r="N56" s="64">
        <v>828.9</v>
      </c>
      <c r="O56" s="64">
        <v>0</v>
      </c>
      <c r="P56" s="64">
        <v>0.57999999999999996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6" t="s">
        <v>3174</v>
      </c>
      <c r="B57" s="64">
        <v>3.1</v>
      </c>
      <c r="C57" s="64">
        <v>8.2799999999999994</v>
      </c>
      <c r="D57" s="64">
        <v>7.96</v>
      </c>
      <c r="E57" s="64">
        <v>0.9</v>
      </c>
      <c r="F57" s="64">
        <v>4.8899999999999997</v>
      </c>
      <c r="G57" s="64">
        <v>80.11</v>
      </c>
      <c r="H57" s="64">
        <v>34.770000000000003</v>
      </c>
      <c r="I57" s="64">
        <v>6</v>
      </c>
      <c r="J57" s="64">
        <v>1.7</v>
      </c>
      <c r="K57" s="64">
        <v>348.07</v>
      </c>
      <c r="L57" s="64">
        <v>43.55</v>
      </c>
      <c r="M57" s="64">
        <v>12.8</v>
      </c>
      <c r="N57" s="64">
        <v>817</v>
      </c>
      <c r="O57" s="64">
        <v>0</v>
      </c>
      <c r="P57" s="64">
        <v>0.56000000000000005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6" t="s">
        <v>3175</v>
      </c>
      <c r="B58" s="64">
        <v>3.15</v>
      </c>
      <c r="C58" s="64">
        <v>7.83</v>
      </c>
      <c r="D58" s="64">
        <v>7.76</v>
      </c>
      <c r="E58" s="64">
        <v>1.19</v>
      </c>
      <c r="F58" s="64">
        <v>5.38</v>
      </c>
      <c r="G58" s="64">
        <v>79.239999999999995</v>
      </c>
      <c r="H58" s="64">
        <v>34.58</v>
      </c>
      <c r="I58" s="64">
        <v>5.67</v>
      </c>
      <c r="J58" s="64">
        <v>1.59</v>
      </c>
      <c r="K58" s="64">
        <v>323.87</v>
      </c>
      <c r="L58" s="64">
        <v>44.19</v>
      </c>
      <c r="M58" s="64">
        <v>12.49</v>
      </c>
      <c r="N58" s="64">
        <v>823</v>
      </c>
      <c r="O58" s="64">
        <v>0</v>
      </c>
      <c r="P58" s="64">
        <v>0.56000000000000005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6" t="s">
        <v>3176</v>
      </c>
      <c r="B59" s="64">
        <v>3.12</v>
      </c>
      <c r="C59" s="64">
        <v>8.39</v>
      </c>
      <c r="D59" s="64">
        <v>8.0299999999999994</v>
      </c>
      <c r="E59" s="64">
        <v>1.07</v>
      </c>
      <c r="F59" s="64">
        <v>8.25</v>
      </c>
      <c r="G59" s="64">
        <v>68.819999999999993</v>
      </c>
      <c r="H59" s="64">
        <v>32.36</v>
      </c>
      <c r="I59" s="64">
        <v>5.9</v>
      </c>
      <c r="J59" s="64">
        <v>0.75</v>
      </c>
      <c r="K59" s="64">
        <v>320.14999999999998</v>
      </c>
      <c r="L59" s="64">
        <v>44.83</v>
      </c>
      <c r="M59" s="64">
        <v>11.98</v>
      </c>
      <c r="N59" s="64">
        <v>827.4</v>
      </c>
      <c r="O59" s="64">
        <v>0</v>
      </c>
      <c r="P59" s="64">
        <v>0.52</v>
      </c>
      <c r="Q59" s="64">
        <v>9.68</v>
      </c>
      <c r="R59" s="198"/>
      <c r="S59" s="198"/>
      <c r="T59" s="198"/>
      <c r="U59" s="198"/>
    </row>
    <row r="60" spans="1:21" s="12" customFormat="1" x14ac:dyDescent="0.25">
      <c r="A60" s="216" t="s">
        <v>3177</v>
      </c>
      <c r="B60" s="64">
        <v>3</v>
      </c>
      <c r="C60" s="64">
        <v>8.4600000000000009</v>
      </c>
      <c r="D60" s="64">
        <v>7.97</v>
      </c>
      <c r="E60" s="64">
        <v>1.19</v>
      </c>
      <c r="F60" s="64">
        <v>10.61</v>
      </c>
      <c r="G60" s="64">
        <v>68.819999999999993</v>
      </c>
      <c r="H60" s="64">
        <v>32.36</v>
      </c>
      <c r="I60" s="64">
        <v>6.32</v>
      </c>
      <c r="J60" s="64">
        <v>1.03</v>
      </c>
      <c r="K60" s="64">
        <v>319.25</v>
      </c>
      <c r="L60" s="64">
        <v>44.2</v>
      </c>
      <c r="M60" s="64">
        <v>12.91</v>
      </c>
      <c r="N60" s="64">
        <v>799.5</v>
      </c>
      <c r="O60" s="64">
        <v>0</v>
      </c>
      <c r="P60" s="64">
        <v>0.46</v>
      </c>
      <c r="Q60" s="64">
        <v>9.7100000000000009</v>
      </c>
      <c r="R60" s="198"/>
      <c r="S60" s="198"/>
      <c r="T60" s="198"/>
      <c r="U60" s="198"/>
    </row>
    <row r="61" spans="1:21" s="12" customFormat="1" x14ac:dyDescent="0.25">
      <c r="A61" s="216" t="s">
        <v>3178</v>
      </c>
      <c r="B61" s="64">
        <v>2.92</v>
      </c>
      <c r="C61" s="64">
        <v>8.11</v>
      </c>
      <c r="D61" s="64">
        <v>7.72</v>
      </c>
      <c r="E61" s="64">
        <v>1.07</v>
      </c>
      <c r="F61" s="64">
        <v>10.79</v>
      </c>
      <c r="G61" s="64">
        <v>68.819999999999993</v>
      </c>
      <c r="H61" s="64">
        <v>32.36</v>
      </c>
      <c r="I61" s="64">
        <v>5.67</v>
      </c>
      <c r="J61" s="64">
        <v>1.07</v>
      </c>
      <c r="K61" s="64">
        <v>336.75</v>
      </c>
      <c r="L61" s="64">
        <v>44.54</v>
      </c>
      <c r="M61" s="64">
        <v>12.57</v>
      </c>
      <c r="N61" s="64">
        <v>785.2</v>
      </c>
      <c r="O61" s="64">
        <v>0</v>
      </c>
      <c r="P61" s="64">
        <v>0.38</v>
      </c>
      <c r="Q61" s="64">
        <v>9.6999999999999993</v>
      </c>
      <c r="R61" s="198"/>
      <c r="S61" s="198"/>
      <c r="T61" s="198"/>
      <c r="U61" s="198"/>
    </row>
    <row r="62" spans="1:21" s="12" customFormat="1" x14ac:dyDescent="0.25">
      <c r="A62" s="216" t="s">
        <v>3179</v>
      </c>
      <c r="B62" s="64">
        <v>2.97</v>
      </c>
      <c r="C62" s="64">
        <v>8.2200000000000006</v>
      </c>
      <c r="D62" s="64">
        <v>7.82</v>
      </c>
      <c r="E62" s="64">
        <v>0.96</v>
      </c>
      <c r="F62" s="64">
        <v>6.82</v>
      </c>
      <c r="G62" s="64">
        <v>68.45</v>
      </c>
      <c r="H62" s="64">
        <v>32.47</v>
      </c>
      <c r="I62" s="64">
        <v>5.08</v>
      </c>
      <c r="J62" s="64">
        <v>0.95</v>
      </c>
      <c r="K62" s="64">
        <v>323.74</v>
      </c>
      <c r="L62" s="64">
        <v>44.13</v>
      </c>
      <c r="M62" s="64">
        <v>12.91</v>
      </c>
      <c r="N62" s="64">
        <v>752.7</v>
      </c>
      <c r="O62" s="64">
        <v>0</v>
      </c>
      <c r="P62" s="64">
        <v>0.4</v>
      </c>
      <c r="Q62" s="64">
        <v>9.7100000000000009</v>
      </c>
      <c r="R62" s="198"/>
      <c r="S62" s="198"/>
      <c r="T62" s="198"/>
      <c r="U62" s="198"/>
    </row>
    <row r="63" spans="1:21" s="12" customFormat="1" x14ac:dyDescent="0.25">
      <c r="A63" s="216" t="s">
        <v>3180</v>
      </c>
      <c r="B63" s="64">
        <v>2.98</v>
      </c>
      <c r="C63" s="64">
        <v>8.11</v>
      </c>
      <c r="D63" s="64">
        <v>7.78</v>
      </c>
      <c r="E63" s="64">
        <v>1.71</v>
      </c>
      <c r="F63" s="64">
        <v>8.1</v>
      </c>
      <c r="G63" s="64">
        <v>64.03</v>
      </c>
      <c r="H63" s="64">
        <v>33.729999999999997</v>
      </c>
      <c r="I63" s="64">
        <v>4.91</v>
      </c>
      <c r="J63" s="64">
        <v>1.43</v>
      </c>
      <c r="K63" s="64">
        <v>343.71</v>
      </c>
      <c r="L63" s="64">
        <v>44.54</v>
      </c>
      <c r="M63" s="64">
        <v>12.24</v>
      </c>
      <c r="N63" s="64">
        <v>727.1</v>
      </c>
      <c r="O63" s="64">
        <v>0</v>
      </c>
      <c r="P63" s="64">
        <v>0.4</v>
      </c>
      <c r="Q63" s="64">
        <v>9.69</v>
      </c>
      <c r="R63" s="198"/>
      <c r="S63" s="198"/>
      <c r="T63" s="198"/>
      <c r="U63" s="198"/>
    </row>
    <row r="64" spans="1:21" s="12" customFormat="1" x14ac:dyDescent="0.25">
      <c r="A64" s="216" t="s">
        <v>3181</v>
      </c>
      <c r="B64" s="64">
        <v>2.95</v>
      </c>
      <c r="C64" s="64">
        <v>8.24</v>
      </c>
      <c r="D64" s="64">
        <v>7.82</v>
      </c>
      <c r="E64" s="64">
        <v>0.77</v>
      </c>
      <c r="F64" s="64">
        <v>8.14</v>
      </c>
      <c r="G64" s="64">
        <v>64.03</v>
      </c>
      <c r="H64" s="64">
        <v>33.729999999999997</v>
      </c>
      <c r="I64" s="64">
        <v>4.92</v>
      </c>
      <c r="J64" s="64">
        <v>0.7</v>
      </c>
      <c r="K64" s="64">
        <v>335.89</v>
      </c>
      <c r="L64" s="64">
        <v>44.15</v>
      </c>
      <c r="M64" s="64">
        <v>12.32</v>
      </c>
      <c r="N64" s="64">
        <v>702.4</v>
      </c>
      <c r="O64" s="64">
        <v>0</v>
      </c>
      <c r="P64" s="64">
        <v>0.41</v>
      </c>
      <c r="Q64" s="64">
        <v>9.69</v>
      </c>
      <c r="R64" s="198"/>
      <c r="S64" s="198"/>
      <c r="T64" s="198"/>
      <c r="U64" s="198"/>
    </row>
    <row r="65" spans="1:21" s="12" customFormat="1" x14ac:dyDescent="0.25">
      <c r="A65" s="216" t="s">
        <v>3182</v>
      </c>
      <c r="B65" s="64">
        <v>2.96</v>
      </c>
      <c r="C65" s="64">
        <v>8.34</v>
      </c>
      <c r="D65" s="64">
        <v>7.87</v>
      </c>
      <c r="E65" s="64">
        <v>0.96</v>
      </c>
      <c r="F65" s="64">
        <v>6.2</v>
      </c>
      <c r="G65" s="64">
        <v>64.03</v>
      </c>
      <c r="H65" s="64">
        <v>33.729999999999997</v>
      </c>
      <c r="I65" s="64">
        <v>4.9400000000000004</v>
      </c>
      <c r="J65" s="64">
        <v>0.68</v>
      </c>
      <c r="K65" s="64">
        <v>337.08</v>
      </c>
      <c r="L65" s="64">
        <v>42.91</v>
      </c>
      <c r="M65" s="64">
        <v>12.74</v>
      </c>
      <c r="N65" s="64">
        <v>627.20000000000005</v>
      </c>
      <c r="O65" s="64">
        <v>0</v>
      </c>
      <c r="P65" s="64">
        <v>0.39</v>
      </c>
      <c r="Q65" s="64">
        <v>9.67</v>
      </c>
      <c r="R65" s="198"/>
      <c r="S65" s="198"/>
      <c r="T65" s="198"/>
      <c r="U65" s="198"/>
    </row>
    <row r="66" spans="1:21" s="12" customFormat="1" x14ac:dyDescent="0.25">
      <c r="A66" s="216" t="s">
        <v>3183</v>
      </c>
      <c r="B66" s="64">
        <v>2.96</v>
      </c>
      <c r="C66" s="64">
        <v>8.16</v>
      </c>
      <c r="D66" s="64">
        <v>7.78</v>
      </c>
      <c r="E66" s="64">
        <v>1.28</v>
      </c>
      <c r="F66" s="64">
        <v>8.8000000000000007</v>
      </c>
      <c r="G66" s="64">
        <v>63.67</v>
      </c>
      <c r="H66" s="64">
        <v>33.49</v>
      </c>
      <c r="I66" s="64">
        <v>4.93</v>
      </c>
      <c r="J66" s="64">
        <v>0.56999999999999995</v>
      </c>
      <c r="K66" s="64">
        <v>351.24</v>
      </c>
      <c r="L66" s="64">
        <v>41.84</v>
      </c>
      <c r="M66" s="64">
        <v>13.21</v>
      </c>
      <c r="N66" s="64">
        <v>612.20000000000005</v>
      </c>
      <c r="O66" s="64">
        <v>0</v>
      </c>
      <c r="P66" s="64">
        <v>0.35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6" t="s">
        <v>3184</v>
      </c>
      <c r="B67" s="64">
        <v>2.84</v>
      </c>
      <c r="C67" s="64">
        <v>7.66</v>
      </c>
      <c r="D67" s="64">
        <v>7.43</v>
      </c>
      <c r="E67" s="64">
        <v>1.1599999999999999</v>
      </c>
      <c r="F67" s="64">
        <v>11.83</v>
      </c>
      <c r="G67" s="64">
        <v>59.34</v>
      </c>
      <c r="H67" s="64">
        <v>30.75</v>
      </c>
      <c r="I67" s="64">
        <v>4.66</v>
      </c>
      <c r="J67" s="64">
        <v>0.36</v>
      </c>
      <c r="K67" s="64">
        <v>0.14000000000000001</v>
      </c>
      <c r="L67" s="64">
        <v>41.77</v>
      </c>
      <c r="M67" s="64">
        <v>13.44</v>
      </c>
      <c r="N67" s="64">
        <v>260.10000000000002</v>
      </c>
      <c r="O67" s="64">
        <v>0</v>
      </c>
      <c r="P67" s="64">
        <v>0.28000000000000003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6" t="s">
        <v>3185</v>
      </c>
      <c r="B68" s="64">
        <v>2.84</v>
      </c>
      <c r="C68" s="64">
        <v>7.65</v>
      </c>
      <c r="D68" s="64">
        <v>7.42</v>
      </c>
      <c r="E68" s="64">
        <v>1.06</v>
      </c>
      <c r="F68" s="64">
        <v>7.93</v>
      </c>
      <c r="G68" s="64">
        <v>59.34</v>
      </c>
      <c r="H68" s="64">
        <v>30.75</v>
      </c>
      <c r="I68" s="64">
        <v>4</v>
      </c>
      <c r="J68" s="64">
        <v>1.29</v>
      </c>
      <c r="K68" s="64">
        <v>333.94</v>
      </c>
      <c r="L68" s="64">
        <v>42.32</v>
      </c>
      <c r="M68" s="64">
        <v>14.23</v>
      </c>
      <c r="N68" s="64">
        <v>278.5</v>
      </c>
      <c r="O68" s="64">
        <v>0</v>
      </c>
      <c r="P68" s="64">
        <v>0.27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6" t="s">
        <v>3186</v>
      </c>
      <c r="B69" s="64">
        <v>2.95</v>
      </c>
      <c r="C69" s="64">
        <v>7.95</v>
      </c>
      <c r="D69" s="64">
        <v>7.67</v>
      </c>
      <c r="E69" s="64">
        <v>0.78</v>
      </c>
      <c r="F69" s="64">
        <v>5.41</v>
      </c>
      <c r="G69" s="64">
        <v>59.34</v>
      </c>
      <c r="H69" s="64">
        <v>30.75</v>
      </c>
      <c r="I69" s="64">
        <v>3.46</v>
      </c>
      <c r="J69" s="64">
        <v>1.3</v>
      </c>
      <c r="K69" s="64">
        <v>309.91000000000003</v>
      </c>
      <c r="L69" s="64">
        <v>41.88</v>
      </c>
      <c r="M69" s="64">
        <v>14.86</v>
      </c>
      <c r="N69" s="64">
        <v>123.8</v>
      </c>
      <c r="O69" s="64">
        <v>0</v>
      </c>
      <c r="P69" s="64">
        <v>0.27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6" t="s">
        <v>3187</v>
      </c>
      <c r="B70" s="64">
        <v>3.03</v>
      </c>
      <c r="C70" s="64">
        <v>8.1</v>
      </c>
      <c r="D70" s="64">
        <v>7.81</v>
      </c>
      <c r="E70" s="64">
        <v>0.61</v>
      </c>
      <c r="F70" s="64">
        <v>4.55</v>
      </c>
      <c r="G70" s="64">
        <v>58.47</v>
      </c>
      <c r="H70" s="64">
        <v>30.49</v>
      </c>
      <c r="I70" s="64">
        <v>3.38</v>
      </c>
      <c r="J70" s="64">
        <v>0.37</v>
      </c>
      <c r="K70" s="64">
        <v>239.97</v>
      </c>
      <c r="L70" s="64">
        <v>40.53</v>
      </c>
      <c r="M70" s="64">
        <v>14.62</v>
      </c>
      <c r="N70" s="64">
        <v>145.1</v>
      </c>
      <c r="O70" s="64">
        <v>0</v>
      </c>
      <c r="P70" s="64">
        <v>0.26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6" t="s">
        <v>3188</v>
      </c>
      <c r="B71" s="64">
        <v>3.03</v>
      </c>
      <c r="C71" s="64">
        <v>8</v>
      </c>
      <c r="D71" s="64">
        <v>7.76</v>
      </c>
      <c r="E71" s="64">
        <v>1.1000000000000001</v>
      </c>
      <c r="F71" s="64">
        <v>4.17</v>
      </c>
      <c r="G71" s="64">
        <v>48.11</v>
      </c>
      <c r="H71" s="64">
        <v>27.34</v>
      </c>
      <c r="I71" s="64">
        <v>3.37</v>
      </c>
      <c r="J71" s="64">
        <v>0.52</v>
      </c>
      <c r="K71" s="64">
        <v>321.01</v>
      </c>
      <c r="L71" s="64">
        <v>40.07</v>
      </c>
      <c r="M71" s="64">
        <v>16.7</v>
      </c>
      <c r="N71" s="64">
        <v>147.80000000000001</v>
      </c>
      <c r="O71" s="64">
        <v>0</v>
      </c>
      <c r="P71" s="64">
        <v>0.27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6" t="s">
        <v>3189</v>
      </c>
      <c r="B72" s="64">
        <v>2.99</v>
      </c>
      <c r="C72" s="64">
        <v>8.24</v>
      </c>
      <c r="D72" s="64">
        <v>7.85</v>
      </c>
      <c r="E72" s="64">
        <v>1.5</v>
      </c>
      <c r="F72" s="64">
        <v>8.27</v>
      </c>
      <c r="G72" s="64">
        <v>48.11</v>
      </c>
      <c r="H72" s="64">
        <v>27.34</v>
      </c>
      <c r="I72" s="64">
        <v>3.35</v>
      </c>
      <c r="J72" s="64">
        <v>1.45</v>
      </c>
      <c r="K72" s="64">
        <v>338.31</v>
      </c>
      <c r="L72" s="64">
        <v>40.200000000000003</v>
      </c>
      <c r="M72" s="64">
        <v>16.87</v>
      </c>
      <c r="N72" s="64">
        <v>116.9</v>
      </c>
      <c r="O72" s="64">
        <v>0</v>
      </c>
      <c r="P72" s="64">
        <v>0.25</v>
      </c>
      <c r="Q72" s="64">
        <v>9.58</v>
      </c>
      <c r="R72" s="198"/>
      <c r="S72" s="198"/>
      <c r="T72" s="198"/>
      <c r="U72" s="198"/>
    </row>
    <row r="73" spans="1:21" s="12" customFormat="1" x14ac:dyDescent="0.25">
      <c r="A73" s="216" t="s">
        <v>3190</v>
      </c>
      <c r="B73" s="64">
        <v>2.89</v>
      </c>
      <c r="C73" s="64">
        <v>7.93</v>
      </c>
      <c r="D73" s="64">
        <v>7.61</v>
      </c>
      <c r="E73" s="64">
        <v>1.1200000000000001</v>
      </c>
      <c r="F73" s="64">
        <v>7.26</v>
      </c>
      <c r="G73" s="64">
        <v>48.11</v>
      </c>
      <c r="H73" s="64">
        <v>27.34</v>
      </c>
      <c r="I73" s="64">
        <v>3.35</v>
      </c>
      <c r="J73" s="64">
        <v>1.42</v>
      </c>
      <c r="K73" s="64">
        <v>311.14999999999998</v>
      </c>
      <c r="L73" s="64">
        <v>39.85</v>
      </c>
      <c r="M73" s="64">
        <v>17.23</v>
      </c>
      <c r="N73" s="64">
        <v>104.8</v>
      </c>
      <c r="O73" s="64">
        <v>0</v>
      </c>
      <c r="P73" s="64">
        <v>0.25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6" t="s">
        <v>3191</v>
      </c>
      <c r="B74" s="64">
        <v>2.93</v>
      </c>
      <c r="C74" s="64">
        <v>7.86</v>
      </c>
      <c r="D74" s="64">
        <v>7.6</v>
      </c>
      <c r="E74" s="64">
        <v>0.81</v>
      </c>
      <c r="F74" s="64">
        <v>5.72</v>
      </c>
      <c r="G74" s="64">
        <v>47.9</v>
      </c>
      <c r="H74" s="64">
        <v>27.18</v>
      </c>
      <c r="I74" s="64">
        <v>3.52</v>
      </c>
      <c r="J74" s="64">
        <v>0.84</v>
      </c>
      <c r="K74" s="64">
        <v>313.38</v>
      </c>
      <c r="L74" s="64">
        <v>39.479999999999997</v>
      </c>
      <c r="M74" s="64">
        <v>17.62</v>
      </c>
      <c r="N74" s="64">
        <v>82.6</v>
      </c>
      <c r="O74" s="64">
        <v>0</v>
      </c>
      <c r="P74" s="64">
        <v>0.26</v>
      </c>
      <c r="Q74" s="64">
        <v>9.65</v>
      </c>
      <c r="R74" s="198"/>
      <c r="S74" s="198"/>
      <c r="T74" s="198"/>
      <c r="U74" s="198"/>
    </row>
    <row r="75" spans="1:21" s="12" customFormat="1" x14ac:dyDescent="0.25">
      <c r="A75" s="216" t="s">
        <v>3192</v>
      </c>
      <c r="B75" s="64">
        <v>3.07</v>
      </c>
      <c r="C75" s="64">
        <v>7.89</v>
      </c>
      <c r="D75" s="64">
        <v>7.73</v>
      </c>
      <c r="E75" s="64">
        <v>0.86</v>
      </c>
      <c r="F75" s="64">
        <v>5.1100000000000003</v>
      </c>
      <c r="G75" s="64">
        <v>45.35</v>
      </c>
      <c r="H75" s="64">
        <v>25.32</v>
      </c>
      <c r="I75" s="64">
        <v>3.72</v>
      </c>
      <c r="J75" s="64">
        <v>0.38</v>
      </c>
      <c r="K75" s="64">
        <v>342.89</v>
      </c>
      <c r="L75" s="64">
        <v>39.17</v>
      </c>
      <c r="M75" s="64">
        <v>17.71</v>
      </c>
      <c r="N75" s="64">
        <v>79.400000000000006</v>
      </c>
      <c r="O75" s="64">
        <v>0</v>
      </c>
      <c r="P75" s="64">
        <v>0.28000000000000003</v>
      </c>
      <c r="Q75" s="64">
        <v>9.7100000000000009</v>
      </c>
      <c r="R75" s="198"/>
      <c r="S75" s="198"/>
      <c r="T75" s="198"/>
      <c r="U75" s="198"/>
    </row>
    <row r="76" spans="1:21" s="12" customFormat="1" x14ac:dyDescent="0.25">
      <c r="A76" s="216" t="s">
        <v>3193</v>
      </c>
      <c r="B76" s="64">
        <v>3.01</v>
      </c>
      <c r="C76" s="64">
        <v>6.9</v>
      </c>
      <c r="D76" s="64">
        <v>7.17</v>
      </c>
      <c r="E76" s="64">
        <v>0.82</v>
      </c>
      <c r="F76" s="64">
        <v>4.2699999999999996</v>
      </c>
      <c r="G76" s="64">
        <v>45.35</v>
      </c>
      <c r="H76" s="64">
        <v>25.32</v>
      </c>
      <c r="I76" s="64">
        <v>3.88</v>
      </c>
      <c r="J76" s="64">
        <v>0.55000000000000004</v>
      </c>
      <c r="K76" s="64">
        <v>33.36</v>
      </c>
      <c r="L76" s="64">
        <v>39.1</v>
      </c>
      <c r="M76" s="64">
        <v>17.84</v>
      </c>
      <c r="N76" s="64">
        <v>89.3</v>
      </c>
      <c r="O76" s="64">
        <v>0</v>
      </c>
      <c r="P76" s="64">
        <v>0.28999999999999998</v>
      </c>
      <c r="Q76" s="64">
        <v>9.77</v>
      </c>
      <c r="R76" s="198"/>
      <c r="S76" s="198"/>
      <c r="T76" s="198"/>
      <c r="U76" s="198"/>
    </row>
    <row r="77" spans="1:21" s="12" customFormat="1" x14ac:dyDescent="0.25">
      <c r="A77" s="216" t="s">
        <v>3194</v>
      </c>
      <c r="B77" s="64">
        <v>2.96</v>
      </c>
      <c r="C77" s="64">
        <v>6.93</v>
      </c>
      <c r="D77" s="64">
        <v>7.14</v>
      </c>
      <c r="E77" s="64">
        <v>0.9</v>
      </c>
      <c r="F77" s="64">
        <v>5.57</v>
      </c>
      <c r="G77" s="64">
        <v>45.35</v>
      </c>
      <c r="H77" s="64">
        <v>25.32</v>
      </c>
      <c r="I77" s="64">
        <v>3.99</v>
      </c>
      <c r="J77" s="64">
        <v>0.43</v>
      </c>
      <c r="K77" s="64">
        <v>23.4</v>
      </c>
      <c r="L77" s="64">
        <v>39.28</v>
      </c>
      <c r="M77" s="64">
        <v>17.39</v>
      </c>
      <c r="N77" s="64">
        <v>83</v>
      </c>
      <c r="O77" s="64">
        <v>0</v>
      </c>
      <c r="P77" s="64">
        <v>0.31</v>
      </c>
      <c r="Q77" s="64">
        <v>9.7899999999999991</v>
      </c>
      <c r="R77" s="198"/>
      <c r="S77" s="198"/>
      <c r="T77" s="198"/>
      <c r="U77" s="198"/>
    </row>
    <row r="78" spans="1:21" s="12" customFormat="1" x14ac:dyDescent="0.25">
      <c r="A78" s="216" t="s">
        <v>3195</v>
      </c>
      <c r="B78" s="64">
        <v>2.93</v>
      </c>
      <c r="C78" s="64">
        <v>7.21</v>
      </c>
      <c r="D78" s="64">
        <v>7.26</v>
      </c>
      <c r="E78" s="64">
        <v>0.68</v>
      </c>
      <c r="F78" s="64">
        <v>4.8499999999999996</v>
      </c>
      <c r="G78" s="64">
        <v>45.76</v>
      </c>
      <c r="H78" s="64">
        <v>25.3</v>
      </c>
      <c r="I78" s="64">
        <v>4.2300000000000004</v>
      </c>
      <c r="J78" s="64">
        <v>0.39</v>
      </c>
      <c r="K78" s="64">
        <v>26.82</v>
      </c>
      <c r="L78" s="64">
        <v>39.14</v>
      </c>
      <c r="M78" s="64">
        <v>18.149999999999999</v>
      </c>
      <c r="N78" s="64">
        <v>67.2</v>
      </c>
      <c r="O78" s="64">
        <v>0</v>
      </c>
      <c r="P78" s="64">
        <v>0.32</v>
      </c>
      <c r="Q78" s="64">
        <v>9.83</v>
      </c>
      <c r="R78" s="198"/>
      <c r="S78" s="198"/>
      <c r="T78" s="198"/>
      <c r="U78" s="198"/>
    </row>
    <row r="79" spans="1:21" s="12" customFormat="1" x14ac:dyDescent="0.25">
      <c r="A79" s="216" t="s">
        <v>3196</v>
      </c>
      <c r="B79" s="64">
        <v>3</v>
      </c>
      <c r="C79" s="64">
        <v>7.21</v>
      </c>
      <c r="D79" s="64">
        <v>7.32</v>
      </c>
      <c r="E79" s="64">
        <v>0.93</v>
      </c>
      <c r="F79" s="64">
        <v>4.21</v>
      </c>
      <c r="G79" s="64">
        <v>50.61</v>
      </c>
      <c r="H79" s="64">
        <v>25.04</v>
      </c>
      <c r="I79" s="64">
        <v>4.49</v>
      </c>
      <c r="J79" s="64">
        <v>0.51</v>
      </c>
      <c r="K79" s="64">
        <v>321.93</v>
      </c>
      <c r="L79" s="64">
        <v>38.92</v>
      </c>
      <c r="M79" s="64">
        <v>18.46</v>
      </c>
      <c r="N79" s="64">
        <v>53.7</v>
      </c>
      <c r="O79" s="64">
        <v>0</v>
      </c>
      <c r="P79" s="64">
        <v>0.34</v>
      </c>
      <c r="Q79" s="64">
        <v>9.8800000000000008</v>
      </c>
      <c r="R79" s="198"/>
      <c r="S79" s="198"/>
      <c r="T79" s="198"/>
      <c r="U79" s="198"/>
    </row>
    <row r="80" spans="1:21" s="12" customFormat="1" x14ac:dyDescent="0.25">
      <c r="A80" s="216" t="s">
        <v>3197</v>
      </c>
      <c r="B80" s="64">
        <v>3.01</v>
      </c>
      <c r="C80" s="64">
        <v>7.51</v>
      </c>
      <c r="D80" s="64">
        <v>7.49</v>
      </c>
      <c r="E80" s="64">
        <v>0.95</v>
      </c>
      <c r="F80" s="64">
        <v>4.96</v>
      </c>
      <c r="G80" s="64">
        <v>50.61</v>
      </c>
      <c r="H80" s="64">
        <v>25.04</v>
      </c>
      <c r="I80" s="64">
        <v>4.66</v>
      </c>
      <c r="J80" s="64">
        <v>0.68</v>
      </c>
      <c r="K80" s="64">
        <v>308.26</v>
      </c>
      <c r="L80" s="64">
        <v>38.46</v>
      </c>
      <c r="M80" s="64">
        <v>19.309999999999999</v>
      </c>
      <c r="N80" s="64">
        <v>42.3</v>
      </c>
      <c r="O80" s="64">
        <v>0</v>
      </c>
      <c r="P80" s="64">
        <v>0.4</v>
      </c>
      <c r="Q80" s="64">
        <v>10.06</v>
      </c>
      <c r="R80" s="198"/>
      <c r="S80" s="198"/>
      <c r="T80" s="198"/>
      <c r="U80" s="198"/>
    </row>
    <row r="81" spans="1:26" s="12" customFormat="1" x14ac:dyDescent="0.25">
      <c r="A81" s="216" t="s">
        <v>3198</v>
      </c>
      <c r="B81" s="64">
        <v>3.1</v>
      </c>
      <c r="C81" s="64">
        <v>8.2100000000000009</v>
      </c>
      <c r="D81" s="64">
        <v>7.92</v>
      </c>
      <c r="E81" s="64">
        <v>0.86</v>
      </c>
      <c r="F81" s="64">
        <v>4.22</v>
      </c>
      <c r="G81" s="64">
        <v>50.61</v>
      </c>
      <c r="H81" s="64">
        <v>25.04</v>
      </c>
      <c r="I81" s="64">
        <v>5.22</v>
      </c>
      <c r="J81" s="64">
        <v>0.48</v>
      </c>
      <c r="K81" s="64">
        <v>309.29000000000002</v>
      </c>
      <c r="L81" s="64">
        <v>37.93</v>
      </c>
      <c r="M81" s="64">
        <v>20.16</v>
      </c>
      <c r="N81" s="64">
        <v>29.9</v>
      </c>
      <c r="O81" s="64">
        <v>0</v>
      </c>
      <c r="P81" s="64">
        <v>0.44</v>
      </c>
      <c r="Q81" s="64">
        <v>10.15</v>
      </c>
      <c r="R81" s="198"/>
      <c r="S81" s="198"/>
      <c r="T81" s="198"/>
      <c r="U81" s="198"/>
    </row>
    <row r="82" spans="1:26" s="12" customFormat="1" x14ac:dyDescent="0.25">
      <c r="A82" s="216" t="s">
        <v>3199</v>
      </c>
      <c r="B82" s="64">
        <v>3.34</v>
      </c>
      <c r="C82" s="64">
        <v>9.1999999999999993</v>
      </c>
      <c r="D82" s="64">
        <v>8.6300000000000008</v>
      </c>
      <c r="E82" s="64">
        <v>1.05</v>
      </c>
      <c r="F82" s="64">
        <v>3.67</v>
      </c>
      <c r="G82" s="64">
        <v>50.95</v>
      </c>
      <c r="H82" s="64">
        <v>25.06</v>
      </c>
      <c r="I82" s="64">
        <v>5.75</v>
      </c>
      <c r="J82" s="64">
        <v>0.25</v>
      </c>
      <c r="K82" s="64">
        <v>349.02</v>
      </c>
      <c r="L82" s="64">
        <v>37.36</v>
      </c>
      <c r="M82" s="64">
        <v>21.25</v>
      </c>
      <c r="N82" s="64">
        <v>19</v>
      </c>
      <c r="O82" s="64">
        <v>0</v>
      </c>
      <c r="P82" s="64">
        <v>0.51</v>
      </c>
      <c r="Q82" s="64">
        <v>10.18</v>
      </c>
      <c r="R82" s="198"/>
      <c r="S82" s="198"/>
      <c r="T82" s="198"/>
      <c r="U82" s="198"/>
    </row>
    <row r="83" spans="1:26" s="12" customFormat="1" x14ac:dyDescent="0.25">
      <c r="A83" s="216" t="s">
        <v>3200</v>
      </c>
      <c r="B83" s="64">
        <v>3.56</v>
      </c>
      <c r="C83" s="64">
        <v>9.6</v>
      </c>
      <c r="D83" s="64">
        <v>9.01</v>
      </c>
      <c r="E83" s="64">
        <v>0.84</v>
      </c>
      <c r="F83" s="64">
        <v>3.7</v>
      </c>
      <c r="G83" s="64">
        <v>54.99</v>
      </c>
      <c r="H83" s="64">
        <v>25.2</v>
      </c>
      <c r="I83" s="64">
        <v>5.94</v>
      </c>
      <c r="J83" s="64">
        <v>0.41</v>
      </c>
      <c r="K83" s="64">
        <v>275.61</v>
      </c>
      <c r="L83" s="64">
        <v>36.979999999999997</v>
      </c>
      <c r="M83" s="64">
        <v>21.66</v>
      </c>
      <c r="N83" s="64">
        <v>13.3</v>
      </c>
      <c r="O83" s="64">
        <v>0</v>
      </c>
      <c r="P83" s="64">
        <v>0.57999999999999996</v>
      </c>
      <c r="Q83" s="64">
        <v>10.19</v>
      </c>
      <c r="R83" s="198"/>
      <c r="S83" s="198"/>
      <c r="T83" s="198"/>
      <c r="U83" s="198"/>
    </row>
    <row r="84" spans="1:26" s="12" customFormat="1" x14ac:dyDescent="0.25">
      <c r="A84" s="216" t="s">
        <v>3201</v>
      </c>
      <c r="B84" s="64">
        <v>3.74</v>
      </c>
      <c r="C84" s="64">
        <v>9.93</v>
      </c>
      <c r="D84" s="64">
        <v>9.34</v>
      </c>
      <c r="E84" s="64">
        <v>0.82</v>
      </c>
      <c r="F84" s="64">
        <v>3.51</v>
      </c>
      <c r="G84" s="64">
        <v>54.99</v>
      </c>
      <c r="H84" s="64">
        <v>25.2</v>
      </c>
      <c r="I84" s="64">
        <v>6.25</v>
      </c>
      <c r="J84" s="64">
        <v>0.22</v>
      </c>
      <c r="K84" s="64">
        <v>344.5</v>
      </c>
      <c r="L84" s="64">
        <v>36.869999999999997</v>
      </c>
      <c r="M84" s="64">
        <v>22.39</v>
      </c>
      <c r="N84" s="64">
        <v>11.4</v>
      </c>
      <c r="O84" s="64">
        <v>0</v>
      </c>
      <c r="P84" s="64">
        <v>0.62</v>
      </c>
      <c r="Q84" s="64">
        <v>10.199999999999999</v>
      </c>
      <c r="R84" s="198"/>
      <c r="S84" s="198"/>
      <c r="T84" s="198"/>
      <c r="U84" s="198"/>
    </row>
    <row r="85" spans="1:26" s="12" customFormat="1" x14ac:dyDescent="0.25">
      <c r="A85" s="216" t="s">
        <v>3202</v>
      </c>
      <c r="B85" s="64">
        <v>3.94</v>
      </c>
      <c r="C85" s="64">
        <v>10.220000000000001</v>
      </c>
      <c r="D85" s="64">
        <v>9.64</v>
      </c>
      <c r="E85" s="64">
        <v>0.81</v>
      </c>
      <c r="F85" s="64">
        <v>3.17</v>
      </c>
      <c r="G85" s="64">
        <v>54.99</v>
      </c>
      <c r="H85" s="64">
        <v>25.2</v>
      </c>
      <c r="I85" s="64">
        <v>6.63</v>
      </c>
      <c r="J85" s="64">
        <v>0.5</v>
      </c>
      <c r="K85" s="64">
        <v>311.33</v>
      </c>
      <c r="L85" s="64">
        <v>36.36</v>
      </c>
      <c r="M85" s="64">
        <v>23.15</v>
      </c>
      <c r="N85" s="64">
        <v>11.4</v>
      </c>
      <c r="O85" s="64">
        <v>0</v>
      </c>
      <c r="P85" s="64">
        <v>0.67</v>
      </c>
      <c r="Q85" s="64">
        <v>10.24</v>
      </c>
      <c r="R85" s="198"/>
      <c r="S85" s="198"/>
      <c r="T85" s="198"/>
      <c r="U85" s="198"/>
    </row>
    <row r="86" spans="1:26" s="12" customFormat="1" x14ac:dyDescent="0.25">
      <c r="A86" s="216" t="s">
        <v>3203</v>
      </c>
      <c r="B86" s="64">
        <v>4.13</v>
      </c>
      <c r="C86" s="64">
        <v>10.26</v>
      </c>
      <c r="D86" s="64">
        <v>9.82</v>
      </c>
      <c r="E86" s="64">
        <v>0.92</v>
      </c>
      <c r="F86" s="64">
        <v>3.32</v>
      </c>
      <c r="G86" s="64">
        <v>55.72</v>
      </c>
      <c r="H86" s="64">
        <v>25.31</v>
      </c>
      <c r="I86" s="64">
        <v>7.27</v>
      </c>
      <c r="J86" s="64">
        <v>0.61</v>
      </c>
      <c r="K86" s="64">
        <v>315.11</v>
      </c>
      <c r="L86" s="64">
        <v>35.99</v>
      </c>
      <c r="M86" s="64">
        <v>23.46</v>
      </c>
      <c r="N86" s="64">
        <v>11.3</v>
      </c>
      <c r="O86" s="64">
        <v>0</v>
      </c>
      <c r="P86" s="64">
        <v>0.75</v>
      </c>
      <c r="Q86" s="64">
        <v>10.23</v>
      </c>
      <c r="R86" s="198"/>
      <c r="S86" s="198"/>
      <c r="T86" s="198"/>
      <c r="U86" s="198"/>
    </row>
    <row r="87" spans="1:26" s="12" customFormat="1" x14ac:dyDescent="0.25">
      <c r="A87" s="216" t="s">
        <v>3204</v>
      </c>
      <c r="B87" s="64">
        <v>4.1500000000000004</v>
      </c>
      <c r="C87" s="64">
        <v>9.42</v>
      </c>
      <c r="D87" s="64">
        <v>9.4</v>
      </c>
      <c r="E87" s="64">
        <v>0.98</v>
      </c>
      <c r="F87" s="64">
        <v>3.26</v>
      </c>
      <c r="G87" s="64">
        <v>64.38</v>
      </c>
      <c r="H87" s="64">
        <v>26.62</v>
      </c>
      <c r="I87" s="64">
        <v>7.71</v>
      </c>
      <c r="J87" s="64">
        <v>0.62</v>
      </c>
      <c r="K87" s="64">
        <v>306.01</v>
      </c>
      <c r="L87" s="64">
        <v>35.729999999999997</v>
      </c>
      <c r="M87" s="64">
        <v>23.17</v>
      </c>
      <c r="N87" s="64">
        <v>11.3</v>
      </c>
      <c r="O87" s="64">
        <v>0</v>
      </c>
      <c r="P87" s="64">
        <v>0.79</v>
      </c>
      <c r="Q87" s="64">
        <v>10.25</v>
      </c>
      <c r="R87" s="198"/>
      <c r="S87" s="198"/>
      <c r="T87" s="198"/>
      <c r="U87" s="198"/>
    </row>
    <row r="88" spans="1:26" s="12" customFormat="1" x14ac:dyDescent="0.25">
      <c r="A88" s="216" t="s">
        <v>3205</v>
      </c>
      <c r="B88" s="64">
        <v>4.3600000000000003</v>
      </c>
      <c r="C88" s="64">
        <v>9.9700000000000006</v>
      </c>
      <c r="D88" s="64">
        <v>9.85</v>
      </c>
      <c r="E88" s="64">
        <v>1.47</v>
      </c>
      <c r="F88" s="64">
        <v>3.26</v>
      </c>
      <c r="G88" s="64">
        <v>64.38</v>
      </c>
      <c r="H88" s="64">
        <v>26.62</v>
      </c>
      <c r="I88" s="64">
        <v>7.94</v>
      </c>
      <c r="J88" s="64">
        <v>0.54</v>
      </c>
      <c r="K88" s="64">
        <v>325.12</v>
      </c>
      <c r="L88" s="64">
        <v>35.5</v>
      </c>
      <c r="M88" s="64">
        <v>22.75</v>
      </c>
      <c r="N88" s="64">
        <v>11.3</v>
      </c>
      <c r="O88" s="64">
        <v>0</v>
      </c>
      <c r="P88" s="64">
        <v>0.83</v>
      </c>
      <c r="Q88" s="64">
        <v>10.25</v>
      </c>
      <c r="R88" s="198"/>
      <c r="S88" s="198"/>
      <c r="T88" s="198"/>
      <c r="U88" s="198"/>
    </row>
    <row r="89" spans="1:26" s="12" customFormat="1" x14ac:dyDescent="0.25">
      <c r="A89" s="216" t="s">
        <v>3206</v>
      </c>
      <c r="B89" s="64">
        <v>4.5199999999999996</v>
      </c>
      <c r="C89" s="64">
        <v>10.33</v>
      </c>
      <c r="D89" s="64">
        <v>10.17</v>
      </c>
      <c r="E89" s="64">
        <v>1.94</v>
      </c>
      <c r="F89" s="64">
        <v>3.02</v>
      </c>
      <c r="G89" s="64">
        <v>64.38</v>
      </c>
      <c r="H89" s="64">
        <v>26.62</v>
      </c>
      <c r="I89" s="64">
        <v>8.3699999999999992</v>
      </c>
      <c r="J89" s="64">
        <v>0.71</v>
      </c>
      <c r="K89" s="64">
        <v>303.7</v>
      </c>
      <c r="L89" s="64">
        <v>35.21</v>
      </c>
      <c r="M89" s="64">
        <v>22.94</v>
      </c>
      <c r="N89" s="64">
        <v>11.3</v>
      </c>
      <c r="O89" s="64">
        <v>0</v>
      </c>
      <c r="P89" s="64">
        <v>0.89</v>
      </c>
      <c r="Q89" s="64">
        <v>10.28</v>
      </c>
      <c r="R89" s="198"/>
      <c r="S89" s="198"/>
      <c r="T89" s="198"/>
      <c r="U89" s="198"/>
    </row>
    <row r="90" spans="1:26" s="12" customFormat="1" x14ac:dyDescent="0.25">
      <c r="A90" s="216" t="s">
        <v>3207</v>
      </c>
      <c r="B90" s="64">
        <v>4.6399999999999997</v>
      </c>
      <c r="C90" s="64">
        <v>10.28</v>
      </c>
      <c r="D90" s="64">
        <v>10.24</v>
      </c>
      <c r="E90" s="64">
        <v>2.2799999999999998</v>
      </c>
      <c r="F90" s="64">
        <v>2.88</v>
      </c>
      <c r="G90" s="64">
        <v>65.25</v>
      </c>
      <c r="H90" s="64">
        <v>26.53</v>
      </c>
      <c r="I90" s="64">
        <v>8.6300000000000008</v>
      </c>
      <c r="J90" s="64">
        <v>0.71</v>
      </c>
      <c r="K90" s="64">
        <v>304.56</v>
      </c>
      <c r="L90" s="64">
        <v>34.83</v>
      </c>
      <c r="M90" s="64">
        <v>23.5</v>
      </c>
      <c r="N90" s="64">
        <v>11.4</v>
      </c>
      <c r="O90" s="64">
        <v>0</v>
      </c>
      <c r="P90" s="64">
        <v>0.93</v>
      </c>
      <c r="Q90" s="64">
        <v>10.220000000000001</v>
      </c>
      <c r="R90" s="198"/>
      <c r="S90" s="198"/>
      <c r="T90" s="198"/>
      <c r="U90" s="198"/>
    </row>
    <row r="91" spans="1:26" s="12" customFormat="1" x14ac:dyDescent="0.25">
      <c r="A91" s="216" t="s">
        <v>3208</v>
      </c>
      <c r="B91" s="64">
        <v>4.8099999999999996</v>
      </c>
      <c r="C91" s="64">
        <v>9.34</v>
      </c>
      <c r="D91" s="64">
        <v>9.8800000000000008</v>
      </c>
      <c r="E91" s="64">
        <v>1.92</v>
      </c>
      <c r="F91" s="64">
        <v>3.61</v>
      </c>
      <c r="G91" s="64">
        <v>75.56</v>
      </c>
      <c r="H91" s="64">
        <v>25.47</v>
      </c>
      <c r="I91" s="64">
        <v>8.83</v>
      </c>
      <c r="J91" s="64">
        <v>0.75</v>
      </c>
      <c r="K91" s="64">
        <v>304.26</v>
      </c>
      <c r="L91" s="64">
        <v>34.700000000000003</v>
      </c>
      <c r="M91" s="64">
        <v>23.47</v>
      </c>
      <c r="N91" s="64">
        <v>11.2</v>
      </c>
      <c r="O91" s="64">
        <v>0</v>
      </c>
      <c r="P91" s="64">
        <v>0.95</v>
      </c>
      <c r="Q91" s="64">
        <v>9.94</v>
      </c>
      <c r="R91" s="198"/>
      <c r="S91" s="198"/>
      <c r="T91" s="198"/>
      <c r="U91" s="198"/>
    </row>
    <row r="92" spans="1:26" s="12" customFormat="1" x14ac:dyDescent="0.25">
      <c r="A92" s="216" t="s">
        <v>3209</v>
      </c>
      <c r="B92" s="64">
        <v>4.97</v>
      </c>
      <c r="C92" s="64">
        <v>9.23</v>
      </c>
      <c r="D92" s="64">
        <v>9.9499999999999993</v>
      </c>
      <c r="E92" s="64">
        <v>1.8</v>
      </c>
      <c r="F92" s="64">
        <v>3.59</v>
      </c>
      <c r="G92" s="64">
        <v>75.56</v>
      </c>
      <c r="H92" s="64">
        <v>25.47</v>
      </c>
      <c r="I92" s="64">
        <v>9</v>
      </c>
      <c r="J92" s="64">
        <v>0.61</v>
      </c>
      <c r="K92" s="64">
        <v>303.69</v>
      </c>
      <c r="L92" s="64">
        <v>34.409999999999997</v>
      </c>
      <c r="M92" s="64">
        <v>24.05</v>
      </c>
      <c r="N92" s="64">
        <v>11.4</v>
      </c>
      <c r="O92" s="64">
        <v>0</v>
      </c>
      <c r="P92" s="64">
        <v>0.98</v>
      </c>
      <c r="Q92" s="64">
        <v>9.9</v>
      </c>
      <c r="R92" s="198"/>
      <c r="S92" s="198"/>
      <c r="T92" s="198"/>
      <c r="U92" s="198"/>
    </row>
    <row r="93" spans="1:26" s="12" customFormat="1" x14ac:dyDescent="0.25">
      <c r="A93" s="216" t="s">
        <v>3210</v>
      </c>
      <c r="B93" s="64">
        <v>5.19</v>
      </c>
      <c r="C93" s="64">
        <v>9.51</v>
      </c>
      <c r="D93" s="64">
        <v>10.27</v>
      </c>
      <c r="E93" s="64">
        <v>1.77</v>
      </c>
      <c r="F93" s="64">
        <v>3.43</v>
      </c>
      <c r="G93" s="64">
        <v>75.56</v>
      </c>
      <c r="H93" s="64">
        <v>25.47</v>
      </c>
      <c r="I93" s="64">
        <v>9.44</v>
      </c>
      <c r="J93" s="64">
        <v>0.64</v>
      </c>
      <c r="K93" s="64">
        <v>311.04000000000002</v>
      </c>
      <c r="L93" s="64">
        <v>34.200000000000003</v>
      </c>
      <c r="M93" s="64">
        <v>25.24</v>
      </c>
      <c r="N93" s="64">
        <v>11.3</v>
      </c>
      <c r="O93" s="64">
        <v>0</v>
      </c>
      <c r="P93" s="64">
        <v>0.99</v>
      </c>
      <c r="Q93" s="64">
        <v>9.98</v>
      </c>
      <c r="R93" s="198"/>
      <c r="S93" s="198"/>
      <c r="T93" s="198"/>
      <c r="U93" s="198"/>
    </row>
    <row r="94" spans="1:26" s="12" customFormat="1" x14ac:dyDescent="0.25">
      <c r="A94" s="216" t="s">
        <v>3211</v>
      </c>
      <c r="B94" s="64">
        <v>5.23</v>
      </c>
      <c r="C94" s="64">
        <v>9.2200000000000006</v>
      </c>
      <c r="D94" s="64">
        <v>10.16</v>
      </c>
      <c r="E94" s="64">
        <v>1.85</v>
      </c>
      <c r="F94" s="64">
        <v>3.53</v>
      </c>
      <c r="G94" s="64">
        <v>76.08</v>
      </c>
      <c r="H94" s="64">
        <v>25.95</v>
      </c>
      <c r="I94" s="64">
        <v>9.7799999999999994</v>
      </c>
      <c r="J94" s="64">
        <v>0.74</v>
      </c>
      <c r="K94" s="64">
        <v>305.68</v>
      </c>
      <c r="L94" s="64">
        <v>33.14</v>
      </c>
      <c r="M94" s="64">
        <v>29.89</v>
      </c>
      <c r="N94" s="64">
        <v>11.5</v>
      </c>
      <c r="O94" s="64">
        <v>0</v>
      </c>
      <c r="P94" s="64">
        <v>1.01</v>
      </c>
      <c r="Q94" s="64">
        <v>10.039999999999999</v>
      </c>
      <c r="R94" s="198"/>
      <c r="S94" s="198"/>
      <c r="T94" s="198"/>
      <c r="U94" s="198"/>
    </row>
    <row r="95" spans="1:26" s="12" customFormat="1" x14ac:dyDescent="0.25">
      <c r="A95" s="216" t="s">
        <v>3212</v>
      </c>
      <c r="B95" s="64">
        <v>5.26</v>
      </c>
      <c r="C95" s="64">
        <v>9.0299999999999994</v>
      </c>
      <c r="D95" s="64">
        <v>10.08</v>
      </c>
      <c r="E95" s="64">
        <v>1.99</v>
      </c>
      <c r="F95" s="64">
        <v>3.41</v>
      </c>
      <c r="G95" s="64">
        <v>82.34</v>
      </c>
      <c r="H95" s="64">
        <v>31.63</v>
      </c>
      <c r="I95" s="64">
        <v>9.92</v>
      </c>
      <c r="J95" s="64">
        <v>0.59</v>
      </c>
      <c r="K95" s="64">
        <v>260.19</v>
      </c>
      <c r="L95" s="64">
        <v>32.67</v>
      </c>
      <c r="M95" s="64">
        <v>29.83</v>
      </c>
      <c r="N95" s="64">
        <v>11.7</v>
      </c>
      <c r="O95" s="64">
        <v>0</v>
      </c>
      <c r="P95" s="64">
        <v>1.04</v>
      </c>
      <c r="Q95" s="64">
        <v>10.119999999999999</v>
      </c>
      <c r="R95" s="198"/>
      <c r="S95" s="198"/>
      <c r="T95" s="198"/>
      <c r="U95" s="198"/>
    </row>
    <row r="96" spans="1:26" s="12" customFormat="1" x14ac:dyDescent="0.25">
      <c r="A96" s="216" t="s">
        <v>3213</v>
      </c>
      <c r="B96" s="64">
        <v>5.42</v>
      </c>
      <c r="C96" s="64">
        <v>9.11</v>
      </c>
      <c r="D96" s="64">
        <v>10.26</v>
      </c>
      <c r="E96" s="64">
        <v>1.9</v>
      </c>
      <c r="F96" s="64">
        <v>3.32</v>
      </c>
      <c r="G96" s="64">
        <v>82.34</v>
      </c>
      <c r="H96" s="64">
        <v>31.63</v>
      </c>
      <c r="I96" s="64">
        <v>10.24</v>
      </c>
      <c r="J96" s="64">
        <v>0.32</v>
      </c>
      <c r="K96" s="64">
        <v>221.6</v>
      </c>
      <c r="L96" s="64">
        <v>32.92</v>
      </c>
      <c r="M96" s="64">
        <v>25.74</v>
      </c>
      <c r="N96" s="64">
        <v>11.5</v>
      </c>
      <c r="O96" s="64">
        <v>0</v>
      </c>
      <c r="P96" s="64">
        <v>1.06</v>
      </c>
      <c r="Q96" s="64">
        <v>10.16</v>
      </c>
      <c r="R96" s="198"/>
      <c r="S96" s="198"/>
      <c r="T96" s="215"/>
      <c r="U96" s="198"/>
      <c r="Z96" s="109"/>
    </row>
    <row r="97" spans="1:33" s="12" customFormat="1" x14ac:dyDescent="0.25">
      <c r="A97" s="216" t="s">
        <v>3214</v>
      </c>
      <c r="B97" s="64">
        <v>5.49</v>
      </c>
      <c r="C97" s="64">
        <v>8.8699999999999992</v>
      </c>
      <c r="D97" s="64">
        <v>10.19</v>
      </c>
      <c r="E97" s="64">
        <v>1.76</v>
      </c>
      <c r="F97" s="64">
        <v>3.58</v>
      </c>
      <c r="G97" s="64">
        <v>82.34</v>
      </c>
      <c r="H97" s="64">
        <v>31.63</v>
      </c>
      <c r="I97" s="64">
        <v>10.65</v>
      </c>
      <c r="J97" s="64">
        <v>0.54</v>
      </c>
      <c r="K97" s="64">
        <v>311.74</v>
      </c>
      <c r="L97" s="64">
        <v>33.03</v>
      </c>
      <c r="M97" s="64">
        <v>28.38</v>
      </c>
      <c r="N97" s="64">
        <v>11.5</v>
      </c>
      <c r="O97" s="64">
        <v>0</v>
      </c>
      <c r="P97" s="64">
        <v>1.08</v>
      </c>
      <c r="Q97" s="64">
        <v>10.23</v>
      </c>
      <c r="R97" s="198"/>
      <c r="S97" s="198"/>
      <c r="T97" s="198"/>
      <c r="U97" s="198"/>
    </row>
    <row r="98" spans="1:33" s="12" customFormat="1" x14ac:dyDescent="0.25">
      <c r="A98" s="216" t="s">
        <v>3215</v>
      </c>
      <c r="B98" s="64">
        <v>5.97</v>
      </c>
      <c r="C98" s="64">
        <v>9.17</v>
      </c>
      <c r="D98" s="64">
        <v>10.73</v>
      </c>
      <c r="E98" s="64">
        <v>2.14</v>
      </c>
      <c r="F98" s="64">
        <v>3.6</v>
      </c>
      <c r="G98" s="64">
        <v>82.83</v>
      </c>
      <c r="H98" s="64">
        <v>31.82</v>
      </c>
      <c r="I98" s="64">
        <v>11.26</v>
      </c>
      <c r="J98" s="64">
        <v>0.38</v>
      </c>
      <c r="K98" s="64">
        <v>294.39999999999998</v>
      </c>
      <c r="L98" s="64">
        <v>32.92</v>
      </c>
      <c r="M98" s="64">
        <v>26.46</v>
      </c>
      <c r="N98" s="64">
        <v>11.4</v>
      </c>
      <c r="O98" s="64">
        <v>0</v>
      </c>
      <c r="P98" s="64">
        <v>1.0900000000000001</v>
      </c>
      <c r="Q98" s="64">
        <v>10.35</v>
      </c>
      <c r="R98" s="198"/>
      <c r="S98" s="198"/>
      <c r="T98" s="198"/>
      <c r="U98" s="198"/>
    </row>
    <row r="99" spans="1:33" s="12" customFormat="1" x14ac:dyDescent="0.25">
      <c r="A99" s="216" t="s">
        <v>3216</v>
      </c>
      <c r="B99" s="64">
        <v>5.99</v>
      </c>
      <c r="C99" s="64">
        <v>9.11</v>
      </c>
      <c r="D99" s="64">
        <v>10.71</v>
      </c>
      <c r="E99" s="64">
        <v>2.1800000000000002</v>
      </c>
      <c r="F99" s="64">
        <v>3.78</v>
      </c>
      <c r="G99" s="64">
        <v>88.69</v>
      </c>
      <c r="H99" s="64">
        <v>33.99</v>
      </c>
      <c r="I99" s="64">
        <v>12.15</v>
      </c>
      <c r="J99" s="64">
        <v>0.33</v>
      </c>
      <c r="K99" s="64">
        <v>273.83</v>
      </c>
      <c r="L99" s="64">
        <v>32.92</v>
      </c>
      <c r="M99" s="64">
        <v>27.34</v>
      </c>
      <c r="N99" s="64">
        <v>11.6</v>
      </c>
      <c r="O99" s="64">
        <v>0</v>
      </c>
      <c r="P99" s="64">
        <v>1.0900000000000001</v>
      </c>
      <c r="Q99" s="64">
        <v>10.52</v>
      </c>
      <c r="R99" s="198"/>
      <c r="S99" s="198"/>
      <c r="T99" s="198"/>
      <c r="U99" s="198"/>
    </row>
    <row r="100" spans="1:33" s="12" customFormat="1" x14ac:dyDescent="0.25">
      <c r="A100" s="216" t="s">
        <v>3217</v>
      </c>
      <c r="B100" s="64">
        <v>6.26</v>
      </c>
      <c r="C100" s="64">
        <v>9.82</v>
      </c>
      <c r="D100" s="64">
        <v>11.3</v>
      </c>
      <c r="E100" s="64">
        <v>2.1</v>
      </c>
      <c r="F100" s="64">
        <v>3.59</v>
      </c>
      <c r="G100" s="64">
        <v>88.69</v>
      </c>
      <c r="H100" s="64">
        <v>33.99</v>
      </c>
      <c r="I100" s="64">
        <v>12.53</v>
      </c>
      <c r="J100" s="64">
        <v>0.43</v>
      </c>
      <c r="K100" s="64">
        <v>258.35000000000002</v>
      </c>
      <c r="L100" s="64">
        <v>32.659999999999997</v>
      </c>
      <c r="M100" s="64">
        <v>28.13</v>
      </c>
      <c r="N100" s="64">
        <v>11.5</v>
      </c>
      <c r="O100" s="64">
        <v>0</v>
      </c>
      <c r="P100" s="64">
        <v>1.1100000000000001</v>
      </c>
      <c r="Q100" s="64">
        <v>10.66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3218</v>
      </c>
      <c r="B101" s="64">
        <v>6.17</v>
      </c>
      <c r="C101" s="64">
        <v>10.02</v>
      </c>
      <c r="D101" s="64">
        <v>11.33</v>
      </c>
      <c r="E101" s="64">
        <v>1.76</v>
      </c>
      <c r="F101" s="64">
        <v>3.6</v>
      </c>
      <c r="G101" s="64">
        <v>88.69</v>
      </c>
      <c r="H101" s="64">
        <v>33.99</v>
      </c>
      <c r="I101" s="64">
        <v>12.46</v>
      </c>
      <c r="J101" s="64">
        <v>0.15</v>
      </c>
      <c r="K101" s="64">
        <v>265.14999999999998</v>
      </c>
      <c r="L101" s="64">
        <v>33.53</v>
      </c>
      <c r="M101" s="64">
        <v>24.21</v>
      </c>
      <c r="N101" s="64">
        <v>10.7</v>
      </c>
      <c r="O101" s="64">
        <v>0</v>
      </c>
      <c r="P101" s="64">
        <v>1.08</v>
      </c>
      <c r="Q101" s="64">
        <v>10.64</v>
      </c>
      <c r="R101" s="198"/>
      <c r="S101" s="198"/>
      <c r="T101" s="198"/>
      <c r="U101" s="198"/>
    </row>
    <row r="102" spans="1:33" s="12" customFormat="1" x14ac:dyDescent="0.25">
      <c r="A102" s="216" t="s">
        <v>3219</v>
      </c>
      <c r="B102" s="64">
        <v>5.69</v>
      </c>
      <c r="C102" s="64">
        <v>9.2899999999999991</v>
      </c>
      <c r="D102" s="64">
        <v>10.56</v>
      </c>
      <c r="E102" s="64">
        <v>2.0499999999999998</v>
      </c>
      <c r="F102" s="64">
        <v>3.48</v>
      </c>
      <c r="G102" s="64">
        <v>88.68</v>
      </c>
      <c r="H102" s="64">
        <v>33.979999999999997</v>
      </c>
      <c r="I102" s="64">
        <v>12.43</v>
      </c>
      <c r="J102" s="64">
        <v>0.39</v>
      </c>
      <c r="K102" s="64">
        <v>268.3</v>
      </c>
      <c r="L102" s="64">
        <v>33.229999999999997</v>
      </c>
      <c r="M102" s="64">
        <v>26.12</v>
      </c>
      <c r="N102" s="64">
        <v>11.4</v>
      </c>
      <c r="O102" s="64">
        <v>0</v>
      </c>
      <c r="P102" s="64">
        <v>1.06</v>
      </c>
      <c r="Q102" s="64">
        <v>10.63</v>
      </c>
      <c r="R102" s="198"/>
      <c r="S102" s="198"/>
      <c r="T102" s="198"/>
      <c r="U102" s="198"/>
    </row>
    <row r="103" spans="1:33" s="12" customFormat="1" x14ac:dyDescent="0.25">
      <c r="A103" s="216" t="s">
        <v>3220</v>
      </c>
      <c r="B103" s="64">
        <v>5.27</v>
      </c>
      <c r="C103" s="64">
        <v>8.4700000000000006</v>
      </c>
      <c r="D103" s="64">
        <v>9.8000000000000007</v>
      </c>
      <c r="E103" s="64">
        <v>1.58</v>
      </c>
      <c r="F103" s="64">
        <v>3.36</v>
      </c>
      <c r="G103" s="64">
        <v>88.56</v>
      </c>
      <c r="H103" s="64">
        <v>33.82</v>
      </c>
      <c r="I103" s="64">
        <v>12.22</v>
      </c>
      <c r="J103" s="64">
        <v>0.33</v>
      </c>
      <c r="K103" s="64">
        <v>24.02</v>
      </c>
      <c r="L103" s="64">
        <v>33.1</v>
      </c>
      <c r="M103" s="64">
        <v>25.59</v>
      </c>
      <c r="N103" s="64">
        <v>11.1</v>
      </c>
      <c r="O103" s="64">
        <v>0</v>
      </c>
      <c r="P103" s="64">
        <v>1.05</v>
      </c>
      <c r="Q103" s="64">
        <v>10.61</v>
      </c>
      <c r="R103" s="198"/>
      <c r="S103" s="198"/>
      <c r="T103" s="198"/>
      <c r="U103" s="198"/>
    </row>
    <row r="104" spans="1:33" s="12" customFormat="1" x14ac:dyDescent="0.25">
      <c r="A104" s="216" t="s">
        <v>3221</v>
      </c>
      <c r="B104" s="64">
        <v>4.8099999999999996</v>
      </c>
      <c r="C104" s="64">
        <v>7.52</v>
      </c>
      <c r="D104" s="64">
        <v>8.93</v>
      </c>
      <c r="E104" s="64">
        <v>1.7</v>
      </c>
      <c r="F104" s="64">
        <v>3.71</v>
      </c>
      <c r="G104" s="64">
        <v>88.56</v>
      </c>
      <c r="H104" s="64">
        <v>33.82</v>
      </c>
      <c r="I104" s="64">
        <v>12.42</v>
      </c>
      <c r="J104" s="64">
        <v>0.43</v>
      </c>
      <c r="K104" s="64">
        <v>28.59</v>
      </c>
      <c r="L104" s="64">
        <v>32.89</v>
      </c>
      <c r="M104" s="64">
        <v>25.85</v>
      </c>
      <c r="N104" s="64">
        <v>11.3</v>
      </c>
      <c r="O104" s="64">
        <v>0</v>
      </c>
      <c r="P104" s="64">
        <v>1.02</v>
      </c>
      <c r="Q104" s="64">
        <v>10.52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2.84</v>
      </c>
      <c r="C106" s="67">
        <f>MIN(C9:C104)</f>
        <v>6.23</v>
      </c>
      <c r="D106" s="67">
        <f t="shared" ref="D106:Q106" si="0">MIN(D9:D104)</f>
        <v>7.14</v>
      </c>
      <c r="E106" s="67">
        <f t="shared" si="0"/>
        <v>0.61</v>
      </c>
      <c r="F106" s="67">
        <f t="shared" si="0"/>
        <v>2.88</v>
      </c>
      <c r="G106" s="67">
        <f t="shared" si="0"/>
        <v>45.35</v>
      </c>
      <c r="H106" s="67">
        <f t="shared" si="0"/>
        <v>24.24</v>
      </c>
      <c r="I106" s="67">
        <f t="shared" si="0"/>
        <v>3.35</v>
      </c>
      <c r="J106" s="67">
        <f t="shared" si="0"/>
        <v>0.15</v>
      </c>
      <c r="K106" s="67">
        <f t="shared" si="0"/>
        <v>0.14000000000000001</v>
      </c>
      <c r="L106" s="67">
        <f t="shared" si="0"/>
        <v>32.659999999999997</v>
      </c>
      <c r="M106" s="67">
        <f t="shared" si="0"/>
        <v>11.98</v>
      </c>
      <c r="N106" s="67">
        <f t="shared" si="0"/>
        <v>10.3</v>
      </c>
      <c r="O106" s="67">
        <f t="shared" si="0"/>
        <v>0</v>
      </c>
      <c r="P106" s="67">
        <f t="shared" si="0"/>
        <v>0.25</v>
      </c>
      <c r="Q106" s="67">
        <f t="shared" si="0"/>
        <v>9.56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10.25</v>
      </c>
      <c r="C107" s="66">
        <f t="shared" ref="C107:Q107" si="1">MAX(C9:C104)</f>
        <v>11.66</v>
      </c>
      <c r="D107" s="66">
        <f t="shared" si="1"/>
        <v>14.09</v>
      </c>
      <c r="E107" s="66">
        <f t="shared" si="1"/>
        <v>2.63</v>
      </c>
      <c r="F107" s="66">
        <f t="shared" si="1"/>
        <v>11.83</v>
      </c>
      <c r="G107" s="66">
        <f t="shared" si="1"/>
        <v>91.88</v>
      </c>
      <c r="H107" s="66">
        <f t="shared" si="1"/>
        <v>34.770000000000003</v>
      </c>
      <c r="I107" s="66">
        <f t="shared" si="1"/>
        <v>12.53</v>
      </c>
      <c r="J107" s="66">
        <f t="shared" si="1"/>
        <v>2.2400000000000002</v>
      </c>
      <c r="K107" s="66">
        <f t="shared" si="1"/>
        <v>359.14</v>
      </c>
      <c r="L107" s="66">
        <f t="shared" si="1"/>
        <v>48.76</v>
      </c>
      <c r="M107" s="66">
        <f t="shared" si="1"/>
        <v>48.8</v>
      </c>
      <c r="N107" s="66">
        <f t="shared" si="1"/>
        <v>831.5</v>
      </c>
      <c r="O107" s="66">
        <f t="shared" si="1"/>
        <v>0</v>
      </c>
      <c r="P107" s="66">
        <f t="shared" si="1"/>
        <v>1.1299999999999999</v>
      </c>
      <c r="Q107" s="66">
        <f t="shared" si="1"/>
        <v>10.66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5.5533333333333319</v>
      </c>
      <c r="C108" s="67">
        <f t="shared" ref="C108:Q108" si="2">AVERAGE(C9:C104)</f>
        <v>9.15625</v>
      </c>
      <c r="D108" s="67">
        <f t="shared" si="2"/>
        <v>10.382812500000002</v>
      </c>
      <c r="E108" s="67">
        <f t="shared" si="2"/>
        <v>1.4636458333333329</v>
      </c>
      <c r="F108" s="67">
        <f t="shared" si="2"/>
        <v>4.6786458333333325</v>
      </c>
      <c r="G108" s="67">
        <f t="shared" si="2"/>
        <v>74.351145833333348</v>
      </c>
      <c r="H108" s="67">
        <f t="shared" si="2"/>
        <v>30.098020833333312</v>
      </c>
      <c r="I108" s="67">
        <f t="shared" si="2"/>
        <v>7.7725000000000017</v>
      </c>
      <c r="J108" s="67">
        <f t="shared" si="2"/>
        <v>0.77406250000000021</v>
      </c>
      <c r="K108" s="67">
        <f t="shared" si="2"/>
        <v>284.64468750000009</v>
      </c>
      <c r="L108" s="67">
        <f t="shared" si="2"/>
        <v>38.502395833333331</v>
      </c>
      <c r="M108" s="67">
        <f t="shared" si="2"/>
        <v>25.766458333333333</v>
      </c>
      <c r="N108" s="67">
        <f t="shared" si="2"/>
        <v>238.08125000000007</v>
      </c>
      <c r="O108" s="67">
        <f t="shared" si="2"/>
        <v>0</v>
      </c>
      <c r="P108" s="67">
        <f t="shared" si="2"/>
        <v>0.71072916666666675</v>
      </c>
      <c r="Q108" s="67">
        <f t="shared" si="2"/>
        <v>9.957395833333333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2.4047744906492134</v>
      </c>
      <c r="C109" s="67">
        <f t="shared" ref="C109:Q109" si="3">STDEV(C9:C104)</f>
        <v>1.2599433988957827</v>
      </c>
      <c r="D109" s="67">
        <f t="shared" si="3"/>
        <v>2.1802340304727785</v>
      </c>
      <c r="E109" s="67">
        <f t="shared" si="3"/>
        <v>0.56419877010942188</v>
      </c>
      <c r="F109" s="67">
        <f t="shared" si="3"/>
        <v>2.0137828345739166</v>
      </c>
      <c r="G109" s="67">
        <f t="shared" si="3"/>
        <v>14.024257246101332</v>
      </c>
      <c r="H109" s="67">
        <f t="shared" si="3"/>
        <v>3.4821882472141592</v>
      </c>
      <c r="I109" s="67">
        <f t="shared" si="3"/>
        <v>2.4496642089972358</v>
      </c>
      <c r="J109" s="67">
        <f t="shared" si="3"/>
        <v>0.49118670075644361</v>
      </c>
      <c r="K109" s="67">
        <f t="shared" si="3"/>
        <v>83.592771772043321</v>
      </c>
      <c r="L109" s="67">
        <f t="shared" si="3"/>
        <v>4.8298130605191254</v>
      </c>
      <c r="M109" s="67">
        <f t="shared" si="3"/>
        <v>11.331515063765785</v>
      </c>
      <c r="N109" s="67">
        <f t="shared" si="3"/>
        <v>309.71360295483169</v>
      </c>
      <c r="O109" s="67">
        <f t="shared" si="3"/>
        <v>0</v>
      </c>
      <c r="P109" s="67">
        <f t="shared" si="3"/>
        <v>0.25420358518183434</v>
      </c>
      <c r="Q109" s="67">
        <f t="shared" si="3"/>
        <v>0.25782999209665541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V39" sqref="V39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01-05-2024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01-05-2024 00:15</v>
      </c>
      <c r="B9" s="61">
        <f>'01'!B108</f>
        <v>6.4357291666666674</v>
      </c>
      <c r="C9" s="61">
        <f>'01'!C108</f>
        <v>30.980833333333333</v>
      </c>
      <c r="D9" s="61">
        <f>'01'!D108</f>
        <v>21.267291666666665</v>
      </c>
      <c r="E9" s="61">
        <f>'01'!E108</f>
        <v>1.4954166666666666</v>
      </c>
      <c r="F9" s="61">
        <f>'01'!F108</f>
        <v>6.4506249999999996</v>
      </c>
      <c r="G9" s="99">
        <f>'01'!$G$108</f>
        <v>61.168305084745775</v>
      </c>
      <c r="H9" s="61">
        <f>'01'!H108</f>
        <v>32.114915254237289</v>
      </c>
      <c r="I9" s="61">
        <f>'01'!I108</f>
        <v>4.9870833333333353</v>
      </c>
      <c r="J9" s="61">
        <f>'01'!J108</f>
        <v>0.31270833333333331</v>
      </c>
      <c r="K9" s="61">
        <f>'01'!K108</f>
        <v>259.23572916666677</v>
      </c>
      <c r="L9" s="61">
        <f>'01'!L108</f>
        <v>32.100416666666668</v>
      </c>
      <c r="M9" s="61">
        <f>'01'!M108</f>
        <v>30.890416666666663</v>
      </c>
      <c r="N9" s="61">
        <f>'01'!N108</f>
        <v>284.12187499999993</v>
      </c>
      <c r="O9" s="61">
        <f>'01'!O108</f>
        <v>0</v>
      </c>
      <c r="P9" s="202">
        <f>'01'!P108</f>
        <v>0.60114583333333316</v>
      </c>
      <c r="Q9" s="61">
        <f>'01'!Q108</f>
        <v>9.4803125000000019</v>
      </c>
      <c r="R9" s="118"/>
      <c r="S9" s="118"/>
      <c r="T9" s="118"/>
      <c r="U9" s="118"/>
    </row>
    <row r="10" spans="1:21" x14ac:dyDescent="0.25">
      <c r="A10" s="94" t="str">
        <f>'02'!$B$2</f>
        <v>02-05-2024 00:15</v>
      </c>
      <c r="B10" s="61">
        <f>'02'!B108</f>
        <v>7.0949999999999989</v>
      </c>
      <c r="C10" s="61">
        <f>'02'!C108</f>
        <v>40.526739130434791</v>
      </c>
      <c r="D10" s="61">
        <f>'02'!D108</f>
        <v>26.783260869565222</v>
      </c>
      <c r="E10" s="61">
        <f>'02'!E108</f>
        <v>1.809347826086956</v>
      </c>
      <c r="F10" s="61">
        <f>'02'!F108</f>
        <v>5.8292708333333323</v>
      </c>
      <c r="G10" s="61">
        <f>'02'!G108</f>
        <v>68.649999999999991</v>
      </c>
      <c r="H10" s="61">
        <f>'02'!H108</f>
        <v>41.782758620689656</v>
      </c>
      <c r="I10" s="61">
        <f>'02'!I108</f>
        <v>8.5103125000000013</v>
      </c>
      <c r="J10" s="61">
        <f>'02'!J108</f>
        <v>0.63270833333333354</v>
      </c>
      <c r="K10" s="61">
        <f>'02'!K108</f>
        <v>266.00572916666658</v>
      </c>
      <c r="L10" s="61">
        <f>'02'!L108</f>
        <v>30.955208333333335</v>
      </c>
      <c r="M10" s="61">
        <f>'02'!M108</f>
        <v>19.120937500000007</v>
      </c>
      <c r="N10" s="61">
        <f>'02'!N108</f>
        <v>288.80520833333333</v>
      </c>
      <c r="O10" s="61">
        <f>'02'!O108</f>
        <v>0</v>
      </c>
      <c r="P10" s="202">
        <f>'02'!P108</f>
        <v>0.58499999999999996</v>
      </c>
      <c r="Q10" s="61">
        <f>'02'!Q108</f>
        <v>9.7079166666666659</v>
      </c>
      <c r="R10" s="118"/>
      <c r="S10" s="118"/>
      <c r="T10" s="118"/>
      <c r="U10" s="118"/>
    </row>
    <row r="11" spans="1:21" x14ac:dyDescent="0.25">
      <c r="A11" s="94" t="str">
        <f>'03'!$B$2</f>
        <v>03-05-2024 00:15</v>
      </c>
      <c r="B11" s="61">
        <f>'03'!B108</f>
        <v>19.957916666666662</v>
      </c>
      <c r="C11" s="61">
        <f>'03'!C108</f>
        <v>47.059895833333343</v>
      </c>
      <c r="D11" s="61">
        <f>'03'!D108</f>
        <v>40.511562500000011</v>
      </c>
      <c r="E11" s="61">
        <f>'03'!E108</f>
        <v>2.160833333333334</v>
      </c>
      <c r="F11" s="61">
        <f>'03'!F108</f>
        <v>6.5216666666666647</v>
      </c>
      <c r="G11" s="61">
        <f>'03'!G108</f>
        <v>94.231458333333322</v>
      </c>
      <c r="H11" s="61">
        <f>'03'!H108</f>
        <v>29.495624999999979</v>
      </c>
      <c r="I11" s="61">
        <f>'03'!I108</f>
        <v>6.8425000000000002</v>
      </c>
      <c r="J11" s="61">
        <f>'03'!J108</f>
        <v>0.45708333333333306</v>
      </c>
      <c r="K11" s="61">
        <f>'03'!K108</f>
        <v>215.61197916666663</v>
      </c>
      <c r="L11" s="61">
        <f>'03'!L108</f>
        <v>29.541249999999994</v>
      </c>
      <c r="M11" s="61">
        <f>'03'!M108</f>
        <v>22.091250000000002</v>
      </c>
      <c r="N11" s="61">
        <f>'03'!N108</f>
        <v>275.38020833333354</v>
      </c>
      <c r="O11" s="61">
        <f>'03'!O108</f>
        <v>0</v>
      </c>
      <c r="P11" s="202">
        <f>'03'!P108</f>
        <v>0.88687499999999997</v>
      </c>
      <c r="Q11" s="61">
        <f>'03'!Q108</f>
        <v>9.8427083333333361</v>
      </c>
      <c r="R11" s="118"/>
      <c r="S11" s="118"/>
      <c r="T11" s="118"/>
      <c r="U11" s="118"/>
    </row>
    <row r="12" spans="1:21" x14ac:dyDescent="0.25">
      <c r="A12" s="94" t="str">
        <f>'04'!$B$2</f>
        <v>04-05-2024 00:15</v>
      </c>
      <c r="B12" s="61">
        <f>'04'!B108</f>
        <v>34.01093749999999</v>
      </c>
      <c r="C12" s="61">
        <f>'04'!C108</f>
        <v>42.873125000000009</v>
      </c>
      <c r="D12" s="61">
        <f>'04'!D108</f>
        <v>49.593645833333333</v>
      </c>
      <c r="E12" s="61">
        <f>'04'!E108</f>
        <v>1.9306249999999991</v>
      </c>
      <c r="F12" s="61">
        <f>'04'!F108</f>
        <v>4.8662499999999991</v>
      </c>
      <c r="G12" s="61">
        <f>'04'!G108</f>
        <v>107.27197916666665</v>
      </c>
      <c r="H12" s="61">
        <f>'04'!H108</f>
        <v>37.358020833333299</v>
      </c>
      <c r="I12" s="61">
        <f>'04'!I108</f>
        <v>9.6814583333333299</v>
      </c>
      <c r="J12" s="61">
        <f>'04'!J108</f>
        <v>0.41218749999999993</v>
      </c>
      <c r="K12" s="61">
        <f>'04'!K108</f>
        <v>223.4473958333333</v>
      </c>
      <c r="L12" s="61">
        <f>'04'!L108</f>
        <v>30.031354166666677</v>
      </c>
      <c r="M12" s="61">
        <f>'04'!M108</f>
        <v>25.460416666666671</v>
      </c>
      <c r="N12" s="61">
        <f>'04'!N108</f>
        <v>255.73437499999989</v>
      </c>
      <c r="O12" s="61">
        <f>'04'!O108</f>
        <v>0</v>
      </c>
      <c r="P12" s="202">
        <f>'04'!P108</f>
        <v>1.1008333333333333</v>
      </c>
      <c r="Q12" s="61">
        <f>'04'!Q108</f>
        <v>10.241249999999996</v>
      </c>
      <c r="R12" s="118"/>
      <c r="S12" s="118"/>
      <c r="T12" s="118"/>
      <c r="U12" s="118"/>
    </row>
    <row r="13" spans="1:21" x14ac:dyDescent="0.25">
      <c r="A13" s="94" t="str">
        <f>'05'!$B$2</f>
        <v>05-05-2024 00:15</v>
      </c>
      <c r="B13" s="61">
        <f>'05'!B108</f>
        <v>17.668645833333326</v>
      </c>
      <c r="C13" s="61">
        <f>'05'!C108</f>
        <v>36.723437499999996</v>
      </c>
      <c r="D13" s="61">
        <f>'05'!D108</f>
        <v>33.275312499999991</v>
      </c>
      <c r="E13" s="61">
        <f>'05'!E108</f>
        <v>1.5967708333333339</v>
      </c>
      <c r="F13" s="61">
        <f>'05'!F108</f>
        <v>5.7558333333333325</v>
      </c>
      <c r="G13" s="61">
        <f>'05'!G108</f>
        <v>78.609895833333312</v>
      </c>
      <c r="H13" s="61">
        <f>'05'!H108</f>
        <v>27.571145833333343</v>
      </c>
      <c r="I13" s="61">
        <f>'05'!I108</f>
        <v>7.478125000000003</v>
      </c>
      <c r="J13" s="61">
        <f>'05'!J108</f>
        <v>0.23614583333333342</v>
      </c>
      <c r="K13" s="61">
        <f>'05'!K108</f>
        <v>243.26489583333321</v>
      </c>
      <c r="L13" s="61">
        <f>'05'!L108</f>
        <v>31.319791666666664</v>
      </c>
      <c r="M13" s="61">
        <f>'05'!M108</f>
        <v>24.33614583333333</v>
      </c>
      <c r="N13" s="61">
        <f>'05'!N108</f>
        <v>257.85104166666673</v>
      </c>
      <c r="O13" s="61">
        <f>'05'!O108</f>
        <v>0</v>
      </c>
      <c r="P13" s="202">
        <f>'05'!P108</f>
        <v>0.88250000000000017</v>
      </c>
      <c r="Q13" s="61">
        <f>'05'!Q108</f>
        <v>10.289270833333335</v>
      </c>
      <c r="R13" s="118"/>
      <c r="S13" s="118"/>
      <c r="T13" s="118"/>
      <c r="U13" s="118"/>
    </row>
    <row r="14" spans="1:21" x14ac:dyDescent="0.25">
      <c r="A14" s="94" t="str">
        <f>'06'!$B$2</f>
        <v>06-05-2024 00:15</v>
      </c>
      <c r="B14" s="61">
        <f>'06'!B108</f>
        <v>8.1927083333333321</v>
      </c>
      <c r="C14" s="61">
        <f>'06'!C108</f>
        <v>34.224479166666669</v>
      </c>
      <c r="D14" s="61">
        <f>'06'!D108</f>
        <v>24.370833333333337</v>
      </c>
      <c r="E14" s="61">
        <f>'06'!E108</f>
        <v>1.9366666666666668</v>
      </c>
      <c r="F14" s="61">
        <f>'06'!F108</f>
        <v>7.0380208333333343</v>
      </c>
      <c r="G14" s="61">
        <f>'06'!G108</f>
        <v>57.200416666666683</v>
      </c>
      <c r="H14" s="61">
        <f>'06'!H108</f>
        <v>20.52354166666667</v>
      </c>
      <c r="I14" s="61">
        <f>'06'!I108</f>
        <v>4.9036458333333375</v>
      </c>
      <c r="J14" s="61">
        <f>'06'!J108</f>
        <v>0.31989583333333343</v>
      </c>
      <c r="K14" s="61">
        <f>'06'!K108</f>
        <v>266.28937500000006</v>
      </c>
      <c r="L14" s="61">
        <f>'06'!L108</f>
        <v>32.648541666666652</v>
      </c>
      <c r="M14" s="61">
        <f>'06'!M108</f>
        <v>27.618333333333325</v>
      </c>
      <c r="N14" s="61">
        <f>'06'!N108</f>
        <v>208.63645833333331</v>
      </c>
      <c r="O14" s="61">
        <f>'06'!O108</f>
        <v>0</v>
      </c>
      <c r="P14" s="202">
        <f>'06'!P108</f>
        <v>0.59468750000000037</v>
      </c>
      <c r="Q14" s="61">
        <f>'06'!Q108</f>
        <v>10.250416666666666</v>
      </c>
      <c r="R14" s="118"/>
      <c r="S14" s="118"/>
      <c r="T14" s="118"/>
      <c r="U14" s="118"/>
    </row>
    <row r="15" spans="1:21" x14ac:dyDescent="0.25">
      <c r="A15" s="94" t="str">
        <f>'07'!$B$2</f>
        <v>07-05-2024 00:15</v>
      </c>
      <c r="B15" s="61">
        <f>'07'!B108</f>
        <v>4.9566666666666643</v>
      </c>
      <c r="C15" s="61">
        <f>'07'!C108</f>
        <v>26.353541666666661</v>
      </c>
      <c r="D15" s="61">
        <f>'07'!D108</f>
        <v>17.663854166666667</v>
      </c>
      <c r="E15" s="61">
        <f>'07'!E108</f>
        <v>1.2692708333333333</v>
      </c>
      <c r="F15" s="61">
        <f>'07'!F108</f>
        <v>6.0784375000000006</v>
      </c>
      <c r="G15" s="100">
        <f>'07'!$G$108</f>
        <v>36.077500000000015</v>
      </c>
      <c r="H15" s="61">
        <f>'07'!H108</f>
        <v>11.611562500000003</v>
      </c>
      <c r="I15" s="61">
        <f>'07'!I108</f>
        <v>3.5871875000000002</v>
      </c>
      <c r="J15" s="61">
        <f>'07'!J108</f>
        <v>0.90125</v>
      </c>
      <c r="K15" s="61">
        <f>'07'!K108</f>
        <v>196.05572916666668</v>
      </c>
      <c r="L15" s="61">
        <f>'07'!L108</f>
        <v>26.840000000000014</v>
      </c>
      <c r="M15" s="61">
        <f>'07'!M108</f>
        <v>51.662604166666675</v>
      </c>
      <c r="N15" s="61">
        <f>'07'!N108</f>
        <v>211.45833333333329</v>
      </c>
      <c r="O15" s="61">
        <f>'07'!O108</f>
        <v>0.15625</v>
      </c>
      <c r="P15" s="202">
        <f>'07'!P108</f>
        <v>0.32447916666666682</v>
      </c>
      <c r="Q15" s="61">
        <f>'07'!Q108</f>
        <v>10.12125</v>
      </c>
      <c r="R15" s="118"/>
      <c r="S15" s="118"/>
      <c r="T15" s="118"/>
      <c r="U15" s="118"/>
    </row>
    <row r="16" spans="1:21" x14ac:dyDescent="0.25">
      <c r="A16" s="94" t="str">
        <f>'08'!$B$2</f>
        <v>08-05-2024 00:15</v>
      </c>
      <c r="B16" s="61">
        <f>'08'!B108</f>
        <v>7.0417708333333318</v>
      </c>
      <c r="C16" s="61">
        <f>'08'!C108</f>
        <v>23.414166666666663</v>
      </c>
      <c r="D16" s="61">
        <f>'08'!D108</f>
        <v>17.799687500000005</v>
      </c>
      <c r="E16" s="61">
        <f>'08'!E108</f>
        <v>1.3710416666666667</v>
      </c>
      <c r="F16" s="61">
        <f>'08'!F108</f>
        <v>10.721250000000003</v>
      </c>
      <c r="G16" s="100">
        <f>'08'!$G$108</f>
        <v>27.426562499999992</v>
      </c>
      <c r="H16" s="61">
        <f>'08'!H108</f>
        <v>7.6473958333333343</v>
      </c>
      <c r="I16" s="61">
        <f>'08'!I108</f>
        <v>3.526875</v>
      </c>
      <c r="J16" s="61">
        <f>'08'!J108</f>
        <v>0.53500000000000014</v>
      </c>
      <c r="K16" s="61">
        <f>'08'!K108</f>
        <v>158.27958333333336</v>
      </c>
      <c r="L16" s="61">
        <f>'08'!L108</f>
        <v>25.638749999999998</v>
      </c>
      <c r="M16" s="61">
        <f>'08'!M108</f>
        <v>67.673541666666679</v>
      </c>
      <c r="N16" s="61">
        <f>'08'!N108</f>
        <v>266.11979166666657</v>
      </c>
      <c r="O16" s="61">
        <f>'08'!O108</f>
        <v>0</v>
      </c>
      <c r="P16" s="202">
        <f>'08'!P108</f>
        <v>0.4685416666666668</v>
      </c>
      <c r="Q16" s="61">
        <f>'08'!Q108</f>
        <v>9.6581250000000001</v>
      </c>
      <c r="R16" s="118"/>
      <c r="S16" s="118"/>
      <c r="T16" s="118"/>
      <c r="U16" s="118"/>
    </row>
    <row r="17" spans="1:21" x14ac:dyDescent="0.25">
      <c r="A17" s="94" t="str">
        <f>'09'!$B$2</f>
        <v>09-05-2024 00:15</v>
      </c>
      <c r="B17" s="61">
        <f>'09'!B108</f>
        <v>6.8004166666666714</v>
      </c>
      <c r="C17" s="61">
        <f>'09'!C108</f>
        <v>23.063645833333325</v>
      </c>
      <c r="D17" s="61">
        <f>'09'!D108</f>
        <v>17.423229166666669</v>
      </c>
      <c r="E17" s="61">
        <f>'09'!E108</f>
        <v>1.7205208333333335</v>
      </c>
      <c r="F17" s="61">
        <f>'09'!F108</f>
        <v>5.1577083333333338</v>
      </c>
      <c r="G17" s="100">
        <f>'09'!$G$108</f>
        <v>43.134791666666651</v>
      </c>
      <c r="H17" s="61">
        <f>'09'!H108</f>
        <v>13.3334375</v>
      </c>
      <c r="I17" s="61">
        <f>'09'!I108</f>
        <v>5.087604166666666</v>
      </c>
      <c r="J17" s="61">
        <f>'09'!J108</f>
        <v>0.51145833333333324</v>
      </c>
      <c r="K17" s="61">
        <f>'09'!K108</f>
        <v>200.47291666666663</v>
      </c>
      <c r="L17" s="61">
        <f>'09'!L108</f>
        <v>26.527083333333334</v>
      </c>
      <c r="M17" s="61">
        <f>'09'!M108</f>
        <v>56.298645833333332</v>
      </c>
      <c r="N17" s="61">
        <f>'09'!N108</f>
        <v>149.21041666666676</v>
      </c>
      <c r="O17" s="61">
        <f>'09'!O108</f>
        <v>0</v>
      </c>
      <c r="P17" s="202">
        <f>'09'!P108</f>
        <v>0.59645833333333365</v>
      </c>
      <c r="Q17" s="61">
        <f>'09'!Q108</f>
        <v>9.5983333333333345</v>
      </c>
      <c r="R17" s="118"/>
      <c r="S17" s="118"/>
      <c r="T17" s="118"/>
      <c r="U17" s="118"/>
    </row>
    <row r="18" spans="1:21" x14ac:dyDescent="0.25">
      <c r="A18" s="94" t="str">
        <f>'10'!$B$2</f>
        <v>10-05-2024 00:15</v>
      </c>
      <c r="B18" s="61">
        <f>'10'!B108</f>
        <v>2.2401041666666646</v>
      </c>
      <c r="C18" s="61">
        <f>'10'!C108</f>
        <v>12.000104166666668</v>
      </c>
      <c r="D18" s="61">
        <f>'10'!D108</f>
        <v>7.985833333333332</v>
      </c>
      <c r="E18" s="61">
        <f>'10'!E108</f>
        <v>1.7796874999999994</v>
      </c>
      <c r="F18" s="61">
        <f>'10'!F108</f>
        <v>6.8547916666666682</v>
      </c>
      <c r="G18" s="101">
        <f>'10'!$G$108</f>
        <v>36.582083333333337</v>
      </c>
      <c r="H18" s="61">
        <f>'10'!H108</f>
        <v>10.664999999999997</v>
      </c>
      <c r="I18" s="61">
        <f>'10'!I108</f>
        <v>4.78</v>
      </c>
      <c r="J18" s="61">
        <f>'10'!J108</f>
        <v>0.29729166666666668</v>
      </c>
      <c r="K18" s="61">
        <f>'10'!K108</f>
        <v>221.71260416666669</v>
      </c>
      <c r="L18" s="61">
        <f>'10'!L108</f>
        <v>28.853958333333324</v>
      </c>
      <c r="M18" s="61">
        <f>'10'!M108</f>
        <v>53.132708333333341</v>
      </c>
      <c r="N18" s="61">
        <f>'10'!N108</f>
        <v>276.32916666666665</v>
      </c>
      <c r="O18" s="61">
        <f>'10'!O108</f>
        <v>0</v>
      </c>
      <c r="P18" s="202">
        <f>'10'!P108</f>
        <v>0.48520833333333346</v>
      </c>
      <c r="Q18" s="61">
        <f>'10'!Q108</f>
        <v>9.430312500000003</v>
      </c>
      <c r="R18" s="118"/>
      <c r="S18" s="118"/>
      <c r="T18" s="118"/>
      <c r="U18" s="118"/>
    </row>
    <row r="19" spans="1:21" x14ac:dyDescent="0.25">
      <c r="A19" s="94" t="str">
        <f>'11'!$B$2</f>
        <v>11-05-2024 00:15</v>
      </c>
      <c r="B19" s="61">
        <f>'11'!B108</f>
        <v>3.1763541666666817</v>
      </c>
      <c r="C19" s="61">
        <f>'11'!C108</f>
        <v>10.044583333333332</v>
      </c>
      <c r="D19" s="61">
        <f>'11'!D108</f>
        <v>7.714999999999999</v>
      </c>
      <c r="E19" s="61">
        <f>'11'!E108</f>
        <v>1.8298958333333328</v>
      </c>
      <c r="F19" s="61">
        <f>'11'!F108</f>
        <v>6.3468749999999998</v>
      </c>
      <c r="G19" s="99">
        <f>'11'!$G$108</f>
        <v>62.034791666666685</v>
      </c>
      <c r="H19" s="61">
        <f>'11'!H108</f>
        <v>20.160833333333326</v>
      </c>
      <c r="I19" s="61">
        <f>'11'!I108</f>
        <v>4.610833333333332</v>
      </c>
      <c r="J19" s="61">
        <f>'11'!J108</f>
        <v>0.40166666666666662</v>
      </c>
      <c r="K19" s="61">
        <f>'11'!K108</f>
        <v>251.23895833333322</v>
      </c>
      <c r="L19" s="61">
        <f>'11'!L108</f>
        <v>30.108541666666664</v>
      </c>
      <c r="M19" s="61">
        <f>'11'!M108</f>
        <v>48.991250000000008</v>
      </c>
      <c r="N19" s="61">
        <f>'11'!N108</f>
        <v>268.10000000000008</v>
      </c>
      <c r="O19" s="61">
        <f>'11'!O108</f>
        <v>0</v>
      </c>
      <c r="P19" s="202">
        <f>'11'!P108</f>
        <v>0.50281250000000011</v>
      </c>
      <c r="Q19" s="61">
        <f>'11'!Q108</f>
        <v>9.4086458333333329</v>
      </c>
      <c r="R19" s="118"/>
      <c r="S19" s="118"/>
      <c r="T19" s="118"/>
      <c r="U19" s="118"/>
    </row>
    <row r="20" spans="1:21" x14ac:dyDescent="0.25">
      <c r="A20" s="94" t="str">
        <f>'12'!$B$2</f>
        <v>12-05-2024 00:15</v>
      </c>
      <c r="B20" s="61">
        <f>'12'!B108</f>
        <v>0.10437499999999979</v>
      </c>
      <c r="C20" s="61">
        <f>'12'!C108</f>
        <v>2.93175824175824</v>
      </c>
      <c r="D20" s="61">
        <f>'12'!D108</f>
        <v>1.5353846153846151</v>
      </c>
      <c r="E20" s="61">
        <f>'12'!E108</f>
        <v>1.3789583333333333</v>
      </c>
      <c r="F20" s="61">
        <f>'12'!F108</f>
        <v>5.0397916666666678</v>
      </c>
      <c r="G20" s="101">
        <f>'12'!$G$108</f>
        <v>46.446979166666665</v>
      </c>
      <c r="H20" s="61">
        <f>'12'!H108</f>
        <v>15.213020833333339</v>
      </c>
      <c r="I20" s="61">
        <f>'12'!I108</f>
        <v>6.0696875000000032</v>
      </c>
      <c r="J20" s="61">
        <f>'12'!J108</f>
        <v>0.61927083333333333</v>
      </c>
      <c r="K20" s="61">
        <f>'12'!K108</f>
        <v>231.64499999999995</v>
      </c>
      <c r="L20" s="61">
        <f>'12'!L108</f>
        <v>29.220625000000002</v>
      </c>
      <c r="M20" s="61">
        <f>'12'!M108</f>
        <v>53.611770833333331</v>
      </c>
      <c r="N20" s="61">
        <f>'12'!N108</f>
        <v>240.01041666666671</v>
      </c>
      <c r="O20" s="61">
        <f>'12'!O108</f>
        <v>3.1250000000000007E-2</v>
      </c>
      <c r="P20" s="202">
        <f>'12'!P108</f>
        <v>0.50541666666666651</v>
      </c>
      <c r="Q20" s="61">
        <f>'12'!Q108</f>
        <v>9.2713541666666686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13-05-2024 00:15</v>
      </c>
      <c r="B21" s="91">
        <f>'13'!B108</f>
        <v>2.0727160493827159</v>
      </c>
      <c r="C21" s="91">
        <f>'13'!C108</f>
        <v>7.2562962962962958</v>
      </c>
      <c r="D21" s="91">
        <f>'13'!D108</f>
        <v>8.5444444444444461</v>
      </c>
      <c r="E21" s="91">
        <f>'13'!E108</f>
        <v>2.2655319148936175</v>
      </c>
      <c r="F21" s="91">
        <f>'13'!F108</f>
        <v>6.1686458333333354</v>
      </c>
      <c r="G21" s="100">
        <f>'13'!$G$108</f>
        <v>30.317849462365601</v>
      </c>
      <c r="H21" s="91">
        <f>'13'!H108</f>
        <v>11.284838709677418</v>
      </c>
      <c r="I21" s="91">
        <f>'13'!I108</f>
        <v>6.1328125000000009</v>
      </c>
      <c r="J21" s="91">
        <f>'13'!J108</f>
        <v>0.65197916666666667</v>
      </c>
      <c r="K21" s="91">
        <f>'13'!K108</f>
        <v>241.89822916666665</v>
      </c>
      <c r="L21" s="91">
        <f>'13'!L108</f>
        <v>28.357187499999998</v>
      </c>
      <c r="M21" s="91">
        <f>'13'!M108</f>
        <v>54.148854166666688</v>
      </c>
      <c r="N21" s="91">
        <f>'13'!N108</f>
        <v>268.31666666666672</v>
      </c>
      <c r="O21" s="91">
        <f>'13'!O108</f>
        <v>0</v>
      </c>
      <c r="P21" s="203">
        <f>'13'!P108</f>
        <v>0.51666666666666672</v>
      </c>
      <c r="Q21" s="91">
        <f>'13'!Q108</f>
        <v>9.2804166666666728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14-05-2024 00:15</v>
      </c>
      <c r="B22" s="90">
        <f>'14'!B108</f>
        <v>4.3418750000000008</v>
      </c>
      <c r="C22" s="90">
        <f>'14'!C108</f>
        <v>8.8193749999999991</v>
      </c>
      <c r="D22" s="90">
        <f>'14'!D108</f>
        <v>13.06052083333333</v>
      </c>
      <c r="E22" s="90">
        <f>'14'!E108</f>
        <v>1.4014583333333333</v>
      </c>
      <c r="F22" s="90">
        <f>'14'!F108</f>
        <v>4.3962499999999993</v>
      </c>
      <c r="G22" s="100">
        <f>'14'!$G$108</f>
        <v>76.420000000000016</v>
      </c>
      <c r="H22" s="100">
        <f>'14'!$G$108</f>
        <v>76.420000000000016</v>
      </c>
      <c r="I22" s="90">
        <f>'14'!I108</f>
        <v>7.3776041666666652</v>
      </c>
      <c r="J22" s="90">
        <f>'14'!J108</f>
        <v>0.4632291666666668</v>
      </c>
      <c r="K22" s="90">
        <f>'14'!K108</f>
        <v>260.20302083333326</v>
      </c>
      <c r="L22" s="90">
        <f>'14'!L108</f>
        <v>30.133958333333339</v>
      </c>
      <c r="M22" s="90">
        <f>'14'!M108</f>
        <v>43.206979166666684</v>
      </c>
      <c r="N22" s="90">
        <f>'14'!N108</f>
        <v>257.34895833333337</v>
      </c>
      <c r="O22" s="90">
        <f>'14'!O108</f>
        <v>0</v>
      </c>
      <c r="P22" s="204">
        <f>'14'!P108</f>
        <v>0.69885416666666655</v>
      </c>
      <c r="Q22" s="90">
        <f>'14'!Q108</f>
        <v>9.4864583333333368</v>
      </c>
      <c r="R22" s="206"/>
      <c r="S22" s="206"/>
      <c r="T22" s="206"/>
      <c r="U22" s="206"/>
    </row>
    <row r="23" spans="1:21" x14ac:dyDescent="0.25">
      <c r="A23" s="94" t="str">
        <f>'15'!$B$2</f>
        <v>15-05-2024 00:15</v>
      </c>
      <c r="B23" s="61">
        <f>'15'!B108</f>
        <v>2.273181818181818</v>
      </c>
      <c r="C23" s="61">
        <f>'15'!C108</f>
        <v>8.1078409090909052</v>
      </c>
      <c r="D23" s="61">
        <f>'15'!D108</f>
        <v>10.281249999999998</v>
      </c>
      <c r="E23" s="61">
        <f>'15'!E108</f>
        <v>1.2066216216216215</v>
      </c>
      <c r="F23" s="61">
        <f>'15'!F108</f>
        <v>5.1119101123595518</v>
      </c>
      <c r="G23" s="100">
        <f>'15'!$G$108</f>
        <v>69.454831460674171</v>
      </c>
      <c r="H23" s="61">
        <f>'15'!H108</f>
        <v>27.962471910112384</v>
      </c>
      <c r="I23" s="61">
        <f>'15'!I108</f>
        <v>8.9374712643678151</v>
      </c>
      <c r="J23" s="61">
        <f>'15'!J108</f>
        <v>0.5979775280898878</v>
      </c>
      <c r="K23" s="61">
        <f>'15'!K108</f>
        <v>233.40359550561803</v>
      </c>
      <c r="L23" s="61">
        <f>'15'!L108</f>
        <v>29.643258426966298</v>
      </c>
      <c r="M23" s="61">
        <f>'15'!M108</f>
        <v>45.026966292134823</v>
      </c>
      <c r="N23" s="61">
        <f>'15'!N108</f>
        <v>205.55842696629202</v>
      </c>
      <c r="O23" s="61">
        <f>'15'!O108</f>
        <v>0</v>
      </c>
      <c r="P23" s="202">
        <f>'15'!P108</f>
        <v>0.61988764044943812</v>
      </c>
      <c r="Q23" s="61">
        <f>'15'!Q108</f>
        <v>9.6158139534883702</v>
      </c>
      <c r="R23" s="118"/>
      <c r="S23" s="118"/>
      <c r="T23" s="118"/>
      <c r="U23" s="118"/>
    </row>
    <row r="24" spans="1:21" x14ac:dyDescent="0.25">
      <c r="A24" s="94" t="str">
        <f>'16'!$B$2</f>
        <v>16-05-2024 00:15</v>
      </c>
      <c r="B24" s="61">
        <f>'16'!B108</f>
        <v>2.0287500000000001</v>
      </c>
      <c r="C24" s="61">
        <f>'16'!C108</f>
        <v>8.3454166666666669</v>
      </c>
      <c r="D24" s="61">
        <f>'16'!D108</f>
        <v>8.6861458333333363</v>
      </c>
      <c r="E24" s="61">
        <f>'16'!E108</f>
        <v>1.0861458333333336</v>
      </c>
      <c r="F24" s="61">
        <f>'16'!F108</f>
        <v>7.4160416666666684</v>
      </c>
      <c r="G24" s="100">
        <f>'16'!$G$108</f>
        <v>61.652291666666649</v>
      </c>
      <c r="H24" s="61">
        <f>'16'!H108</f>
        <v>26.914375000000003</v>
      </c>
      <c r="I24" s="61">
        <f>'16'!I108</f>
        <v>6.402499999999999</v>
      </c>
      <c r="J24" s="61">
        <f>'16'!J108</f>
        <v>0.42479166666666646</v>
      </c>
      <c r="K24" s="61">
        <f>'16'!K108</f>
        <v>198.38124999999999</v>
      </c>
      <c r="L24" s="61">
        <f>'16'!L108</f>
        <v>30.108645833333338</v>
      </c>
      <c r="M24" s="61">
        <f>'16'!M108</f>
        <v>46.097916666666684</v>
      </c>
      <c r="N24" s="61">
        <f>'16'!N108</f>
        <v>238.44166666666658</v>
      </c>
      <c r="O24" s="61">
        <f>'16'!O108</f>
        <v>0</v>
      </c>
      <c r="P24" s="202">
        <f>'16'!P108</f>
        <v>0.53635416666666635</v>
      </c>
      <c r="Q24" s="61">
        <f>'16'!Q108</f>
        <v>9.6734375000000004</v>
      </c>
      <c r="R24" s="118"/>
      <c r="S24" s="118"/>
      <c r="T24" s="118"/>
      <c r="U24" s="118"/>
    </row>
    <row r="25" spans="1:21" x14ac:dyDescent="0.25">
      <c r="A25" s="94" t="str">
        <f>'17'!$B$2</f>
        <v>17-05-2024 00:15</v>
      </c>
      <c r="B25" s="61">
        <f>'17'!B108</f>
        <v>1.9196874999999995</v>
      </c>
      <c r="C25" s="61">
        <f>'17'!C108</f>
        <v>6.0248958333333311</v>
      </c>
      <c r="D25" s="61">
        <f>'17'!D108</f>
        <v>4.6065625000000026</v>
      </c>
      <c r="E25" s="61">
        <f>'17'!E108</f>
        <v>1.3138541666666665</v>
      </c>
      <c r="F25" s="61">
        <f>'17'!F108</f>
        <v>3.8964583333333334</v>
      </c>
      <c r="G25" s="101">
        <f>'17'!$G$108</f>
        <v>35.905000000000001</v>
      </c>
      <c r="H25" s="61">
        <f>'17'!H108</f>
        <v>14.607083333333335</v>
      </c>
      <c r="I25" s="61">
        <f>'17'!I108</f>
        <v>5.1896875000000016</v>
      </c>
      <c r="J25" s="61">
        <f>'17'!J108</f>
        <v>0.40406249999999999</v>
      </c>
      <c r="K25" s="61">
        <f>'17'!K108</f>
        <v>191.93208333333334</v>
      </c>
      <c r="L25" s="61">
        <f>'17'!L108</f>
        <v>28.109270833333337</v>
      </c>
      <c r="M25" s="61">
        <f>'17'!M108</f>
        <v>56.041145833333331</v>
      </c>
      <c r="N25" s="61">
        <f>'17'!N108</f>
        <v>133.97395833333329</v>
      </c>
      <c r="O25" s="61">
        <f>'17'!O108</f>
        <v>0</v>
      </c>
      <c r="P25" s="202">
        <f>'17'!P108</f>
        <v>0.48083333333333317</v>
      </c>
      <c r="Q25" s="61">
        <f>'17'!Q108</f>
        <v>9.4409374999999951</v>
      </c>
      <c r="R25" s="118"/>
      <c r="S25" s="118"/>
      <c r="T25" s="118"/>
      <c r="U25" s="118"/>
    </row>
    <row r="26" spans="1:21" x14ac:dyDescent="0.25">
      <c r="A26" s="94" t="str">
        <f>'18'!$B$2</f>
        <v>18-05-2024 00:15</v>
      </c>
      <c r="B26" s="61">
        <f>'18'!B108</f>
        <v>1.7204166666666663</v>
      </c>
      <c r="C26" s="61">
        <f>'18'!C108</f>
        <v>3.4859375000000004</v>
      </c>
      <c r="D26" s="61">
        <f>'18'!D108</f>
        <v>3.1209375000000006</v>
      </c>
      <c r="E26" s="61">
        <f>'18'!E108</f>
        <v>1.2884374999999999</v>
      </c>
      <c r="F26" s="61">
        <f>'18'!F108</f>
        <v>4.3270833333333325</v>
      </c>
      <c r="G26" s="99">
        <f>'18'!$G$108</f>
        <v>26.834693877551018</v>
      </c>
      <c r="H26" s="61">
        <f>'18'!H108</f>
        <v>8.1174999999999997</v>
      </c>
      <c r="I26" s="61">
        <f>'18'!I108</f>
        <v>4.1946874999999979</v>
      </c>
      <c r="J26" s="61">
        <f>'18'!J108</f>
        <v>0.65083333333333304</v>
      </c>
      <c r="K26" s="61">
        <f>'18'!K108</f>
        <v>170.94645833333331</v>
      </c>
      <c r="L26" s="61">
        <f>'18'!L108</f>
        <v>27.291562500000015</v>
      </c>
      <c r="M26" s="61">
        <f>'18'!M108</f>
        <v>60.953124999999979</v>
      </c>
      <c r="N26" s="61">
        <f>'18'!N108</f>
        <v>162.80104166666669</v>
      </c>
      <c r="O26" s="61">
        <f>'18'!O108</f>
        <v>0</v>
      </c>
      <c r="P26" s="202">
        <f>'18'!P108</f>
        <v>0.27916666666666667</v>
      </c>
      <c r="Q26" s="61">
        <f>'18'!Q108</f>
        <v>9.3756250000000012</v>
      </c>
      <c r="R26" s="118"/>
      <c r="S26" s="118"/>
      <c r="T26" s="118"/>
      <c r="U26" s="118"/>
    </row>
    <row r="27" spans="1:21" x14ac:dyDescent="0.25">
      <c r="A27" s="94" t="str">
        <f>'19'!$B$2</f>
        <v>19-05-2024 00:15</v>
      </c>
      <c r="B27" s="61">
        <f>'19'!B108</f>
        <v>1.7430208333333332</v>
      </c>
      <c r="C27" s="61">
        <f>'19'!C108</f>
        <v>4.1658333333333353</v>
      </c>
      <c r="D27" s="61">
        <f>'19'!D108</f>
        <v>3.4936458333333325</v>
      </c>
      <c r="E27" s="61">
        <f>'19'!E108</f>
        <v>1.386770833333334</v>
      </c>
      <c r="F27" s="61">
        <f>'19'!F108</f>
        <v>4.1018749999999988</v>
      </c>
      <c r="G27" s="61">
        <f>'19'!G108</f>
        <v>23.356770833333329</v>
      </c>
      <c r="H27" s="61">
        <f>'19'!H108</f>
        <v>7.4960416666666676</v>
      </c>
      <c r="I27" s="61">
        <f>'19'!I108</f>
        <v>4.0019791666666666</v>
      </c>
      <c r="J27" s="61">
        <f>'19'!J108</f>
        <v>0.52239583333333361</v>
      </c>
      <c r="K27" s="61">
        <f>'19'!K108</f>
        <v>232.91270833333328</v>
      </c>
      <c r="L27" s="61">
        <f>'19'!L108</f>
        <v>29.886354166666667</v>
      </c>
      <c r="M27" s="61">
        <f>'19'!M108</f>
        <v>52.961979166666687</v>
      </c>
      <c r="N27" s="61">
        <f>'19'!N108</f>
        <v>257.90729166666665</v>
      </c>
      <c r="O27" s="61">
        <f>'19'!O108</f>
        <v>0</v>
      </c>
      <c r="P27" s="202">
        <f>'19'!P108</f>
        <v>0.32343749999999988</v>
      </c>
      <c r="Q27" s="61">
        <f>'19'!Q108</f>
        <v>9.2610416666666762</v>
      </c>
      <c r="R27" s="118"/>
      <c r="S27" s="118"/>
      <c r="T27" s="118"/>
      <c r="U27" s="118"/>
    </row>
    <row r="28" spans="1:21" x14ac:dyDescent="0.25">
      <c r="A28" s="94" t="str">
        <f>'20'!$B$2</f>
        <v>20-05-2024 00:15</v>
      </c>
      <c r="B28" s="61">
        <f>'20'!B108</f>
        <v>2.0955208333333335</v>
      </c>
      <c r="C28" s="61">
        <f>'20'!C108</f>
        <v>5.0676041666666665</v>
      </c>
      <c r="D28" s="61">
        <f>'20'!D108</f>
        <v>4.2482291666666665</v>
      </c>
      <c r="E28" s="61">
        <f>'20'!E108</f>
        <v>1.5881250000000007</v>
      </c>
      <c r="F28" s="61">
        <f>'20'!F108</f>
        <v>4.6462499999999993</v>
      </c>
      <c r="G28" s="61">
        <f>'20'!G108</f>
        <v>40.523958333333361</v>
      </c>
      <c r="H28" s="61">
        <f>'20'!H108</f>
        <v>14.321250000000001</v>
      </c>
      <c r="I28" s="61">
        <f>'20'!I108</f>
        <v>4.7908333333333317</v>
      </c>
      <c r="J28" s="61">
        <f>'20'!J108</f>
        <v>0.58333333333333315</v>
      </c>
      <c r="K28" s="61">
        <f>'20'!K108</f>
        <v>239.89385416666664</v>
      </c>
      <c r="L28" s="61">
        <f>'20'!L108</f>
        <v>31.616458333333341</v>
      </c>
      <c r="M28" s="61">
        <f>'20'!M108</f>
        <v>41.758854166666673</v>
      </c>
      <c r="N28" s="61">
        <f>'20'!N108</f>
        <v>265.46875</v>
      </c>
      <c r="O28" s="61">
        <f>'20'!O108</f>
        <v>0</v>
      </c>
      <c r="P28" s="202">
        <f>'20'!P108</f>
        <v>0.50437500000000002</v>
      </c>
      <c r="Q28" s="61">
        <f>'20'!Q108</f>
        <v>9.3696874999999959</v>
      </c>
      <c r="R28" s="118"/>
      <c r="S28" s="118"/>
      <c r="T28" s="118"/>
      <c r="U28" s="118"/>
    </row>
    <row r="29" spans="1:21" x14ac:dyDescent="0.25">
      <c r="A29" s="94" t="str">
        <f>'21'!$B$2</f>
        <v>21-05-2024 00:15</v>
      </c>
      <c r="B29" s="61">
        <f>'21'!B108</f>
        <v>1.4533333333333334</v>
      </c>
      <c r="C29" s="61">
        <f>'21'!C108</f>
        <v>4.419062499999999</v>
      </c>
      <c r="D29" s="61">
        <f>'21'!D108</f>
        <v>3.3942708333333313</v>
      </c>
      <c r="E29" s="61">
        <f>'21'!E108</f>
        <v>1.7871875000000002</v>
      </c>
      <c r="F29" s="61">
        <f>'21'!F108</f>
        <v>4.9551041666666675</v>
      </c>
      <c r="G29" s="61">
        <f>'21'!G108</f>
        <v>38.344166666666673</v>
      </c>
      <c r="H29" s="61">
        <f>'21'!H108</f>
        <v>14.004791666666661</v>
      </c>
      <c r="I29" s="61">
        <f>'21'!I108</f>
        <v>6.0022916666666672</v>
      </c>
      <c r="J29" s="61">
        <f>'21'!J108</f>
        <v>0.91322916666666643</v>
      </c>
      <c r="K29" s="61">
        <f>'21'!K108</f>
        <v>210.27833333333345</v>
      </c>
      <c r="L29" s="61">
        <f>'21'!L108</f>
        <v>30.941249999999993</v>
      </c>
      <c r="M29" s="61">
        <f>'21'!M108</f>
        <v>46.360520833333332</v>
      </c>
      <c r="N29" s="61">
        <f>'21'!N108</f>
        <v>237.73125000000013</v>
      </c>
      <c r="O29" s="61">
        <f>'21'!O108</f>
        <v>0</v>
      </c>
      <c r="P29" s="202">
        <f>'21'!P108</f>
        <v>0.45760416666666642</v>
      </c>
      <c r="Q29" s="61">
        <f>'21'!Q108</f>
        <v>9.3836458333333326</v>
      </c>
      <c r="R29" s="118"/>
      <c r="S29" s="118"/>
      <c r="T29" s="118"/>
      <c r="U29" s="118"/>
    </row>
    <row r="30" spans="1:21" x14ac:dyDescent="0.25">
      <c r="A30" s="94" t="str">
        <f>'22'!$B$2</f>
        <v>22-05-2024 00:15</v>
      </c>
      <c r="B30" s="61">
        <f>'22'!B108</f>
        <v>1.3456250000000001</v>
      </c>
      <c r="C30" s="61">
        <f>'22'!C108</f>
        <v>2.7197916666666675</v>
      </c>
      <c r="D30" s="61">
        <f>'22'!D108</f>
        <v>2.4194791666666671</v>
      </c>
      <c r="E30" s="61">
        <f>'22'!E108</f>
        <v>1.6872916666666669</v>
      </c>
      <c r="F30" s="61">
        <f>'22'!F108</f>
        <v>5.9377083333333331</v>
      </c>
      <c r="G30" s="61">
        <f>'22'!G108</f>
        <v>43.103645833333339</v>
      </c>
      <c r="H30" s="61">
        <f>'22'!H108</f>
        <v>15.167395833333336</v>
      </c>
      <c r="I30" s="61">
        <f>'22'!I108</f>
        <v>6.5344791666666673</v>
      </c>
      <c r="J30" s="61">
        <f>'22'!J108</f>
        <v>0.5179166666666668</v>
      </c>
      <c r="K30" s="61">
        <f>'22'!K108</f>
        <v>191.76552083333334</v>
      </c>
      <c r="L30" s="61">
        <f>'22'!L108</f>
        <v>29.031666666666666</v>
      </c>
      <c r="M30" s="61">
        <f>'22'!M108</f>
        <v>56.493541666666665</v>
      </c>
      <c r="N30" s="61">
        <f>'22'!N108</f>
        <v>180.13124999999988</v>
      </c>
      <c r="O30" s="61">
        <f>'22'!O108</f>
        <v>8.3333333333333329E-2</v>
      </c>
      <c r="P30" s="202">
        <f>'22'!P108</f>
        <v>0.51749999999999996</v>
      </c>
      <c r="Q30" s="61">
        <f>'22'!Q108</f>
        <v>9.3822916666666654</v>
      </c>
      <c r="R30" s="118"/>
      <c r="S30" s="118"/>
      <c r="T30" s="118"/>
      <c r="U30" s="118"/>
    </row>
    <row r="31" spans="1:21" x14ac:dyDescent="0.25">
      <c r="A31" s="94" t="str">
        <f>'23'!$B$2</f>
        <v>23-05-2024 00:15</v>
      </c>
      <c r="B31" s="61">
        <f>'23'!B108</f>
        <v>2.1166666666666671</v>
      </c>
      <c r="C31" s="61">
        <f>'23'!C108</f>
        <v>4.146770833333334</v>
      </c>
      <c r="D31" s="61">
        <f>'23'!D108</f>
        <v>3.7842708333333359</v>
      </c>
      <c r="E31" s="61">
        <f>'23'!E108</f>
        <v>2.0752083333333338</v>
      </c>
      <c r="F31" s="61">
        <f>'23'!F108</f>
        <v>5.0545833333333334</v>
      </c>
      <c r="G31" s="61">
        <f>'23'!G108</f>
        <v>69.080520833333296</v>
      </c>
      <c r="H31" s="61">
        <f>'23'!H108</f>
        <v>25.957916666666666</v>
      </c>
      <c r="I31" s="61">
        <f>'23'!I108</f>
        <v>6.8568749999999996</v>
      </c>
      <c r="J31" s="61">
        <f>'23'!J108</f>
        <v>0.33229166666666671</v>
      </c>
      <c r="K31" s="61">
        <f>'23'!K108</f>
        <v>253.91729166666673</v>
      </c>
      <c r="L31" s="61">
        <f>'23'!L108</f>
        <v>30.881979166666664</v>
      </c>
      <c r="M31" s="61">
        <f>'23'!M108</f>
        <v>54.107291666666676</v>
      </c>
      <c r="N31" s="61">
        <f>'23'!N108</f>
        <v>259.6427083333333</v>
      </c>
      <c r="O31" s="61">
        <f>'23'!O108</f>
        <v>0</v>
      </c>
      <c r="P31" s="202">
        <f>'23'!P108</f>
        <v>0.71614583333333315</v>
      </c>
      <c r="Q31" s="61">
        <f>'23'!Q108</f>
        <v>9.5137499999999964</v>
      </c>
      <c r="R31" s="118"/>
      <c r="S31" s="207"/>
      <c r="T31" s="118"/>
      <c r="U31" s="118"/>
    </row>
    <row r="32" spans="1:21" x14ac:dyDescent="0.25">
      <c r="A32" s="94" t="str">
        <f>'24'!$B$2</f>
        <v>24-05-2024 00:15</v>
      </c>
      <c r="B32" s="61">
        <f>'24'!B108</f>
        <v>2.0217204301075267</v>
      </c>
      <c r="C32" s="61">
        <f>'24'!C108</f>
        <v>2.5341935483870959</v>
      </c>
      <c r="D32" s="61">
        <f>'24'!D108</f>
        <v>2.7782795698924723</v>
      </c>
      <c r="E32" s="61">
        <f>'24'!E108</f>
        <v>1.654408602150538</v>
      </c>
      <c r="F32" s="61">
        <f>'24'!F108</f>
        <v>6.5518750000000026</v>
      </c>
      <c r="G32" s="61">
        <f>'24'!G108</f>
        <v>46.566236559139782</v>
      </c>
      <c r="H32" s="61">
        <f>'24'!H108</f>
        <v>18.076989247311825</v>
      </c>
      <c r="I32" s="61">
        <f>'24'!I108</f>
        <v>7.5268750000000004</v>
      </c>
      <c r="J32" s="61">
        <f>'24'!J108</f>
        <v>0.80802083333333341</v>
      </c>
      <c r="K32" s="61">
        <f>'24'!K108</f>
        <v>186.58125000000004</v>
      </c>
      <c r="L32" s="61">
        <f>'24'!L108</f>
        <v>31.335312500000001</v>
      </c>
      <c r="M32" s="61">
        <f>'24'!M108</f>
        <v>50.053437500000008</v>
      </c>
      <c r="N32" s="61">
        <f>'24'!N108</f>
        <v>248.71041666666667</v>
      </c>
      <c r="O32" s="61">
        <f>'24'!O108</f>
        <v>0</v>
      </c>
      <c r="P32" s="202">
        <f>'24'!P108</f>
        <v>0.49520833333333325</v>
      </c>
      <c r="Q32" s="61">
        <f>'24'!Q108</f>
        <v>9.3802083333333321</v>
      </c>
      <c r="R32" s="118"/>
      <c r="S32" s="118"/>
      <c r="T32" s="118"/>
      <c r="U32" s="118"/>
    </row>
    <row r="33" spans="1:21" x14ac:dyDescent="0.25">
      <c r="A33" s="94" t="str">
        <f>'25'!$B$2</f>
        <v>25-05-2024 00:15</v>
      </c>
      <c r="B33" s="61">
        <f>'25'!B108</f>
        <v>1.8487499999999999</v>
      </c>
      <c r="C33" s="61">
        <f>'25'!C108</f>
        <v>1.7947916666666675</v>
      </c>
      <c r="D33" s="61">
        <f>'25'!D108</f>
        <v>1.686354166666667</v>
      </c>
      <c r="E33" s="61">
        <f>'25'!E108</f>
        <v>1.4940624999999994</v>
      </c>
      <c r="F33" s="61">
        <f>'25'!F108</f>
        <v>4.2851041666666667</v>
      </c>
      <c r="G33" s="61">
        <f>'25'!G108</f>
        <v>32.484791666666673</v>
      </c>
      <c r="H33" s="61">
        <f>'25'!H108</f>
        <v>13.60125</v>
      </c>
      <c r="I33" s="61">
        <f>'25'!I108</f>
        <v>6.7831250000000018</v>
      </c>
      <c r="J33" s="61">
        <f>'25'!J108</f>
        <v>0.39229166666666648</v>
      </c>
      <c r="K33" s="61">
        <f>'25'!K108</f>
        <v>151.07416666666666</v>
      </c>
      <c r="L33" s="61">
        <f>'25'!L108</f>
        <v>31.207083333333347</v>
      </c>
      <c r="M33" s="61">
        <f>'25'!M108</f>
        <v>50.405104166666682</v>
      </c>
      <c r="N33" s="61">
        <f>'25'!N108</f>
        <v>239.0864583333333</v>
      </c>
      <c r="O33" s="61">
        <f>'25'!O108</f>
        <v>0</v>
      </c>
      <c r="P33" s="202">
        <f>'25'!P108</f>
        <v>0.37281249999999999</v>
      </c>
      <c r="Q33" s="61">
        <f>'25'!Q108</f>
        <v>9.2909375000000036</v>
      </c>
      <c r="R33" s="118"/>
      <c r="S33" s="207"/>
      <c r="T33" s="118"/>
      <c r="U33" s="118"/>
    </row>
    <row r="34" spans="1:21" x14ac:dyDescent="0.25">
      <c r="A34" s="94" t="str">
        <f>'26'!$B$2</f>
        <v>26-05-2024 00:15</v>
      </c>
      <c r="B34" s="61">
        <f>'26'!B108</f>
        <v>2.1346874999999996</v>
      </c>
      <c r="C34" s="61">
        <f>'26'!C108</f>
        <v>1.9567857142857139</v>
      </c>
      <c r="D34" s="61">
        <f>'26'!D108</f>
        <v>1.84375</v>
      </c>
      <c r="E34" s="61">
        <f>'26'!E108</f>
        <v>1.6510416666666667</v>
      </c>
      <c r="F34" s="61">
        <f>'26'!F108</f>
        <v>5.0611458333333319</v>
      </c>
      <c r="G34" s="61">
        <f>'26'!G108</f>
        <v>54.66385416666666</v>
      </c>
      <c r="H34" s="61">
        <f>'26'!H108</f>
        <v>22.547083333333333</v>
      </c>
      <c r="I34" s="61">
        <f>'26'!I108</f>
        <v>6.0386458333333328</v>
      </c>
      <c r="J34" s="61">
        <f>'26'!J108</f>
        <v>0.56052083333333347</v>
      </c>
      <c r="K34" s="61">
        <f>'26'!K108</f>
        <v>256.76927083333328</v>
      </c>
      <c r="L34" s="61">
        <f>'26'!L108</f>
        <v>33.544791666666676</v>
      </c>
      <c r="M34" s="61">
        <f>'26'!M108</f>
        <v>44.880520833333321</v>
      </c>
      <c r="N34" s="61">
        <f>'26'!N108</f>
        <v>242.72708333333341</v>
      </c>
      <c r="O34" s="61">
        <f>'26'!O108</f>
        <v>0</v>
      </c>
      <c r="P34" s="202">
        <f>'26'!P108</f>
        <v>0.73562500000000031</v>
      </c>
      <c r="Q34" s="61">
        <f>'26'!Q108</f>
        <v>9.3992708333333326</v>
      </c>
      <c r="R34" s="118"/>
      <c r="S34" s="118"/>
      <c r="T34" s="118"/>
      <c r="U34" s="118"/>
    </row>
    <row r="35" spans="1:21" x14ac:dyDescent="0.25">
      <c r="A35" s="94" t="str">
        <f>'27'!$B$2</f>
        <v>27-05-2024 00:15</v>
      </c>
      <c r="B35" s="61">
        <f>'27'!B108</f>
        <v>2.2144791666666679</v>
      </c>
      <c r="C35" s="61">
        <f>'27'!C108</f>
        <v>1.9172093023255814</v>
      </c>
      <c r="D35" s="61">
        <f>'27'!D108</f>
        <v>2.5040624999999999</v>
      </c>
      <c r="E35" s="61">
        <f>'27'!E108</f>
        <v>1.4390625000000004</v>
      </c>
      <c r="F35" s="61">
        <f>'27'!F108</f>
        <v>5.8798958333333333</v>
      </c>
      <c r="G35" s="61">
        <f>'27'!G108</f>
        <v>65.612916666666663</v>
      </c>
      <c r="H35" s="61">
        <f>'27'!H108</f>
        <v>27.372395833333318</v>
      </c>
      <c r="I35" s="61">
        <f>'27'!I108</f>
        <v>6.9391666666666678</v>
      </c>
      <c r="J35" s="61">
        <f>'27'!J108</f>
        <v>0.55156250000000007</v>
      </c>
      <c r="K35" s="61">
        <f>'27'!K108</f>
        <v>243.81927083333326</v>
      </c>
      <c r="L35" s="61">
        <f>'27'!L108</f>
        <v>33.335729166666667</v>
      </c>
      <c r="M35" s="61">
        <f>'27'!M108</f>
        <v>39.278229166666655</v>
      </c>
      <c r="N35" s="61">
        <f>'27'!N108</f>
        <v>222.36249999999998</v>
      </c>
      <c r="O35" s="61">
        <f>'27'!O108</f>
        <v>0</v>
      </c>
      <c r="P35" s="202">
        <f>'27'!P108</f>
        <v>0.72927083333333365</v>
      </c>
      <c r="Q35" s="61">
        <f>'27'!Q108</f>
        <v>9.5354166666666664</v>
      </c>
      <c r="R35" s="118"/>
      <c r="S35" s="118"/>
      <c r="T35" s="118"/>
      <c r="U35" s="118"/>
    </row>
    <row r="36" spans="1:21" x14ac:dyDescent="0.25">
      <c r="A36" s="94" t="str">
        <f>'28'!$B$2</f>
        <v>28-05-2024 00:15</v>
      </c>
      <c r="B36" s="61">
        <f>'28'!B108</f>
        <v>2.4472916666666666</v>
      </c>
      <c r="C36" s="61">
        <f>'28'!C108</f>
        <v>0.97906250000000039</v>
      </c>
      <c r="D36" s="61">
        <f>'28'!D108</f>
        <v>3.618749999999999</v>
      </c>
      <c r="E36" s="61">
        <f>'28'!E108</f>
        <v>1.4404166666666667</v>
      </c>
      <c r="F36" s="61">
        <f>'28'!F108</f>
        <v>7.029062500000002</v>
      </c>
      <c r="G36" s="61">
        <f>'28'!G108</f>
        <v>56.263437499999981</v>
      </c>
      <c r="H36" s="61">
        <f>'28'!H108</f>
        <v>23.966354166666672</v>
      </c>
      <c r="I36" s="61">
        <f>'28'!I108</f>
        <v>4.9737499999999963</v>
      </c>
      <c r="J36" s="61">
        <f>'28'!J108</f>
        <v>0.49979166666666669</v>
      </c>
      <c r="K36" s="61">
        <f>'28'!K108</f>
        <v>193.87145833333327</v>
      </c>
      <c r="L36" s="61">
        <f>'28'!L108</f>
        <v>36.328229166666667</v>
      </c>
      <c r="M36" s="61">
        <f>'28'!M108</f>
        <v>32.800625000000004</v>
      </c>
      <c r="N36" s="61">
        <f>'28'!N108</f>
        <v>243.45208333333335</v>
      </c>
      <c r="O36" s="61">
        <f>'28'!O108</f>
        <v>0</v>
      </c>
      <c r="P36" s="202">
        <f>'28'!P108</f>
        <v>0.52927083333333325</v>
      </c>
      <c r="Q36" s="61">
        <f>'28'!Q108</f>
        <v>9.3736458333333292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29-05-2024 00:15</v>
      </c>
      <c r="B37" s="61">
        <f>'29'!B108</f>
        <v>2.4018750000000009</v>
      </c>
      <c r="C37" s="61">
        <f>'29'!C108</f>
        <v>0.68010416666666673</v>
      </c>
      <c r="D37" s="61">
        <f>'29'!D108</f>
        <v>3.426770833333332</v>
      </c>
      <c r="E37" s="61">
        <f>'29'!E108</f>
        <v>1.1630208333333334</v>
      </c>
      <c r="F37" s="61">
        <f>'29'!F108</f>
        <v>6.1390625000000005</v>
      </c>
      <c r="G37" s="61">
        <f>'29'!G108</f>
        <v>57.676666666666669</v>
      </c>
      <c r="H37" s="61">
        <f>'29'!H108</f>
        <v>22.936249999999998</v>
      </c>
      <c r="I37" s="61">
        <f>'29'!I108</f>
        <v>4.5873958333333311</v>
      </c>
      <c r="J37" s="61">
        <f>'29'!J108</f>
        <v>0.45197916666666682</v>
      </c>
      <c r="K37" s="61">
        <f>'29'!K108</f>
        <v>189.12989583333339</v>
      </c>
      <c r="L37" s="61">
        <f>'29'!L108</f>
        <v>37.444479166666675</v>
      </c>
      <c r="M37" s="61">
        <f>'29'!M108</f>
        <v>34.192604166666669</v>
      </c>
      <c r="N37" s="61">
        <f>'29'!N108</f>
        <v>190.05729166666666</v>
      </c>
      <c r="O37" s="61">
        <f>'29'!O108</f>
        <v>0</v>
      </c>
      <c r="P37" s="202">
        <f>'29'!P108</f>
        <v>0.45999999999999996</v>
      </c>
      <c r="Q37" s="61">
        <f>'29'!Q108</f>
        <v>9.3069791666666699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30-05-2024 00:15</v>
      </c>
      <c r="B38" s="61">
        <f>'30'!B108</f>
        <v>3.3973958333333347</v>
      </c>
      <c r="C38" s="61">
        <f>'30'!C108</f>
        <v>5.4811458333333336</v>
      </c>
      <c r="D38" s="61">
        <f>'30'!D108</f>
        <v>6.7336458333333349</v>
      </c>
      <c r="E38" s="61">
        <f>'30'!E108</f>
        <v>1.919791666666667</v>
      </c>
      <c r="F38" s="61">
        <f>'30'!F108</f>
        <v>5.5276041666666638</v>
      </c>
      <c r="G38" s="61">
        <f>'30'!G108</f>
        <v>65.155104166666632</v>
      </c>
      <c r="H38" s="61">
        <f>'30'!H108</f>
        <v>25.383437499999996</v>
      </c>
      <c r="I38" s="61">
        <f>'30'!I108</f>
        <v>6.4747916666666674</v>
      </c>
      <c r="J38" s="61">
        <f>'30'!J108</f>
        <v>0.60156250000000033</v>
      </c>
      <c r="K38" s="61">
        <f>'30'!K108</f>
        <v>225.73708333333332</v>
      </c>
      <c r="L38" s="61">
        <f>'30'!L108</f>
        <v>38.412187499999995</v>
      </c>
      <c r="M38" s="61">
        <f>'30'!M108</f>
        <v>29.127083333333331</v>
      </c>
      <c r="N38" s="61">
        <f>'30'!N108</f>
        <v>243.98645833333333</v>
      </c>
      <c r="O38" s="61">
        <f>'30'!O108</f>
        <v>0</v>
      </c>
      <c r="P38" s="202">
        <f>'30'!P108</f>
        <v>0.63229166666666659</v>
      </c>
      <c r="Q38" s="61">
        <f>'30'!Q108</f>
        <v>9.4963541666666682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31-05-2024 00:15</v>
      </c>
      <c r="B39" s="61">
        <f>'31'!B109</f>
        <v>2.4047744906492134</v>
      </c>
      <c r="C39" s="61">
        <f>'31'!C109</f>
        <v>1.2599433988957827</v>
      </c>
      <c r="D39" s="61">
        <f>'31'!D109</f>
        <v>2.1802340304727785</v>
      </c>
      <c r="E39" s="61">
        <f>'31'!E109</f>
        <v>0.56419877010942188</v>
      </c>
      <c r="F39" s="61">
        <f>'31'!F109</f>
        <v>2.0137828345739166</v>
      </c>
      <c r="G39" s="61">
        <f>'31'!G109</f>
        <v>14.024257246101332</v>
      </c>
      <c r="H39" s="61">
        <f>'31'!H109</f>
        <v>3.4821882472141592</v>
      </c>
      <c r="I39" s="61">
        <f>'31'!I109</f>
        <v>2.4496642089972358</v>
      </c>
      <c r="J39" s="61">
        <f>'31'!J109</f>
        <v>0.49118670075644361</v>
      </c>
      <c r="K39" s="61">
        <f>'31'!K109</f>
        <v>83.592771772043321</v>
      </c>
      <c r="L39" s="61">
        <f>'31'!L109</f>
        <v>4.8298130605191254</v>
      </c>
      <c r="M39" s="61">
        <f>'31'!M109</f>
        <v>11.331515063765785</v>
      </c>
      <c r="N39" s="61">
        <f>'31'!N109</f>
        <v>309.71360295483169</v>
      </c>
      <c r="O39" s="61">
        <f>'31'!O109</f>
        <v>0</v>
      </c>
      <c r="P39" s="61">
        <f>'31'!P109</f>
        <v>0.25420358518183434</v>
      </c>
      <c r="Q39" s="61">
        <f>'31'!Q109</f>
        <v>0.25782999209665541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0.10437499999999979</v>
      </c>
      <c r="C41" s="16">
        <f t="shared" si="0"/>
        <v>0.68010416666666673</v>
      </c>
      <c r="D41" s="16">
        <f t="shared" si="0"/>
        <v>1.5353846153846151</v>
      </c>
      <c r="E41" s="16">
        <f t="shared" si="0"/>
        <v>1.0861458333333336</v>
      </c>
      <c r="F41" s="16">
        <f t="shared" si="0"/>
        <v>3.8964583333333334</v>
      </c>
      <c r="G41" s="16">
        <f t="shared" si="0"/>
        <v>23.356770833333329</v>
      </c>
      <c r="H41" s="16">
        <f t="shared" si="0"/>
        <v>7.4960416666666676</v>
      </c>
      <c r="I41" s="16">
        <f t="shared" si="0"/>
        <v>3.526875</v>
      </c>
      <c r="J41" s="16">
        <f t="shared" si="0"/>
        <v>0.23614583333333342</v>
      </c>
      <c r="K41" s="16">
        <f t="shared" si="0"/>
        <v>151.07416666666666</v>
      </c>
      <c r="L41" s="16">
        <f t="shared" si="0"/>
        <v>25.638749999999998</v>
      </c>
      <c r="M41" s="16">
        <f t="shared" si="0"/>
        <v>19.120937500000007</v>
      </c>
      <c r="N41" s="16">
        <f t="shared" si="0"/>
        <v>133.97395833333329</v>
      </c>
      <c r="O41" s="16">
        <f t="shared" si="0"/>
        <v>0</v>
      </c>
      <c r="P41" s="16">
        <f t="shared" si="0"/>
        <v>0.27916666666666667</v>
      </c>
      <c r="Q41" s="16">
        <f t="shared" si="0"/>
        <v>9.2610416666666762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34.01093749999999</v>
      </c>
      <c r="C42" s="16">
        <f t="shared" si="1"/>
        <v>47.059895833333343</v>
      </c>
      <c r="D42" s="16">
        <f t="shared" si="1"/>
        <v>49.593645833333333</v>
      </c>
      <c r="E42" s="16">
        <f t="shared" si="1"/>
        <v>2.2655319148936175</v>
      </c>
      <c r="F42" s="16">
        <f t="shared" si="1"/>
        <v>10.721250000000003</v>
      </c>
      <c r="G42" s="16">
        <f t="shared" si="1"/>
        <v>107.27197916666665</v>
      </c>
      <c r="H42" s="16">
        <f t="shared" si="1"/>
        <v>76.420000000000016</v>
      </c>
      <c r="I42" s="16">
        <f t="shared" si="1"/>
        <v>9.6814583333333299</v>
      </c>
      <c r="J42" s="16">
        <f t="shared" si="1"/>
        <v>0.91322916666666643</v>
      </c>
      <c r="K42" s="16">
        <f t="shared" si="1"/>
        <v>266.28937500000006</v>
      </c>
      <c r="L42" s="16">
        <f t="shared" si="1"/>
        <v>38.412187499999995</v>
      </c>
      <c r="M42" s="16">
        <f t="shared" si="1"/>
        <v>67.673541666666679</v>
      </c>
      <c r="N42" s="16">
        <f t="shared" si="1"/>
        <v>288.80520833333333</v>
      </c>
      <c r="O42" s="16">
        <f t="shared" si="1"/>
        <v>0.15625</v>
      </c>
      <c r="P42" s="16">
        <f t="shared" si="1"/>
        <v>1.1008333333333333</v>
      </c>
      <c r="Q42" s="16">
        <f t="shared" si="1"/>
        <v>10.289270833333335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5.2419206099224045</v>
      </c>
      <c r="C43" s="16">
        <f t="shared" si="2"/>
        <v>13.603280910308179</v>
      </c>
      <c r="D43" s="16">
        <f t="shared" si="2"/>
        <v>11.805208844420665</v>
      </c>
      <c r="E43" s="16">
        <f t="shared" si="2"/>
        <v>1.6042490821584245</v>
      </c>
      <c r="F43" s="16">
        <f t="shared" si="2"/>
        <v>5.7715393648564284</v>
      </c>
      <c r="G43" s="16">
        <f t="shared" si="2"/>
        <v>53.741716659260327</v>
      </c>
      <c r="H43" s="16">
        <f t="shared" si="2"/>
        <v>22.120489402512067</v>
      </c>
      <c r="I43" s="16">
        <f t="shared" si="2"/>
        <v>5.9936761254789275</v>
      </c>
      <c r="J43" s="16">
        <f t="shared" si="2"/>
        <v>0.51881452871410738</v>
      </c>
      <c r="K43" s="16">
        <f t="shared" si="2"/>
        <v>220.19248790574281</v>
      </c>
      <c r="L43" s="16">
        <f t="shared" si="2"/>
        <v>30.713164169787763</v>
      </c>
      <c r="M43" s="16">
        <f t="shared" si="2"/>
        <v>43.959426654182273</v>
      </c>
      <c r="N43" s="16">
        <f t="shared" si="2"/>
        <v>235.98205173220973</v>
      </c>
      <c r="O43" s="16">
        <f t="shared" si="2"/>
        <v>9.0277777777777769E-3</v>
      </c>
      <c r="P43" s="16">
        <f t="shared" si="2"/>
        <v>0.57130875468164788</v>
      </c>
      <c r="Q43" s="16">
        <f t="shared" si="2"/>
        <v>9.5621937984496128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7.0282281974449479</v>
      </c>
      <c r="C44" s="16">
        <f t="shared" si="3"/>
        <v>14.505181576265082</v>
      </c>
      <c r="D44" s="16">
        <f t="shared" si="3"/>
        <v>12.396848733558009</v>
      </c>
      <c r="E44" s="16">
        <f t="shared" si="3"/>
        <v>0.30270677708872656</v>
      </c>
      <c r="F44" s="16">
        <f t="shared" si="3"/>
        <v>1.3342371448710892</v>
      </c>
      <c r="G44" s="16">
        <f t="shared" si="3"/>
        <v>20.207100498486362</v>
      </c>
      <c r="H44" s="16">
        <f t="shared" si="3"/>
        <v>13.513432988979183</v>
      </c>
      <c r="I44" s="16">
        <f t="shared" si="3"/>
        <v>1.546609374115858</v>
      </c>
      <c r="J44" s="16">
        <f t="shared" si="3"/>
        <v>0.16450082833858207</v>
      </c>
      <c r="K44" s="16">
        <f t="shared" si="3"/>
        <v>32.29465447147436</v>
      </c>
      <c r="L44" s="16">
        <f t="shared" si="3"/>
        <v>2.9606156410007713</v>
      </c>
      <c r="M44" s="16">
        <f t="shared" si="3"/>
        <v>12.696487511276066</v>
      </c>
      <c r="N44" s="16">
        <f t="shared" si="3"/>
        <v>39.762062221239326</v>
      </c>
      <c r="O44" s="16">
        <f t="shared" si="3"/>
        <v>3.2104380567088101E-2</v>
      </c>
      <c r="P44" s="16">
        <f t="shared" si="3"/>
        <v>0.17627542419187883</v>
      </c>
      <c r="Q44" s="16">
        <f t="shared" si="3"/>
        <v>0.29953206260559101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70" sqref="H7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241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244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6" t="s">
        <v>1</v>
      </c>
      <c r="H5" s="226"/>
      <c r="I5" s="40"/>
      <c r="J5" s="40"/>
      <c r="K5" s="40"/>
      <c r="L5" s="40"/>
      <c r="M5" s="41"/>
      <c r="O5" s="68"/>
      <c r="P5" s="69"/>
      <c r="Q5" s="69"/>
      <c r="R5" s="69"/>
      <c r="S5" s="208" t="s">
        <v>238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45414.5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202.14</v>
      </c>
      <c r="I8" s="60">
        <v>0</v>
      </c>
      <c r="J8" s="61">
        <f>F8/H8</f>
        <v>0.98941327792618983</v>
      </c>
      <c r="K8" s="61">
        <f>(H8-F8)*100/F8</f>
        <v>1.0699999999999932</v>
      </c>
      <c r="L8" s="60" t="s">
        <v>67</v>
      </c>
      <c r="M8" s="78" t="s">
        <v>215</v>
      </c>
      <c r="O8" s="63">
        <v>45414.480555555558</v>
      </c>
      <c r="P8" s="64" t="s">
        <v>70</v>
      </c>
      <c r="Q8" s="64">
        <v>4745.92</v>
      </c>
      <c r="R8" s="64">
        <v>3623.03</v>
      </c>
      <c r="S8" s="77" t="s">
        <v>243</v>
      </c>
      <c r="T8" s="77">
        <v>831.71</v>
      </c>
      <c r="U8" s="86">
        <v>0.90610000000000002</v>
      </c>
      <c r="V8" s="86">
        <v>0.90969999999999995</v>
      </c>
      <c r="W8" s="60" t="s">
        <v>67</v>
      </c>
      <c r="X8" s="78" t="s">
        <v>215</v>
      </c>
    </row>
    <row r="9" spans="2:24" ht="15.75" x14ac:dyDescent="0.25">
      <c r="B9" s="63">
        <v>45425.46875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203.15</v>
      </c>
      <c r="I9" s="60">
        <v>0</v>
      </c>
      <c r="J9" s="61">
        <f t="shared" ref="J9:J14" si="0">F9/H9</f>
        <v>0.98449421609648036</v>
      </c>
      <c r="K9" s="61">
        <f t="shared" ref="K9:K14" si="1">(H9-F9)*100/F9</f>
        <v>1.5750000000000028</v>
      </c>
      <c r="L9" s="60" t="s">
        <v>67</v>
      </c>
      <c r="M9" s="62" t="s">
        <v>215</v>
      </c>
      <c r="O9" s="63">
        <v>45425.447916666664</v>
      </c>
      <c r="P9" s="64" t="s">
        <v>70</v>
      </c>
      <c r="Q9" s="64">
        <v>4703.1899999999996</v>
      </c>
      <c r="R9" s="64">
        <v>3573.97</v>
      </c>
      <c r="S9" s="77" t="s">
        <v>243</v>
      </c>
      <c r="T9" s="77">
        <v>842.18</v>
      </c>
      <c r="U9" s="86">
        <v>0.90969999999999995</v>
      </c>
      <c r="V9" s="86">
        <v>0.90190000000000003</v>
      </c>
      <c r="W9" s="60" t="s">
        <v>67</v>
      </c>
      <c r="X9" s="62" t="s">
        <v>215</v>
      </c>
    </row>
    <row r="10" spans="2:24" ht="15.75" x14ac:dyDescent="0.25">
      <c r="B10" s="63">
        <v>45436.5625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201.46</v>
      </c>
      <c r="I10" s="60">
        <v>0</v>
      </c>
      <c r="J10" s="61">
        <f t="shared" si="0"/>
        <v>0.99275290380224357</v>
      </c>
      <c r="K10" s="61">
        <f t="shared" si="1"/>
        <v>0.73000000000000398</v>
      </c>
      <c r="L10" s="60" t="s">
        <v>67</v>
      </c>
      <c r="M10" s="62" t="s">
        <v>215</v>
      </c>
      <c r="O10" s="63">
        <v>45436.476388888892</v>
      </c>
      <c r="P10" s="64" t="s">
        <v>70</v>
      </c>
      <c r="Q10" s="64">
        <v>4376.6899999999996</v>
      </c>
      <c r="R10" s="64">
        <v>3308.56</v>
      </c>
      <c r="S10" s="77" t="s">
        <v>243</v>
      </c>
      <c r="T10" s="77">
        <v>844.84</v>
      </c>
      <c r="U10" s="86">
        <v>0.90190000000000003</v>
      </c>
      <c r="V10" s="86">
        <v>0.89139999999999997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243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243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3</v>
      </c>
      <c r="J21" s="46"/>
      <c r="K21" s="46"/>
      <c r="L21" s="47"/>
      <c r="M21" s="48"/>
      <c r="O21" s="80"/>
      <c r="P21" s="227" t="s">
        <v>84</v>
      </c>
      <c r="Q21" s="227"/>
      <c r="R21" s="227"/>
      <c r="S21" s="227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4" t="s">
        <v>2</v>
      </c>
      <c r="H24" s="224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45414.614583333336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201.541</v>
      </c>
      <c r="I27" s="60">
        <v>0</v>
      </c>
      <c r="J27" s="61">
        <f>F27/H27</f>
        <v>0.99235391309956789</v>
      </c>
      <c r="K27" s="61">
        <f>(H27-F27)*100/F27</f>
        <v>0.77049999999999841</v>
      </c>
      <c r="L27" s="60" t="s">
        <v>67</v>
      </c>
      <c r="M27" s="78" t="s">
        <v>215</v>
      </c>
      <c r="O27" s="63">
        <v>45414.607638888891</v>
      </c>
      <c r="P27" s="64" t="s">
        <v>71</v>
      </c>
      <c r="Q27" s="64">
        <v>5114.5200000000004</v>
      </c>
      <c r="R27" s="64">
        <v>3783.17</v>
      </c>
      <c r="S27" s="77" t="s">
        <v>243</v>
      </c>
      <c r="T27" s="77">
        <v>827.98</v>
      </c>
      <c r="U27" s="86">
        <v>0.80800000000000005</v>
      </c>
      <c r="V27" s="86">
        <v>0.82650000000000001</v>
      </c>
      <c r="W27" s="60" t="s">
        <v>67</v>
      </c>
      <c r="X27" s="78" t="s">
        <v>215</v>
      </c>
    </row>
    <row r="28" spans="2:24" s="24" customFormat="1" ht="15.75" x14ac:dyDescent="0.25">
      <c r="B28" s="63">
        <v>45425.541666666664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204.13</v>
      </c>
      <c r="I28" s="60">
        <v>0</v>
      </c>
      <c r="J28" s="61">
        <f t="shared" ref="J28:J33" si="2">F28/H28</f>
        <v>0.97976779503257727</v>
      </c>
      <c r="K28" s="61">
        <f t="shared" ref="K28:K33" si="3">(H28-F28)*100/F28</f>
        <v>2.0649999999999977</v>
      </c>
      <c r="L28" s="60" t="s">
        <v>67</v>
      </c>
      <c r="M28" s="62" t="s">
        <v>239</v>
      </c>
      <c r="O28" s="63">
        <v>45425.447916666664</v>
      </c>
      <c r="P28" s="64" t="s">
        <v>71</v>
      </c>
      <c r="Q28" s="64">
        <v>5088.8</v>
      </c>
      <c r="R28" s="64">
        <v>3898.61</v>
      </c>
      <c r="S28" s="77" t="s">
        <v>243</v>
      </c>
      <c r="T28" s="77">
        <v>73910</v>
      </c>
      <c r="U28" s="86">
        <v>0.82650000000000001</v>
      </c>
      <c r="V28" s="86">
        <v>0.94720000000000004</v>
      </c>
      <c r="W28" s="60" t="s">
        <v>67</v>
      </c>
      <c r="X28" s="62" t="s">
        <v>215</v>
      </c>
    </row>
    <row r="29" spans="2:24" s="24" customFormat="1" ht="15.75" x14ac:dyDescent="0.25">
      <c r="B29" s="63">
        <v>45436.53125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203.25</v>
      </c>
      <c r="I29" s="60">
        <v>0</v>
      </c>
      <c r="J29" s="61">
        <f t="shared" si="2"/>
        <v>0.98400984009840098</v>
      </c>
      <c r="K29" s="61">
        <f t="shared" si="3"/>
        <v>1.625</v>
      </c>
      <c r="L29" s="60" t="s">
        <v>67</v>
      </c>
      <c r="M29" s="62" t="s">
        <v>240</v>
      </c>
      <c r="O29" s="63">
        <v>45436.476388888892</v>
      </c>
      <c r="P29" s="64" t="s">
        <v>71</v>
      </c>
      <c r="Q29" s="64">
        <v>5246.94</v>
      </c>
      <c r="R29" s="64">
        <v>4003.11</v>
      </c>
      <c r="S29" s="77" t="s">
        <v>243</v>
      </c>
      <c r="T29" s="77">
        <v>858.46</v>
      </c>
      <c r="U29" s="86">
        <v>0.94720000000000004</v>
      </c>
      <c r="V29" s="86">
        <v>0.93459999999999999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240</v>
      </c>
      <c r="O30" s="63"/>
      <c r="P30" s="64" t="s">
        <v>71</v>
      </c>
      <c r="Q30" s="64"/>
      <c r="R30" s="64"/>
      <c r="S30" s="77" t="s">
        <v>243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7" t="s">
        <v>85</v>
      </c>
      <c r="Q40" s="227"/>
      <c r="R40" s="227"/>
      <c r="S40" s="227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4" t="s">
        <v>23</v>
      </c>
      <c r="H44" s="224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239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4" t="s">
        <v>3</v>
      </c>
      <c r="H64" s="224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45414.62777777778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5.1340000000000003</v>
      </c>
      <c r="I67" s="60">
        <v>0</v>
      </c>
      <c r="J67" s="61">
        <f>F67/H67</f>
        <v>0.97389949357226324</v>
      </c>
      <c r="K67" s="61">
        <f>(H67-F67)*100/F67</f>
        <v>2.6800000000000068</v>
      </c>
      <c r="L67" s="60" t="s">
        <v>67</v>
      </c>
      <c r="M67" s="78" t="s">
        <v>239</v>
      </c>
    </row>
    <row r="68" spans="2:13" ht="15.75" x14ac:dyDescent="0.25">
      <c r="B68" s="63">
        <v>45425.559027777781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240</v>
      </c>
    </row>
    <row r="69" spans="2:13" ht="15.75" x14ac:dyDescent="0.25">
      <c r="B69" s="63">
        <v>45436.576388888891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4.9909999999999997</v>
      </c>
      <c r="I69" s="60">
        <v>0</v>
      </c>
      <c r="J69" s="61">
        <f t="shared" si="4"/>
        <v>1.0018032458425166</v>
      </c>
      <c r="K69" s="61">
        <f t="shared" si="5"/>
        <v>-0.18000000000000682</v>
      </c>
      <c r="L69" s="60" t="s">
        <v>67</v>
      </c>
      <c r="M69" s="62" t="s">
        <v>240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4" t="s">
        <v>24</v>
      </c>
      <c r="H84" s="224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6" t="s">
        <v>4</v>
      </c>
      <c r="H104" s="226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239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240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240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0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8" t="s">
        <v>242</v>
      </c>
      <c r="C2" s="228"/>
      <c r="D2" s="229">
        <v>45017</v>
      </c>
      <c r="E2" s="229"/>
    </row>
    <row r="3" spans="1:5" x14ac:dyDescent="0.25">
      <c r="B3" s="228" t="s">
        <v>21</v>
      </c>
      <c r="C3" s="228"/>
      <c r="D3" s="229"/>
      <c r="E3" s="229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0" t="s">
        <v>22</v>
      </c>
      <c r="C44" s="230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1" t="s">
        <v>219</v>
      </c>
      <c r="C2" s="231"/>
      <c r="D2" s="231"/>
      <c r="E2" s="231"/>
      <c r="F2" s="232">
        <v>44713</v>
      </c>
      <c r="G2" s="233"/>
      <c r="H2" s="233"/>
    </row>
    <row r="3" spans="2:24" s="12" customFormat="1" ht="15" customHeight="1" x14ac:dyDescent="0.25">
      <c r="B3" s="231"/>
      <c r="C3" s="231"/>
      <c r="D3" s="231"/>
      <c r="E3" s="231"/>
      <c r="F3" s="233"/>
      <c r="G3" s="233"/>
      <c r="H3" s="233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4" t="s">
        <v>4</v>
      </c>
      <c r="C12" s="236" t="s">
        <v>133</v>
      </c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127"/>
      <c r="U12" s="125"/>
    </row>
    <row r="13" spans="2:24" ht="15" customHeight="1" x14ac:dyDescent="0.25">
      <c r="B13" s="235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5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5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5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5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5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0" t="s">
        <v>133</v>
      </c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2"/>
      <c r="S25" s="188"/>
      <c r="T25" s="189"/>
    </row>
    <row r="26" spans="2:28" ht="15" customHeight="1" x14ac:dyDescent="0.3">
      <c r="B26" s="238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8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8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9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6" t="s">
        <v>3</v>
      </c>
      <c r="C36" s="248" t="s">
        <v>133</v>
      </c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9"/>
    </row>
    <row r="37" spans="2:25" ht="15.75" customHeight="1" x14ac:dyDescent="0.25">
      <c r="B37" s="247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7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7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0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1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1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1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8" t="s">
        <v>184</v>
      </c>
      <c r="C61" s="240" t="s">
        <v>133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2"/>
      <c r="S61" s="166"/>
      <c r="T61" s="167"/>
    </row>
    <row r="62" spans="2:20" ht="15.75" x14ac:dyDescent="0.3">
      <c r="B62" s="238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2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2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9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8" t="s">
        <v>201</v>
      </c>
      <c r="C69" s="240" t="s">
        <v>133</v>
      </c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2"/>
      <c r="S69" s="166"/>
      <c r="T69" s="167"/>
    </row>
    <row r="70" spans="2:20" ht="15.75" x14ac:dyDescent="0.3">
      <c r="B70" s="238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8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2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9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3" t="s">
        <v>24</v>
      </c>
      <c r="C77" s="242" t="s">
        <v>133</v>
      </c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177"/>
      <c r="S77" s="177"/>
      <c r="T77" s="178"/>
    </row>
    <row r="78" spans="2:20" x14ac:dyDescent="0.25">
      <c r="B78" s="244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4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4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2024-08-28T13:22:22Z</dcterms:modified>
</cp:coreProperties>
</file>