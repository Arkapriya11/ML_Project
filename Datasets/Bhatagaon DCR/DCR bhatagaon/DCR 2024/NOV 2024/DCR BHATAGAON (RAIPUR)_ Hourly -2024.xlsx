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</sheets>
  <calcPr calcId="144525"/>
</workbook>
</file>

<file path=xl/calcChain.xml><?xml version="1.0" encoding="utf-8"?>
<calcChain xmlns="http://schemas.openxmlformats.org/spreadsheetml/2006/main">
  <c r="C44" i="39" l="1"/>
  <c r="D44" i="39"/>
  <c r="B44" i="39"/>
  <c r="C38" i="41"/>
  <c r="D38" i="41"/>
  <c r="B38" i="41"/>
  <c r="C38" i="40"/>
  <c r="D38" i="40"/>
  <c r="B38" i="40"/>
  <c r="C38" i="33"/>
  <c r="D38" i="33"/>
  <c r="B38" i="33"/>
  <c r="Q38" i="32"/>
  <c r="K38" i="32"/>
  <c r="L38" i="32"/>
  <c r="M38" i="32"/>
  <c r="N38" i="32"/>
  <c r="O38" i="32"/>
  <c r="P38" i="32"/>
  <c r="J38" i="32"/>
  <c r="I38" i="32"/>
  <c r="G38" i="32"/>
  <c r="H38" i="32"/>
  <c r="F38" i="32"/>
  <c r="E38" i="32"/>
  <c r="C38" i="32"/>
  <c r="D38" i="32"/>
  <c r="B38" i="32"/>
  <c r="H38" i="30"/>
  <c r="G38" i="30"/>
  <c r="G38" i="29"/>
  <c r="H38" i="23"/>
  <c r="G38" i="23"/>
  <c r="N17" i="39" l="1"/>
  <c r="O17" i="39"/>
  <c r="P17" i="39"/>
  <c r="N15" i="39"/>
  <c r="O15" i="39"/>
  <c r="P15" i="39"/>
  <c r="H38" i="22"/>
  <c r="H38" i="21"/>
  <c r="H38" i="20"/>
  <c r="H38" i="19"/>
  <c r="H38" i="17"/>
  <c r="H38" i="9"/>
  <c r="G38" i="9"/>
  <c r="H38" i="2"/>
  <c r="G38" i="2"/>
  <c r="B2" i="20" l="1"/>
  <c r="M38" i="39"/>
  <c r="F38" i="39"/>
  <c r="O36" i="39"/>
  <c r="H36" i="39"/>
  <c r="E36" i="39"/>
  <c r="L32" i="39"/>
  <c r="I32" i="39"/>
  <c r="C32" i="39"/>
  <c r="K31" i="39"/>
  <c r="J31" i="39"/>
  <c r="N30" i="39"/>
  <c r="E30" i="39"/>
  <c r="O29" i="39"/>
  <c r="L29" i="39"/>
  <c r="F29" i="39"/>
  <c r="N28" i="39"/>
  <c r="M28" i="39"/>
  <c r="Q27" i="39"/>
  <c r="N27" i="39"/>
  <c r="A27" i="39"/>
  <c r="P25" i="39"/>
  <c r="A23" i="39"/>
  <c r="C22" i="39"/>
  <c r="G18" i="39"/>
  <c r="H17" i="39"/>
  <c r="J15" i="39"/>
  <c r="L14" i="39"/>
  <c r="K14" i="39"/>
  <c r="L13" i="39"/>
  <c r="M12" i="39"/>
  <c r="N11" i="39"/>
  <c r="O10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40" i="41"/>
  <c r="C40" i="41"/>
  <c r="B40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E36" i="41"/>
  <c r="E38" i="39" s="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40" i="40"/>
  <c r="C40" i="40"/>
  <c r="B40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E37" i="39" s="1"/>
  <c r="D36" i="40"/>
  <c r="C36" i="40"/>
  <c r="B36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40" i="33"/>
  <c r="C40" i="33"/>
  <c r="B40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G36" i="33"/>
  <c r="G36" i="39" s="1"/>
  <c r="F36" i="33"/>
  <c r="F36" i="39" s="1"/>
  <c r="E36" i="33"/>
  <c r="D36" i="33"/>
  <c r="C36" i="33"/>
  <c r="B36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40" i="32"/>
  <c r="P40" i="32"/>
  <c r="O40" i="32"/>
  <c r="N40" i="32"/>
  <c r="M40" i="32"/>
  <c r="L40" i="32"/>
  <c r="K40" i="32"/>
  <c r="J40" i="32"/>
  <c r="I40" i="32"/>
  <c r="H40" i="32"/>
  <c r="G40" i="32"/>
  <c r="F40" i="32"/>
  <c r="E39" i="32"/>
  <c r="D40" i="32"/>
  <c r="C40" i="32"/>
  <c r="B40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J39" i="30"/>
  <c r="I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40" i="30"/>
  <c r="G40" i="30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H40" i="29"/>
  <c r="H39" i="29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38" i="29"/>
  <c r="G40" i="29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K36" i="29"/>
  <c r="K32" i="39" s="1"/>
  <c r="J36" i="29"/>
  <c r="J32" i="39" s="1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H40" i="28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39" i="28" s="1"/>
  <c r="H38" i="28"/>
  <c r="H39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39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9" i="26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39" i="26" s="1"/>
  <c r="I38" i="26"/>
  <c r="I40" i="26" s="1"/>
  <c r="H38" i="26"/>
  <c r="H40" i="26" s="1"/>
  <c r="G38" i="26"/>
  <c r="G39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N36" i="26"/>
  <c r="N29" i="39" s="1"/>
  <c r="M36" i="26"/>
  <c r="M29" i="39" s="1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39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39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40" i="23"/>
  <c r="G40" i="23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O40" i="22"/>
  <c r="Q38" i="22"/>
  <c r="Q40" i="22" s="1"/>
  <c r="P38" i="22"/>
  <c r="P40" i="22" s="1"/>
  <c r="O38" i="22"/>
  <c r="O39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40" i="22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40" i="2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40" i="20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40" i="19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39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39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40" i="17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39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G39" i="14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39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39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H39" i="10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39" i="9" s="1"/>
  <c r="H40" i="9"/>
  <c r="G40" i="9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J39" i="8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40" i="2"/>
  <c r="G40" i="2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B39" i="41" l="1"/>
  <c r="C39" i="41"/>
  <c r="D39" i="41"/>
  <c r="F39" i="41"/>
  <c r="G39" i="41"/>
  <c r="H39" i="41"/>
  <c r="E39" i="41"/>
  <c r="I39" i="41"/>
  <c r="J39" i="41"/>
  <c r="K39" i="41"/>
  <c r="L39" i="41"/>
  <c r="M39" i="41"/>
  <c r="N39" i="41"/>
  <c r="O39" i="41"/>
  <c r="P39" i="41"/>
  <c r="Q39" i="41"/>
  <c r="D39" i="40"/>
  <c r="E39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B39" i="40"/>
  <c r="C39" i="40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B39" i="33"/>
  <c r="F39" i="32"/>
  <c r="G39" i="32"/>
  <c r="H39" i="32"/>
  <c r="I39" i="32"/>
  <c r="J39" i="32"/>
  <c r="K39" i="32"/>
  <c r="L39" i="32"/>
  <c r="E40" i="32"/>
  <c r="M39" i="32"/>
  <c r="N39" i="32"/>
  <c r="O39" i="32"/>
  <c r="P39" i="32"/>
  <c r="Q39" i="32"/>
  <c r="B39" i="32"/>
  <c r="C39" i="32"/>
  <c r="D39" i="32"/>
  <c r="I39" i="31"/>
  <c r="G39" i="31"/>
  <c r="H39" i="31"/>
  <c r="J39" i="31"/>
  <c r="K39" i="31"/>
  <c r="L39" i="31"/>
  <c r="M39" i="31"/>
  <c r="N39" i="31"/>
  <c r="O39" i="31"/>
  <c r="P39" i="31"/>
  <c r="Q39" i="31"/>
  <c r="B39" i="31"/>
  <c r="C39" i="31"/>
  <c r="D39" i="31"/>
  <c r="E39" i="31"/>
  <c r="F39" i="31"/>
  <c r="K39" i="30"/>
  <c r="L39" i="30"/>
  <c r="M39" i="30"/>
  <c r="N39" i="30"/>
  <c r="O39" i="30"/>
  <c r="P39" i="30"/>
  <c r="Q39" i="30"/>
  <c r="B39" i="30"/>
  <c r="C39" i="30"/>
  <c r="D39" i="30"/>
  <c r="E39" i="30"/>
  <c r="F39" i="30"/>
  <c r="G39" i="30"/>
  <c r="H39" i="30"/>
  <c r="I39" i="29"/>
  <c r="J39" i="29"/>
  <c r="K39" i="29"/>
  <c r="L39" i="29"/>
  <c r="M39" i="29"/>
  <c r="N39" i="29"/>
  <c r="O39" i="29"/>
  <c r="P39" i="29"/>
  <c r="Q39" i="29"/>
  <c r="B39" i="29"/>
  <c r="C39" i="29"/>
  <c r="D39" i="29"/>
  <c r="E39" i="29"/>
  <c r="F39" i="29"/>
  <c r="G39" i="29"/>
  <c r="J39" i="28"/>
  <c r="K39" i="28"/>
  <c r="L39" i="28"/>
  <c r="M39" i="28"/>
  <c r="N39" i="28"/>
  <c r="O39" i="28"/>
  <c r="P39" i="28"/>
  <c r="Q39" i="28"/>
  <c r="I40" i="28"/>
  <c r="B39" i="28"/>
  <c r="C39" i="28"/>
  <c r="D39" i="28"/>
  <c r="E39" i="28"/>
  <c r="F39" i="28"/>
  <c r="G39" i="28"/>
  <c r="H39" i="27"/>
  <c r="I39" i="27"/>
  <c r="J39" i="27"/>
  <c r="K40" i="27"/>
  <c r="L39" i="27"/>
  <c r="M39" i="27"/>
  <c r="N39" i="27"/>
  <c r="O39" i="27"/>
  <c r="P39" i="27"/>
  <c r="Q39" i="27"/>
  <c r="B39" i="27"/>
  <c r="C39" i="27"/>
  <c r="D39" i="27"/>
  <c r="E39" i="27"/>
  <c r="F39" i="27"/>
  <c r="G39" i="27"/>
  <c r="G40" i="26"/>
  <c r="H39" i="26"/>
  <c r="I39" i="26"/>
  <c r="J40" i="26"/>
  <c r="K39" i="26"/>
  <c r="L39" i="26"/>
  <c r="M39" i="26"/>
  <c r="N39" i="26"/>
  <c r="O39" i="26"/>
  <c r="P39" i="26"/>
  <c r="B39" i="26"/>
  <c r="C39" i="26"/>
  <c r="D39" i="26"/>
  <c r="E39" i="26"/>
  <c r="F39" i="26"/>
  <c r="I39" i="25"/>
  <c r="G39" i="25"/>
  <c r="J39" i="25"/>
  <c r="K39" i="25"/>
  <c r="L39" i="25"/>
  <c r="M39" i="25"/>
  <c r="N39" i="25"/>
  <c r="O39" i="25"/>
  <c r="P39" i="25"/>
  <c r="Q39" i="25"/>
  <c r="B39" i="25"/>
  <c r="H40" i="25"/>
  <c r="C39" i="25"/>
  <c r="D39" i="25"/>
  <c r="E39" i="25"/>
  <c r="F39" i="25"/>
  <c r="F40" i="24"/>
  <c r="G39" i="24"/>
  <c r="H39" i="24"/>
  <c r="I39" i="24"/>
  <c r="J39" i="24"/>
  <c r="K39" i="24"/>
  <c r="L39" i="24"/>
  <c r="M39" i="24"/>
  <c r="N39" i="24"/>
  <c r="O39" i="24"/>
  <c r="Q39" i="24"/>
  <c r="P39" i="24"/>
  <c r="B39" i="24"/>
  <c r="C39" i="24"/>
  <c r="D39" i="24"/>
  <c r="E39" i="24"/>
  <c r="I39" i="23"/>
  <c r="J39" i="23"/>
  <c r="K39" i="23"/>
  <c r="H39" i="23"/>
  <c r="L39" i="23"/>
  <c r="M39" i="23"/>
  <c r="N39" i="23"/>
  <c r="O39" i="23"/>
  <c r="P39" i="23"/>
  <c r="Q39" i="23"/>
  <c r="B39" i="23"/>
  <c r="C39" i="23"/>
  <c r="D39" i="23"/>
  <c r="E39" i="23"/>
  <c r="F39" i="23"/>
  <c r="G39" i="23"/>
  <c r="P39" i="22"/>
  <c r="Q39" i="22"/>
  <c r="B39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C39" i="21"/>
  <c r="D39" i="21"/>
  <c r="E39" i="21"/>
  <c r="F39" i="21"/>
  <c r="G39" i="21"/>
  <c r="B39" i="21"/>
  <c r="H39" i="21"/>
  <c r="I39" i="21"/>
  <c r="J39" i="21"/>
  <c r="K39" i="21"/>
  <c r="L39" i="21"/>
  <c r="Q39" i="21"/>
  <c r="M39" i="21"/>
  <c r="N39" i="21"/>
  <c r="O39" i="21"/>
  <c r="P39" i="21"/>
  <c r="C39" i="20"/>
  <c r="D39" i="20"/>
  <c r="E39" i="20"/>
  <c r="F39" i="20"/>
  <c r="G39" i="20"/>
  <c r="H39" i="20"/>
  <c r="I39" i="20"/>
  <c r="J39" i="20"/>
  <c r="K39" i="20"/>
  <c r="L39" i="20"/>
  <c r="M39" i="20"/>
  <c r="N39" i="20"/>
  <c r="B39" i="20"/>
  <c r="O39" i="20"/>
  <c r="P39" i="20"/>
  <c r="Q39" i="20"/>
  <c r="C39" i="19"/>
  <c r="D39" i="19"/>
  <c r="E39" i="19"/>
  <c r="B40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E39" i="18"/>
  <c r="F39" i="18"/>
  <c r="G39" i="18"/>
  <c r="H39" i="18"/>
  <c r="I39" i="18"/>
  <c r="J39" i="18"/>
  <c r="K39" i="18"/>
  <c r="L39" i="18"/>
  <c r="M39" i="18"/>
  <c r="D40" i="18"/>
  <c r="N39" i="18"/>
  <c r="O39" i="18"/>
  <c r="P39" i="18"/>
  <c r="Q39" i="18"/>
  <c r="B39" i="18"/>
  <c r="C39" i="18"/>
  <c r="F39" i="17"/>
  <c r="G39" i="17"/>
  <c r="H39" i="17"/>
  <c r="I39" i="17"/>
  <c r="J39" i="17"/>
  <c r="K39" i="17"/>
  <c r="L39" i="17"/>
  <c r="M39" i="17"/>
  <c r="N39" i="17"/>
  <c r="O39" i="17"/>
  <c r="P39" i="17"/>
  <c r="Q39" i="17"/>
  <c r="B39" i="17"/>
  <c r="C39" i="17"/>
  <c r="D39" i="17"/>
  <c r="E39" i="17"/>
  <c r="H39" i="16"/>
  <c r="I39" i="16"/>
  <c r="J39" i="16"/>
  <c r="K39" i="16"/>
  <c r="L39" i="16"/>
  <c r="M39" i="16"/>
  <c r="N39" i="16"/>
  <c r="O39" i="16"/>
  <c r="P39" i="16"/>
  <c r="Q39" i="16"/>
  <c r="B39" i="16"/>
  <c r="C39" i="16"/>
  <c r="D39" i="16"/>
  <c r="E39" i="16"/>
  <c r="F39" i="16"/>
  <c r="G39" i="16"/>
  <c r="J39" i="15"/>
  <c r="K39" i="15"/>
  <c r="L39" i="15"/>
  <c r="M39" i="15"/>
  <c r="N39" i="15"/>
  <c r="O39" i="15"/>
  <c r="P39" i="15"/>
  <c r="Q39" i="15"/>
  <c r="I40" i="15"/>
  <c r="B39" i="15"/>
  <c r="C39" i="15"/>
  <c r="D39" i="15"/>
  <c r="E39" i="15"/>
  <c r="F39" i="15"/>
  <c r="G39" i="15"/>
  <c r="H39" i="15"/>
  <c r="H39" i="14"/>
  <c r="I39" i="14"/>
  <c r="J39" i="14"/>
  <c r="K39" i="14"/>
  <c r="L39" i="14"/>
  <c r="M39" i="14"/>
  <c r="N39" i="14"/>
  <c r="O39" i="14"/>
  <c r="P39" i="14"/>
  <c r="Q39" i="14"/>
  <c r="B39" i="14"/>
  <c r="C39" i="14"/>
  <c r="D39" i="14"/>
  <c r="E39" i="14"/>
  <c r="F39" i="14"/>
  <c r="I40" i="13"/>
  <c r="J39" i="13"/>
  <c r="K39" i="13"/>
  <c r="L39" i="13"/>
  <c r="M39" i="13"/>
  <c r="N39" i="13"/>
  <c r="O39" i="13"/>
  <c r="P39" i="13"/>
  <c r="Q39" i="13"/>
  <c r="B39" i="13"/>
  <c r="C39" i="13"/>
  <c r="D39" i="13"/>
  <c r="E39" i="13"/>
  <c r="F39" i="13"/>
  <c r="G39" i="13"/>
  <c r="H39" i="13"/>
  <c r="H39" i="12"/>
  <c r="I39" i="12"/>
  <c r="G39" i="12"/>
  <c r="J39" i="12"/>
  <c r="K39" i="12"/>
  <c r="L39" i="12"/>
  <c r="M39" i="12"/>
  <c r="N39" i="12"/>
  <c r="O39" i="12"/>
  <c r="P39" i="12"/>
  <c r="Q39" i="12"/>
  <c r="B39" i="12"/>
  <c r="C39" i="12"/>
  <c r="D39" i="12"/>
  <c r="E39" i="12"/>
  <c r="F39" i="12"/>
  <c r="I39" i="11"/>
  <c r="G40" i="11"/>
  <c r="J39" i="11"/>
  <c r="K39" i="11"/>
  <c r="L39" i="11"/>
  <c r="M39" i="11"/>
  <c r="N39" i="11"/>
  <c r="O39" i="11"/>
  <c r="P39" i="11"/>
  <c r="Q39" i="11"/>
  <c r="H39" i="11"/>
  <c r="B39" i="11"/>
  <c r="C39" i="11"/>
  <c r="D39" i="11"/>
  <c r="E39" i="11"/>
  <c r="F39" i="11"/>
  <c r="I39" i="10"/>
  <c r="J39" i="10"/>
  <c r="K39" i="10"/>
  <c r="L39" i="10"/>
  <c r="M39" i="10"/>
  <c r="N39" i="10"/>
  <c r="O39" i="10"/>
  <c r="P39" i="10"/>
  <c r="Q39" i="10"/>
  <c r="B39" i="10"/>
  <c r="C39" i="10"/>
  <c r="D39" i="10"/>
  <c r="E39" i="10"/>
  <c r="F39" i="10"/>
  <c r="G39" i="10"/>
  <c r="I40" i="9"/>
  <c r="J39" i="9"/>
  <c r="K39" i="9"/>
  <c r="L39" i="9"/>
  <c r="M39" i="9"/>
  <c r="N39" i="9"/>
  <c r="O39" i="9"/>
  <c r="P39" i="9"/>
  <c r="Q39" i="9"/>
  <c r="B39" i="9"/>
  <c r="C39" i="9"/>
  <c r="D39" i="9"/>
  <c r="E39" i="9"/>
  <c r="F39" i="9"/>
  <c r="G39" i="9"/>
  <c r="H39" i="9"/>
  <c r="K39" i="8"/>
  <c r="L39" i="8"/>
  <c r="M39" i="8"/>
  <c r="N39" i="8"/>
  <c r="O39" i="8"/>
  <c r="P39" i="8"/>
  <c r="Q39" i="8"/>
  <c r="B39" i="8"/>
  <c r="C39" i="8"/>
  <c r="D39" i="8"/>
  <c r="E39" i="8"/>
  <c r="F39" i="8"/>
  <c r="G39" i="8"/>
  <c r="H39" i="8"/>
  <c r="I39" i="8"/>
  <c r="K39" i="3"/>
  <c r="L39" i="3"/>
  <c r="M39" i="3"/>
  <c r="N39" i="3"/>
  <c r="O39" i="3"/>
  <c r="P39" i="3"/>
  <c r="Q39" i="3"/>
  <c r="B39" i="3"/>
  <c r="C39" i="3"/>
  <c r="D39" i="3"/>
  <c r="E39" i="3"/>
  <c r="F39" i="3"/>
  <c r="G39" i="3"/>
  <c r="H39" i="3"/>
  <c r="I39" i="3"/>
  <c r="J39" i="3"/>
  <c r="L44" i="39"/>
  <c r="L43" i="39"/>
  <c r="L42" i="39"/>
  <c r="L41" i="39"/>
  <c r="L40" i="39"/>
  <c r="M44" i="39"/>
  <c r="M43" i="39"/>
  <c r="M42" i="39"/>
  <c r="M41" i="39"/>
  <c r="M40" i="39"/>
  <c r="N44" i="39"/>
  <c r="N43" i="39"/>
  <c r="N42" i="39"/>
  <c r="N41" i="39"/>
  <c r="N40" i="39"/>
  <c r="O44" i="39"/>
  <c r="O43" i="39"/>
  <c r="O42" i="39"/>
  <c r="O41" i="39"/>
  <c r="O40" i="39"/>
  <c r="P44" i="39"/>
  <c r="P43" i="39"/>
  <c r="P42" i="39"/>
  <c r="P41" i="39"/>
  <c r="P40" i="39"/>
  <c r="Q44" i="39"/>
  <c r="Q43" i="39"/>
  <c r="Q42" i="39"/>
  <c r="Q41" i="39"/>
  <c r="Q40" i="39"/>
  <c r="B43" i="39"/>
  <c r="B42" i="39"/>
  <c r="B41" i="39"/>
  <c r="B40" i="39"/>
  <c r="C43" i="39"/>
  <c r="C42" i="39"/>
  <c r="C41" i="39"/>
  <c r="C40" i="39"/>
  <c r="D43" i="39"/>
  <c r="D42" i="39"/>
  <c r="D41" i="39"/>
  <c r="D40" i="39"/>
  <c r="E44" i="39"/>
  <c r="E43" i="39"/>
  <c r="E42" i="39"/>
  <c r="E41" i="39"/>
  <c r="E40" i="39"/>
  <c r="F44" i="39"/>
  <c r="F43" i="39"/>
  <c r="F42" i="39"/>
  <c r="F41" i="39"/>
  <c r="F40" i="39"/>
  <c r="G44" i="39"/>
  <c r="G43" i="39"/>
  <c r="G42" i="39"/>
  <c r="G41" i="39"/>
  <c r="G40" i="39"/>
  <c r="H44" i="39"/>
  <c r="H43" i="39"/>
  <c r="H42" i="39"/>
  <c r="H41" i="39"/>
  <c r="H40" i="39"/>
  <c r="J44" i="39"/>
  <c r="J43" i="39"/>
  <c r="J42" i="39"/>
  <c r="J41" i="39"/>
  <c r="J40" i="39"/>
  <c r="I44" i="39"/>
  <c r="I43" i="39"/>
  <c r="I42" i="39"/>
  <c r="I41" i="39"/>
  <c r="I40" i="39"/>
  <c r="K44" i="39"/>
  <c r="K43" i="39"/>
  <c r="K42" i="39"/>
  <c r="K41" i="39"/>
  <c r="K40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H46" i="39" l="1"/>
  <c r="H45" i="39"/>
  <c r="N46" i="39"/>
  <c r="N45" i="39"/>
  <c r="Q46" i="39"/>
  <c r="Q45" i="39"/>
  <c r="D46" i="39"/>
  <c r="D45" i="39"/>
  <c r="E46" i="39"/>
  <c r="E45" i="39"/>
  <c r="G46" i="39"/>
  <c r="G45" i="39"/>
  <c r="O46" i="39"/>
  <c r="O45" i="39"/>
  <c r="I46" i="39"/>
  <c r="I45" i="39"/>
  <c r="B46" i="39"/>
  <c r="B45" i="39"/>
  <c r="M46" i="39"/>
  <c r="M45" i="39"/>
  <c r="P46" i="39"/>
  <c r="P45" i="39"/>
  <c r="C46" i="39"/>
  <c r="C45" i="39"/>
  <c r="F46" i="39"/>
  <c r="F45" i="39"/>
  <c r="J46" i="39"/>
  <c r="J45" i="39"/>
  <c r="K46" i="39"/>
  <c r="K45" i="39"/>
  <c r="L46" i="39"/>
  <c r="L45" i="39"/>
</calcChain>
</file>

<file path=xl/sharedStrings.xml><?xml version="1.0" encoding="utf-8"?>
<sst xmlns="http://schemas.openxmlformats.org/spreadsheetml/2006/main" count="3134" uniqueCount="781">
  <si>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</si>
  <si>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</si>
  <si>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</si>
  <si>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</si>
  <si>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</si>
  <si>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</si>
  <si>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</si>
  <si>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</si>
  <si>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</si>
  <si>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</si>
  <si>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</si>
  <si>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</si>
  <si>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</si>
  <si>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</si>
  <si>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</si>
  <si>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</si>
  <si>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</si>
  <si>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</si>
  <si>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</si>
  <si>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</si>
  <si>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</si>
  <si>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</si>
  <si>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</si>
  <si>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</si>
  <si>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</si>
  <si>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</si>
  <si>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</si>
  <si>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</si>
  <si>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</si>
  <si>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</si>
  <si>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</si>
  <si>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</si>
  <si>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</si>
  <si>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</si>
  <si>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</si>
  <si>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</si>
  <si>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</si>
  <si>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</si>
  <si>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</si>
  <si>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</si>
  <si>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</si>
  <si>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</si>
  <si>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</si>
  <si>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</si>
  <si>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</si>
  <si>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</si>
  <si>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</si>
  <si>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</si>
  <si>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</si>
  <si>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</si>
  <si>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</si>
  <si>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</si>
  <si>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</si>
  <si>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</si>
  <si>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</si>
  <si>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</si>
  <si>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</si>
  <si>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</si>
  <si>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</si>
  <si>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</si>
  <si>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01/11/2024 01:00</t>
  </si>
  <si>
    <t>01/11/2024 02:00</t>
  </si>
  <si>
    <t>01/11/2024 03:00</t>
  </si>
  <si>
    <t>01/11/2024 04:00</t>
  </si>
  <si>
    <t>01/11/2024 05:00</t>
  </si>
  <si>
    <t>01/11/2024 06:00</t>
  </si>
  <si>
    <t>01/11/2024 07:00</t>
  </si>
  <si>
    <t>01/11/2024 08:00</t>
  </si>
  <si>
    <t>01/11/2024 09:00</t>
  </si>
  <si>
    <t>01/11/2024 10:00</t>
  </si>
  <si>
    <t>01/11/2024 11:00</t>
  </si>
  <si>
    <t>01/11/2024 12:00</t>
  </si>
  <si>
    <t>01/11/2024 13:00</t>
  </si>
  <si>
    <t>01/11/2024 14:00</t>
  </si>
  <si>
    <t>01/11/2024 15:00</t>
  </si>
  <si>
    <t>01/11/2024 16:00</t>
  </si>
  <si>
    <t>01/11/2024 17:00</t>
  </si>
  <si>
    <t>01/11/2024 18:00</t>
  </si>
  <si>
    <t>01/11/2024 19:00</t>
  </si>
  <si>
    <t>01/11/2024 20:00</t>
  </si>
  <si>
    <t>01/11/2024 21:00</t>
  </si>
  <si>
    <t>01/11/2024 22:00</t>
  </si>
  <si>
    <t>01/11/2024 23:00</t>
  </si>
  <si>
    <t>01/11/2024 24:00</t>
  </si>
  <si>
    <t>02/11/2024 01:00</t>
  </si>
  <si>
    <t>02/11/2024 02:00</t>
  </si>
  <si>
    <t>02/11/2024 03:00</t>
  </si>
  <si>
    <t>02/11/2024 04:00</t>
  </si>
  <si>
    <t>02/11/2024 05:00</t>
  </si>
  <si>
    <t>02/11/2024 06:00</t>
  </si>
  <si>
    <t>02/11/2024 07:00</t>
  </si>
  <si>
    <t>02/11/2024 08:00</t>
  </si>
  <si>
    <t>02/11/2024 09:00</t>
  </si>
  <si>
    <t>02/11/2024 10:00</t>
  </si>
  <si>
    <t>02/11/2024 11:00</t>
  </si>
  <si>
    <t>02/11/2024 12:00</t>
  </si>
  <si>
    <t>02/11/2024 13:00</t>
  </si>
  <si>
    <t>02/11/2024 14:00</t>
  </si>
  <si>
    <t>02/11/2024 15:00</t>
  </si>
  <si>
    <t>02/11/2024 16:00</t>
  </si>
  <si>
    <t>02/11/2024 17:00</t>
  </si>
  <si>
    <t>02/11/2024 18:00</t>
  </si>
  <si>
    <t>02/11/2024 19:00</t>
  </si>
  <si>
    <t>02/11/2024 20:00</t>
  </si>
  <si>
    <t>02/11/2024 21:00</t>
  </si>
  <si>
    <t>02/11/2024 22:00</t>
  </si>
  <si>
    <t>02/11/2024 23:00</t>
  </si>
  <si>
    <t>02/11/2024 24:00</t>
  </si>
  <si>
    <t>03/11/2024 01:00</t>
  </si>
  <si>
    <t>03/11/2024 02:00</t>
  </si>
  <si>
    <t>03/11/2024 03:00</t>
  </si>
  <si>
    <t>03/11/2024 04:00</t>
  </si>
  <si>
    <t>03/11/2024 05:00</t>
  </si>
  <si>
    <t>03/11/2024 06:00</t>
  </si>
  <si>
    <t>03/11/2024 07:00</t>
  </si>
  <si>
    <t>03/11/2024 08:00</t>
  </si>
  <si>
    <t>03/11/2024 09:00</t>
  </si>
  <si>
    <t>03/11/2024 10:00</t>
  </si>
  <si>
    <t>03/11/2024 11:00</t>
  </si>
  <si>
    <t>03/11/2024 12:00</t>
  </si>
  <si>
    <t>03/11/2024 13:00</t>
  </si>
  <si>
    <t>03/11/2024 14:00</t>
  </si>
  <si>
    <t>03/11/2024 15:00</t>
  </si>
  <si>
    <t>03/11/2024 16:00</t>
  </si>
  <si>
    <t>03/11/2024 17:00</t>
  </si>
  <si>
    <t>03/11/2024 18:00</t>
  </si>
  <si>
    <t>03/11/2024 19:00</t>
  </si>
  <si>
    <t>03/11/2024 20:00</t>
  </si>
  <si>
    <t>03/11/2024 21:00</t>
  </si>
  <si>
    <t>03/11/2024 22:00</t>
  </si>
  <si>
    <t>03/11/2024 23:00</t>
  </si>
  <si>
    <t>03/11/2024 24:00</t>
  </si>
  <si>
    <t>04/11/2024 01:00</t>
  </si>
  <si>
    <t>04/11/2024 02:00</t>
  </si>
  <si>
    <t>04/11/2024 03:00</t>
  </si>
  <si>
    <t>04/11/2024 04:00</t>
  </si>
  <si>
    <t>04/11/2024 05:00</t>
  </si>
  <si>
    <t>04/11/2024 06:00</t>
  </si>
  <si>
    <t>04/11/2024 07:00</t>
  </si>
  <si>
    <t>04/11/2024 08:00</t>
  </si>
  <si>
    <t>04/11/2024 09:00</t>
  </si>
  <si>
    <t>04/11/2024 10:00</t>
  </si>
  <si>
    <t>04/11/2024 11:00</t>
  </si>
  <si>
    <t>04/11/2024 12:00</t>
  </si>
  <si>
    <t>04/11/2024 13:00</t>
  </si>
  <si>
    <t>04/11/2024 14:00</t>
  </si>
  <si>
    <t>04/11/2024 15:00</t>
  </si>
  <si>
    <t>04/11/2024 16:00</t>
  </si>
  <si>
    <t>04/11/2024 17:00</t>
  </si>
  <si>
    <t>04/11/2024 18:00</t>
  </si>
  <si>
    <t>04/11/2024 19:00</t>
  </si>
  <si>
    <t>04/11/2024 20:00</t>
  </si>
  <si>
    <t>04/11/2024 21:00</t>
  </si>
  <si>
    <t>04/11/2024 22:00</t>
  </si>
  <si>
    <t>04/11/2024 23:00</t>
  </si>
  <si>
    <t>04/11/2024 24:00</t>
  </si>
  <si>
    <t>05/11/2024 01:00</t>
  </si>
  <si>
    <t>05/11/2024 02:00</t>
  </si>
  <si>
    <t>05/11/2024 03:00</t>
  </si>
  <si>
    <t>05/11/2024 04:00</t>
  </si>
  <si>
    <t>05/11/2024 05:00</t>
  </si>
  <si>
    <t>05/11/2024 06:00</t>
  </si>
  <si>
    <t>05/11/2024 07:00</t>
  </si>
  <si>
    <t>05/11/2024 08:00</t>
  </si>
  <si>
    <t>05/11/2024 09:00</t>
  </si>
  <si>
    <t>05/11/2024 10:00</t>
  </si>
  <si>
    <t>05/11/2024 11:00</t>
  </si>
  <si>
    <t>05/11/2024 12:00</t>
  </si>
  <si>
    <t>05/11/2024 13:00</t>
  </si>
  <si>
    <t>05/11/2024 14:00</t>
  </si>
  <si>
    <t>05/11/2024 15:00</t>
  </si>
  <si>
    <t>05/11/2024 16:00</t>
  </si>
  <si>
    <t>05/11/2024 17:00</t>
  </si>
  <si>
    <t>05/11/2024 18:00</t>
  </si>
  <si>
    <t>05/11/2024 19:00</t>
  </si>
  <si>
    <t>05/11/2024 20:00</t>
  </si>
  <si>
    <t>05/11/2024 21:00</t>
  </si>
  <si>
    <t>05/11/2024 22:00</t>
  </si>
  <si>
    <t>05/11/2024 23:00</t>
  </si>
  <si>
    <t>05/11/2024 24:00</t>
  </si>
  <si>
    <t>06/11/2024 01:00</t>
  </si>
  <si>
    <t>06/11/2024 02:00</t>
  </si>
  <si>
    <t>06/11/2024 03:00</t>
  </si>
  <si>
    <t>06/11/2024 04:00</t>
  </si>
  <si>
    <t>06/11/2024 05:00</t>
  </si>
  <si>
    <t>06/11/2024 06:00</t>
  </si>
  <si>
    <t>06/11/2024 07:00</t>
  </si>
  <si>
    <t>06/11/2024 08:00</t>
  </si>
  <si>
    <t>06/11/2024 09:00</t>
  </si>
  <si>
    <t>06/11/2024 10:00</t>
  </si>
  <si>
    <t>06/11/2024 11:00</t>
  </si>
  <si>
    <t>06/11/2024 12:00</t>
  </si>
  <si>
    <t>06/11/2024 13:00</t>
  </si>
  <si>
    <t>06/11/2024 14:00</t>
  </si>
  <si>
    <t>06/11/2024 15:00</t>
  </si>
  <si>
    <t>06/11/2024 16:00</t>
  </si>
  <si>
    <t>06/11/2024 17:00</t>
  </si>
  <si>
    <t>06/11/2024 18:00</t>
  </si>
  <si>
    <t>06/11/2024 19:00</t>
  </si>
  <si>
    <t>06/11/2024 20:00</t>
  </si>
  <si>
    <t>06/11/2024 21:00</t>
  </si>
  <si>
    <t>06/11/2024 22:00</t>
  </si>
  <si>
    <t>06/11/2024 23:00</t>
  </si>
  <si>
    <t>06/11/2024 24:00</t>
  </si>
  <si>
    <t>07/11/2024 01:00</t>
  </si>
  <si>
    <t>07/11/2024 02:00</t>
  </si>
  <si>
    <t>07/11/2024 03:00</t>
  </si>
  <si>
    <t>07/11/2024 04:00</t>
  </si>
  <si>
    <t>07/11/2024 05:00</t>
  </si>
  <si>
    <t>07/11/2024 06:00</t>
  </si>
  <si>
    <t>07/11/2024 07:00</t>
  </si>
  <si>
    <t>07/11/2024 08:00</t>
  </si>
  <si>
    <t>07/11/2024 09:00</t>
  </si>
  <si>
    <t>07/11/2024 10:00</t>
  </si>
  <si>
    <t>07/11/2024 11:00</t>
  </si>
  <si>
    <t>07/11/2024 12:00</t>
  </si>
  <si>
    <t>07/11/2024 13:00</t>
  </si>
  <si>
    <t>07/11/2024 14:00</t>
  </si>
  <si>
    <t>07/11/2024 15:00</t>
  </si>
  <si>
    <t>07/11/2024 16:00</t>
  </si>
  <si>
    <t>07/11/2024 17:00</t>
  </si>
  <si>
    <t>07/11/2024 18:00</t>
  </si>
  <si>
    <t>07/11/2024 19:00</t>
  </si>
  <si>
    <t>07/11/2024 20:00</t>
  </si>
  <si>
    <t>07/11/2024 21:00</t>
  </si>
  <si>
    <t>07/11/2024 22:00</t>
  </si>
  <si>
    <t>07/11/2024 23:00</t>
  </si>
  <si>
    <t>07/11/2024 24:00</t>
  </si>
  <si>
    <t>08/11/2024 01:00</t>
  </si>
  <si>
    <t>08/11/2024 02:00</t>
  </si>
  <si>
    <t>08/11/2024 03:00</t>
  </si>
  <si>
    <t>08/11/2024 04:00</t>
  </si>
  <si>
    <t>08/11/2024 05:00</t>
  </si>
  <si>
    <t>08/11/2024 06:00</t>
  </si>
  <si>
    <t>08/11/2024 07:00</t>
  </si>
  <si>
    <t>08/11/2024 08:00</t>
  </si>
  <si>
    <t>08/11/2024 09:00</t>
  </si>
  <si>
    <t>08/11/2024 10:00</t>
  </si>
  <si>
    <t>08/11/2024 11:00</t>
  </si>
  <si>
    <t>08/11/2024 12:00</t>
  </si>
  <si>
    <t>08/11/2024 13:00</t>
  </si>
  <si>
    <t>08/11/2024 14:00</t>
  </si>
  <si>
    <t>08/11/2024 15:00</t>
  </si>
  <si>
    <t>08/11/2024 16:00</t>
  </si>
  <si>
    <t>08/11/2024 17:00</t>
  </si>
  <si>
    <t>08/11/2024 18:00</t>
  </si>
  <si>
    <t>08/11/2024 19:00</t>
  </si>
  <si>
    <t>08/11/2024 20:00</t>
  </si>
  <si>
    <t>08/11/2024 21:00</t>
  </si>
  <si>
    <t>08/11/2024 22:00</t>
  </si>
  <si>
    <t>08/11/2024 23:00</t>
  </si>
  <si>
    <t>08/11/2024 24:00</t>
  </si>
  <si>
    <t>09/11/2024 01:00</t>
  </si>
  <si>
    <t>09/11/2024 02:00</t>
  </si>
  <si>
    <t>09/11/2024 03:00</t>
  </si>
  <si>
    <t>09/11/2024 04:00</t>
  </si>
  <si>
    <t>09/11/2024 05:00</t>
  </si>
  <si>
    <t>09/11/2024 06:00</t>
  </si>
  <si>
    <t>09/11/2024 07:00</t>
  </si>
  <si>
    <t>09/11/2024 08:00</t>
  </si>
  <si>
    <t>09/11/2024 09:00</t>
  </si>
  <si>
    <t>09/11/2024 10:00</t>
  </si>
  <si>
    <t>09/11/2024 11:00</t>
  </si>
  <si>
    <t>09/11/2024 12:00</t>
  </si>
  <si>
    <t>09/11/2024 13:00</t>
  </si>
  <si>
    <t>09/11/2024 14:00</t>
  </si>
  <si>
    <t>09/11/2024 15:00</t>
  </si>
  <si>
    <t>09/11/2024 16:00</t>
  </si>
  <si>
    <t>09/11/2024 17:00</t>
  </si>
  <si>
    <t>09/11/2024 18:00</t>
  </si>
  <si>
    <t>09/11/2024 19:00</t>
  </si>
  <si>
    <t>09/11/2024 20:00</t>
  </si>
  <si>
    <t>09/11/2024 21:00</t>
  </si>
  <si>
    <t>09/11/2024 22:00</t>
  </si>
  <si>
    <t>09/11/2024 23:00</t>
  </si>
  <si>
    <t>09/11/2024 24:00</t>
  </si>
  <si>
    <t>10/11/2024 01:00</t>
  </si>
  <si>
    <t>10/11/2024 02:00</t>
  </si>
  <si>
    <t>10/11/2024 03:00</t>
  </si>
  <si>
    <t>10/11/2024 04:00</t>
  </si>
  <si>
    <t>10/11/2024 05:00</t>
  </si>
  <si>
    <t>10/11/2024 06:00</t>
  </si>
  <si>
    <t>10/11/2024 07:00</t>
  </si>
  <si>
    <t>10/11/2024 08:00</t>
  </si>
  <si>
    <t>10/11/2024 09:00</t>
  </si>
  <si>
    <t>10/11/2024 10:00</t>
  </si>
  <si>
    <t>10/11/2024 11:00</t>
  </si>
  <si>
    <t>10/11/2024 12:00</t>
  </si>
  <si>
    <t>10/11/2024 13:00</t>
  </si>
  <si>
    <t>10/11/2024 14:00</t>
  </si>
  <si>
    <t>10/11/2024 15:00</t>
  </si>
  <si>
    <t>10/11/2024 16:00</t>
  </si>
  <si>
    <t>10/11/2024 17:00</t>
  </si>
  <si>
    <t>10/11/2024 18:00</t>
  </si>
  <si>
    <t>10/11/2024 19:00</t>
  </si>
  <si>
    <t>10/11/2024 20:00</t>
  </si>
  <si>
    <t>10/11/2024 21:00</t>
  </si>
  <si>
    <t>10/11/2024 22:00</t>
  </si>
  <si>
    <t>10/11/2024 23:00</t>
  </si>
  <si>
    <t>10/11/2024 24:00</t>
  </si>
  <si>
    <t>11/11/2024 01:00</t>
  </si>
  <si>
    <t>11/11/2024 02:00</t>
  </si>
  <si>
    <t>11/11/2024 03:00</t>
  </si>
  <si>
    <t>11/11/2024 04:00</t>
  </si>
  <si>
    <t>11/11/2024 05:00</t>
  </si>
  <si>
    <t>11/11/2024 06:00</t>
  </si>
  <si>
    <t>11/11/2024 07:00</t>
  </si>
  <si>
    <t>11/11/2024 08:00</t>
  </si>
  <si>
    <t>11/11/2024 09:00</t>
  </si>
  <si>
    <t>11/11/2024 10:00</t>
  </si>
  <si>
    <t>11/11/2024 11:00</t>
  </si>
  <si>
    <t>11/11/2024 12:00</t>
  </si>
  <si>
    <t>11/11/2024 13:00</t>
  </si>
  <si>
    <t>11/11/2024 14:00</t>
  </si>
  <si>
    <t>11/11/2024 15:00</t>
  </si>
  <si>
    <t>11/11/2024 16:00</t>
  </si>
  <si>
    <t>11/11/2024 17:00</t>
  </si>
  <si>
    <t>11/11/2024 18:00</t>
  </si>
  <si>
    <t>11/11/2024 19:00</t>
  </si>
  <si>
    <t>11/11/2024 20:00</t>
  </si>
  <si>
    <t>11/11/2024 21:00</t>
  </si>
  <si>
    <t>11/11/2024 22:00</t>
  </si>
  <si>
    <t>11/11/2024 23:00</t>
  </si>
  <si>
    <t>11/11/2024 24:00</t>
  </si>
  <si>
    <t>12/11/2024 01:00</t>
  </si>
  <si>
    <t>12/11/2024 02:00</t>
  </si>
  <si>
    <t>12/11/2024 03:00</t>
  </si>
  <si>
    <t>12/11/2024 04:00</t>
  </si>
  <si>
    <t>12/11/2024 05:00</t>
  </si>
  <si>
    <t>12/11/2024 06:00</t>
  </si>
  <si>
    <t>12/11/2024 07:00</t>
  </si>
  <si>
    <t>12/11/2024 08:00</t>
  </si>
  <si>
    <t>12/11/2024 09:00</t>
  </si>
  <si>
    <t>12/11/2024 10:00</t>
  </si>
  <si>
    <t>12/11/2024 11:00</t>
  </si>
  <si>
    <t>12/11/2024 12:00</t>
  </si>
  <si>
    <t>12/11/2024 13:00</t>
  </si>
  <si>
    <t>12/11/2024 14:00</t>
  </si>
  <si>
    <t>12/11/2024 15:00</t>
  </si>
  <si>
    <t>12/11/2024 16:00</t>
  </si>
  <si>
    <t>12/11/2024 17:00</t>
  </si>
  <si>
    <t>12/11/2024 18:00</t>
  </si>
  <si>
    <t>12/11/2024 19:00</t>
  </si>
  <si>
    <t>12/11/2024 20:00</t>
  </si>
  <si>
    <t>12/11/2024 21:00</t>
  </si>
  <si>
    <t>12/11/2024 22:00</t>
  </si>
  <si>
    <t>12/11/2024 23:00</t>
  </si>
  <si>
    <t>12/11/2024 24:00</t>
  </si>
  <si>
    <t>13/11/2024 01:00</t>
  </si>
  <si>
    <t>13/11/2024 02:00</t>
  </si>
  <si>
    <t>13/11/2024 03:00</t>
  </si>
  <si>
    <t>13/11/2024 04:00</t>
  </si>
  <si>
    <t>13/11/2024 05:00</t>
  </si>
  <si>
    <t>13/11/2024 06:00</t>
  </si>
  <si>
    <t>13/11/2024 07:00</t>
  </si>
  <si>
    <t>13/11/2024 08:00</t>
  </si>
  <si>
    <t>13/11/2024 09:00</t>
  </si>
  <si>
    <t>13/11/2024 10:00</t>
  </si>
  <si>
    <t>13/11/2024 11:00</t>
  </si>
  <si>
    <t>13/11/2024 12:00</t>
  </si>
  <si>
    <t>13/11/2024 13:00</t>
  </si>
  <si>
    <t>13/11/2024 14:00</t>
  </si>
  <si>
    <t>13/11/2024 15:00</t>
  </si>
  <si>
    <t>13/11/2024 16:00</t>
  </si>
  <si>
    <t>13/11/2024 17:00</t>
  </si>
  <si>
    <t>13/11/2024 18:00</t>
  </si>
  <si>
    <t>13/11/2024 19:00</t>
  </si>
  <si>
    <t>13/11/2024 20:00</t>
  </si>
  <si>
    <t>13/11/2024 21:00</t>
  </si>
  <si>
    <t>13/11/2024 22:00</t>
  </si>
  <si>
    <t>13/11/2024 23:00</t>
  </si>
  <si>
    <t>13/11/2024 24:00</t>
  </si>
  <si>
    <t>14/11/2024 01:00</t>
  </si>
  <si>
    <t>14/11/2024 02:00</t>
  </si>
  <si>
    <t>14/11/2024 03:00</t>
  </si>
  <si>
    <t>14/11/2024 04:00</t>
  </si>
  <si>
    <t>14/11/2024 05:00</t>
  </si>
  <si>
    <t>14/11/2024 06:00</t>
  </si>
  <si>
    <t>14/11/2024 07:00</t>
  </si>
  <si>
    <t>14/11/2024 08:00</t>
  </si>
  <si>
    <t>14/11/2024 09:00</t>
  </si>
  <si>
    <t>14/11/2024 10:00</t>
  </si>
  <si>
    <t>14/11/2024 11:00</t>
  </si>
  <si>
    <t>14/11/2024 12:00</t>
  </si>
  <si>
    <t>14/11/2024 13:00</t>
  </si>
  <si>
    <t>14/11/2024 14:00</t>
  </si>
  <si>
    <t>14/11/2024 15:00</t>
  </si>
  <si>
    <t>14/11/2024 16:00</t>
  </si>
  <si>
    <t>14/11/2024 17:00</t>
  </si>
  <si>
    <t>14/11/2024 18:00</t>
  </si>
  <si>
    <t>14/11/2024 19:00</t>
  </si>
  <si>
    <t>14/11/2024 20:00</t>
  </si>
  <si>
    <t>14/11/2024 21:00</t>
  </si>
  <si>
    <t>14/11/2024 22:00</t>
  </si>
  <si>
    <t>14/11/2024 23:00</t>
  </si>
  <si>
    <t>14/11/2024 24:00</t>
  </si>
  <si>
    <t>41.24.2</t>
  </si>
  <si>
    <t>15/11/2024 01:00</t>
  </si>
  <si>
    <t>15/11/2024 02:00</t>
  </si>
  <si>
    <t>15/11/2024 03:00</t>
  </si>
  <si>
    <t>15/11/2024 04:00</t>
  </si>
  <si>
    <t>15/11/2024 05:00</t>
  </si>
  <si>
    <t>15/11/2024 06:00</t>
  </si>
  <si>
    <t>15/11/2024 07:00</t>
  </si>
  <si>
    <t>15/11/2024 08:00</t>
  </si>
  <si>
    <t>15/11/2024 09:00</t>
  </si>
  <si>
    <t>15/11/2024 10:00</t>
  </si>
  <si>
    <t>15/11/2024 11:00</t>
  </si>
  <si>
    <t>15/11/2024 12:00</t>
  </si>
  <si>
    <t>15/11/2024 13:00</t>
  </si>
  <si>
    <t>15/11/2024 14:00</t>
  </si>
  <si>
    <t>15/11/2024 15:00</t>
  </si>
  <si>
    <t>15/11/2024 16:00</t>
  </si>
  <si>
    <t>15/11/2024 17:00</t>
  </si>
  <si>
    <t>15/11/2024 18:00</t>
  </si>
  <si>
    <t>15/11/2024 19:00</t>
  </si>
  <si>
    <t>15/11/2024 20:00</t>
  </si>
  <si>
    <t>15/11/2024 21:00</t>
  </si>
  <si>
    <t>15/11/2024 22:00</t>
  </si>
  <si>
    <t>15/11/2024 23:00</t>
  </si>
  <si>
    <t>15/11/2024 24:00</t>
  </si>
  <si>
    <t>16/11/2024 01:00</t>
  </si>
  <si>
    <t>16/11/2024 02:00</t>
  </si>
  <si>
    <t>16/11/2024 03:00</t>
  </si>
  <si>
    <t>16/11/2024 04:00</t>
  </si>
  <si>
    <t>16/11/2024 05:00</t>
  </si>
  <si>
    <t>16/11/2024 06:00</t>
  </si>
  <si>
    <t>16/11/2024 07:00</t>
  </si>
  <si>
    <t>16/11/2024 08:00</t>
  </si>
  <si>
    <t>16/11/2024 09:00</t>
  </si>
  <si>
    <t>16/11/2024 10:00</t>
  </si>
  <si>
    <t>16/11/2024 11:00</t>
  </si>
  <si>
    <t>16/11/2024 12:00</t>
  </si>
  <si>
    <t>16/11/2024 13:00</t>
  </si>
  <si>
    <t>16/11/2024 14:00</t>
  </si>
  <si>
    <t>16/11/2024 15:00</t>
  </si>
  <si>
    <t>16/11/2024 16:00</t>
  </si>
  <si>
    <t>16/11/2024 17:00</t>
  </si>
  <si>
    <t>16/11/2024 18:00</t>
  </si>
  <si>
    <t>16/11/2024 19:00</t>
  </si>
  <si>
    <t>16/11/2024 20:00</t>
  </si>
  <si>
    <t>16/11/2024 21:00</t>
  </si>
  <si>
    <t>16/11/2024 22:00</t>
  </si>
  <si>
    <t>16/11/2024 23:00</t>
  </si>
  <si>
    <t>16/11/2024 24:00</t>
  </si>
  <si>
    <t>17/11/2024 01:00</t>
  </si>
  <si>
    <t>17/11/2024 02:00</t>
  </si>
  <si>
    <t>17/11/2024 03:00</t>
  </si>
  <si>
    <t>17/11/2024 04:00</t>
  </si>
  <si>
    <t>17/11/2024 05:00</t>
  </si>
  <si>
    <t>17/11/2024 06:00</t>
  </si>
  <si>
    <t>17/11/2024 07:00</t>
  </si>
  <si>
    <t>17/11/2024 08:00</t>
  </si>
  <si>
    <t>17/11/2024 09:00</t>
  </si>
  <si>
    <t>17/11/2024 10:00</t>
  </si>
  <si>
    <t>17/11/2024 11:00</t>
  </si>
  <si>
    <t>17/11/2024 12:00</t>
  </si>
  <si>
    <t>17/11/2024 13:00</t>
  </si>
  <si>
    <t>17/11/2024 14:00</t>
  </si>
  <si>
    <t>17/11/2024 15:00</t>
  </si>
  <si>
    <t>17/11/2024 16:00</t>
  </si>
  <si>
    <t>17/11/2024 17:00</t>
  </si>
  <si>
    <t>17/11/2024 18:00</t>
  </si>
  <si>
    <t>17/11/2024 19:00</t>
  </si>
  <si>
    <t>17/11/2024 20:00</t>
  </si>
  <si>
    <t>17/11/2024 21:00</t>
  </si>
  <si>
    <t>17/11/2024 22:00</t>
  </si>
  <si>
    <t>17/11/2024 23:00</t>
  </si>
  <si>
    <t>17/11/2024 24:00</t>
  </si>
  <si>
    <t>18/11/2024 01:00</t>
  </si>
  <si>
    <t>18/11/2024 02:00</t>
  </si>
  <si>
    <t>18/11/2024 03:00</t>
  </si>
  <si>
    <t>18/11/2024 04:00</t>
  </si>
  <si>
    <t>18/11/2024 05:00</t>
  </si>
  <si>
    <t>18/11/2024 06:00</t>
  </si>
  <si>
    <t>18/11/2024 07:00</t>
  </si>
  <si>
    <t>18/11/2024 08:00</t>
  </si>
  <si>
    <t>18/11/2024 09:00</t>
  </si>
  <si>
    <t>18/11/2024 10:00</t>
  </si>
  <si>
    <t>18/11/2024 11:00</t>
  </si>
  <si>
    <t>18/11/2024 12:00</t>
  </si>
  <si>
    <t>18/11/2024 13:00</t>
  </si>
  <si>
    <t>18/11/2024 14:00</t>
  </si>
  <si>
    <t>18/11/2024 15:00</t>
  </si>
  <si>
    <t>18/11/2024 16:00</t>
  </si>
  <si>
    <t>18/11/2024 17:00</t>
  </si>
  <si>
    <t>18/11/2024 18:00</t>
  </si>
  <si>
    <t>18/11/2024 19:00</t>
  </si>
  <si>
    <t>18/11/2024 20:00</t>
  </si>
  <si>
    <t>18/11/2024 21:00</t>
  </si>
  <si>
    <t>18/11/2024 22:00</t>
  </si>
  <si>
    <t>18/11/2024 23:00</t>
  </si>
  <si>
    <t>18/11/2024 24:00</t>
  </si>
  <si>
    <t>19/11/2024 01:00</t>
  </si>
  <si>
    <t>19/11/2024 02:00</t>
  </si>
  <si>
    <t>19/11/2024 03:00</t>
  </si>
  <si>
    <t>19/11/2024 04:00</t>
  </si>
  <si>
    <t>19/11/2024 05:00</t>
  </si>
  <si>
    <t>19/11/2024 06:00</t>
  </si>
  <si>
    <t>19/11/2024 07:00</t>
  </si>
  <si>
    <t>19/11/2024 08:00</t>
  </si>
  <si>
    <t>19/11/2024 09:00</t>
  </si>
  <si>
    <t>19/11/2024 10:00</t>
  </si>
  <si>
    <t>19/11/2024 11:00</t>
  </si>
  <si>
    <t>19/11/2024 12:00</t>
  </si>
  <si>
    <t>19/11/2024 13:00</t>
  </si>
  <si>
    <t>19/11/2024 14:00</t>
  </si>
  <si>
    <t>19/11/2024 15:00</t>
  </si>
  <si>
    <t>19/11/2024 16:00</t>
  </si>
  <si>
    <t>19/11/2024 17:00</t>
  </si>
  <si>
    <t>19/11/2024 18:00</t>
  </si>
  <si>
    <t>19/11/2024 19:00</t>
  </si>
  <si>
    <t>19/11/2024 20:00</t>
  </si>
  <si>
    <t>19/11/2024 21:00</t>
  </si>
  <si>
    <t>19/11/2024 22:00</t>
  </si>
  <si>
    <t>19/11/2024 23:00</t>
  </si>
  <si>
    <t>19/11/2024 24:00</t>
  </si>
  <si>
    <t>20/11/2024 01:00</t>
  </si>
  <si>
    <t>20/11/2024 02:00</t>
  </si>
  <si>
    <t>20/11/2024 03:00</t>
  </si>
  <si>
    <t>20/11/2024 04:00</t>
  </si>
  <si>
    <t>20/11/2024 05:00</t>
  </si>
  <si>
    <t>20/11/2024 06:00</t>
  </si>
  <si>
    <t>20/11/2024 07:00</t>
  </si>
  <si>
    <t>20/11/2024 08:00</t>
  </si>
  <si>
    <t>20/11/2024 09:00</t>
  </si>
  <si>
    <t>20/11/2024 10:00</t>
  </si>
  <si>
    <t>20/11/2024 11:00</t>
  </si>
  <si>
    <t>20/11/2024 12:00</t>
  </si>
  <si>
    <t>20/11/2024 13:00</t>
  </si>
  <si>
    <t>20/11/2024 14:00</t>
  </si>
  <si>
    <t>20/11/2024 15:00</t>
  </si>
  <si>
    <t>20/11/2024 16:00</t>
  </si>
  <si>
    <t>20/11/2024 17:00</t>
  </si>
  <si>
    <t>20/11/2024 18:00</t>
  </si>
  <si>
    <t>20/11/2024 19:00</t>
  </si>
  <si>
    <t>20/11/2024 20:00</t>
  </si>
  <si>
    <t>20/11/2024 21:00</t>
  </si>
  <si>
    <t>20/11/2024 22:00</t>
  </si>
  <si>
    <t>20/11/2024 23:00</t>
  </si>
  <si>
    <t>20/11/2024 24:00</t>
  </si>
  <si>
    <t>21/11/2024 01:00</t>
  </si>
  <si>
    <t>21/11/2024 02:00</t>
  </si>
  <si>
    <t>21/11/2024 03:00</t>
  </si>
  <si>
    <t>21/11/2024 04:00</t>
  </si>
  <si>
    <t>21/11/2024 05:00</t>
  </si>
  <si>
    <t>21/11/2024 06:00</t>
  </si>
  <si>
    <t>21/11/2024 07:00</t>
  </si>
  <si>
    <t>21/11/2024 08:00</t>
  </si>
  <si>
    <t>21/11/2024 09:00</t>
  </si>
  <si>
    <t>21/11/2024 10:00</t>
  </si>
  <si>
    <t>21/11/2024 11:00</t>
  </si>
  <si>
    <t>21/11/2024 12:00</t>
  </si>
  <si>
    <t>21/11/2024 13:00</t>
  </si>
  <si>
    <t>21/11/2024 14:00</t>
  </si>
  <si>
    <t>21/11/2024 15:00</t>
  </si>
  <si>
    <t>21/11/2024 16:00</t>
  </si>
  <si>
    <t>21/11/2024 17:00</t>
  </si>
  <si>
    <t>21/11/2024 18:00</t>
  </si>
  <si>
    <t>21/11/2024 19:00</t>
  </si>
  <si>
    <t>21/11/2024 20:00</t>
  </si>
  <si>
    <t>21/11/2024 21:00</t>
  </si>
  <si>
    <t>21/11/2024 22:00</t>
  </si>
  <si>
    <t>21/11/2024 23:00</t>
  </si>
  <si>
    <t>21/11/2024 24:00</t>
  </si>
  <si>
    <t>22/11/2024 01:00</t>
  </si>
  <si>
    <t>22/11/2024 02:00</t>
  </si>
  <si>
    <t>22/11/2024 03:00</t>
  </si>
  <si>
    <t>22/11/2024 04:00</t>
  </si>
  <si>
    <t>22/11/2024 05:00</t>
  </si>
  <si>
    <t>22/11/2024 06:00</t>
  </si>
  <si>
    <t>22/11/2024 07:00</t>
  </si>
  <si>
    <t>22/11/2024 08:00</t>
  </si>
  <si>
    <t>22/11/2024 09:00</t>
  </si>
  <si>
    <t>22/11/2024 10:00</t>
  </si>
  <si>
    <t>22/11/2024 11:00</t>
  </si>
  <si>
    <t>22/11/2024 12:00</t>
  </si>
  <si>
    <t>22/11/2024 13:00</t>
  </si>
  <si>
    <t>22/11/2024 14:00</t>
  </si>
  <si>
    <t>22/11/2024 15:00</t>
  </si>
  <si>
    <t>22/11/2024 16:00</t>
  </si>
  <si>
    <t>22/11/2024 17:00</t>
  </si>
  <si>
    <t>22/11/2024 18:00</t>
  </si>
  <si>
    <t>22/11/2024 19:00</t>
  </si>
  <si>
    <t>22/11/2024 20:00</t>
  </si>
  <si>
    <t>22/11/2024 21:00</t>
  </si>
  <si>
    <t>22/11/2024 22:00</t>
  </si>
  <si>
    <t>22/11/2024 23:00</t>
  </si>
  <si>
    <t>22/11/2024 24:00</t>
  </si>
  <si>
    <t>23/11/2024 01:00</t>
  </si>
  <si>
    <t>23/11/2024 02:00</t>
  </si>
  <si>
    <t>23/11/2024 03:00</t>
  </si>
  <si>
    <t>23/11/2024 04:00</t>
  </si>
  <si>
    <t>23/11/2024 05:00</t>
  </si>
  <si>
    <t>23/11/2024 06:00</t>
  </si>
  <si>
    <t>23/11/2024 07:00</t>
  </si>
  <si>
    <t>23/11/2024 08:00</t>
  </si>
  <si>
    <t>23/11/2024 09:00</t>
  </si>
  <si>
    <t>23/11/2024 10:00</t>
  </si>
  <si>
    <t>23/11/2024 11:00</t>
  </si>
  <si>
    <t>23/11/2024 12:00</t>
  </si>
  <si>
    <t>23/11/2024 13:00</t>
  </si>
  <si>
    <t>23/11/2024 14:00</t>
  </si>
  <si>
    <t>23/11/2024 15:00</t>
  </si>
  <si>
    <t>23/11/2024 16:00</t>
  </si>
  <si>
    <t>23/11/2024 17:00</t>
  </si>
  <si>
    <t>23/11/2024 18:00</t>
  </si>
  <si>
    <t>23/11/2024 19:00</t>
  </si>
  <si>
    <t>23/11/2024 20:00</t>
  </si>
  <si>
    <t>23/11/2024 21:00</t>
  </si>
  <si>
    <t>23/11/2024 22:00</t>
  </si>
  <si>
    <t>23/11/2024 23:00</t>
  </si>
  <si>
    <t>23/11/2024 24:00</t>
  </si>
  <si>
    <t>24/11/2024 01:00</t>
  </si>
  <si>
    <t>24/11/2024 02:00</t>
  </si>
  <si>
    <t>24/11/2024 03:00</t>
  </si>
  <si>
    <t>24/11/2024 04:00</t>
  </si>
  <si>
    <t>24/11/2024 05:00</t>
  </si>
  <si>
    <t>24/11/2024 06:00</t>
  </si>
  <si>
    <t>24/11/2024 07:00</t>
  </si>
  <si>
    <t>24/11/2024 08:00</t>
  </si>
  <si>
    <t>24/11/2024 09:00</t>
  </si>
  <si>
    <t>24/11/2024 10:00</t>
  </si>
  <si>
    <t>24/11/2024 11:00</t>
  </si>
  <si>
    <t>24/11/2024 12:00</t>
  </si>
  <si>
    <t>24/11/2024 13:00</t>
  </si>
  <si>
    <t>24/11/2024 14:00</t>
  </si>
  <si>
    <t>24/11/2024 15:00</t>
  </si>
  <si>
    <t>24/11/2024 16:00</t>
  </si>
  <si>
    <t>24/11/2024 17:00</t>
  </si>
  <si>
    <t>24/11/2024 18:00</t>
  </si>
  <si>
    <t>24/11/2024 19:00</t>
  </si>
  <si>
    <t>24/11/2024 20:00</t>
  </si>
  <si>
    <t>24/11/2024 21:00</t>
  </si>
  <si>
    <t>24/11/2024 22:00</t>
  </si>
  <si>
    <t>24/11/2024 23:00</t>
  </si>
  <si>
    <t>24/11/2024 24:00</t>
  </si>
  <si>
    <t>25/11/2024 01:00</t>
  </si>
  <si>
    <t>25/11/2024 02:00</t>
  </si>
  <si>
    <t>25/11/2024 03:00</t>
  </si>
  <si>
    <t>25/11/2024 04:00</t>
  </si>
  <si>
    <t>25/11/2024 05:00</t>
  </si>
  <si>
    <t>25/11/2024 06:00</t>
  </si>
  <si>
    <t>25/11/2024 07:00</t>
  </si>
  <si>
    <t>25/11/2024 08:00</t>
  </si>
  <si>
    <t>25/11/2024 09:00</t>
  </si>
  <si>
    <t>25/11/2024 10:00</t>
  </si>
  <si>
    <t>25/11/2024 11:00</t>
  </si>
  <si>
    <t>25/11/2024 12:00</t>
  </si>
  <si>
    <t>25/11/2024 13:00</t>
  </si>
  <si>
    <t>25/11/2024 14:00</t>
  </si>
  <si>
    <t>25/11/2024 15:00</t>
  </si>
  <si>
    <t>25/11/2024 16:00</t>
  </si>
  <si>
    <t>25/11/2024 17:00</t>
  </si>
  <si>
    <t>25/11/2024 18:00</t>
  </si>
  <si>
    <t>25/11/2024 19:00</t>
  </si>
  <si>
    <t>25/11/2024 20:00</t>
  </si>
  <si>
    <t>25/11/2024 21:00</t>
  </si>
  <si>
    <t>25/11/2024 22:00</t>
  </si>
  <si>
    <t>25/11/2024 23:00</t>
  </si>
  <si>
    <t>25/11/2024 24:00</t>
  </si>
  <si>
    <t>26/11/2024 01:00</t>
  </si>
  <si>
    <t>26/11/2024 02:00</t>
  </si>
  <si>
    <t>26/11/2024 03:00</t>
  </si>
  <si>
    <t>26/11/2024 04:00</t>
  </si>
  <si>
    <t>26/11/2024 05:00</t>
  </si>
  <si>
    <t>26/11/2024 06:00</t>
  </si>
  <si>
    <t>26/11/2024 07:00</t>
  </si>
  <si>
    <t>26/11/2024 08:00</t>
  </si>
  <si>
    <t>26/11/2024 09:00</t>
  </si>
  <si>
    <t>26/11/2024 10:00</t>
  </si>
  <si>
    <t>26/11/2024 11:00</t>
  </si>
  <si>
    <t>26/11/2024 12:00</t>
  </si>
  <si>
    <t>26/11/2024 13:00</t>
  </si>
  <si>
    <t>26/11/2024 14:00</t>
  </si>
  <si>
    <t>26/11/2024 15:00</t>
  </si>
  <si>
    <t>26/11/2024 16:00</t>
  </si>
  <si>
    <t>26/11/2024 17:00</t>
  </si>
  <si>
    <t>26/11/2024 18:00</t>
  </si>
  <si>
    <t>26/11/2024 19:00</t>
  </si>
  <si>
    <t>26/11/2024 20:00</t>
  </si>
  <si>
    <t>26/11/2024 21:00</t>
  </si>
  <si>
    <t>26/11/2024 22:00</t>
  </si>
  <si>
    <t>26/11/2024 23:00</t>
  </si>
  <si>
    <t>26/11/2024 24:00</t>
  </si>
  <si>
    <t>27/11/2024 01:00</t>
  </si>
  <si>
    <t>27/11/2024 02:00</t>
  </si>
  <si>
    <t>27/11/2024 03:00</t>
  </si>
  <si>
    <t>27/11/2024 04:00</t>
  </si>
  <si>
    <t>27/11/2024 05:00</t>
  </si>
  <si>
    <t>27/11/2024 06:00</t>
  </si>
  <si>
    <t>27/11/2024 07:00</t>
  </si>
  <si>
    <t>27/11/2024 08:00</t>
  </si>
  <si>
    <t>27/11/2024 09:00</t>
  </si>
  <si>
    <t>27/11/2024 10:00</t>
  </si>
  <si>
    <t>27/11/2024 11:00</t>
  </si>
  <si>
    <t>27/11/2024 12:00</t>
  </si>
  <si>
    <t>27/11/2024 13:00</t>
  </si>
  <si>
    <t>27/11/2024 14:00</t>
  </si>
  <si>
    <t>27/11/2024 15:00</t>
  </si>
  <si>
    <t>27/11/2024 16:00</t>
  </si>
  <si>
    <t>27/11/2024 17:00</t>
  </si>
  <si>
    <t>27/11/2024 18:00</t>
  </si>
  <si>
    <t>27/11/2024 19:00</t>
  </si>
  <si>
    <t>27/11/2024 20:00</t>
  </si>
  <si>
    <t>27/11/2024 21:00</t>
  </si>
  <si>
    <t>27/11/2024 22:00</t>
  </si>
  <si>
    <t>27/11/2024 23:00</t>
  </si>
  <si>
    <t>27/11/2024 24:00</t>
  </si>
  <si>
    <t>28/11/2024 01:00</t>
  </si>
  <si>
    <t>28/11/2024 02:00</t>
  </si>
  <si>
    <t>28/11/2024 03:00</t>
  </si>
  <si>
    <t>28/11/2024 04:00</t>
  </si>
  <si>
    <t>28/11/2024 05:00</t>
  </si>
  <si>
    <t>28/11/2024 06:00</t>
  </si>
  <si>
    <t>28/11/2024 07:00</t>
  </si>
  <si>
    <t>28/11/2024 08:00</t>
  </si>
  <si>
    <t>28/11/2024 09:00</t>
  </si>
  <si>
    <t>28/11/2024 10:00</t>
  </si>
  <si>
    <t>28/11/2024 11:00</t>
  </si>
  <si>
    <t>28/11/2024 12:00</t>
  </si>
  <si>
    <t>28/11/2024 13:00</t>
  </si>
  <si>
    <t>28/11/2024 14:00</t>
  </si>
  <si>
    <t>28/11/2024 15:00</t>
  </si>
  <si>
    <t>28/11/2024 16:00</t>
  </si>
  <si>
    <t>28/11/2024 17:00</t>
  </si>
  <si>
    <t>28/11/2024 18:00</t>
  </si>
  <si>
    <t>28/11/2024 19:00</t>
  </si>
  <si>
    <t>28/11/2024 20:00</t>
  </si>
  <si>
    <t>28/11/2024 21:00</t>
  </si>
  <si>
    <t>28/11/2024 22:00</t>
  </si>
  <si>
    <t>28/11/2024 23:00</t>
  </si>
  <si>
    <t>28/11/2024 24:00</t>
  </si>
  <si>
    <t>29/11/2024 01:00</t>
  </si>
  <si>
    <t>29/11/2024 02:00</t>
  </si>
  <si>
    <t>29/11/2024 03:00</t>
  </si>
  <si>
    <t>29/11/2024 04:00</t>
  </si>
  <si>
    <t>29/11/2024 05:00</t>
  </si>
  <si>
    <t>29/11/2024 06:00</t>
  </si>
  <si>
    <t>29/11/2024 07:00</t>
  </si>
  <si>
    <t>29/11/2024 08:00</t>
  </si>
  <si>
    <t>29/11/2024 09:00</t>
  </si>
  <si>
    <t>29/11/2024 10:00</t>
  </si>
  <si>
    <t>29/11/2024 11:00</t>
  </si>
  <si>
    <t>29/11/2024 12:00</t>
  </si>
  <si>
    <t>29/11/2024 13:00</t>
  </si>
  <si>
    <t>29/11/2024 14:00</t>
  </si>
  <si>
    <t>29/11/2024 15:00</t>
  </si>
  <si>
    <t>29/11/2024 16:00</t>
  </si>
  <si>
    <t>29/11/2024 17:00</t>
  </si>
  <si>
    <t>29/11/2024 18:00</t>
  </si>
  <si>
    <t>29/11/2024 19:00</t>
  </si>
  <si>
    <t>29/11/2024 20:00</t>
  </si>
  <si>
    <t>29/11/2024 21:00</t>
  </si>
  <si>
    <t>29/11/2024 22:00</t>
  </si>
  <si>
    <t>29/11/2024 23:00</t>
  </si>
  <si>
    <t>29/11/2024 24:00</t>
  </si>
  <si>
    <t>30/11/2024 01:00</t>
  </si>
  <si>
    <t>30/11/2024 02:00</t>
  </si>
  <si>
    <t>30/11/2024 03:00</t>
  </si>
  <si>
    <t>30/11/2024 04:00</t>
  </si>
  <si>
    <t>30/11/2024 05:00</t>
  </si>
  <si>
    <t>30/11/2024 06:00</t>
  </si>
  <si>
    <t>30/11/2024 07:00</t>
  </si>
  <si>
    <t>30/11/2024 08:00</t>
  </si>
  <si>
    <t>30/11/2024 09:00</t>
  </si>
  <si>
    <t>30/11/2024 10:00</t>
  </si>
  <si>
    <t>30/11/2024 11:00</t>
  </si>
  <si>
    <t>30/11/2024 12:00</t>
  </si>
  <si>
    <t>30/11/2024 13:00</t>
  </si>
  <si>
    <t>30/11/2024 14:00</t>
  </si>
  <si>
    <t>30/11/2024 15:00</t>
  </si>
  <si>
    <t>30/11/2024 16:00</t>
  </si>
  <si>
    <t>30/11/2024 17:00</t>
  </si>
  <si>
    <t>30/11/2024 18:00</t>
  </si>
  <si>
    <t>30/11/2024 19:00</t>
  </si>
  <si>
    <t>30/11/2024 20:00</t>
  </si>
  <si>
    <t>30/11/2024 21:00</t>
  </si>
  <si>
    <t>30/11/2024 22:00</t>
  </si>
  <si>
    <t>30/11/2024 23:00</t>
  </si>
  <si>
    <t>30/11/2024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</si>
</sst>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4" fillId="9" borderId="0" xfId="0" applyFont="1" applyFill="1" applyAlignment="1">
      <alignment horizontal="left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7" fillId="2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60</v>
      </c>
      <c r="B9" s="51">
        <v>35.119999999999997</v>
      </c>
      <c r="C9" s="51">
        <v>13.77</v>
      </c>
      <c r="D9" s="51">
        <v>33.880000000000003</v>
      </c>
      <c r="E9" s="51">
        <v>14.5</v>
      </c>
      <c r="F9" s="51">
        <v>7.82</v>
      </c>
      <c r="G9" s="52" t="s">
        <v>14</v>
      </c>
      <c r="H9" s="52" t="s">
        <v>14</v>
      </c>
      <c r="I9" s="51">
        <v>6.44</v>
      </c>
      <c r="J9" s="51">
        <v>0.66</v>
      </c>
      <c r="K9" s="51">
        <v>339.42</v>
      </c>
      <c r="L9" s="51">
        <v>23.62</v>
      </c>
      <c r="M9" s="51">
        <v>102.78</v>
      </c>
      <c r="N9" s="51">
        <v>26.1</v>
      </c>
      <c r="O9" s="51">
        <v>0</v>
      </c>
      <c r="P9" s="51">
        <v>1.43</v>
      </c>
      <c r="Q9" s="51">
        <v>9.6199999999999992</v>
      </c>
      <c r="R9" s="43"/>
      <c r="S9" s="43"/>
      <c r="T9" s="43"/>
      <c r="U9" s="43"/>
    </row>
    <row r="10" spans="1:21" s="11" customFormat="1" x14ac:dyDescent="0.25">
      <c r="A10" s="50" t="s">
        <v>61</v>
      </c>
      <c r="B10" s="51">
        <v>35.79</v>
      </c>
      <c r="C10" s="51">
        <v>12.81</v>
      </c>
      <c r="D10" s="51">
        <v>33.659999999999997</v>
      </c>
      <c r="E10" s="51">
        <v>12.31</v>
      </c>
      <c r="F10" s="51">
        <v>6.8</v>
      </c>
      <c r="G10" s="52" t="s">
        <v>14</v>
      </c>
      <c r="H10" s="52" t="s">
        <v>14</v>
      </c>
      <c r="I10" s="51">
        <v>5.94</v>
      </c>
      <c r="J10" s="51">
        <v>0.56999999999999995</v>
      </c>
      <c r="K10" s="51">
        <v>327.54000000000002</v>
      </c>
      <c r="L10" s="51">
        <v>22.54</v>
      </c>
      <c r="M10" s="51">
        <v>102.78</v>
      </c>
      <c r="N10" s="51">
        <v>26</v>
      </c>
      <c r="O10" s="51">
        <v>0</v>
      </c>
      <c r="P10" s="51">
        <v>1.17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62</v>
      </c>
      <c r="B11" s="51">
        <v>34.74</v>
      </c>
      <c r="C11" s="51">
        <v>10.28</v>
      </c>
      <c r="D11" s="51">
        <v>31.86</v>
      </c>
      <c r="E11" s="51">
        <v>9.93</v>
      </c>
      <c r="F11" s="51">
        <v>6.28</v>
      </c>
      <c r="G11" s="52" t="s">
        <v>14</v>
      </c>
      <c r="H11" s="52" t="s">
        <v>14</v>
      </c>
      <c r="I11" s="51">
        <v>5.24</v>
      </c>
      <c r="J11" s="51">
        <v>1.07</v>
      </c>
      <c r="K11" s="51">
        <v>347.76</v>
      </c>
      <c r="L11" s="51">
        <v>22.15</v>
      </c>
      <c r="M11" s="51">
        <v>102.78</v>
      </c>
      <c r="N11" s="51">
        <v>25.9</v>
      </c>
      <c r="O11" s="51">
        <v>0</v>
      </c>
      <c r="P11" s="51">
        <v>0.87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63</v>
      </c>
      <c r="B12" s="51">
        <v>30.35</v>
      </c>
      <c r="C12" s="51">
        <v>9.91</v>
      </c>
      <c r="D12" s="51">
        <v>27.94</v>
      </c>
      <c r="E12" s="51">
        <v>8.0500000000000007</v>
      </c>
      <c r="F12" s="51">
        <v>5.24</v>
      </c>
      <c r="G12" s="51">
        <v>254.84</v>
      </c>
      <c r="H12" s="51">
        <v>128.22</v>
      </c>
      <c r="I12" s="51">
        <v>4.55</v>
      </c>
      <c r="J12" s="51">
        <v>0.6</v>
      </c>
      <c r="K12" s="51">
        <v>343.75</v>
      </c>
      <c r="L12" s="51">
        <v>21.86</v>
      </c>
      <c r="M12" s="51">
        <v>102.75</v>
      </c>
      <c r="N12" s="51">
        <v>26</v>
      </c>
      <c r="O12" s="51">
        <v>0</v>
      </c>
      <c r="P12" s="51">
        <v>1.03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64</v>
      </c>
      <c r="B13" s="51">
        <v>25.15</v>
      </c>
      <c r="C13" s="51">
        <v>9.73</v>
      </c>
      <c r="D13" s="51">
        <v>23.84</v>
      </c>
      <c r="E13" s="51">
        <v>6.93</v>
      </c>
      <c r="F13" s="51">
        <v>4.78</v>
      </c>
      <c r="G13" s="51">
        <v>176.44</v>
      </c>
      <c r="H13" s="51">
        <v>121.15</v>
      </c>
      <c r="I13" s="51">
        <v>6.16</v>
      </c>
      <c r="J13" s="51">
        <v>0.43</v>
      </c>
      <c r="K13" s="51">
        <v>346.75</v>
      </c>
      <c r="L13" s="51">
        <v>21.22</v>
      </c>
      <c r="M13" s="51">
        <v>92.94</v>
      </c>
      <c r="N13" s="51">
        <v>26.1</v>
      </c>
      <c r="O13" s="51">
        <v>0</v>
      </c>
      <c r="P13" s="51">
        <v>1</v>
      </c>
      <c r="Q13" s="51">
        <v>9.6199999999999992</v>
      </c>
      <c r="R13" s="43"/>
      <c r="S13" s="43"/>
      <c r="T13" s="43"/>
      <c r="U13" s="43"/>
    </row>
    <row r="14" spans="1:21" s="11" customFormat="1" x14ac:dyDescent="0.25">
      <c r="A14" s="50" t="s">
        <v>65</v>
      </c>
      <c r="B14" s="51">
        <v>20.75</v>
      </c>
      <c r="C14" s="51">
        <v>10.47</v>
      </c>
      <c r="D14" s="51">
        <v>20.47</v>
      </c>
      <c r="E14" s="51">
        <v>6.28</v>
      </c>
      <c r="F14" s="51">
        <v>4.43</v>
      </c>
      <c r="G14" s="51">
        <v>115.11</v>
      </c>
      <c r="H14" s="51">
        <v>52.29</v>
      </c>
      <c r="I14" s="51">
        <v>5.82</v>
      </c>
      <c r="J14" s="51">
        <v>0.94</v>
      </c>
      <c r="K14" s="51">
        <v>343.97</v>
      </c>
      <c r="L14" s="51">
        <v>20.89</v>
      </c>
      <c r="M14" s="51">
        <v>88</v>
      </c>
      <c r="N14" s="51">
        <v>26.2</v>
      </c>
      <c r="O14" s="51">
        <v>0</v>
      </c>
      <c r="P14" s="51">
        <v>0.96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66</v>
      </c>
      <c r="B15" s="51">
        <v>17.579999999999998</v>
      </c>
      <c r="C15" s="51">
        <v>9.5500000000000007</v>
      </c>
      <c r="D15" s="51">
        <v>17.71</v>
      </c>
      <c r="E15" s="51">
        <v>5.43</v>
      </c>
      <c r="F15" s="51">
        <v>4.26</v>
      </c>
      <c r="G15" s="51">
        <v>93.17</v>
      </c>
      <c r="H15" s="51">
        <v>52.29</v>
      </c>
      <c r="I15" s="51">
        <v>5.79</v>
      </c>
      <c r="J15" s="51">
        <v>0.41</v>
      </c>
      <c r="K15" s="51">
        <v>240.88</v>
      </c>
      <c r="L15" s="51">
        <v>21.24</v>
      </c>
      <c r="M15" s="51">
        <v>85.63</v>
      </c>
      <c r="N15" s="51">
        <v>75.7</v>
      </c>
      <c r="O15" s="51">
        <v>0</v>
      </c>
      <c r="P15" s="51">
        <v>0.75</v>
      </c>
      <c r="Q15" s="51">
        <v>9.6199999999999992</v>
      </c>
      <c r="R15" s="43"/>
      <c r="S15" s="43"/>
      <c r="T15" s="43"/>
      <c r="U15" s="43"/>
    </row>
    <row r="16" spans="1:21" s="11" customFormat="1" x14ac:dyDescent="0.25">
      <c r="A16" s="50" t="s">
        <v>67</v>
      </c>
      <c r="B16" s="51">
        <v>16.36</v>
      </c>
      <c r="C16" s="51">
        <v>9.17</v>
      </c>
      <c r="D16" s="51">
        <v>16.3</v>
      </c>
      <c r="E16" s="51">
        <v>5.25</v>
      </c>
      <c r="F16" s="51">
        <v>4.0199999999999996</v>
      </c>
      <c r="G16" s="51">
        <v>58.91</v>
      </c>
      <c r="H16" s="51">
        <v>29.91</v>
      </c>
      <c r="I16" s="51">
        <v>5.34</v>
      </c>
      <c r="J16" s="51">
        <v>0.68</v>
      </c>
      <c r="K16" s="51">
        <v>144.18</v>
      </c>
      <c r="L16" s="51">
        <v>27.18</v>
      </c>
      <c r="M16" s="51">
        <v>74.010000000000005</v>
      </c>
      <c r="N16" s="51">
        <v>292.5</v>
      </c>
      <c r="O16" s="51">
        <v>0</v>
      </c>
      <c r="P16" s="51">
        <v>0.87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68</v>
      </c>
      <c r="B17" s="51">
        <v>14.25</v>
      </c>
      <c r="C17" s="51">
        <v>12.39</v>
      </c>
      <c r="D17" s="51">
        <v>15.25</v>
      </c>
      <c r="E17" s="51">
        <v>5.75</v>
      </c>
      <c r="F17" s="51">
        <v>4.8600000000000003</v>
      </c>
      <c r="G17" s="51">
        <v>121.06</v>
      </c>
      <c r="H17" s="51">
        <v>108.72</v>
      </c>
      <c r="I17" s="51">
        <v>6.45</v>
      </c>
      <c r="J17" s="51">
        <v>0.81</v>
      </c>
      <c r="K17" s="51">
        <v>129.63</v>
      </c>
      <c r="L17" s="51">
        <v>28.97</v>
      </c>
      <c r="M17" s="51">
        <v>69.459999999999994</v>
      </c>
      <c r="N17" s="51">
        <v>456.1</v>
      </c>
      <c r="O17" s="51">
        <v>0</v>
      </c>
      <c r="P17" s="51">
        <v>0.9</v>
      </c>
      <c r="Q17" s="51">
        <v>9.6300000000000008</v>
      </c>
      <c r="R17" s="43"/>
      <c r="S17" s="43"/>
      <c r="T17" s="43"/>
      <c r="U17" s="43"/>
    </row>
    <row r="18" spans="1:21" s="11" customFormat="1" x14ac:dyDescent="0.25">
      <c r="A18" s="50" t="s">
        <v>69</v>
      </c>
      <c r="B18" s="51">
        <v>9.4499999999999993</v>
      </c>
      <c r="C18" s="51">
        <v>14.19</v>
      </c>
      <c r="D18" s="51">
        <v>13.01</v>
      </c>
      <c r="E18" s="51">
        <v>5.65</v>
      </c>
      <c r="F18" s="51">
        <v>4.87</v>
      </c>
      <c r="G18" s="51">
        <v>183.96</v>
      </c>
      <c r="H18" s="51">
        <v>108.72</v>
      </c>
      <c r="I18" s="51">
        <v>7.07</v>
      </c>
      <c r="J18" s="51">
        <v>1.4</v>
      </c>
      <c r="K18" s="51">
        <v>138.97999999999999</v>
      </c>
      <c r="L18" s="51">
        <v>30.07</v>
      </c>
      <c r="M18" s="51">
        <v>65.25</v>
      </c>
      <c r="N18" s="51">
        <v>606.4</v>
      </c>
      <c r="O18" s="51">
        <v>0</v>
      </c>
      <c r="P18" s="51">
        <v>0.97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70</v>
      </c>
      <c r="B19" s="51">
        <v>4.0999999999999996</v>
      </c>
      <c r="C19" s="51">
        <v>13.51</v>
      </c>
      <c r="D19" s="51">
        <v>8.9700000000000006</v>
      </c>
      <c r="E19" s="51">
        <v>5.18</v>
      </c>
      <c r="F19" s="51">
        <v>5.13</v>
      </c>
      <c r="G19" s="51">
        <v>183.96</v>
      </c>
      <c r="H19" s="51">
        <v>80.86</v>
      </c>
      <c r="I19" s="51">
        <v>7.07</v>
      </c>
      <c r="J19" s="51">
        <v>1.24</v>
      </c>
      <c r="K19" s="51">
        <v>145.38999999999999</v>
      </c>
      <c r="L19" s="51">
        <v>31.94</v>
      </c>
      <c r="M19" s="51">
        <v>60.85</v>
      </c>
      <c r="N19" s="51">
        <v>702.4</v>
      </c>
      <c r="O19" s="51">
        <v>0</v>
      </c>
      <c r="P19" s="51">
        <v>0.92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71</v>
      </c>
      <c r="B20" s="51">
        <v>1.81</v>
      </c>
      <c r="C20" s="51">
        <v>11.04</v>
      </c>
      <c r="D20" s="51">
        <v>5.85</v>
      </c>
      <c r="E20" s="51">
        <v>5.89</v>
      </c>
      <c r="F20" s="51">
        <v>4.97</v>
      </c>
      <c r="G20" s="51">
        <v>105.81</v>
      </c>
      <c r="H20" s="51">
        <v>53.59</v>
      </c>
      <c r="I20" s="51">
        <v>5.45</v>
      </c>
      <c r="J20" s="51">
        <v>1.56</v>
      </c>
      <c r="K20" s="51">
        <v>140.69999999999999</v>
      </c>
      <c r="L20" s="51">
        <v>32.340000000000003</v>
      </c>
      <c r="M20" s="51">
        <v>46.23</v>
      </c>
      <c r="N20" s="51">
        <v>725.4</v>
      </c>
      <c r="O20" s="51">
        <v>0</v>
      </c>
      <c r="P20" s="51">
        <v>0.78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72</v>
      </c>
      <c r="B21" s="51">
        <v>0.59</v>
      </c>
      <c r="C21" s="51">
        <v>9.99</v>
      </c>
      <c r="D21" s="51">
        <v>4.3099999999999996</v>
      </c>
      <c r="E21" s="51">
        <v>5.28</v>
      </c>
      <c r="F21" s="51">
        <v>6.5</v>
      </c>
      <c r="G21" s="51">
        <v>74.02</v>
      </c>
      <c r="H21" s="51">
        <v>53.59</v>
      </c>
      <c r="I21" s="51">
        <v>6.03</v>
      </c>
      <c r="J21" s="51">
        <v>1.2</v>
      </c>
      <c r="K21" s="51">
        <v>352.29</v>
      </c>
      <c r="L21" s="51">
        <v>34.08</v>
      </c>
      <c r="M21" s="51">
        <v>40.4</v>
      </c>
      <c r="N21" s="51">
        <v>644.79999999999995</v>
      </c>
      <c r="O21" s="51">
        <v>0</v>
      </c>
      <c r="P21" s="51">
        <v>0.74</v>
      </c>
      <c r="Q21" s="51">
        <v>9.6199999999999992</v>
      </c>
      <c r="R21" s="43"/>
      <c r="S21" s="43"/>
      <c r="T21" s="43"/>
      <c r="U21" s="43"/>
    </row>
    <row r="22" spans="1:21" s="11" customFormat="1" x14ac:dyDescent="0.25">
      <c r="A22" s="50" t="s">
        <v>73</v>
      </c>
      <c r="B22" s="51">
        <v>0.17</v>
      </c>
      <c r="C22" s="51">
        <v>10.25</v>
      </c>
      <c r="D22" s="51">
        <v>4.0999999999999996</v>
      </c>
      <c r="E22" s="51">
        <v>5.26</v>
      </c>
      <c r="F22" s="51">
        <v>7.97</v>
      </c>
      <c r="G22" s="51">
        <v>71.09</v>
      </c>
      <c r="H22" s="51">
        <v>25.83</v>
      </c>
      <c r="I22" s="51">
        <v>5.28</v>
      </c>
      <c r="J22" s="51">
        <v>1.39</v>
      </c>
      <c r="K22" s="51">
        <v>334.95</v>
      </c>
      <c r="L22" s="51">
        <v>34.130000000000003</v>
      </c>
      <c r="M22" s="51">
        <v>30.63</v>
      </c>
      <c r="N22" s="51">
        <v>506.7</v>
      </c>
      <c r="O22" s="51">
        <v>0</v>
      </c>
      <c r="P22" s="51">
        <v>0.65</v>
      </c>
      <c r="Q22" s="51">
        <v>9.6199999999999992</v>
      </c>
      <c r="R22" s="43"/>
      <c r="S22" s="43"/>
      <c r="T22" s="43"/>
      <c r="U22" s="43"/>
    </row>
    <row r="23" spans="1:21" s="11" customFormat="1" x14ac:dyDescent="0.25">
      <c r="A23" s="50" t="s">
        <v>74</v>
      </c>
      <c r="B23" s="51">
        <v>0.25</v>
      </c>
      <c r="C23" s="51">
        <v>10.39</v>
      </c>
      <c r="D23" s="51">
        <v>4.13</v>
      </c>
      <c r="E23" s="51">
        <v>5.04</v>
      </c>
      <c r="F23" s="51">
        <v>8.83</v>
      </c>
      <c r="G23" s="51">
        <v>71.09</v>
      </c>
      <c r="H23" s="51">
        <v>28.98</v>
      </c>
      <c r="I23" s="51">
        <v>3.58</v>
      </c>
      <c r="J23" s="51">
        <v>1.02</v>
      </c>
      <c r="K23" s="51">
        <v>335.77</v>
      </c>
      <c r="L23" s="51">
        <v>32.97</v>
      </c>
      <c r="M23" s="51">
        <v>33.869999999999997</v>
      </c>
      <c r="N23" s="51">
        <v>230</v>
      </c>
      <c r="O23" s="51">
        <v>0</v>
      </c>
      <c r="P23" s="51">
        <v>0.6</v>
      </c>
      <c r="Q23" s="51">
        <v>9.6199999999999992</v>
      </c>
      <c r="R23" s="43"/>
      <c r="S23" s="43"/>
      <c r="T23" s="43"/>
      <c r="U23" s="43"/>
    </row>
    <row r="24" spans="1:21" s="11" customFormat="1" x14ac:dyDescent="0.25">
      <c r="A24" s="50" t="s">
        <v>75</v>
      </c>
      <c r="B24" s="51">
        <v>0.36</v>
      </c>
      <c r="C24" s="51">
        <v>9.94</v>
      </c>
      <c r="D24" s="51">
        <v>4.1100000000000003</v>
      </c>
      <c r="E24" s="51">
        <v>4.88</v>
      </c>
      <c r="F24" s="51">
        <v>8.9</v>
      </c>
      <c r="G24" s="51">
        <v>54.87</v>
      </c>
      <c r="H24" s="51">
        <v>28.98</v>
      </c>
      <c r="I24" s="51">
        <v>2.37</v>
      </c>
      <c r="J24" s="51">
        <v>1</v>
      </c>
      <c r="K24" s="51">
        <v>345.98</v>
      </c>
      <c r="L24" s="51">
        <v>31.56</v>
      </c>
      <c r="M24" s="51">
        <v>37.24</v>
      </c>
      <c r="N24" s="51">
        <v>101.2</v>
      </c>
      <c r="O24" s="51">
        <v>0</v>
      </c>
      <c r="P24" s="51">
        <v>0.53</v>
      </c>
      <c r="Q24" s="51">
        <v>9.6199999999999992</v>
      </c>
      <c r="R24" s="43"/>
      <c r="S24" s="43"/>
      <c r="T24" s="43"/>
      <c r="U24" s="43"/>
    </row>
    <row r="25" spans="1:21" s="11" customFormat="1" x14ac:dyDescent="0.25">
      <c r="A25" s="50" t="s">
        <v>76</v>
      </c>
      <c r="B25" s="51">
        <v>0.24</v>
      </c>
      <c r="C25" s="51">
        <v>10.17</v>
      </c>
      <c r="D25" s="51">
        <v>4.03</v>
      </c>
      <c r="E25" s="51">
        <v>6.06</v>
      </c>
      <c r="F25" s="51">
        <v>7.56</v>
      </c>
      <c r="G25" s="51">
        <v>52.43</v>
      </c>
      <c r="H25" s="51">
        <v>14.9</v>
      </c>
      <c r="I25" s="51">
        <v>1.9</v>
      </c>
      <c r="J25" s="51">
        <v>1.01</v>
      </c>
      <c r="K25" s="51">
        <v>113.64</v>
      </c>
      <c r="L25" s="51">
        <v>30.09</v>
      </c>
      <c r="M25" s="51">
        <v>40.409999999999997</v>
      </c>
      <c r="N25" s="51">
        <v>69.599999999999994</v>
      </c>
      <c r="O25" s="51">
        <v>0</v>
      </c>
      <c r="P25" s="51">
        <v>0.5</v>
      </c>
      <c r="Q25" s="51">
        <v>9.61</v>
      </c>
      <c r="R25" s="43"/>
      <c r="S25" s="43"/>
      <c r="T25" s="43"/>
      <c r="U25" s="43"/>
    </row>
    <row r="26" spans="1:21" s="11" customFormat="1" x14ac:dyDescent="0.25">
      <c r="A26" s="50" t="s">
        <v>77</v>
      </c>
      <c r="B26" s="51">
        <v>0.16</v>
      </c>
      <c r="C26" s="51">
        <v>9.9499999999999993</v>
      </c>
      <c r="D26" s="51">
        <v>3.95</v>
      </c>
      <c r="E26" s="51">
        <v>5.43</v>
      </c>
      <c r="F26" s="51">
        <v>6.39</v>
      </c>
      <c r="G26" s="51">
        <v>49.45</v>
      </c>
      <c r="H26" s="51">
        <v>21.34</v>
      </c>
      <c r="I26" s="51">
        <v>2.69</v>
      </c>
      <c r="J26" s="51">
        <v>1.29</v>
      </c>
      <c r="K26" s="51">
        <v>329.41</v>
      </c>
      <c r="L26" s="51">
        <v>29.12</v>
      </c>
      <c r="M26" s="51">
        <v>47.83</v>
      </c>
      <c r="N26" s="51">
        <v>35.1</v>
      </c>
      <c r="O26" s="51">
        <v>0</v>
      </c>
      <c r="P26" s="51">
        <v>0.72</v>
      </c>
      <c r="Q26" s="51">
        <v>9.61</v>
      </c>
      <c r="R26" s="43"/>
      <c r="S26" s="43"/>
      <c r="T26" s="43"/>
      <c r="U26" s="43"/>
    </row>
    <row r="27" spans="1:21" s="11" customFormat="1" x14ac:dyDescent="0.25">
      <c r="A27" s="50" t="s">
        <v>78</v>
      </c>
      <c r="B27" s="51">
        <v>1.86</v>
      </c>
      <c r="C27" s="51">
        <v>13.52</v>
      </c>
      <c r="D27" s="51">
        <v>7.18</v>
      </c>
      <c r="E27" s="51">
        <v>6.07</v>
      </c>
      <c r="F27" s="51">
        <v>5.41</v>
      </c>
      <c r="G27" s="51">
        <v>63.34</v>
      </c>
      <c r="H27" s="51">
        <v>24.74</v>
      </c>
      <c r="I27" s="51">
        <v>4.2</v>
      </c>
      <c r="J27" s="51">
        <v>0.53</v>
      </c>
      <c r="K27" s="51">
        <v>335.11</v>
      </c>
      <c r="L27" s="51">
        <v>26.82</v>
      </c>
      <c r="M27" s="51">
        <v>59.49</v>
      </c>
      <c r="N27" s="51">
        <v>26.7</v>
      </c>
      <c r="O27" s="51">
        <v>0</v>
      </c>
      <c r="P27" s="51">
        <v>1.1499999999999999</v>
      </c>
      <c r="Q27" s="51">
        <v>9.6300000000000008</v>
      </c>
      <c r="R27" s="43"/>
      <c r="S27" s="43"/>
      <c r="T27" s="43"/>
      <c r="U27" s="43"/>
    </row>
    <row r="28" spans="1:21" s="11" customFormat="1" x14ac:dyDescent="0.25">
      <c r="A28" s="50" t="s">
        <v>79</v>
      </c>
      <c r="B28" s="51">
        <v>5.95</v>
      </c>
      <c r="C28" s="51">
        <v>15.28</v>
      </c>
      <c r="D28" s="51">
        <v>11.38</v>
      </c>
      <c r="E28" s="51">
        <v>6.37</v>
      </c>
      <c r="F28" s="51">
        <v>5.36</v>
      </c>
      <c r="G28" s="51">
        <v>113.65</v>
      </c>
      <c r="H28" s="51">
        <v>53.91</v>
      </c>
      <c r="I28" s="51">
        <v>6.49</v>
      </c>
      <c r="J28" s="51">
        <v>0.57999999999999996</v>
      </c>
      <c r="K28" s="51">
        <v>302.8</v>
      </c>
      <c r="L28" s="51">
        <v>24.86</v>
      </c>
      <c r="M28" s="51">
        <v>72.63</v>
      </c>
      <c r="N28" s="51">
        <v>26.2</v>
      </c>
      <c r="O28" s="51">
        <v>0</v>
      </c>
      <c r="P28" s="51">
        <v>1.61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80</v>
      </c>
      <c r="B29" s="51">
        <v>19.53</v>
      </c>
      <c r="C29" s="51">
        <v>16.73</v>
      </c>
      <c r="D29" s="51">
        <v>23.02</v>
      </c>
      <c r="E29" s="51">
        <v>8.51</v>
      </c>
      <c r="F29" s="51">
        <v>5.66</v>
      </c>
      <c r="G29" s="52" t="s">
        <v>14</v>
      </c>
      <c r="H29" s="52" t="s">
        <v>14</v>
      </c>
      <c r="I29" s="51">
        <v>6.55</v>
      </c>
      <c r="J29" s="51">
        <v>0.38</v>
      </c>
      <c r="K29" s="51">
        <v>312.32</v>
      </c>
      <c r="L29" s="51">
        <v>23.99</v>
      </c>
      <c r="M29" s="51">
        <v>76.67</v>
      </c>
      <c r="N29" s="51">
        <v>26.1</v>
      </c>
      <c r="O29" s="51">
        <v>0</v>
      </c>
      <c r="P29" s="51">
        <v>1.36</v>
      </c>
      <c r="Q29" s="51">
        <v>9.6300000000000008</v>
      </c>
      <c r="R29" s="43"/>
      <c r="S29" s="43"/>
      <c r="T29" s="43"/>
      <c r="U29" s="43"/>
    </row>
    <row r="30" spans="1:21" s="11" customFormat="1" x14ac:dyDescent="0.25">
      <c r="A30" s="50" t="s">
        <v>81</v>
      </c>
      <c r="B30" s="51">
        <v>40.630000000000003</v>
      </c>
      <c r="C30" s="51">
        <v>17.149999999999999</v>
      </c>
      <c r="D30" s="51">
        <v>39.9</v>
      </c>
      <c r="E30" s="51">
        <v>11.13</v>
      </c>
      <c r="F30" s="51">
        <v>6.6</v>
      </c>
      <c r="G30" s="52" t="s">
        <v>14</v>
      </c>
      <c r="H30" s="52" t="s">
        <v>14</v>
      </c>
      <c r="I30" s="51">
        <v>7.86</v>
      </c>
      <c r="J30" s="51">
        <v>0.51</v>
      </c>
      <c r="K30" s="51">
        <v>316.39999999999998</v>
      </c>
      <c r="L30" s="51">
        <v>23.52</v>
      </c>
      <c r="M30" s="51">
        <v>84.64</v>
      </c>
      <c r="N30" s="51">
        <v>26.1</v>
      </c>
      <c r="O30" s="51">
        <v>0</v>
      </c>
      <c r="P30" s="51">
        <v>1.69</v>
      </c>
      <c r="Q30" s="51">
        <v>9.6199999999999992</v>
      </c>
      <c r="R30" s="43"/>
      <c r="S30" s="43"/>
      <c r="T30" s="43"/>
      <c r="U30" s="43"/>
    </row>
    <row r="31" spans="1:21" s="11" customFormat="1" x14ac:dyDescent="0.25">
      <c r="A31" s="50" t="s">
        <v>82</v>
      </c>
      <c r="B31" s="51">
        <v>56.64</v>
      </c>
      <c r="C31" s="51">
        <v>16.38</v>
      </c>
      <c r="D31" s="51">
        <v>51.52</v>
      </c>
      <c r="E31" s="51">
        <v>11.47</v>
      </c>
      <c r="F31" s="51">
        <v>6.5</v>
      </c>
      <c r="G31" s="52" t="s">
        <v>14</v>
      </c>
      <c r="H31" s="52" t="s">
        <v>14</v>
      </c>
      <c r="I31" s="51">
        <v>8.5</v>
      </c>
      <c r="J31" s="51">
        <v>0.51</v>
      </c>
      <c r="K31" s="51">
        <v>346.89</v>
      </c>
      <c r="L31" s="51">
        <v>22.81</v>
      </c>
      <c r="M31" s="51">
        <v>86.3</v>
      </c>
      <c r="N31" s="51">
        <v>26.1</v>
      </c>
      <c r="O31" s="51">
        <v>0</v>
      </c>
      <c r="P31" s="51">
        <v>1.8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83</v>
      </c>
      <c r="B32" s="51">
        <v>55.98</v>
      </c>
      <c r="C32" s="51">
        <v>13.71</v>
      </c>
      <c r="D32" s="51">
        <v>50.68</v>
      </c>
      <c r="E32" s="51">
        <v>9.75</v>
      </c>
      <c r="F32" s="51">
        <v>5.87</v>
      </c>
      <c r="G32" s="52" t="s">
        <v>14</v>
      </c>
      <c r="H32" s="52" t="s">
        <v>14</v>
      </c>
      <c r="I32" s="51">
        <v>7.33</v>
      </c>
      <c r="J32" s="51">
        <v>0.59</v>
      </c>
      <c r="K32" s="51">
        <v>317.75</v>
      </c>
      <c r="L32" s="51">
        <v>22.68</v>
      </c>
      <c r="M32" s="51">
        <v>91.24</v>
      </c>
      <c r="N32" s="51">
        <v>26.1</v>
      </c>
      <c r="O32" s="51">
        <v>0</v>
      </c>
      <c r="P32" s="51">
        <v>1.42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0.16</v>
      </c>
      <c r="C34" s="28">
        <f t="shared" si="0"/>
        <v>9.17</v>
      </c>
      <c r="D34" s="28">
        <f t="shared" si="0"/>
        <v>3.95</v>
      </c>
      <c r="E34" s="28">
        <f t="shared" si="0"/>
        <v>4.88</v>
      </c>
      <c r="F34" s="28">
        <f t="shared" si="0"/>
        <v>4.0199999999999996</v>
      </c>
      <c r="G34" s="28">
        <f t="shared" si="0"/>
        <v>49.45</v>
      </c>
      <c r="H34" s="28">
        <f t="shared" si="0"/>
        <v>14.9</v>
      </c>
      <c r="I34" s="28">
        <f t="shared" si="0"/>
        <v>1.9</v>
      </c>
      <c r="J34" s="28">
        <f t="shared" si="0"/>
        <v>0.38</v>
      </c>
      <c r="K34" s="28">
        <f t="shared" si="0"/>
        <v>113.64</v>
      </c>
      <c r="L34" s="28">
        <f t="shared" si="0"/>
        <v>20.89</v>
      </c>
      <c r="M34" s="28">
        <f t="shared" si="0"/>
        <v>30.63</v>
      </c>
      <c r="N34" s="28">
        <f t="shared" si="0"/>
        <v>25.9</v>
      </c>
      <c r="O34" s="28">
        <f t="shared" si="0"/>
        <v>0</v>
      </c>
      <c r="P34" s="28">
        <f t="shared" si="0"/>
        <v>0.5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56.64</v>
      </c>
      <c r="C35" s="29">
        <f t="shared" si="1"/>
        <v>17.149999999999999</v>
      </c>
      <c r="D35" s="29">
        <f t="shared" si="1"/>
        <v>51.52</v>
      </c>
      <c r="E35" s="29">
        <f t="shared" si="1"/>
        <v>14.5</v>
      </c>
      <c r="F35" s="29">
        <f t="shared" si="1"/>
        <v>8.9</v>
      </c>
      <c r="G35" s="29">
        <f t="shared" si="1"/>
        <v>254.84</v>
      </c>
      <c r="H35" s="29">
        <f t="shared" si="1"/>
        <v>128.22</v>
      </c>
      <c r="I35" s="29">
        <f t="shared" si="1"/>
        <v>8.5</v>
      </c>
      <c r="J35" s="29">
        <f t="shared" si="1"/>
        <v>1.56</v>
      </c>
      <c r="K35" s="29">
        <f t="shared" si="1"/>
        <v>352.29</v>
      </c>
      <c r="L35" s="29">
        <f t="shared" si="1"/>
        <v>34.130000000000003</v>
      </c>
      <c r="M35" s="29">
        <f t="shared" si="1"/>
        <v>102.78</v>
      </c>
      <c r="N35" s="29">
        <f t="shared" si="1"/>
        <v>725.4</v>
      </c>
      <c r="O35" s="29">
        <f t="shared" si="1"/>
        <v>0</v>
      </c>
      <c r="P35" s="29">
        <f t="shared" si="1"/>
        <v>1.8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17.825416666666669</v>
      </c>
      <c r="C36" s="28">
        <f t="shared" si="2"/>
        <v>12.094999999999997</v>
      </c>
      <c r="D36" s="28">
        <f t="shared" si="2"/>
        <v>19.043749999999996</v>
      </c>
      <c r="E36" s="28">
        <f t="shared" si="2"/>
        <v>7.3500000000000005</v>
      </c>
      <c r="F36" s="28">
        <f t="shared" si="2"/>
        <v>6.0420833333333333</v>
      </c>
      <c r="G36" s="28">
        <f t="shared" si="2"/>
        <v>108.42352941176469</v>
      </c>
      <c r="H36" s="28">
        <f t="shared" si="2"/>
        <v>58.118823529411777</v>
      </c>
      <c r="I36" s="28">
        <f t="shared" si="2"/>
        <v>5.5875000000000012</v>
      </c>
      <c r="J36" s="28">
        <f t="shared" si="2"/>
        <v>0.84916666666666674</v>
      </c>
      <c r="K36" s="28">
        <f t="shared" si="2"/>
        <v>280.51083333333332</v>
      </c>
      <c r="L36" s="28">
        <f t="shared" si="2"/>
        <v>26.693749999999994</v>
      </c>
      <c r="M36" s="28">
        <f t="shared" si="2"/>
        <v>70.617083333333341</v>
      </c>
      <c r="N36" s="28">
        <f t="shared" si="2"/>
        <v>198.31250000000009</v>
      </c>
      <c r="O36" s="28">
        <f t="shared" si="2"/>
        <v>0</v>
      </c>
      <c r="P36" s="28">
        <f t="shared" si="2"/>
        <v>1.0175000000000001</v>
      </c>
      <c r="Q36" s="28">
        <f t="shared" si="2"/>
        <v>9.6254166666666663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17.915576652046742</v>
      </c>
      <c r="C37" s="28">
        <f t="shared" ref="C37:Q37" si="3">STDEV(C9:C32)</f>
        <v>2.5204933954529247</v>
      </c>
      <c r="D37" s="28">
        <f t="shared" si="3"/>
        <v>14.865706614627308</v>
      </c>
      <c r="E37" s="28">
        <f t="shared" si="3"/>
        <v>2.7265713459118994</v>
      </c>
      <c r="F37" s="28">
        <f t="shared" si="3"/>
        <v>1.3909208059432414</v>
      </c>
      <c r="G37" s="28">
        <f t="shared" si="3"/>
        <v>59.099059207949395</v>
      </c>
      <c r="H37" s="28">
        <f t="shared" si="3"/>
        <v>37.519204063111587</v>
      </c>
      <c r="I37" s="28">
        <f t="shared" si="3"/>
        <v>1.6772888320402495</v>
      </c>
      <c r="J37" s="28">
        <f t="shared" si="3"/>
        <v>0.35949138789547447</v>
      </c>
      <c r="K37" s="28">
        <f t="shared" si="3"/>
        <v>88.622090087343807</v>
      </c>
      <c r="L37" s="28">
        <f t="shared" si="3"/>
        <v>4.5807914756599093</v>
      </c>
      <c r="M37" s="28">
        <f t="shared" si="3"/>
        <v>24.077836006903986</v>
      </c>
      <c r="N37" s="28">
        <f t="shared" si="3"/>
        <v>254.75161528267171</v>
      </c>
      <c r="O37" s="28">
        <f t="shared" si="3"/>
        <v>0</v>
      </c>
      <c r="P37" s="28">
        <f t="shared" si="3"/>
        <v>0.36635988483646931</v>
      </c>
      <c r="Q37" s="28">
        <f t="shared" si="3"/>
        <v>7.2106000875931005E-3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COUNT(G9:G32)+7</f>
        <v>24</v>
      </c>
      <c r="H38" s="32">
        <f>COUNT(H9:H32)+7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84</v>
      </c>
      <c r="B9" s="51">
        <v>54.81</v>
      </c>
      <c r="C9" s="51">
        <v>11.49</v>
      </c>
      <c r="D9" s="51">
        <v>48.58</v>
      </c>
      <c r="E9" s="51">
        <v>7.79</v>
      </c>
      <c r="F9" s="51">
        <v>5.45</v>
      </c>
      <c r="G9" s="51">
        <v>279.72000000000003</v>
      </c>
      <c r="H9" s="51">
        <v>237.21</v>
      </c>
      <c r="I9" s="51">
        <v>6.35</v>
      </c>
      <c r="J9" s="51">
        <v>0.5</v>
      </c>
      <c r="K9" s="51">
        <v>345.6</v>
      </c>
      <c r="L9" s="51">
        <v>22</v>
      </c>
      <c r="M9" s="51">
        <v>89.29</v>
      </c>
      <c r="N9" s="51">
        <v>26.1</v>
      </c>
      <c r="O9" s="51">
        <v>0</v>
      </c>
      <c r="P9" s="51">
        <v>1.3</v>
      </c>
      <c r="Q9" s="51">
        <v>9.64</v>
      </c>
      <c r="R9" s="43"/>
      <c r="S9" s="43"/>
      <c r="T9" s="43"/>
      <c r="U9" s="43"/>
    </row>
    <row r="10" spans="1:21" s="11" customFormat="1" x14ac:dyDescent="0.25">
      <c r="A10" s="50" t="s">
        <v>85</v>
      </c>
      <c r="B10" s="51">
        <v>45.34</v>
      </c>
      <c r="C10" s="51">
        <v>11.87</v>
      </c>
      <c r="D10" s="51">
        <v>40.89</v>
      </c>
      <c r="E10" s="51">
        <v>6.21</v>
      </c>
      <c r="F10" s="51">
        <v>4.92</v>
      </c>
      <c r="G10" s="51">
        <v>221.98</v>
      </c>
      <c r="H10" s="51">
        <v>93.89</v>
      </c>
      <c r="I10" s="51">
        <v>6.88</v>
      </c>
      <c r="J10" s="51">
        <v>0.42</v>
      </c>
      <c r="K10" s="51">
        <v>359.6</v>
      </c>
      <c r="L10" s="51">
        <v>21.68</v>
      </c>
      <c r="M10" s="51">
        <v>86.46</v>
      </c>
      <c r="N10" s="51">
        <v>26.1</v>
      </c>
      <c r="O10" s="51">
        <v>0</v>
      </c>
      <c r="P10" s="51">
        <v>1.1299999999999999</v>
      </c>
      <c r="Q10" s="51">
        <v>9.6300000000000008</v>
      </c>
      <c r="R10" s="43"/>
      <c r="S10" s="43"/>
      <c r="T10" s="43"/>
      <c r="U10" s="43"/>
    </row>
    <row r="11" spans="1:21" s="11" customFormat="1" x14ac:dyDescent="0.25">
      <c r="A11" s="50" t="s">
        <v>86</v>
      </c>
      <c r="B11" s="51">
        <v>35.159999999999997</v>
      </c>
      <c r="C11" s="51">
        <v>12.16</v>
      </c>
      <c r="D11" s="51">
        <v>33.15</v>
      </c>
      <c r="E11" s="51">
        <v>5.42</v>
      </c>
      <c r="F11" s="51">
        <v>4.47</v>
      </c>
      <c r="G11" s="51">
        <v>85.23</v>
      </c>
      <c r="H11" s="51">
        <v>93.89</v>
      </c>
      <c r="I11" s="51">
        <v>6.71</v>
      </c>
      <c r="J11" s="51">
        <v>0.27</v>
      </c>
      <c r="K11" s="51">
        <v>293.33999999999997</v>
      </c>
      <c r="L11" s="51">
        <v>21.42</v>
      </c>
      <c r="M11" s="51">
        <v>87</v>
      </c>
      <c r="N11" s="51">
        <v>26</v>
      </c>
      <c r="O11" s="51">
        <v>0</v>
      </c>
      <c r="P11" s="51">
        <v>1.05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87</v>
      </c>
      <c r="B12" s="51">
        <v>28.33</v>
      </c>
      <c r="C12" s="51">
        <v>10.74</v>
      </c>
      <c r="D12" s="51">
        <v>26.95</v>
      </c>
      <c r="E12" s="51">
        <v>5.94</v>
      </c>
      <c r="F12" s="51">
        <v>4.34</v>
      </c>
      <c r="G12" s="51">
        <v>85.08</v>
      </c>
      <c r="H12" s="51">
        <v>54.97</v>
      </c>
      <c r="I12" s="51">
        <v>5.21</v>
      </c>
      <c r="J12" s="51">
        <v>0.5</v>
      </c>
      <c r="K12" s="51">
        <v>322.37</v>
      </c>
      <c r="L12" s="51">
        <v>21.15</v>
      </c>
      <c r="M12" s="51">
        <v>91.09</v>
      </c>
      <c r="N12" s="51">
        <v>26</v>
      </c>
      <c r="O12" s="51">
        <v>0</v>
      </c>
      <c r="P12" s="51">
        <v>0.78</v>
      </c>
      <c r="Q12" s="51">
        <v>9.64</v>
      </c>
      <c r="R12" s="43"/>
      <c r="S12" s="43"/>
      <c r="T12" s="43"/>
      <c r="U12" s="43"/>
    </row>
    <row r="13" spans="1:21" s="11" customFormat="1" x14ac:dyDescent="0.25">
      <c r="A13" s="50" t="s">
        <v>88</v>
      </c>
      <c r="B13" s="51">
        <v>25.18</v>
      </c>
      <c r="C13" s="51">
        <v>10.56</v>
      </c>
      <c r="D13" s="51">
        <v>24</v>
      </c>
      <c r="E13" s="51">
        <v>6.93</v>
      </c>
      <c r="F13" s="51">
        <v>4.09</v>
      </c>
      <c r="G13" s="51">
        <v>103.52</v>
      </c>
      <c r="H13" s="51">
        <v>54.97</v>
      </c>
      <c r="I13" s="51">
        <v>5.04</v>
      </c>
      <c r="J13" s="51">
        <v>0.44</v>
      </c>
      <c r="K13" s="51">
        <v>306.17</v>
      </c>
      <c r="L13" s="51">
        <v>21.08</v>
      </c>
      <c r="M13" s="51">
        <v>93.84</v>
      </c>
      <c r="N13" s="51">
        <v>26.1</v>
      </c>
      <c r="O13" s="51">
        <v>0</v>
      </c>
      <c r="P13" s="51">
        <v>0.85</v>
      </c>
      <c r="Q13" s="51">
        <v>9.6300000000000008</v>
      </c>
      <c r="R13" s="43"/>
      <c r="S13" s="43"/>
      <c r="T13" s="43"/>
      <c r="U13" s="43"/>
    </row>
    <row r="14" spans="1:21" s="11" customFormat="1" x14ac:dyDescent="0.25">
      <c r="A14" s="50" t="s">
        <v>89</v>
      </c>
      <c r="B14" s="51">
        <v>26.16</v>
      </c>
      <c r="C14" s="51">
        <v>11.01</v>
      </c>
      <c r="D14" s="51">
        <v>25.24</v>
      </c>
      <c r="E14" s="51">
        <v>7.11</v>
      </c>
      <c r="F14" s="51">
        <v>4.66</v>
      </c>
      <c r="G14" s="51">
        <v>117.18</v>
      </c>
      <c r="H14" s="51">
        <v>57.15</v>
      </c>
      <c r="I14" s="51">
        <v>6.06</v>
      </c>
      <c r="J14" s="51">
        <v>0.37</v>
      </c>
      <c r="K14" s="51">
        <v>318.60000000000002</v>
      </c>
      <c r="L14" s="51">
        <v>21.08</v>
      </c>
      <c r="M14" s="51">
        <v>99.75</v>
      </c>
      <c r="N14" s="51">
        <v>26.5</v>
      </c>
      <c r="O14" s="51">
        <v>0</v>
      </c>
      <c r="P14" s="51">
        <v>0.85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90</v>
      </c>
      <c r="B15" s="51">
        <v>29.22</v>
      </c>
      <c r="C15" s="51">
        <v>10.81</v>
      </c>
      <c r="D15" s="51">
        <v>27.63</v>
      </c>
      <c r="E15" s="51">
        <v>7.55</v>
      </c>
      <c r="F15" s="51">
        <v>4.25</v>
      </c>
      <c r="G15" s="51">
        <v>117.18</v>
      </c>
      <c r="H15" s="51">
        <v>57.15</v>
      </c>
      <c r="I15" s="51">
        <v>5.94</v>
      </c>
      <c r="J15" s="51">
        <v>0.42</v>
      </c>
      <c r="K15" s="51">
        <v>317.42</v>
      </c>
      <c r="L15" s="51">
        <v>21.64</v>
      </c>
      <c r="M15" s="51">
        <v>100.56</v>
      </c>
      <c r="N15" s="51">
        <v>80</v>
      </c>
      <c r="O15" s="51">
        <v>0</v>
      </c>
      <c r="P15" s="51">
        <v>0.82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91</v>
      </c>
      <c r="B16" s="51">
        <v>31.06</v>
      </c>
      <c r="C16" s="51">
        <v>9.66</v>
      </c>
      <c r="D16" s="51">
        <v>28.47</v>
      </c>
      <c r="E16" s="51">
        <v>7.25</v>
      </c>
      <c r="F16" s="51">
        <v>4.42</v>
      </c>
      <c r="G16" s="51">
        <v>120.22</v>
      </c>
      <c r="H16" s="51">
        <v>53</v>
      </c>
      <c r="I16" s="51">
        <v>5.77</v>
      </c>
      <c r="J16" s="51">
        <v>0.86</v>
      </c>
      <c r="K16" s="51">
        <v>349.06</v>
      </c>
      <c r="L16" s="51">
        <v>27.15</v>
      </c>
      <c r="M16" s="51">
        <v>89.92</v>
      </c>
      <c r="N16" s="51">
        <v>256.3</v>
      </c>
      <c r="O16" s="51">
        <v>0</v>
      </c>
      <c r="P16" s="51">
        <v>0.81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92</v>
      </c>
      <c r="B17" s="51">
        <v>29.68</v>
      </c>
      <c r="C17" s="51">
        <v>11.26</v>
      </c>
      <c r="D17" s="51">
        <v>27.66</v>
      </c>
      <c r="E17" s="51">
        <v>4.59</v>
      </c>
      <c r="F17" s="51">
        <v>4.09</v>
      </c>
      <c r="G17" s="51">
        <v>120.22</v>
      </c>
      <c r="H17" s="51">
        <v>53</v>
      </c>
      <c r="I17" s="51">
        <v>5.5</v>
      </c>
      <c r="J17" s="51">
        <v>0.87</v>
      </c>
      <c r="K17" s="51">
        <v>357.91</v>
      </c>
      <c r="L17" s="51">
        <v>29.4</v>
      </c>
      <c r="M17" s="51">
        <v>64.45</v>
      </c>
      <c r="N17" s="51">
        <v>416.1</v>
      </c>
      <c r="O17" s="51">
        <v>0</v>
      </c>
      <c r="P17" s="51">
        <v>0.79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93</v>
      </c>
      <c r="B18" s="51">
        <v>24.05</v>
      </c>
      <c r="C18" s="51">
        <v>17.63</v>
      </c>
      <c r="D18" s="51">
        <v>24.41</v>
      </c>
      <c r="E18" s="51">
        <v>4.88</v>
      </c>
      <c r="F18" s="51">
        <v>4.71</v>
      </c>
      <c r="G18" s="51">
        <v>118.17</v>
      </c>
      <c r="H18" s="51">
        <v>52.6</v>
      </c>
      <c r="I18" s="51">
        <v>5.95</v>
      </c>
      <c r="J18" s="51">
        <v>0.69</v>
      </c>
      <c r="K18" s="51">
        <v>342.52</v>
      </c>
      <c r="L18" s="51">
        <v>33</v>
      </c>
      <c r="M18" s="51">
        <v>54.72</v>
      </c>
      <c r="N18" s="51">
        <v>540.6</v>
      </c>
      <c r="O18" s="51">
        <v>0</v>
      </c>
      <c r="P18" s="51">
        <v>0.8</v>
      </c>
      <c r="Q18" s="51">
        <v>9.6199999999999992</v>
      </c>
      <c r="R18" s="43"/>
      <c r="S18" s="43"/>
      <c r="T18" s="43"/>
      <c r="U18" s="43"/>
    </row>
    <row r="19" spans="1:21" s="11" customFormat="1" x14ac:dyDescent="0.25">
      <c r="A19" s="50" t="s">
        <v>94</v>
      </c>
      <c r="B19" s="51">
        <v>12.93</v>
      </c>
      <c r="C19" s="51">
        <v>20.329999999999998</v>
      </c>
      <c r="D19" s="51">
        <v>18.690000000000001</v>
      </c>
      <c r="E19" s="51">
        <v>4.46</v>
      </c>
      <c r="F19" s="51">
        <v>5.28</v>
      </c>
      <c r="G19" s="51">
        <v>118.17</v>
      </c>
      <c r="H19" s="51">
        <v>53.24</v>
      </c>
      <c r="I19" s="51">
        <v>5.95</v>
      </c>
      <c r="J19" s="51">
        <v>0.7</v>
      </c>
      <c r="K19" s="51">
        <v>358.31</v>
      </c>
      <c r="L19" s="51">
        <v>33.47</v>
      </c>
      <c r="M19" s="51">
        <v>47.6</v>
      </c>
      <c r="N19" s="51">
        <v>573.29999999999995</v>
      </c>
      <c r="O19" s="51">
        <v>0</v>
      </c>
      <c r="P19" s="51">
        <v>0.78</v>
      </c>
      <c r="Q19" s="51">
        <v>9.6199999999999992</v>
      </c>
      <c r="R19" s="43"/>
      <c r="S19" s="43"/>
      <c r="T19" s="43"/>
      <c r="U19" s="43"/>
    </row>
    <row r="20" spans="1:21" s="11" customFormat="1" x14ac:dyDescent="0.25">
      <c r="A20" s="50" t="s">
        <v>95</v>
      </c>
      <c r="B20" s="51">
        <v>2.88</v>
      </c>
      <c r="C20" s="51">
        <v>19.98</v>
      </c>
      <c r="D20" s="51">
        <v>11.37</v>
      </c>
      <c r="E20" s="51">
        <v>4.67</v>
      </c>
      <c r="F20" s="51">
        <v>6.21</v>
      </c>
      <c r="G20" s="51">
        <v>104.11</v>
      </c>
      <c r="H20" s="51">
        <v>53.24</v>
      </c>
      <c r="I20" s="51">
        <v>5.85</v>
      </c>
      <c r="J20" s="51">
        <v>0.46</v>
      </c>
      <c r="K20" s="51">
        <v>356.14</v>
      </c>
      <c r="L20" s="51">
        <v>33.979999999999997</v>
      </c>
      <c r="M20" s="51">
        <v>42.66</v>
      </c>
      <c r="N20" s="51">
        <v>590.29999999999995</v>
      </c>
      <c r="O20" s="51">
        <v>0</v>
      </c>
      <c r="P20" s="51">
        <v>0.74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96</v>
      </c>
      <c r="B21" s="51">
        <v>0.46</v>
      </c>
      <c r="C21" s="51">
        <v>14.51</v>
      </c>
      <c r="D21" s="51">
        <v>6.58</v>
      </c>
      <c r="E21" s="51">
        <v>5.43</v>
      </c>
      <c r="F21" s="51">
        <v>7.18</v>
      </c>
      <c r="G21" s="51">
        <v>103.53</v>
      </c>
      <c r="H21" s="51">
        <v>52.62</v>
      </c>
      <c r="I21" s="51">
        <v>4.58</v>
      </c>
      <c r="J21" s="51">
        <v>0.84</v>
      </c>
      <c r="K21" s="51">
        <v>139.66</v>
      </c>
      <c r="L21" s="51">
        <v>32.200000000000003</v>
      </c>
      <c r="M21" s="51">
        <v>43.53</v>
      </c>
      <c r="N21" s="51">
        <v>596.1</v>
      </c>
      <c r="O21" s="51">
        <v>0</v>
      </c>
      <c r="P21" s="51">
        <v>0.64</v>
      </c>
      <c r="Q21" s="51">
        <v>9.61</v>
      </c>
      <c r="R21" s="43"/>
      <c r="S21" s="43"/>
      <c r="T21" s="43"/>
      <c r="U21" s="43"/>
    </row>
    <row r="22" spans="1:21" s="11" customFormat="1" x14ac:dyDescent="0.25">
      <c r="A22" s="50" t="s">
        <v>97</v>
      </c>
      <c r="B22" s="51">
        <v>-0.02</v>
      </c>
      <c r="C22" s="51">
        <v>11.19</v>
      </c>
      <c r="D22" s="51">
        <v>4.46</v>
      </c>
      <c r="E22" s="51">
        <v>5.46</v>
      </c>
      <c r="F22" s="51">
        <v>6.92</v>
      </c>
      <c r="G22" s="51">
        <v>100.17</v>
      </c>
      <c r="H22" s="51">
        <v>37.799999999999997</v>
      </c>
      <c r="I22" s="51">
        <v>5.12</v>
      </c>
      <c r="J22" s="51">
        <v>0.77</v>
      </c>
      <c r="K22" s="51">
        <v>356.16</v>
      </c>
      <c r="L22" s="51">
        <v>31.45</v>
      </c>
      <c r="M22" s="51">
        <v>42.13</v>
      </c>
      <c r="N22" s="51">
        <v>353.4</v>
      </c>
      <c r="O22" s="51">
        <v>0</v>
      </c>
      <c r="P22" s="51">
        <v>0.65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98</v>
      </c>
      <c r="B23" s="51">
        <v>0.03</v>
      </c>
      <c r="C23" s="51">
        <v>11.34</v>
      </c>
      <c r="D23" s="51">
        <v>4.57</v>
      </c>
      <c r="E23" s="51">
        <v>5.53</v>
      </c>
      <c r="F23" s="51">
        <v>6.6</v>
      </c>
      <c r="G23" s="51">
        <v>82.81</v>
      </c>
      <c r="H23" s="51">
        <v>37.369999999999997</v>
      </c>
      <c r="I23" s="51">
        <v>4.88</v>
      </c>
      <c r="J23" s="51">
        <v>0.72</v>
      </c>
      <c r="K23" s="51">
        <v>351.32</v>
      </c>
      <c r="L23" s="51">
        <v>31.84</v>
      </c>
      <c r="M23" s="51">
        <v>39.799999999999997</v>
      </c>
      <c r="N23" s="51">
        <v>195.8</v>
      </c>
      <c r="O23" s="51">
        <v>0</v>
      </c>
      <c r="P23" s="51">
        <v>0.61</v>
      </c>
      <c r="Q23" s="51">
        <v>9.6199999999999992</v>
      </c>
      <c r="R23" s="43"/>
      <c r="S23" s="43"/>
      <c r="T23" s="43"/>
      <c r="U23" s="43"/>
    </row>
    <row r="24" spans="1:21" s="11" customFormat="1" x14ac:dyDescent="0.25">
      <c r="A24" s="50" t="s">
        <v>99</v>
      </c>
      <c r="B24" s="51">
        <v>0.28000000000000003</v>
      </c>
      <c r="C24" s="51">
        <v>12.01</v>
      </c>
      <c r="D24" s="51">
        <v>5.08</v>
      </c>
      <c r="E24" s="51">
        <v>5.18</v>
      </c>
      <c r="F24" s="51">
        <v>9.0299999999999994</v>
      </c>
      <c r="G24" s="51">
        <v>63.62</v>
      </c>
      <c r="H24" s="51">
        <v>31.25</v>
      </c>
      <c r="I24" s="51">
        <v>3.92</v>
      </c>
      <c r="J24" s="51">
        <v>0.43</v>
      </c>
      <c r="K24" s="51">
        <v>351.76</v>
      </c>
      <c r="L24" s="51">
        <v>31.34</v>
      </c>
      <c r="M24" s="51">
        <v>40.82</v>
      </c>
      <c r="N24" s="51">
        <v>120.1</v>
      </c>
      <c r="O24" s="51">
        <v>0</v>
      </c>
      <c r="P24" s="51">
        <v>0.61</v>
      </c>
      <c r="Q24" s="51">
        <v>9.6199999999999992</v>
      </c>
      <c r="R24" s="43"/>
      <c r="S24" s="43"/>
      <c r="T24" s="43"/>
      <c r="U24" s="43"/>
    </row>
    <row r="25" spans="1:21" s="11" customFormat="1" x14ac:dyDescent="0.25">
      <c r="A25" s="50" t="s">
        <v>100</v>
      </c>
      <c r="B25" s="51">
        <v>0.23</v>
      </c>
      <c r="C25" s="51">
        <v>10.79</v>
      </c>
      <c r="D25" s="51">
        <v>4.41</v>
      </c>
      <c r="E25" s="51">
        <v>5.37</v>
      </c>
      <c r="F25" s="51">
        <v>8.4</v>
      </c>
      <c r="G25" s="51">
        <v>50.88</v>
      </c>
      <c r="H25" s="51">
        <v>26.91</v>
      </c>
      <c r="I25" s="51">
        <v>1.42</v>
      </c>
      <c r="J25" s="51">
        <v>0.9</v>
      </c>
      <c r="K25" s="51">
        <v>165.52</v>
      </c>
      <c r="L25" s="51">
        <v>29.77</v>
      </c>
      <c r="M25" s="51">
        <v>40.729999999999997</v>
      </c>
      <c r="N25" s="51">
        <v>69.900000000000006</v>
      </c>
      <c r="O25" s="51">
        <v>0</v>
      </c>
      <c r="P25" s="51">
        <v>0.43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101</v>
      </c>
      <c r="B26" s="51">
        <v>0.27</v>
      </c>
      <c r="C26" s="51">
        <v>11.86</v>
      </c>
      <c r="D26" s="51">
        <v>4.93</v>
      </c>
      <c r="E26" s="51">
        <v>5.53</v>
      </c>
      <c r="F26" s="51">
        <v>6.98</v>
      </c>
      <c r="G26" s="51">
        <v>51.34</v>
      </c>
      <c r="H26" s="51">
        <v>23.24</v>
      </c>
      <c r="I26" s="51">
        <v>2.87</v>
      </c>
      <c r="J26" s="51">
        <v>0.8</v>
      </c>
      <c r="K26" s="51">
        <v>242.66</v>
      </c>
      <c r="L26" s="51">
        <v>28.7</v>
      </c>
      <c r="M26" s="51">
        <v>47.38</v>
      </c>
      <c r="N26" s="51">
        <v>34.799999999999997</v>
      </c>
      <c r="O26" s="51">
        <v>0</v>
      </c>
      <c r="P26" s="51">
        <v>0.49</v>
      </c>
      <c r="Q26" s="51">
        <v>9.6199999999999992</v>
      </c>
      <c r="R26" s="43"/>
      <c r="S26" s="43"/>
      <c r="T26" s="43"/>
      <c r="U26" s="43"/>
    </row>
    <row r="27" spans="1:21" s="11" customFormat="1" x14ac:dyDescent="0.25">
      <c r="A27" s="50" t="s">
        <v>102</v>
      </c>
      <c r="B27" s="51">
        <v>9.1199999999999992</v>
      </c>
      <c r="C27" s="51">
        <v>19.989999999999998</v>
      </c>
      <c r="D27" s="51">
        <v>16.38</v>
      </c>
      <c r="E27" s="51">
        <v>5.72</v>
      </c>
      <c r="F27" s="51">
        <v>4.2</v>
      </c>
      <c r="G27" s="51">
        <v>69.12</v>
      </c>
      <c r="H27" s="51">
        <v>22.81</v>
      </c>
      <c r="I27" s="51">
        <v>4.68</v>
      </c>
      <c r="J27" s="51">
        <v>0.59</v>
      </c>
      <c r="K27" s="51">
        <v>335.2</v>
      </c>
      <c r="L27" s="51">
        <v>26.68</v>
      </c>
      <c r="M27" s="51">
        <v>63.66</v>
      </c>
      <c r="N27" s="51">
        <v>26.7</v>
      </c>
      <c r="O27" s="51">
        <v>0</v>
      </c>
      <c r="P27" s="51">
        <v>1.34</v>
      </c>
      <c r="Q27" s="51">
        <v>9.6300000000000008</v>
      </c>
      <c r="R27" s="43"/>
      <c r="S27" s="43"/>
      <c r="T27" s="43"/>
      <c r="U27" s="43"/>
    </row>
    <row r="28" spans="1:21" s="11" customFormat="1" x14ac:dyDescent="0.25">
      <c r="A28" s="50" t="s">
        <v>103</v>
      </c>
      <c r="B28" s="51">
        <v>23.97</v>
      </c>
      <c r="C28" s="51">
        <v>21.59</v>
      </c>
      <c r="D28" s="51">
        <v>28.32</v>
      </c>
      <c r="E28" s="51">
        <v>6.33</v>
      </c>
      <c r="F28" s="51">
        <v>4.76</v>
      </c>
      <c r="G28" s="51">
        <v>110.59</v>
      </c>
      <c r="H28" s="51">
        <v>45.5</v>
      </c>
      <c r="I28" s="51">
        <v>5.0999999999999996</v>
      </c>
      <c r="J28" s="51">
        <v>0.56000000000000005</v>
      </c>
      <c r="K28" s="51">
        <v>314.39999999999998</v>
      </c>
      <c r="L28" s="51">
        <v>24.69</v>
      </c>
      <c r="M28" s="51">
        <v>71.17</v>
      </c>
      <c r="N28" s="51">
        <v>26.1</v>
      </c>
      <c r="O28" s="51">
        <v>0</v>
      </c>
      <c r="P28" s="51">
        <v>1.63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104</v>
      </c>
      <c r="B29" s="51">
        <v>33.159999999999997</v>
      </c>
      <c r="C29" s="51">
        <v>19.850000000000001</v>
      </c>
      <c r="D29" s="51">
        <v>34.909999999999997</v>
      </c>
      <c r="E29" s="51">
        <v>7.33</v>
      </c>
      <c r="F29" s="51">
        <v>5.28</v>
      </c>
      <c r="G29" s="51">
        <v>165.13</v>
      </c>
      <c r="H29" s="51">
        <v>85.31</v>
      </c>
      <c r="I29" s="51">
        <v>6.57</v>
      </c>
      <c r="J29" s="51">
        <v>0.55000000000000004</v>
      </c>
      <c r="K29" s="51">
        <v>300.55</v>
      </c>
      <c r="L29" s="51">
        <v>24.78</v>
      </c>
      <c r="M29" s="51">
        <v>84.9</v>
      </c>
      <c r="N29" s="51">
        <v>26.2</v>
      </c>
      <c r="O29" s="51">
        <v>0</v>
      </c>
      <c r="P29" s="51">
        <v>1.74</v>
      </c>
      <c r="Q29" s="51">
        <v>9.6300000000000008</v>
      </c>
      <c r="R29" s="43"/>
      <c r="S29" s="43"/>
      <c r="T29" s="43"/>
      <c r="U29" s="43"/>
    </row>
    <row r="30" spans="1:21" s="11" customFormat="1" x14ac:dyDescent="0.25">
      <c r="A30" s="50" t="s">
        <v>105</v>
      </c>
      <c r="B30" s="51">
        <v>39.590000000000003</v>
      </c>
      <c r="C30" s="51">
        <v>19.239999999999998</v>
      </c>
      <c r="D30" s="51">
        <v>40.29</v>
      </c>
      <c r="E30" s="51">
        <v>7.25</v>
      </c>
      <c r="F30" s="51">
        <v>4.6100000000000003</v>
      </c>
      <c r="G30" s="51">
        <v>175.49</v>
      </c>
      <c r="H30" s="51">
        <v>86.07</v>
      </c>
      <c r="I30" s="51">
        <v>6.07</v>
      </c>
      <c r="J30" s="51">
        <v>0.69</v>
      </c>
      <c r="K30" s="51">
        <v>331.92</v>
      </c>
      <c r="L30" s="51">
        <v>24.5</v>
      </c>
      <c r="M30" s="51">
        <v>76.650000000000006</v>
      </c>
      <c r="N30" s="51">
        <v>26.1</v>
      </c>
      <c r="O30" s="51">
        <v>0</v>
      </c>
      <c r="P30" s="51">
        <v>1.66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106</v>
      </c>
      <c r="B31" s="51">
        <v>35.74</v>
      </c>
      <c r="C31" s="51">
        <v>19.47</v>
      </c>
      <c r="D31" s="51">
        <v>37.46</v>
      </c>
      <c r="E31" s="51">
        <v>6.93</v>
      </c>
      <c r="F31" s="51">
        <v>5.0199999999999996</v>
      </c>
      <c r="G31" s="51">
        <v>175.49</v>
      </c>
      <c r="H31" s="51">
        <v>86.07</v>
      </c>
      <c r="I31" s="51">
        <v>4.93</v>
      </c>
      <c r="J31" s="51">
        <v>0.6</v>
      </c>
      <c r="K31" s="51">
        <v>195.87</v>
      </c>
      <c r="L31" s="51">
        <v>24.66</v>
      </c>
      <c r="M31" s="51">
        <v>64</v>
      </c>
      <c r="N31" s="51">
        <v>25.8</v>
      </c>
      <c r="O31" s="51">
        <v>0</v>
      </c>
      <c r="P31" s="51">
        <v>0.9</v>
      </c>
      <c r="Q31" s="51">
        <v>9.6199999999999992</v>
      </c>
      <c r="R31" s="43"/>
      <c r="S31" s="43"/>
      <c r="T31" s="43"/>
      <c r="U31" s="43"/>
    </row>
    <row r="32" spans="1:21" s="11" customFormat="1" x14ac:dyDescent="0.25">
      <c r="A32" s="50" t="s">
        <v>107</v>
      </c>
      <c r="B32" s="51">
        <v>24.99</v>
      </c>
      <c r="C32" s="51">
        <v>18.940000000000001</v>
      </c>
      <c r="D32" s="51">
        <v>28.56</v>
      </c>
      <c r="E32" s="51">
        <v>5.84</v>
      </c>
      <c r="F32" s="51">
        <v>4.95</v>
      </c>
      <c r="G32" s="51">
        <v>127.24</v>
      </c>
      <c r="H32" s="51">
        <v>69.55</v>
      </c>
      <c r="I32" s="51">
        <v>5.38</v>
      </c>
      <c r="J32" s="51">
        <v>0.64</v>
      </c>
      <c r="K32" s="51">
        <v>200.46</v>
      </c>
      <c r="L32" s="51">
        <v>24.31</v>
      </c>
      <c r="M32" s="51">
        <v>62.2</v>
      </c>
      <c r="N32" s="51">
        <v>26</v>
      </c>
      <c r="O32" s="51">
        <v>0</v>
      </c>
      <c r="P32" s="51">
        <v>0.82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-0.02</v>
      </c>
      <c r="C34" s="28">
        <f t="shared" si="0"/>
        <v>9.66</v>
      </c>
      <c r="D34" s="28">
        <f t="shared" si="0"/>
        <v>4.41</v>
      </c>
      <c r="E34" s="28">
        <f t="shared" si="0"/>
        <v>4.46</v>
      </c>
      <c r="F34" s="28">
        <f t="shared" si="0"/>
        <v>4.09</v>
      </c>
      <c r="G34" s="28">
        <f t="shared" si="0"/>
        <v>50.88</v>
      </c>
      <c r="H34" s="28">
        <f t="shared" si="0"/>
        <v>22.81</v>
      </c>
      <c r="I34" s="28">
        <f t="shared" si="0"/>
        <v>1.42</v>
      </c>
      <c r="J34" s="28">
        <f t="shared" si="0"/>
        <v>0.27</v>
      </c>
      <c r="K34" s="28">
        <f t="shared" si="0"/>
        <v>139.66</v>
      </c>
      <c r="L34" s="28">
        <f t="shared" si="0"/>
        <v>21.08</v>
      </c>
      <c r="M34" s="28">
        <f t="shared" si="0"/>
        <v>39.799999999999997</v>
      </c>
      <c r="N34" s="28">
        <f t="shared" si="0"/>
        <v>25.8</v>
      </c>
      <c r="O34" s="28">
        <f t="shared" si="0"/>
        <v>0</v>
      </c>
      <c r="P34" s="28">
        <f t="shared" si="0"/>
        <v>0.43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54.81</v>
      </c>
      <c r="C35" s="29">
        <f t="shared" si="1"/>
        <v>21.59</v>
      </c>
      <c r="D35" s="29">
        <f t="shared" si="1"/>
        <v>48.58</v>
      </c>
      <c r="E35" s="29">
        <f t="shared" si="1"/>
        <v>7.79</v>
      </c>
      <c r="F35" s="29">
        <f t="shared" si="1"/>
        <v>9.0299999999999994</v>
      </c>
      <c r="G35" s="29">
        <f t="shared" si="1"/>
        <v>279.72000000000003</v>
      </c>
      <c r="H35" s="29">
        <f t="shared" si="1"/>
        <v>237.21</v>
      </c>
      <c r="I35" s="29">
        <f t="shared" si="1"/>
        <v>6.88</v>
      </c>
      <c r="J35" s="29">
        <f t="shared" si="1"/>
        <v>0.9</v>
      </c>
      <c r="K35" s="29">
        <f t="shared" si="1"/>
        <v>359.6</v>
      </c>
      <c r="L35" s="29">
        <f t="shared" si="1"/>
        <v>33.979999999999997</v>
      </c>
      <c r="M35" s="29">
        <f t="shared" si="1"/>
        <v>100.56</v>
      </c>
      <c r="N35" s="29">
        <f t="shared" si="1"/>
        <v>596.1</v>
      </c>
      <c r="O35" s="29">
        <f t="shared" si="1"/>
        <v>0</v>
      </c>
      <c r="P35" s="29">
        <f t="shared" si="1"/>
        <v>1.74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21.359166666666667</v>
      </c>
      <c r="C36" s="28">
        <f t="shared" si="2"/>
        <v>14.511666666666663</v>
      </c>
      <c r="D36" s="28">
        <f t="shared" si="2"/>
        <v>23.041249999999994</v>
      </c>
      <c r="E36" s="28">
        <f t="shared" si="2"/>
        <v>6.0291666666666677</v>
      </c>
      <c r="F36" s="28">
        <f t="shared" si="2"/>
        <v>5.4508333333333328</v>
      </c>
      <c r="G36" s="28">
        <f t="shared" si="2"/>
        <v>119.42458333333332</v>
      </c>
      <c r="H36" s="28">
        <f t="shared" si="2"/>
        <v>63.283749999999991</v>
      </c>
      <c r="I36" s="28">
        <f t="shared" si="2"/>
        <v>5.2804166666666665</v>
      </c>
      <c r="J36" s="28">
        <f t="shared" si="2"/>
        <v>0.60791666666666677</v>
      </c>
      <c r="K36" s="28">
        <f t="shared" si="2"/>
        <v>304.68833333333333</v>
      </c>
      <c r="L36" s="28">
        <f t="shared" si="2"/>
        <v>26.748749999999998</v>
      </c>
      <c r="M36" s="28">
        <f t="shared" si="2"/>
        <v>67.679583333333355</v>
      </c>
      <c r="N36" s="28">
        <f t="shared" si="2"/>
        <v>172.51666666666665</v>
      </c>
      <c r="O36" s="28">
        <f t="shared" si="2"/>
        <v>0</v>
      </c>
      <c r="P36" s="28">
        <f t="shared" si="2"/>
        <v>0.92583333333333317</v>
      </c>
      <c r="Q36" s="28">
        <f t="shared" si="2"/>
        <v>9.6283333333333339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16.349681798968941</v>
      </c>
      <c r="C37" s="28">
        <f t="shared" ref="C37:Q37" si="3">STDEV(C9:C32)</f>
        <v>4.214026956297972</v>
      </c>
      <c r="D37" s="28">
        <f t="shared" si="3"/>
        <v>13.232143443474891</v>
      </c>
      <c r="E37" s="28">
        <f t="shared" si="3"/>
        <v>1.0118769329993749</v>
      </c>
      <c r="F37" s="28">
        <f t="shared" si="3"/>
        <v>1.3830618731378377</v>
      </c>
      <c r="G37" s="28">
        <f t="shared" si="3"/>
        <v>52.96446347432579</v>
      </c>
      <c r="H37" s="28">
        <f t="shared" si="3"/>
        <v>42.615225877970396</v>
      </c>
      <c r="I37" s="28">
        <f t="shared" si="3"/>
        <v>1.2232084651748287</v>
      </c>
      <c r="J37" s="28">
        <f t="shared" si="3"/>
        <v>0.17724900604778401</v>
      </c>
      <c r="K37" s="28">
        <f t="shared" si="3"/>
        <v>65.680951157299475</v>
      </c>
      <c r="L37" s="28">
        <f t="shared" si="3"/>
        <v>4.555587407836093</v>
      </c>
      <c r="M37" s="28">
        <f t="shared" si="3"/>
        <v>21.426506233729643</v>
      </c>
      <c r="N37" s="28">
        <f t="shared" si="3"/>
        <v>213.41966957691326</v>
      </c>
      <c r="O37" s="28">
        <f t="shared" si="3"/>
        <v>0</v>
      </c>
      <c r="P37" s="28">
        <f t="shared" si="3"/>
        <v>0.36228641883924184</v>
      </c>
      <c r="Q37" s="28">
        <f t="shared" si="3"/>
        <v>7.6138698762693406E-3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108</v>
      </c>
      <c r="B9" s="51">
        <v>17.52</v>
      </c>
      <c r="C9" s="51">
        <v>15.67</v>
      </c>
      <c r="D9" s="51">
        <v>20.85</v>
      </c>
      <c r="E9" s="51">
        <v>5.09</v>
      </c>
      <c r="F9" s="51">
        <v>5.14</v>
      </c>
      <c r="G9" s="51">
        <v>91.75</v>
      </c>
      <c r="H9" s="51">
        <v>49.45</v>
      </c>
      <c r="I9" s="51">
        <v>3.34</v>
      </c>
      <c r="J9" s="51">
        <v>0.65</v>
      </c>
      <c r="K9" s="51">
        <v>350.85</v>
      </c>
      <c r="L9" s="51">
        <v>23.99</v>
      </c>
      <c r="M9" s="51">
        <v>71.650000000000006</v>
      </c>
      <c r="N9" s="51">
        <v>26.4</v>
      </c>
      <c r="O9" s="51">
        <v>0</v>
      </c>
      <c r="P9" s="51">
        <v>0.6</v>
      </c>
      <c r="Q9" s="51">
        <v>9.6300000000000008</v>
      </c>
      <c r="R9" s="43"/>
      <c r="S9" s="43"/>
      <c r="T9" s="43"/>
      <c r="U9" s="43"/>
    </row>
    <row r="10" spans="1:21" s="11" customFormat="1" x14ac:dyDescent="0.25">
      <c r="A10" s="50" t="s">
        <v>109</v>
      </c>
      <c r="B10" s="51">
        <v>12.76</v>
      </c>
      <c r="C10" s="51">
        <v>13.54</v>
      </c>
      <c r="D10" s="51">
        <v>15.91</v>
      </c>
      <c r="E10" s="51">
        <v>5.1100000000000003</v>
      </c>
      <c r="F10" s="51">
        <v>6.36</v>
      </c>
      <c r="G10" s="51">
        <v>62.91</v>
      </c>
      <c r="H10" s="51">
        <v>37.549999999999997</v>
      </c>
      <c r="I10" s="51">
        <v>4.0199999999999996</v>
      </c>
      <c r="J10" s="51">
        <v>0.38</v>
      </c>
      <c r="K10" s="51">
        <v>347.52</v>
      </c>
      <c r="L10" s="51">
        <v>22.9</v>
      </c>
      <c r="M10" s="51">
        <v>75.819999999999993</v>
      </c>
      <c r="N10" s="51">
        <v>26.2</v>
      </c>
      <c r="O10" s="51">
        <v>0</v>
      </c>
      <c r="P10" s="51">
        <v>0.67</v>
      </c>
      <c r="Q10" s="51">
        <v>9.6300000000000008</v>
      </c>
      <c r="R10" s="43"/>
      <c r="S10" s="43"/>
      <c r="T10" s="43"/>
      <c r="U10" s="43"/>
    </row>
    <row r="11" spans="1:21" s="11" customFormat="1" x14ac:dyDescent="0.25">
      <c r="A11" s="50" t="s">
        <v>110</v>
      </c>
      <c r="B11" s="51">
        <v>8.58</v>
      </c>
      <c r="C11" s="51">
        <v>13.77</v>
      </c>
      <c r="D11" s="51">
        <v>12.54</v>
      </c>
      <c r="E11" s="51">
        <v>4.95</v>
      </c>
      <c r="F11" s="51">
        <v>4.3600000000000003</v>
      </c>
      <c r="G11" s="51">
        <v>62.5</v>
      </c>
      <c r="H11" s="51">
        <v>33.270000000000003</v>
      </c>
      <c r="I11" s="51">
        <v>4.97</v>
      </c>
      <c r="J11" s="51">
        <v>0.6</v>
      </c>
      <c r="K11" s="51">
        <v>338.27</v>
      </c>
      <c r="L11" s="51">
        <v>22.57</v>
      </c>
      <c r="M11" s="51">
        <v>77.41</v>
      </c>
      <c r="N11" s="51">
        <v>26.1</v>
      </c>
      <c r="O11" s="51">
        <v>0</v>
      </c>
      <c r="P11" s="51">
        <v>0.64</v>
      </c>
      <c r="Q11" s="51">
        <v>9.6199999999999992</v>
      </c>
      <c r="R11" s="43"/>
      <c r="S11" s="43"/>
      <c r="T11" s="43"/>
      <c r="U11" s="43"/>
    </row>
    <row r="12" spans="1:21" s="11" customFormat="1" x14ac:dyDescent="0.25">
      <c r="A12" s="50" t="s">
        <v>111</v>
      </c>
      <c r="B12" s="51">
        <v>5.42</v>
      </c>
      <c r="C12" s="51">
        <v>13.16</v>
      </c>
      <c r="D12" s="51">
        <v>9.84</v>
      </c>
      <c r="E12" s="51">
        <v>5.71</v>
      </c>
      <c r="F12" s="51">
        <v>4.5</v>
      </c>
      <c r="G12" s="51">
        <v>71.42</v>
      </c>
      <c r="H12" s="51">
        <v>34.26</v>
      </c>
      <c r="I12" s="51">
        <v>5.2</v>
      </c>
      <c r="J12" s="51">
        <v>0.34</v>
      </c>
      <c r="K12" s="51">
        <v>342.45</v>
      </c>
      <c r="L12" s="51">
        <v>22.71</v>
      </c>
      <c r="M12" s="51">
        <v>78.25</v>
      </c>
      <c r="N12" s="51">
        <v>26.6</v>
      </c>
      <c r="O12" s="51">
        <v>0</v>
      </c>
      <c r="P12" s="51">
        <v>0.62</v>
      </c>
      <c r="Q12" s="51">
        <v>9.64</v>
      </c>
      <c r="R12" s="43"/>
      <c r="S12" s="43"/>
      <c r="T12" s="43"/>
      <c r="U12" s="43"/>
    </row>
    <row r="13" spans="1:21" s="11" customFormat="1" x14ac:dyDescent="0.25">
      <c r="A13" s="50" t="s">
        <v>112</v>
      </c>
      <c r="B13" s="51">
        <v>5.28</v>
      </c>
      <c r="C13" s="51">
        <v>12.01</v>
      </c>
      <c r="D13" s="51">
        <v>9.1300000000000008</v>
      </c>
      <c r="E13" s="51">
        <v>6.22</v>
      </c>
      <c r="F13" s="51">
        <v>4.55</v>
      </c>
      <c r="G13" s="51">
        <v>101.58</v>
      </c>
      <c r="H13" s="51">
        <v>46.44</v>
      </c>
      <c r="I13" s="51">
        <v>4.05</v>
      </c>
      <c r="J13" s="51">
        <v>0.2</v>
      </c>
      <c r="K13" s="51">
        <v>278.58</v>
      </c>
      <c r="L13" s="51">
        <v>23.08</v>
      </c>
      <c r="M13" s="51">
        <v>76.099999999999994</v>
      </c>
      <c r="N13" s="51">
        <v>26.1</v>
      </c>
      <c r="O13" s="51">
        <v>0</v>
      </c>
      <c r="P13" s="51">
        <v>0.74</v>
      </c>
      <c r="Q13" s="51">
        <v>9.64</v>
      </c>
      <c r="R13" s="43"/>
      <c r="S13" s="43"/>
      <c r="T13" s="43"/>
      <c r="U13" s="43"/>
    </row>
    <row r="14" spans="1:21" s="11" customFormat="1" x14ac:dyDescent="0.25">
      <c r="A14" s="50" t="s">
        <v>113</v>
      </c>
      <c r="B14" s="51">
        <v>6.33</v>
      </c>
      <c r="C14" s="51">
        <v>12.46</v>
      </c>
      <c r="D14" s="51">
        <v>10.210000000000001</v>
      </c>
      <c r="E14" s="51">
        <v>6.13</v>
      </c>
      <c r="F14" s="51">
        <v>4.53</v>
      </c>
      <c r="G14" s="51">
        <v>124.02</v>
      </c>
      <c r="H14" s="51">
        <v>56.85</v>
      </c>
      <c r="I14" s="51">
        <v>3.48</v>
      </c>
      <c r="J14" s="51">
        <v>0.84</v>
      </c>
      <c r="K14" s="51">
        <v>314.88</v>
      </c>
      <c r="L14" s="51">
        <v>23.24</v>
      </c>
      <c r="M14" s="51">
        <v>79.92</v>
      </c>
      <c r="N14" s="51">
        <v>26.6</v>
      </c>
      <c r="O14" s="51">
        <v>0</v>
      </c>
      <c r="P14" s="51">
        <v>0.8</v>
      </c>
      <c r="Q14" s="51">
        <v>9.6199999999999992</v>
      </c>
      <c r="R14" s="43"/>
      <c r="S14" s="43"/>
      <c r="T14" s="43"/>
      <c r="U14" s="43"/>
    </row>
    <row r="15" spans="1:21" s="11" customFormat="1" x14ac:dyDescent="0.25">
      <c r="A15" s="50" t="s">
        <v>114</v>
      </c>
      <c r="B15" s="51">
        <v>10.130000000000001</v>
      </c>
      <c r="C15" s="51">
        <v>13.95</v>
      </c>
      <c r="D15" s="51">
        <v>14.04</v>
      </c>
      <c r="E15" s="51">
        <v>6.15</v>
      </c>
      <c r="F15" s="51">
        <v>4.45</v>
      </c>
      <c r="G15" s="51">
        <v>124.02</v>
      </c>
      <c r="H15" s="51">
        <v>56.85</v>
      </c>
      <c r="I15" s="51">
        <v>5.3</v>
      </c>
      <c r="J15" s="51">
        <v>0.44</v>
      </c>
      <c r="K15" s="51">
        <v>348.48</v>
      </c>
      <c r="L15" s="51">
        <v>22.77</v>
      </c>
      <c r="M15" s="51">
        <v>82.89</v>
      </c>
      <c r="N15" s="51">
        <v>55.5</v>
      </c>
      <c r="O15" s="51">
        <v>0</v>
      </c>
      <c r="P15" s="51">
        <v>0.72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115</v>
      </c>
      <c r="B16" s="51">
        <v>11.14</v>
      </c>
      <c r="C16" s="51">
        <v>14.35</v>
      </c>
      <c r="D16" s="51">
        <v>14.98</v>
      </c>
      <c r="E16" s="51">
        <v>6.32</v>
      </c>
      <c r="F16" s="51">
        <v>4.7699999999999996</v>
      </c>
      <c r="G16" s="51">
        <v>111.04</v>
      </c>
      <c r="H16" s="51">
        <v>54.27</v>
      </c>
      <c r="I16" s="51">
        <v>5.37</v>
      </c>
      <c r="J16" s="51">
        <v>0.94</v>
      </c>
      <c r="K16" s="51">
        <v>119.97</v>
      </c>
      <c r="L16" s="51">
        <v>24.53</v>
      </c>
      <c r="M16" s="51">
        <v>76.14</v>
      </c>
      <c r="N16" s="51">
        <v>242.6</v>
      </c>
      <c r="O16" s="51">
        <v>0</v>
      </c>
      <c r="P16" s="51">
        <v>0.7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116</v>
      </c>
      <c r="B17" s="51">
        <v>9.11</v>
      </c>
      <c r="C17" s="51">
        <v>13.14</v>
      </c>
      <c r="D17" s="51">
        <v>12.79</v>
      </c>
      <c r="E17" s="51">
        <v>6.43</v>
      </c>
      <c r="F17" s="51">
        <v>5.45</v>
      </c>
      <c r="G17" s="51">
        <v>99.12</v>
      </c>
      <c r="H17" s="51">
        <v>46.26</v>
      </c>
      <c r="I17" s="51">
        <v>5.62</v>
      </c>
      <c r="J17" s="51">
        <v>1.27</v>
      </c>
      <c r="K17" s="51">
        <v>117.04</v>
      </c>
      <c r="L17" s="51">
        <v>27.17</v>
      </c>
      <c r="M17" s="51">
        <v>65.33</v>
      </c>
      <c r="N17" s="51">
        <v>424.2</v>
      </c>
      <c r="O17" s="51">
        <v>0</v>
      </c>
      <c r="P17" s="51">
        <v>0.62</v>
      </c>
      <c r="Q17" s="51">
        <v>9.6199999999999992</v>
      </c>
      <c r="R17" s="43"/>
      <c r="S17" s="43"/>
      <c r="T17" s="43"/>
      <c r="U17" s="43"/>
    </row>
    <row r="18" spans="1:21" s="11" customFormat="1" x14ac:dyDescent="0.25">
      <c r="A18" s="50" t="s">
        <v>117</v>
      </c>
      <c r="B18" s="51">
        <v>6.22</v>
      </c>
      <c r="C18" s="51">
        <v>12.76</v>
      </c>
      <c r="D18" s="51">
        <v>10.28</v>
      </c>
      <c r="E18" s="51">
        <v>6.72</v>
      </c>
      <c r="F18" s="51">
        <v>5</v>
      </c>
      <c r="G18" s="51">
        <v>87.17</v>
      </c>
      <c r="H18" s="51">
        <v>40.83</v>
      </c>
      <c r="I18" s="51">
        <v>5.01</v>
      </c>
      <c r="J18" s="51">
        <v>1.1599999999999999</v>
      </c>
      <c r="K18" s="51">
        <v>125.46</v>
      </c>
      <c r="L18" s="51">
        <v>29.83</v>
      </c>
      <c r="M18" s="51">
        <v>55.66</v>
      </c>
      <c r="N18" s="51">
        <v>534.5</v>
      </c>
      <c r="O18" s="51">
        <v>0</v>
      </c>
      <c r="P18" s="51">
        <v>0.61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118</v>
      </c>
      <c r="B19" s="51">
        <v>3.26</v>
      </c>
      <c r="C19" s="51">
        <v>14.58</v>
      </c>
      <c r="D19" s="51">
        <v>8.1199999999999992</v>
      </c>
      <c r="E19" s="51">
        <v>6.56</v>
      </c>
      <c r="F19" s="51">
        <v>5.01</v>
      </c>
      <c r="G19" s="51">
        <v>87.17</v>
      </c>
      <c r="H19" s="51">
        <v>35.79</v>
      </c>
      <c r="I19" s="51">
        <v>6.89</v>
      </c>
      <c r="J19" s="51">
        <v>0.69</v>
      </c>
      <c r="K19" s="51">
        <v>338.67</v>
      </c>
      <c r="L19" s="51">
        <v>32.729999999999997</v>
      </c>
      <c r="M19" s="51">
        <v>47.3</v>
      </c>
      <c r="N19" s="51">
        <v>611.70000000000005</v>
      </c>
      <c r="O19" s="51">
        <v>0</v>
      </c>
      <c r="P19" s="51">
        <v>0.6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119</v>
      </c>
      <c r="B20" s="51">
        <v>1.29</v>
      </c>
      <c r="C20" s="51">
        <v>16.57</v>
      </c>
      <c r="D20" s="51">
        <v>8.0299999999999994</v>
      </c>
      <c r="E20" s="51">
        <v>6.79</v>
      </c>
      <c r="F20" s="51">
        <v>5.84</v>
      </c>
      <c r="G20" s="51">
        <v>77.67</v>
      </c>
      <c r="H20" s="51">
        <v>38.979999999999997</v>
      </c>
      <c r="I20" s="51">
        <v>6.82</v>
      </c>
      <c r="J20" s="51">
        <v>1.0900000000000001</v>
      </c>
      <c r="K20" s="51">
        <v>336.47</v>
      </c>
      <c r="L20" s="51">
        <v>34.65</v>
      </c>
      <c r="M20" s="51">
        <v>35.520000000000003</v>
      </c>
      <c r="N20" s="51">
        <v>631.1</v>
      </c>
      <c r="O20" s="51">
        <v>0</v>
      </c>
      <c r="P20" s="51">
        <v>0.59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120</v>
      </c>
      <c r="B21" s="51">
        <v>0.36</v>
      </c>
      <c r="C21" s="51">
        <v>14.93</v>
      </c>
      <c r="D21" s="51">
        <v>6.67</v>
      </c>
      <c r="E21" s="51">
        <v>4.8499999999999996</v>
      </c>
      <c r="F21" s="51">
        <v>6.88</v>
      </c>
      <c r="G21" s="51">
        <v>75.63</v>
      </c>
      <c r="H21" s="51">
        <v>38.979999999999997</v>
      </c>
      <c r="I21" s="51">
        <v>5.77</v>
      </c>
      <c r="J21" s="51">
        <v>1.5</v>
      </c>
      <c r="K21" s="51">
        <v>347.81</v>
      </c>
      <c r="L21" s="51">
        <v>33.21</v>
      </c>
      <c r="M21" s="51">
        <v>40.96</v>
      </c>
      <c r="N21" s="51">
        <v>602.20000000000005</v>
      </c>
      <c r="O21" s="51">
        <v>0</v>
      </c>
      <c r="P21" s="51">
        <v>0.55000000000000004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121</v>
      </c>
      <c r="B22" s="51">
        <v>0.32</v>
      </c>
      <c r="C22" s="51">
        <v>12.19</v>
      </c>
      <c r="D22" s="51">
        <v>5.25</v>
      </c>
      <c r="E22" s="51">
        <v>4.87</v>
      </c>
      <c r="F22" s="51">
        <v>9.07</v>
      </c>
      <c r="G22" s="51">
        <v>68.819999999999993</v>
      </c>
      <c r="H22" s="51">
        <v>32.479999999999997</v>
      </c>
      <c r="I22" s="51">
        <v>3.69</v>
      </c>
      <c r="J22" s="51">
        <v>1.31</v>
      </c>
      <c r="K22" s="51">
        <v>141.85</v>
      </c>
      <c r="L22" s="51">
        <v>30.65</v>
      </c>
      <c r="M22" s="51">
        <v>43.82</v>
      </c>
      <c r="N22" s="51">
        <v>383.5</v>
      </c>
      <c r="O22" s="51">
        <v>0</v>
      </c>
      <c r="P22" s="51">
        <v>0.5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122</v>
      </c>
      <c r="B23" s="51">
        <v>0.12</v>
      </c>
      <c r="C23" s="51">
        <v>11.61</v>
      </c>
      <c r="D23" s="51">
        <v>4.72</v>
      </c>
      <c r="E23" s="51">
        <v>5.22</v>
      </c>
      <c r="F23" s="51">
        <v>7.22</v>
      </c>
      <c r="G23" s="51">
        <v>68.819999999999993</v>
      </c>
      <c r="H23" s="51">
        <v>32.89</v>
      </c>
      <c r="I23" s="51">
        <v>4.0999999999999996</v>
      </c>
      <c r="J23" s="51">
        <v>0.74</v>
      </c>
      <c r="K23" s="51">
        <v>145.15</v>
      </c>
      <c r="L23" s="51">
        <v>29.44</v>
      </c>
      <c r="M23" s="51">
        <v>43.57</v>
      </c>
      <c r="N23" s="51">
        <v>153.4</v>
      </c>
      <c r="O23" s="51">
        <v>0</v>
      </c>
      <c r="P23" s="51">
        <v>0.49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123</v>
      </c>
      <c r="B24" s="51">
        <v>0.84</v>
      </c>
      <c r="C24" s="51">
        <v>15</v>
      </c>
      <c r="D24" s="51">
        <v>7.01</v>
      </c>
      <c r="E24" s="51">
        <v>5.56</v>
      </c>
      <c r="F24" s="51">
        <v>7.26</v>
      </c>
      <c r="G24" s="51">
        <v>66.760000000000005</v>
      </c>
      <c r="H24" s="51">
        <v>32.89</v>
      </c>
      <c r="I24" s="51">
        <v>3.57</v>
      </c>
      <c r="J24" s="51">
        <v>0.88</v>
      </c>
      <c r="K24" s="51">
        <v>344.56</v>
      </c>
      <c r="L24" s="51">
        <v>29.44</v>
      </c>
      <c r="M24" s="51">
        <v>47.19</v>
      </c>
      <c r="N24" s="51">
        <v>101.1</v>
      </c>
      <c r="O24" s="51">
        <v>0</v>
      </c>
      <c r="P24" s="51">
        <v>0.68</v>
      </c>
      <c r="Q24" s="51">
        <v>9.6199999999999992</v>
      </c>
      <c r="R24" s="43"/>
      <c r="S24" s="43"/>
      <c r="T24" s="43"/>
      <c r="U24" s="43"/>
    </row>
    <row r="25" spans="1:21" s="11" customFormat="1" x14ac:dyDescent="0.25">
      <c r="A25" s="50" t="s">
        <v>124</v>
      </c>
      <c r="B25" s="51">
        <v>0.32</v>
      </c>
      <c r="C25" s="51">
        <v>14.57</v>
      </c>
      <c r="D25" s="51">
        <v>6.5</v>
      </c>
      <c r="E25" s="51">
        <v>5.54</v>
      </c>
      <c r="F25" s="51">
        <v>8.11</v>
      </c>
      <c r="G25" s="51">
        <v>68.489999999999995</v>
      </c>
      <c r="H25" s="51">
        <v>32.340000000000003</v>
      </c>
      <c r="I25" s="51">
        <v>3.07</v>
      </c>
      <c r="J25" s="51">
        <v>0.46</v>
      </c>
      <c r="K25" s="51">
        <v>246.07</v>
      </c>
      <c r="L25" s="51">
        <v>28.47</v>
      </c>
      <c r="M25" s="51">
        <v>52.92</v>
      </c>
      <c r="N25" s="51">
        <v>64.400000000000006</v>
      </c>
      <c r="O25" s="51">
        <v>0</v>
      </c>
      <c r="P25" s="51">
        <v>0.46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125</v>
      </c>
      <c r="B26" s="51">
        <v>1.65</v>
      </c>
      <c r="C26" s="51">
        <v>14.4</v>
      </c>
      <c r="D26" s="51">
        <v>7.47</v>
      </c>
      <c r="E26" s="51">
        <v>5.65</v>
      </c>
      <c r="F26" s="51">
        <v>8.24</v>
      </c>
      <c r="G26" s="51">
        <v>68.489999999999995</v>
      </c>
      <c r="H26" s="51">
        <v>29.37</v>
      </c>
      <c r="I26" s="51">
        <v>2.2400000000000002</v>
      </c>
      <c r="J26" s="51">
        <v>0.45</v>
      </c>
      <c r="K26" s="51">
        <v>272.5</v>
      </c>
      <c r="L26" s="51">
        <v>27.63</v>
      </c>
      <c r="M26" s="51">
        <v>53.62</v>
      </c>
      <c r="N26" s="51">
        <v>36.799999999999997</v>
      </c>
      <c r="O26" s="51">
        <v>0</v>
      </c>
      <c r="P26" s="51">
        <v>1.1399999999999999</v>
      </c>
      <c r="Q26" s="51">
        <v>9.6199999999999992</v>
      </c>
      <c r="R26" s="43"/>
      <c r="S26" s="43"/>
      <c r="T26" s="43"/>
      <c r="U26" s="43"/>
    </row>
    <row r="27" spans="1:21" s="11" customFormat="1" x14ac:dyDescent="0.25">
      <c r="A27" s="50" t="s">
        <v>126</v>
      </c>
      <c r="B27" s="51">
        <v>18.45</v>
      </c>
      <c r="C27" s="51">
        <v>23</v>
      </c>
      <c r="D27" s="51">
        <v>25.44</v>
      </c>
      <c r="E27" s="51">
        <v>6.56</v>
      </c>
      <c r="F27" s="51">
        <v>4.2</v>
      </c>
      <c r="G27" s="51">
        <v>76.98</v>
      </c>
      <c r="H27" s="51">
        <v>31.58</v>
      </c>
      <c r="I27" s="51">
        <v>5.39</v>
      </c>
      <c r="J27" s="51">
        <v>0.53</v>
      </c>
      <c r="K27" s="51">
        <v>337.15</v>
      </c>
      <c r="L27" s="51">
        <v>25.4</v>
      </c>
      <c r="M27" s="51">
        <v>67.53</v>
      </c>
      <c r="N27" s="51">
        <v>26.4</v>
      </c>
      <c r="O27" s="51">
        <v>0</v>
      </c>
      <c r="P27" s="51">
        <v>1.46</v>
      </c>
      <c r="Q27" s="51">
        <v>9.61</v>
      </c>
      <c r="R27" s="43"/>
      <c r="S27" s="43"/>
      <c r="T27" s="43"/>
      <c r="U27" s="43"/>
    </row>
    <row r="28" spans="1:21" s="11" customFormat="1" x14ac:dyDescent="0.25">
      <c r="A28" s="50" t="s">
        <v>127</v>
      </c>
      <c r="B28" s="51">
        <v>40.22</v>
      </c>
      <c r="C28" s="51">
        <v>25.22</v>
      </c>
      <c r="D28" s="51">
        <v>43.93</v>
      </c>
      <c r="E28" s="51">
        <v>7.06</v>
      </c>
      <c r="F28" s="51">
        <v>4.41</v>
      </c>
      <c r="G28" s="51">
        <v>91.69</v>
      </c>
      <c r="H28" s="51">
        <v>33.33</v>
      </c>
      <c r="I28" s="51">
        <v>6.62</v>
      </c>
      <c r="J28" s="51">
        <v>0.52</v>
      </c>
      <c r="K28" s="51">
        <v>338.13</v>
      </c>
      <c r="L28" s="51">
        <v>24.17</v>
      </c>
      <c r="M28" s="51">
        <v>72.94</v>
      </c>
      <c r="N28" s="51">
        <v>26.1</v>
      </c>
      <c r="O28" s="51">
        <v>0</v>
      </c>
      <c r="P28" s="51">
        <v>1.5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128</v>
      </c>
      <c r="B29" s="51">
        <v>46.8</v>
      </c>
      <c r="C29" s="51">
        <v>24.69</v>
      </c>
      <c r="D29" s="51">
        <v>47.31</v>
      </c>
      <c r="E29" s="51">
        <v>6.71</v>
      </c>
      <c r="F29" s="51">
        <v>5.15</v>
      </c>
      <c r="G29" s="51">
        <v>107.8</v>
      </c>
      <c r="H29" s="51">
        <v>33.33</v>
      </c>
      <c r="I29" s="51">
        <v>7.5</v>
      </c>
      <c r="J29" s="51">
        <v>0.56999999999999995</v>
      </c>
      <c r="K29" s="51">
        <v>322.75</v>
      </c>
      <c r="L29" s="51">
        <v>24.13</v>
      </c>
      <c r="M29" s="51">
        <v>77.69</v>
      </c>
      <c r="N29" s="51">
        <v>26.2</v>
      </c>
      <c r="O29" s="51">
        <v>0</v>
      </c>
      <c r="P29" s="51">
        <v>1.85</v>
      </c>
      <c r="Q29" s="51">
        <v>9.6300000000000008</v>
      </c>
      <c r="R29" s="43"/>
      <c r="S29" s="43"/>
      <c r="T29" s="43"/>
      <c r="U29" s="43"/>
    </row>
    <row r="30" spans="1:21" s="11" customFormat="1" x14ac:dyDescent="0.25">
      <c r="A30" s="50" t="s">
        <v>129</v>
      </c>
      <c r="B30" s="51">
        <v>52.95</v>
      </c>
      <c r="C30" s="51">
        <v>20.92</v>
      </c>
      <c r="D30" s="51">
        <v>51.23</v>
      </c>
      <c r="E30" s="51">
        <v>6.61</v>
      </c>
      <c r="F30" s="51">
        <v>4.5599999999999996</v>
      </c>
      <c r="G30" s="51">
        <v>123.92</v>
      </c>
      <c r="H30" s="51">
        <v>118.11</v>
      </c>
      <c r="I30" s="51">
        <v>8.99</v>
      </c>
      <c r="J30" s="51">
        <v>0.57999999999999996</v>
      </c>
      <c r="K30" s="51">
        <v>324.74</v>
      </c>
      <c r="L30" s="51">
        <v>23.33</v>
      </c>
      <c r="M30" s="51">
        <v>81.59</v>
      </c>
      <c r="N30" s="51">
        <v>26.2</v>
      </c>
      <c r="O30" s="51">
        <v>0</v>
      </c>
      <c r="P30" s="51">
        <v>2.16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130</v>
      </c>
      <c r="B31" s="51">
        <v>58.64</v>
      </c>
      <c r="C31" s="51">
        <v>19.25</v>
      </c>
      <c r="D31" s="51">
        <v>55.7</v>
      </c>
      <c r="E31" s="51">
        <v>7.26</v>
      </c>
      <c r="F31" s="51">
        <v>4.78</v>
      </c>
      <c r="G31" s="51">
        <v>144.08000000000001</v>
      </c>
      <c r="H31" s="51">
        <v>118.11</v>
      </c>
      <c r="I31" s="51">
        <v>8.77</v>
      </c>
      <c r="J31" s="51">
        <v>0.49</v>
      </c>
      <c r="K31" s="51">
        <v>352.58</v>
      </c>
      <c r="L31" s="51">
        <v>23.07</v>
      </c>
      <c r="M31" s="51">
        <v>83.37</v>
      </c>
      <c r="N31" s="51">
        <v>26.1</v>
      </c>
      <c r="O31" s="51">
        <v>0</v>
      </c>
      <c r="P31" s="51">
        <v>2.04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131</v>
      </c>
      <c r="B32" s="51">
        <v>60.83</v>
      </c>
      <c r="C32" s="51">
        <v>19.02</v>
      </c>
      <c r="D32" s="51">
        <v>57.04</v>
      </c>
      <c r="E32" s="51">
        <v>7.52</v>
      </c>
      <c r="F32" s="51">
        <v>5.0199999999999996</v>
      </c>
      <c r="G32" s="51">
        <v>148.36000000000001</v>
      </c>
      <c r="H32" s="51">
        <v>84.47</v>
      </c>
      <c r="I32" s="51">
        <v>7.48</v>
      </c>
      <c r="J32" s="51">
        <v>0.45</v>
      </c>
      <c r="K32" s="51">
        <v>322.68</v>
      </c>
      <c r="L32" s="51">
        <v>22.69</v>
      </c>
      <c r="M32" s="51">
        <v>86.67</v>
      </c>
      <c r="N32" s="51">
        <v>26.1</v>
      </c>
      <c r="O32" s="51">
        <v>0</v>
      </c>
      <c r="P32" s="51">
        <v>1.48</v>
      </c>
      <c r="Q32" s="51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0.12</v>
      </c>
      <c r="C34" s="28">
        <f t="shared" si="0"/>
        <v>11.61</v>
      </c>
      <c r="D34" s="28">
        <f t="shared" si="0"/>
        <v>4.72</v>
      </c>
      <c r="E34" s="28">
        <f t="shared" si="0"/>
        <v>4.8499999999999996</v>
      </c>
      <c r="F34" s="28">
        <f t="shared" si="0"/>
        <v>4.2</v>
      </c>
      <c r="G34" s="28">
        <f t="shared" si="0"/>
        <v>62.5</v>
      </c>
      <c r="H34" s="28">
        <f t="shared" si="0"/>
        <v>29.37</v>
      </c>
      <c r="I34" s="28">
        <f t="shared" si="0"/>
        <v>2.2400000000000002</v>
      </c>
      <c r="J34" s="28">
        <f t="shared" si="0"/>
        <v>0.2</v>
      </c>
      <c r="K34" s="28">
        <f t="shared" si="0"/>
        <v>117.04</v>
      </c>
      <c r="L34" s="28">
        <f t="shared" si="0"/>
        <v>22.57</v>
      </c>
      <c r="M34" s="28">
        <f t="shared" si="0"/>
        <v>35.520000000000003</v>
      </c>
      <c r="N34" s="28">
        <f t="shared" si="0"/>
        <v>26.1</v>
      </c>
      <c r="O34" s="28">
        <f t="shared" si="0"/>
        <v>0</v>
      </c>
      <c r="P34" s="28">
        <f t="shared" si="0"/>
        <v>0.46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60.83</v>
      </c>
      <c r="C35" s="29">
        <f t="shared" si="1"/>
        <v>25.22</v>
      </c>
      <c r="D35" s="29">
        <f t="shared" si="1"/>
        <v>57.04</v>
      </c>
      <c r="E35" s="29">
        <f t="shared" si="1"/>
        <v>7.52</v>
      </c>
      <c r="F35" s="29">
        <f t="shared" si="1"/>
        <v>9.07</v>
      </c>
      <c r="G35" s="29">
        <f t="shared" si="1"/>
        <v>148.36000000000001</v>
      </c>
      <c r="H35" s="29">
        <f t="shared" si="1"/>
        <v>118.11</v>
      </c>
      <c r="I35" s="29">
        <f t="shared" si="1"/>
        <v>8.99</v>
      </c>
      <c r="J35" s="29">
        <f t="shared" si="1"/>
        <v>1.5</v>
      </c>
      <c r="K35" s="29">
        <f t="shared" si="1"/>
        <v>352.58</v>
      </c>
      <c r="L35" s="29">
        <f t="shared" si="1"/>
        <v>34.65</v>
      </c>
      <c r="M35" s="29">
        <f t="shared" si="1"/>
        <v>86.67</v>
      </c>
      <c r="N35" s="29">
        <f t="shared" si="1"/>
        <v>631.1</v>
      </c>
      <c r="O35" s="29">
        <f t="shared" si="1"/>
        <v>0</v>
      </c>
      <c r="P35" s="29">
        <f t="shared" si="1"/>
        <v>2.16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15.772499999999999</v>
      </c>
      <c r="C36" s="28">
        <f t="shared" si="2"/>
        <v>15.865</v>
      </c>
      <c r="D36" s="28">
        <f t="shared" si="2"/>
        <v>19.374583333333334</v>
      </c>
      <c r="E36" s="28">
        <f t="shared" si="2"/>
        <v>6.066250000000001</v>
      </c>
      <c r="F36" s="28">
        <f t="shared" si="2"/>
        <v>5.6191666666666675</v>
      </c>
      <c r="G36" s="28">
        <f t="shared" si="2"/>
        <v>92.092083333333335</v>
      </c>
      <c r="H36" s="28">
        <f t="shared" si="2"/>
        <v>47.861666666666672</v>
      </c>
      <c r="I36" s="28">
        <f t="shared" si="2"/>
        <v>5.3024999999999984</v>
      </c>
      <c r="J36" s="28">
        <f t="shared" si="2"/>
        <v>0.71166666666666656</v>
      </c>
      <c r="K36" s="28">
        <f t="shared" si="2"/>
        <v>285.60874999999993</v>
      </c>
      <c r="L36" s="28">
        <f t="shared" si="2"/>
        <v>26.325000000000003</v>
      </c>
      <c r="M36" s="28">
        <f t="shared" si="2"/>
        <v>65.577500000000001</v>
      </c>
      <c r="N36" s="28">
        <f t="shared" si="2"/>
        <v>173.17083333333338</v>
      </c>
      <c r="O36" s="28">
        <f t="shared" si="2"/>
        <v>0</v>
      </c>
      <c r="P36" s="28">
        <f t="shared" si="2"/>
        <v>0.9258333333333334</v>
      </c>
      <c r="Q36" s="28">
        <f t="shared" si="2"/>
        <v>9.6295833333333309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19.918948210839023</v>
      </c>
      <c r="C37" s="28">
        <f t="shared" ref="C37:Q37" si="3">STDEV(C9:C32)</f>
        <v>4.0060204692437686</v>
      </c>
      <c r="D37" s="28">
        <f t="shared" si="3"/>
        <v>17.41950555359951</v>
      </c>
      <c r="E37" s="28">
        <f t="shared" si="3"/>
        <v>0.79343947195243003</v>
      </c>
      <c r="F37" s="28">
        <f t="shared" si="3"/>
        <v>1.4229941387231944</v>
      </c>
      <c r="G37" s="28">
        <f t="shared" si="3"/>
        <v>25.889003705479222</v>
      </c>
      <c r="H37" s="28">
        <f t="shared" si="3"/>
        <v>24.875311257247166</v>
      </c>
      <c r="I37" s="28">
        <f t="shared" si="3"/>
        <v>1.7947489832964107</v>
      </c>
      <c r="J37" s="28">
        <f t="shared" si="3"/>
        <v>0.34199754215575862</v>
      </c>
      <c r="K37" s="28">
        <f t="shared" si="3"/>
        <v>85.849701187725529</v>
      </c>
      <c r="L37" s="28">
        <f t="shared" si="3"/>
        <v>3.8363388343802232</v>
      </c>
      <c r="M37" s="28">
        <f t="shared" si="3"/>
        <v>16.061938063254516</v>
      </c>
      <c r="N37" s="28">
        <f t="shared" si="3"/>
        <v>222.39463255793672</v>
      </c>
      <c r="O37" s="28">
        <f t="shared" si="3"/>
        <v>0</v>
      </c>
      <c r="P37" s="28">
        <f t="shared" si="3"/>
        <v>0.52250996800699057</v>
      </c>
      <c r="Q37" s="28">
        <f t="shared" si="3"/>
        <v>9.5458466573585619E-3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132</v>
      </c>
      <c r="B9" s="51">
        <v>61.58</v>
      </c>
      <c r="C9" s="51">
        <v>18.41</v>
      </c>
      <c r="D9" s="51">
        <v>57.56</v>
      </c>
      <c r="E9" s="51">
        <v>6.87</v>
      </c>
      <c r="F9" s="51">
        <v>4.66</v>
      </c>
      <c r="G9" s="51">
        <v>155.59</v>
      </c>
      <c r="H9" s="51">
        <v>77.13</v>
      </c>
      <c r="I9" s="51">
        <v>7.51</v>
      </c>
      <c r="J9" s="51">
        <v>0.62</v>
      </c>
      <c r="K9" s="51">
        <v>347.07</v>
      </c>
      <c r="L9" s="51">
        <v>21.73</v>
      </c>
      <c r="M9" s="51">
        <v>90.79</v>
      </c>
      <c r="N9" s="51">
        <v>26.2</v>
      </c>
      <c r="O9" s="51">
        <v>0</v>
      </c>
      <c r="P9" s="51">
        <v>1.44</v>
      </c>
      <c r="Q9" s="51">
        <v>9.6300000000000008</v>
      </c>
      <c r="R9" s="43"/>
      <c r="S9" s="43"/>
      <c r="T9" s="43"/>
      <c r="U9" s="43"/>
    </row>
    <row r="10" spans="1:21" s="11" customFormat="1" x14ac:dyDescent="0.25">
      <c r="A10" s="50" t="s">
        <v>133</v>
      </c>
      <c r="B10" s="51">
        <v>57.21</v>
      </c>
      <c r="C10" s="51">
        <v>15.39</v>
      </c>
      <c r="D10" s="51">
        <v>52.54</v>
      </c>
      <c r="E10" s="51">
        <v>6.07</v>
      </c>
      <c r="F10" s="51">
        <v>4.1900000000000004</v>
      </c>
      <c r="G10" s="51">
        <v>155.59</v>
      </c>
      <c r="H10" s="51">
        <v>68</v>
      </c>
      <c r="I10" s="51">
        <v>5.55</v>
      </c>
      <c r="J10" s="51">
        <v>0.46</v>
      </c>
      <c r="K10" s="51">
        <v>333.71</v>
      </c>
      <c r="L10" s="51">
        <v>21.43</v>
      </c>
      <c r="M10" s="51">
        <v>90.92</v>
      </c>
      <c r="N10" s="51">
        <v>26</v>
      </c>
      <c r="O10" s="51">
        <v>0</v>
      </c>
      <c r="P10" s="51">
        <v>0.99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134</v>
      </c>
      <c r="B11" s="51">
        <v>48.11</v>
      </c>
      <c r="C11" s="51">
        <v>13.07</v>
      </c>
      <c r="D11" s="51">
        <v>44.03</v>
      </c>
      <c r="E11" s="51">
        <v>5.48</v>
      </c>
      <c r="F11" s="51">
        <v>4.0199999999999996</v>
      </c>
      <c r="G11" s="51">
        <v>119.88</v>
      </c>
      <c r="H11" s="51">
        <v>46.65</v>
      </c>
      <c r="I11" s="51">
        <v>5.91</v>
      </c>
      <c r="J11" s="51">
        <v>0.37</v>
      </c>
      <c r="K11" s="51">
        <v>309.89999999999998</v>
      </c>
      <c r="L11" s="51">
        <v>20.86</v>
      </c>
      <c r="M11" s="51">
        <v>95.29</v>
      </c>
      <c r="N11" s="51">
        <v>26.1</v>
      </c>
      <c r="O11" s="51">
        <v>0</v>
      </c>
      <c r="P11" s="51">
        <v>1.1000000000000001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135</v>
      </c>
      <c r="B12" s="51">
        <v>38.78</v>
      </c>
      <c r="C12" s="51">
        <v>13.59</v>
      </c>
      <c r="D12" s="51">
        <v>36.46</v>
      </c>
      <c r="E12" s="51">
        <v>6.24</v>
      </c>
      <c r="F12" s="51">
        <v>3.97</v>
      </c>
      <c r="G12" s="51">
        <v>90.92</v>
      </c>
      <c r="H12" s="51">
        <v>39.090000000000003</v>
      </c>
      <c r="I12" s="51">
        <v>6.97</v>
      </c>
      <c r="J12" s="51">
        <v>0.42</v>
      </c>
      <c r="K12" s="51">
        <v>355.66</v>
      </c>
      <c r="L12" s="51">
        <v>20.48</v>
      </c>
      <c r="M12" s="51">
        <v>98.03</v>
      </c>
      <c r="N12" s="51">
        <v>25.8</v>
      </c>
      <c r="O12" s="51">
        <v>0</v>
      </c>
      <c r="P12" s="51">
        <v>1.04</v>
      </c>
      <c r="Q12" s="51">
        <v>9.65</v>
      </c>
      <c r="R12" s="43"/>
      <c r="S12" s="43"/>
      <c r="T12" s="43"/>
      <c r="U12" s="43"/>
    </row>
    <row r="13" spans="1:21" s="11" customFormat="1" x14ac:dyDescent="0.25">
      <c r="A13" s="50" t="s">
        <v>136</v>
      </c>
      <c r="B13" s="51">
        <v>31.81</v>
      </c>
      <c r="C13" s="51">
        <v>13.93</v>
      </c>
      <c r="D13" s="51">
        <v>31.34</v>
      </c>
      <c r="E13" s="51">
        <v>6.7</v>
      </c>
      <c r="F13" s="51">
        <v>4.04</v>
      </c>
      <c r="G13" s="51">
        <v>85.5</v>
      </c>
      <c r="H13" s="51">
        <v>39.090000000000003</v>
      </c>
      <c r="I13" s="51">
        <v>6.61</v>
      </c>
      <c r="J13" s="51">
        <v>0.7</v>
      </c>
      <c r="K13" s="51">
        <v>332</v>
      </c>
      <c r="L13" s="51">
        <v>20.69</v>
      </c>
      <c r="M13" s="51">
        <v>101.26</v>
      </c>
      <c r="N13" s="51">
        <v>26.3</v>
      </c>
      <c r="O13" s="51">
        <v>0</v>
      </c>
      <c r="P13" s="51">
        <v>0.93</v>
      </c>
      <c r="Q13" s="51">
        <v>9.6199999999999992</v>
      </c>
      <c r="R13" s="43"/>
      <c r="S13" s="43"/>
      <c r="T13" s="43"/>
      <c r="U13" s="43"/>
    </row>
    <row r="14" spans="1:21" s="11" customFormat="1" x14ac:dyDescent="0.25">
      <c r="A14" s="50" t="s">
        <v>137</v>
      </c>
      <c r="B14" s="51">
        <v>29.71</v>
      </c>
      <c r="C14" s="51">
        <v>11.73</v>
      </c>
      <c r="D14" s="51">
        <v>28.58</v>
      </c>
      <c r="E14" s="51">
        <v>6.48</v>
      </c>
      <c r="F14" s="51">
        <v>3.95</v>
      </c>
      <c r="G14" s="51">
        <v>93.29</v>
      </c>
      <c r="H14" s="51">
        <v>59.45</v>
      </c>
      <c r="I14" s="51">
        <v>5.47</v>
      </c>
      <c r="J14" s="51">
        <v>0.26</v>
      </c>
      <c r="K14" s="51">
        <v>312.7</v>
      </c>
      <c r="L14" s="51">
        <v>19.579999999999998</v>
      </c>
      <c r="M14" s="51">
        <v>102.71</v>
      </c>
      <c r="N14" s="51">
        <v>26.2</v>
      </c>
      <c r="O14" s="51">
        <v>0</v>
      </c>
      <c r="P14" s="51">
        <v>0.85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138</v>
      </c>
      <c r="B15" s="51">
        <v>28.44</v>
      </c>
      <c r="C15" s="51">
        <v>12.14</v>
      </c>
      <c r="D15" s="51">
        <v>27.77</v>
      </c>
      <c r="E15" s="51">
        <v>6.86</v>
      </c>
      <c r="F15" s="51">
        <v>4.3099999999999996</v>
      </c>
      <c r="G15" s="51">
        <v>93.29</v>
      </c>
      <c r="H15" s="51">
        <v>59.45</v>
      </c>
      <c r="I15" s="51">
        <v>4.68</v>
      </c>
      <c r="J15" s="51">
        <v>0.26</v>
      </c>
      <c r="K15" s="51">
        <v>336.47</v>
      </c>
      <c r="L15" s="51">
        <v>19.77</v>
      </c>
      <c r="M15" s="51">
        <v>102.62</v>
      </c>
      <c r="N15" s="51">
        <v>70.599999999999994</v>
      </c>
      <c r="O15" s="51">
        <v>0</v>
      </c>
      <c r="P15" s="51">
        <v>0.85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139</v>
      </c>
      <c r="B16" s="51">
        <v>28.53</v>
      </c>
      <c r="C16" s="51">
        <v>12.47</v>
      </c>
      <c r="D16" s="51">
        <v>27.89</v>
      </c>
      <c r="E16" s="51">
        <v>6.94</v>
      </c>
      <c r="F16" s="51">
        <v>4.68</v>
      </c>
      <c r="G16" s="51">
        <v>97.19</v>
      </c>
      <c r="H16" s="51">
        <v>49.13</v>
      </c>
      <c r="I16" s="51">
        <v>5.25</v>
      </c>
      <c r="J16" s="51">
        <v>0.71</v>
      </c>
      <c r="K16" s="51">
        <v>182.7</v>
      </c>
      <c r="L16" s="51">
        <v>22.68</v>
      </c>
      <c r="M16" s="51">
        <v>94.91</v>
      </c>
      <c r="N16" s="51">
        <v>260.8</v>
      </c>
      <c r="O16" s="51">
        <v>0</v>
      </c>
      <c r="P16" s="51">
        <v>0.83</v>
      </c>
      <c r="Q16" s="51">
        <v>9.6199999999999992</v>
      </c>
      <c r="R16" s="43"/>
      <c r="S16" s="43"/>
      <c r="T16" s="43"/>
      <c r="U16" s="43"/>
    </row>
    <row r="17" spans="1:21" s="11" customFormat="1" x14ac:dyDescent="0.25">
      <c r="A17" s="50" t="s">
        <v>140</v>
      </c>
      <c r="B17" s="51">
        <v>23.73</v>
      </c>
      <c r="C17" s="51">
        <v>13.84</v>
      </c>
      <c r="D17" s="51">
        <v>24.24</v>
      </c>
      <c r="E17" s="51">
        <v>6.26</v>
      </c>
      <c r="F17" s="51">
        <v>4.03</v>
      </c>
      <c r="G17" s="51">
        <v>97.19</v>
      </c>
      <c r="H17" s="51">
        <v>49.13</v>
      </c>
      <c r="I17" s="51">
        <v>5.15</v>
      </c>
      <c r="J17" s="51">
        <v>1.25</v>
      </c>
      <c r="K17" s="51">
        <v>137.29</v>
      </c>
      <c r="L17" s="51">
        <v>26.5</v>
      </c>
      <c r="M17" s="51">
        <v>80.67</v>
      </c>
      <c r="N17" s="51">
        <v>430.7</v>
      </c>
      <c r="O17" s="51">
        <v>0</v>
      </c>
      <c r="P17" s="51">
        <v>0.78</v>
      </c>
      <c r="Q17" s="51">
        <v>9.6300000000000008</v>
      </c>
      <c r="R17" s="43"/>
      <c r="S17" s="43"/>
      <c r="T17" s="43"/>
      <c r="U17" s="43"/>
    </row>
    <row r="18" spans="1:21" s="11" customFormat="1" x14ac:dyDescent="0.25">
      <c r="A18" s="50" t="s">
        <v>141</v>
      </c>
      <c r="B18" s="51">
        <v>17.11</v>
      </c>
      <c r="C18" s="51">
        <v>13.15</v>
      </c>
      <c r="D18" s="51">
        <v>19.16</v>
      </c>
      <c r="E18" s="51">
        <v>6.04</v>
      </c>
      <c r="F18" s="51">
        <v>4.46</v>
      </c>
      <c r="G18" s="51">
        <v>96.33</v>
      </c>
      <c r="H18" s="51">
        <v>36.369999999999997</v>
      </c>
      <c r="I18" s="51">
        <v>5.15</v>
      </c>
      <c r="J18" s="51">
        <v>1.21</v>
      </c>
      <c r="K18" s="51">
        <v>139.62</v>
      </c>
      <c r="L18" s="51">
        <v>29.94</v>
      </c>
      <c r="M18" s="51">
        <v>66.430000000000007</v>
      </c>
      <c r="N18" s="51">
        <v>572.5</v>
      </c>
      <c r="O18" s="51">
        <v>0</v>
      </c>
      <c r="P18" s="51">
        <v>0.69</v>
      </c>
      <c r="Q18" s="51">
        <v>9.6199999999999992</v>
      </c>
      <c r="R18" s="43"/>
      <c r="S18" s="43"/>
      <c r="T18" s="43"/>
      <c r="U18" s="43"/>
    </row>
    <row r="19" spans="1:21" s="11" customFormat="1" x14ac:dyDescent="0.25">
      <c r="A19" s="50" t="s">
        <v>142</v>
      </c>
      <c r="B19" s="51">
        <v>11.81</v>
      </c>
      <c r="C19" s="51">
        <v>15.54</v>
      </c>
      <c r="D19" s="51">
        <v>15.1</v>
      </c>
      <c r="E19" s="51">
        <v>8.8699999999999992</v>
      </c>
      <c r="F19" s="51">
        <v>33.56</v>
      </c>
      <c r="G19" s="51">
        <v>89.7</v>
      </c>
      <c r="H19" s="51">
        <v>36.369999999999997</v>
      </c>
      <c r="I19" s="51">
        <v>4.7300000000000004</v>
      </c>
      <c r="J19" s="51">
        <v>0.59</v>
      </c>
      <c r="K19" s="51">
        <v>123.47</v>
      </c>
      <c r="L19" s="51">
        <v>30.76</v>
      </c>
      <c r="M19" s="51">
        <v>54.7</v>
      </c>
      <c r="N19" s="51">
        <v>671.3</v>
      </c>
      <c r="O19" s="51">
        <v>0</v>
      </c>
      <c r="P19" s="51">
        <v>0.64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143</v>
      </c>
      <c r="B20" s="51">
        <v>0.39</v>
      </c>
      <c r="C20" s="51">
        <v>18.829999999999998</v>
      </c>
      <c r="D20" s="51">
        <v>8.35</v>
      </c>
      <c r="E20" s="51">
        <v>8.61</v>
      </c>
      <c r="F20" s="51">
        <v>20.59</v>
      </c>
      <c r="G20" s="53" t="s">
        <v>12</v>
      </c>
      <c r="H20" s="53" t="s">
        <v>12</v>
      </c>
      <c r="I20" s="51">
        <v>5.08</v>
      </c>
      <c r="J20" s="51">
        <v>0.41</v>
      </c>
      <c r="K20" s="51">
        <v>333.66</v>
      </c>
      <c r="L20" s="51">
        <v>29.96</v>
      </c>
      <c r="M20" s="51">
        <v>35.090000000000003</v>
      </c>
      <c r="N20" s="51">
        <v>690.4</v>
      </c>
      <c r="O20" s="51">
        <v>0</v>
      </c>
      <c r="P20" s="51">
        <v>0.49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144</v>
      </c>
      <c r="B21" s="51">
        <v>1.89</v>
      </c>
      <c r="C21" s="51">
        <v>20.74</v>
      </c>
      <c r="D21" s="51">
        <v>10.82</v>
      </c>
      <c r="E21" s="51">
        <v>6.98</v>
      </c>
      <c r="F21" s="51">
        <v>12.59</v>
      </c>
      <c r="G21" s="51">
        <v>31.31</v>
      </c>
      <c r="H21" s="51">
        <v>10.56</v>
      </c>
      <c r="I21" s="51">
        <v>2.83</v>
      </c>
      <c r="J21" s="51">
        <v>1.32</v>
      </c>
      <c r="K21" s="51">
        <v>341.05</v>
      </c>
      <c r="L21" s="51">
        <v>30.92</v>
      </c>
      <c r="M21" s="51">
        <v>31.77</v>
      </c>
      <c r="N21" s="51">
        <v>653.9</v>
      </c>
      <c r="O21" s="51">
        <v>0</v>
      </c>
      <c r="P21" s="51">
        <v>0.43</v>
      </c>
      <c r="Q21" s="51">
        <v>9.6199999999999992</v>
      </c>
      <c r="R21" s="43"/>
      <c r="S21" s="43"/>
      <c r="T21" s="43"/>
      <c r="U21" s="43"/>
    </row>
    <row r="22" spans="1:21" s="11" customFormat="1" x14ac:dyDescent="0.25">
      <c r="A22" s="50" t="s">
        <v>145</v>
      </c>
      <c r="B22" s="51">
        <v>2.23</v>
      </c>
      <c r="C22" s="51">
        <v>21.62</v>
      </c>
      <c r="D22" s="51">
        <v>11.7</v>
      </c>
      <c r="E22" s="51">
        <v>6.53</v>
      </c>
      <c r="F22" s="51">
        <v>8.58</v>
      </c>
      <c r="G22" s="51">
        <v>122.53</v>
      </c>
      <c r="H22" s="51">
        <v>31.02</v>
      </c>
      <c r="I22" s="51">
        <v>2.5299999999999998</v>
      </c>
      <c r="J22" s="51">
        <v>1.84</v>
      </c>
      <c r="K22" s="51">
        <v>338.54</v>
      </c>
      <c r="L22" s="51">
        <v>31.24</v>
      </c>
      <c r="M22" s="51">
        <v>30.5</v>
      </c>
      <c r="N22" s="51">
        <v>431.8</v>
      </c>
      <c r="O22" s="51">
        <v>0</v>
      </c>
      <c r="P22" s="51">
        <v>0.56999999999999995</v>
      </c>
      <c r="Q22" s="51">
        <v>9.6199999999999992</v>
      </c>
      <c r="R22" s="43"/>
      <c r="S22" s="43"/>
      <c r="T22" s="43"/>
      <c r="U22" s="43"/>
    </row>
    <row r="23" spans="1:21" s="11" customFormat="1" x14ac:dyDescent="0.25">
      <c r="A23" s="50" t="s">
        <v>146</v>
      </c>
      <c r="B23" s="51">
        <v>2.87</v>
      </c>
      <c r="C23" s="51">
        <v>28</v>
      </c>
      <c r="D23" s="51">
        <v>15.37</v>
      </c>
      <c r="E23" s="51">
        <v>6.21</v>
      </c>
      <c r="F23" s="51">
        <v>10.14</v>
      </c>
      <c r="G23" s="51">
        <v>99.99</v>
      </c>
      <c r="H23" s="51">
        <v>31.7</v>
      </c>
      <c r="I23" s="51">
        <v>2.5</v>
      </c>
      <c r="J23" s="51">
        <v>1.61</v>
      </c>
      <c r="K23" s="51">
        <v>338.72</v>
      </c>
      <c r="L23" s="51">
        <v>28.42</v>
      </c>
      <c r="M23" s="51">
        <v>34.39</v>
      </c>
      <c r="N23" s="51">
        <v>148.19999999999999</v>
      </c>
      <c r="O23" s="51">
        <v>0</v>
      </c>
      <c r="P23" s="51">
        <v>0.74</v>
      </c>
      <c r="Q23" s="51">
        <v>9.64</v>
      </c>
      <c r="R23" s="43"/>
      <c r="S23" s="43"/>
      <c r="T23" s="43"/>
      <c r="U23" s="43"/>
    </row>
    <row r="24" spans="1:21" s="11" customFormat="1" x14ac:dyDescent="0.25">
      <c r="A24" s="50" t="s">
        <v>147</v>
      </c>
      <c r="B24" s="51">
        <v>6.48</v>
      </c>
      <c r="C24" s="51">
        <v>33.65</v>
      </c>
      <c r="D24" s="51">
        <v>21.4</v>
      </c>
      <c r="E24" s="51">
        <v>7.21</v>
      </c>
      <c r="F24" s="51">
        <v>6.77</v>
      </c>
      <c r="G24" s="51">
        <v>92.78</v>
      </c>
      <c r="H24" s="51">
        <v>32.020000000000003</v>
      </c>
      <c r="I24" s="51">
        <v>3.02</v>
      </c>
      <c r="J24" s="51">
        <v>2.1</v>
      </c>
      <c r="K24" s="51">
        <v>336.95</v>
      </c>
      <c r="L24" s="51">
        <v>27.69</v>
      </c>
      <c r="M24" s="51">
        <v>33.67</v>
      </c>
      <c r="N24" s="51">
        <v>109</v>
      </c>
      <c r="O24" s="51">
        <v>0</v>
      </c>
      <c r="P24" s="51">
        <v>0.68</v>
      </c>
      <c r="Q24" s="51">
        <v>9.6199999999999992</v>
      </c>
      <c r="R24" s="43"/>
      <c r="S24" s="43"/>
      <c r="T24" s="43"/>
      <c r="U24" s="43"/>
    </row>
    <row r="25" spans="1:21" s="11" customFormat="1" x14ac:dyDescent="0.25">
      <c r="A25" s="50" t="s">
        <v>148</v>
      </c>
      <c r="B25" s="51">
        <v>5.05</v>
      </c>
      <c r="C25" s="51">
        <v>34.6</v>
      </c>
      <c r="D25" s="51">
        <v>20.329999999999998</v>
      </c>
      <c r="E25" s="51">
        <v>7.18</v>
      </c>
      <c r="F25" s="51">
        <v>6.42</v>
      </c>
      <c r="G25" s="51">
        <v>69.2</v>
      </c>
      <c r="H25" s="51">
        <v>24.3</v>
      </c>
      <c r="I25" s="51">
        <v>2.83</v>
      </c>
      <c r="J25" s="51">
        <v>1.38</v>
      </c>
      <c r="K25" s="51">
        <v>344.19</v>
      </c>
      <c r="L25" s="51">
        <v>26.31</v>
      </c>
      <c r="M25" s="51">
        <v>36.479999999999997</v>
      </c>
      <c r="N25" s="51">
        <v>68.2</v>
      </c>
      <c r="O25" s="51">
        <v>0</v>
      </c>
      <c r="P25" s="51">
        <v>0.73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149</v>
      </c>
      <c r="B26" s="51">
        <v>7.07</v>
      </c>
      <c r="C26" s="51">
        <v>31.43</v>
      </c>
      <c r="D26" s="51">
        <v>19.07</v>
      </c>
      <c r="E26" s="51">
        <v>6.4</v>
      </c>
      <c r="F26" s="51">
        <v>5.91</v>
      </c>
      <c r="G26" s="51">
        <v>81.38</v>
      </c>
      <c r="H26" s="51">
        <v>26.24</v>
      </c>
      <c r="I26" s="51">
        <v>2.52</v>
      </c>
      <c r="J26" s="51">
        <v>0.59</v>
      </c>
      <c r="K26" s="51">
        <v>327.49</v>
      </c>
      <c r="L26" s="51">
        <v>24.52</v>
      </c>
      <c r="M26" s="51">
        <v>54.79</v>
      </c>
      <c r="N26" s="51">
        <v>35</v>
      </c>
      <c r="O26" s="51">
        <v>0</v>
      </c>
      <c r="P26" s="51">
        <v>1.77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150</v>
      </c>
      <c r="B27" s="51">
        <v>20.91</v>
      </c>
      <c r="C27" s="51">
        <v>26.89</v>
      </c>
      <c r="D27" s="51">
        <v>28.67</v>
      </c>
      <c r="E27" s="51">
        <v>6.32</v>
      </c>
      <c r="F27" s="51">
        <v>4.24</v>
      </c>
      <c r="G27" s="51">
        <v>81</v>
      </c>
      <c r="H27" s="51">
        <v>29.97</v>
      </c>
      <c r="I27" s="51">
        <v>6.26</v>
      </c>
      <c r="J27" s="51">
        <v>0.55000000000000004</v>
      </c>
      <c r="K27" s="51">
        <v>322.20999999999998</v>
      </c>
      <c r="L27" s="51">
        <v>21.82</v>
      </c>
      <c r="M27" s="51">
        <v>60.4</v>
      </c>
      <c r="N27" s="51">
        <v>26.2</v>
      </c>
      <c r="O27" s="51">
        <v>0</v>
      </c>
      <c r="P27" s="51">
        <v>2.0299999999999998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151</v>
      </c>
      <c r="B28" s="51">
        <v>60.86</v>
      </c>
      <c r="C28" s="51">
        <v>26.15</v>
      </c>
      <c r="D28" s="51">
        <v>61.09</v>
      </c>
      <c r="E28" s="51">
        <v>8.66</v>
      </c>
      <c r="F28" s="51">
        <v>4.7300000000000004</v>
      </c>
      <c r="G28" s="51">
        <v>98.18</v>
      </c>
      <c r="H28" s="51">
        <v>35.159999999999997</v>
      </c>
      <c r="I28" s="51">
        <v>7.79</v>
      </c>
      <c r="J28" s="51">
        <v>0.55000000000000004</v>
      </c>
      <c r="K28" s="51">
        <v>339.17</v>
      </c>
      <c r="L28" s="51">
        <v>20.48</v>
      </c>
      <c r="M28" s="51">
        <v>71.400000000000006</v>
      </c>
      <c r="N28" s="51">
        <v>26.1</v>
      </c>
      <c r="O28" s="51">
        <v>0</v>
      </c>
      <c r="P28" s="51">
        <v>2.27</v>
      </c>
      <c r="Q28" s="51">
        <v>9.6199999999999992</v>
      </c>
      <c r="R28" s="43"/>
      <c r="S28" s="43"/>
      <c r="T28" s="43"/>
      <c r="U28" s="43"/>
    </row>
    <row r="29" spans="1:21" s="11" customFormat="1" x14ac:dyDescent="0.25">
      <c r="A29" s="50" t="s">
        <v>152</v>
      </c>
      <c r="B29" s="51">
        <v>84.95</v>
      </c>
      <c r="C29" s="51">
        <v>26.03</v>
      </c>
      <c r="D29" s="51">
        <v>79.819999999999993</v>
      </c>
      <c r="E29" s="51">
        <v>10.19</v>
      </c>
      <c r="F29" s="51">
        <v>4.47</v>
      </c>
      <c r="G29" s="51">
        <v>115.02</v>
      </c>
      <c r="H29" s="51">
        <v>52.48</v>
      </c>
      <c r="I29" s="51">
        <v>9.25</v>
      </c>
      <c r="J29" s="51">
        <v>0.53</v>
      </c>
      <c r="K29" s="51">
        <v>332.6</v>
      </c>
      <c r="L29" s="51">
        <v>20.29</v>
      </c>
      <c r="M29" s="51">
        <v>75.42</v>
      </c>
      <c r="N29" s="51">
        <v>26.1</v>
      </c>
      <c r="O29" s="51">
        <v>0</v>
      </c>
      <c r="P29" s="51">
        <v>2.2200000000000002</v>
      </c>
      <c r="Q29" s="51">
        <v>9.65</v>
      </c>
      <c r="R29" s="43"/>
      <c r="S29" s="43"/>
      <c r="T29" s="43"/>
      <c r="U29" s="43"/>
    </row>
    <row r="30" spans="1:21" s="11" customFormat="1" x14ac:dyDescent="0.25">
      <c r="A30" s="50" t="s">
        <v>153</v>
      </c>
      <c r="B30" s="51">
        <v>82.61</v>
      </c>
      <c r="C30" s="51">
        <v>24.41</v>
      </c>
      <c r="D30" s="51">
        <v>77.62</v>
      </c>
      <c r="E30" s="51">
        <v>9.52</v>
      </c>
      <c r="F30" s="51">
        <v>4.29</v>
      </c>
      <c r="G30" s="51">
        <v>114.19</v>
      </c>
      <c r="H30" s="51">
        <v>73.14</v>
      </c>
      <c r="I30" s="51">
        <v>7.83</v>
      </c>
      <c r="J30" s="51">
        <v>0.48</v>
      </c>
      <c r="K30" s="51">
        <v>98.9</v>
      </c>
      <c r="L30" s="51">
        <v>20.43</v>
      </c>
      <c r="M30" s="51">
        <v>64.78</v>
      </c>
      <c r="N30" s="51">
        <v>25.9</v>
      </c>
      <c r="O30" s="51">
        <v>0</v>
      </c>
      <c r="P30" s="51">
        <v>2.0699999999999998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154</v>
      </c>
      <c r="B31" s="51">
        <v>79.06</v>
      </c>
      <c r="C31" s="51">
        <v>21.04</v>
      </c>
      <c r="D31" s="51">
        <v>72.39</v>
      </c>
      <c r="E31" s="51">
        <v>8.9600000000000009</v>
      </c>
      <c r="F31" s="51">
        <v>4.49</v>
      </c>
      <c r="G31" s="51">
        <v>113.32</v>
      </c>
      <c r="H31" s="51">
        <v>61.8</v>
      </c>
      <c r="I31" s="51">
        <v>8.9700000000000006</v>
      </c>
      <c r="J31" s="51">
        <v>0.59</v>
      </c>
      <c r="K31" s="51">
        <v>320.45</v>
      </c>
      <c r="L31" s="51">
        <v>20.14</v>
      </c>
      <c r="M31" s="51">
        <v>77.52</v>
      </c>
      <c r="N31" s="51">
        <v>26.3</v>
      </c>
      <c r="O31" s="51">
        <v>0</v>
      </c>
      <c r="P31" s="51">
        <v>2.34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155</v>
      </c>
      <c r="B32" s="51">
        <v>92.33</v>
      </c>
      <c r="C32" s="51">
        <v>20.98</v>
      </c>
      <c r="D32" s="51">
        <v>83.54</v>
      </c>
      <c r="E32" s="51">
        <v>8.76</v>
      </c>
      <c r="F32" s="51">
        <v>4.97</v>
      </c>
      <c r="G32" s="51">
        <v>114.57</v>
      </c>
      <c r="H32" s="51">
        <v>58.48</v>
      </c>
      <c r="I32" s="51">
        <v>9.3699999999999992</v>
      </c>
      <c r="J32" s="51">
        <v>0.56999999999999995</v>
      </c>
      <c r="K32" s="51">
        <v>327.97</v>
      </c>
      <c r="L32" s="51">
        <v>19.04</v>
      </c>
      <c r="M32" s="51">
        <v>82.47</v>
      </c>
      <c r="N32" s="51">
        <v>26.1</v>
      </c>
      <c r="O32" s="51">
        <v>0</v>
      </c>
      <c r="P32" s="51">
        <v>2.06</v>
      </c>
      <c r="Q32" s="51">
        <v>9.66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0.39</v>
      </c>
      <c r="C34" s="28">
        <f t="shared" si="0"/>
        <v>11.73</v>
      </c>
      <c r="D34" s="28">
        <f t="shared" si="0"/>
        <v>8.35</v>
      </c>
      <c r="E34" s="28">
        <f t="shared" si="0"/>
        <v>5.48</v>
      </c>
      <c r="F34" s="28">
        <f t="shared" si="0"/>
        <v>3.95</v>
      </c>
      <c r="G34" s="28">
        <f t="shared" si="0"/>
        <v>31.31</v>
      </c>
      <c r="H34" s="28">
        <f t="shared" si="0"/>
        <v>10.56</v>
      </c>
      <c r="I34" s="28">
        <f t="shared" si="0"/>
        <v>2.5</v>
      </c>
      <c r="J34" s="28">
        <f t="shared" si="0"/>
        <v>0.26</v>
      </c>
      <c r="K34" s="28">
        <f t="shared" si="0"/>
        <v>98.9</v>
      </c>
      <c r="L34" s="28">
        <f t="shared" si="0"/>
        <v>19.04</v>
      </c>
      <c r="M34" s="28">
        <f t="shared" si="0"/>
        <v>30.5</v>
      </c>
      <c r="N34" s="28">
        <f t="shared" si="0"/>
        <v>25.8</v>
      </c>
      <c r="O34" s="28">
        <f t="shared" si="0"/>
        <v>0</v>
      </c>
      <c r="P34" s="28">
        <f t="shared" si="0"/>
        <v>0.43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92.33</v>
      </c>
      <c r="C35" s="29">
        <f t="shared" si="1"/>
        <v>34.6</v>
      </c>
      <c r="D35" s="29">
        <f t="shared" si="1"/>
        <v>83.54</v>
      </c>
      <c r="E35" s="29">
        <f t="shared" si="1"/>
        <v>10.19</v>
      </c>
      <c r="F35" s="29">
        <f t="shared" si="1"/>
        <v>33.56</v>
      </c>
      <c r="G35" s="29">
        <f t="shared" si="1"/>
        <v>155.59</v>
      </c>
      <c r="H35" s="29">
        <f t="shared" si="1"/>
        <v>77.13</v>
      </c>
      <c r="I35" s="29">
        <f t="shared" si="1"/>
        <v>9.3699999999999992</v>
      </c>
      <c r="J35" s="29">
        <f t="shared" si="1"/>
        <v>2.1</v>
      </c>
      <c r="K35" s="29">
        <f t="shared" si="1"/>
        <v>355.66</v>
      </c>
      <c r="L35" s="29">
        <f t="shared" si="1"/>
        <v>31.24</v>
      </c>
      <c r="M35" s="29">
        <f t="shared" si="1"/>
        <v>102.71</v>
      </c>
      <c r="N35" s="29">
        <f t="shared" si="1"/>
        <v>690.4</v>
      </c>
      <c r="O35" s="29">
        <f t="shared" si="1"/>
        <v>0</v>
      </c>
      <c r="P35" s="29">
        <f t="shared" si="1"/>
        <v>2.34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34.31333333333334</v>
      </c>
      <c r="C36" s="28">
        <f t="shared" si="2"/>
        <v>20.317916666666665</v>
      </c>
      <c r="D36" s="28">
        <f t="shared" si="2"/>
        <v>36.451666666666661</v>
      </c>
      <c r="E36" s="28">
        <f t="shared" si="2"/>
        <v>7.2641666666666671</v>
      </c>
      <c r="F36" s="28">
        <f t="shared" si="2"/>
        <v>7.2525000000000004</v>
      </c>
      <c r="G36" s="28">
        <f t="shared" si="2"/>
        <v>100.34521739130435</v>
      </c>
      <c r="H36" s="28">
        <f t="shared" si="2"/>
        <v>44.640434782608686</v>
      </c>
      <c r="I36" s="28">
        <f t="shared" si="2"/>
        <v>5.5733333333333333</v>
      </c>
      <c r="J36" s="28">
        <f t="shared" si="2"/>
        <v>0.80708333333333337</v>
      </c>
      <c r="K36" s="28">
        <f t="shared" si="2"/>
        <v>292.18708333333331</v>
      </c>
      <c r="L36" s="28">
        <f t="shared" si="2"/>
        <v>23.986666666666665</v>
      </c>
      <c r="M36" s="28">
        <f t="shared" si="2"/>
        <v>69.458750000000023</v>
      </c>
      <c r="N36" s="28">
        <f t="shared" si="2"/>
        <v>185.6541666666667</v>
      </c>
      <c r="O36" s="28">
        <f t="shared" si="2"/>
        <v>0</v>
      </c>
      <c r="P36" s="28">
        <f t="shared" si="2"/>
        <v>1.1891666666666665</v>
      </c>
      <c r="Q36" s="28">
        <f t="shared" si="2"/>
        <v>9.6320833333333322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29.657704573680512</v>
      </c>
      <c r="C37" s="28">
        <f t="shared" ref="C37:Q37" si="3">STDEV(C9:C32)</f>
        <v>7.1650097722356145</v>
      </c>
      <c r="D37" s="28">
        <f t="shared" si="3"/>
        <v>23.725866395811227</v>
      </c>
      <c r="E37" s="28">
        <f t="shared" si="3"/>
        <v>1.2854094819285757</v>
      </c>
      <c r="F37" s="28">
        <f t="shared" si="3"/>
        <v>6.7505157612939666</v>
      </c>
      <c r="G37" s="28">
        <f t="shared" si="3"/>
        <v>25.976765294737227</v>
      </c>
      <c r="H37" s="28">
        <f t="shared" si="3"/>
        <v>17.020647215090111</v>
      </c>
      <c r="I37" s="28">
        <f t="shared" si="3"/>
        <v>2.1736078336472642</v>
      </c>
      <c r="J37" s="28">
        <f t="shared" si="3"/>
        <v>0.51584021090683252</v>
      </c>
      <c r="K37" s="28">
        <f t="shared" si="3"/>
        <v>83.229713051298489</v>
      </c>
      <c r="L37" s="28">
        <f t="shared" si="3"/>
        <v>4.3193202632164294</v>
      </c>
      <c r="M37" s="28">
        <f t="shared" si="3"/>
        <v>25.475184227263988</v>
      </c>
      <c r="N37" s="28">
        <f t="shared" si="3"/>
        <v>242.11686358875949</v>
      </c>
      <c r="O37" s="28">
        <f t="shared" si="3"/>
        <v>0</v>
      </c>
      <c r="P37" s="28">
        <f t="shared" si="3"/>
        <v>0.64374526873173443</v>
      </c>
      <c r="Q37" s="28">
        <f t="shared" si="3"/>
        <v>1.1025333147551625E-2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4" sqref="G44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156</v>
      </c>
      <c r="B9" s="51">
        <v>93.79</v>
      </c>
      <c r="C9" s="51">
        <v>21</v>
      </c>
      <c r="D9" s="51">
        <v>84.73</v>
      </c>
      <c r="E9" s="51">
        <v>7.23</v>
      </c>
      <c r="F9" s="51">
        <v>4.3099999999999996</v>
      </c>
      <c r="G9" s="51">
        <v>117.47</v>
      </c>
      <c r="H9" s="51">
        <v>53.84</v>
      </c>
      <c r="I9" s="51">
        <v>9.07</v>
      </c>
      <c r="J9" s="51">
        <v>0.37</v>
      </c>
      <c r="K9" s="51">
        <v>350.3</v>
      </c>
      <c r="L9" s="51">
        <v>19.34</v>
      </c>
      <c r="M9" s="51">
        <v>72.400000000000006</v>
      </c>
      <c r="N9" s="51">
        <v>26.1</v>
      </c>
      <c r="O9" s="51">
        <v>0</v>
      </c>
      <c r="P9" s="51">
        <v>1.7</v>
      </c>
      <c r="Q9" s="51">
        <v>9.65</v>
      </c>
      <c r="R9" s="43"/>
      <c r="S9" s="43"/>
      <c r="T9" s="43"/>
      <c r="U9" s="43"/>
    </row>
    <row r="10" spans="1:21" s="11" customFormat="1" x14ac:dyDescent="0.25">
      <c r="A10" s="50" t="s">
        <v>157</v>
      </c>
      <c r="B10" s="51">
        <v>76.64</v>
      </c>
      <c r="C10" s="51">
        <v>20.170000000000002</v>
      </c>
      <c r="D10" s="51">
        <v>70.62</v>
      </c>
      <c r="E10" s="51">
        <v>6.36</v>
      </c>
      <c r="F10" s="51">
        <v>4.97</v>
      </c>
      <c r="G10" s="51">
        <v>96.44</v>
      </c>
      <c r="H10" s="51">
        <v>43.94</v>
      </c>
      <c r="I10" s="51">
        <v>7.87</v>
      </c>
      <c r="J10" s="51">
        <v>0.52</v>
      </c>
      <c r="K10" s="51">
        <v>331.18</v>
      </c>
      <c r="L10" s="51">
        <v>19.05</v>
      </c>
      <c r="M10" s="51">
        <v>79.14</v>
      </c>
      <c r="N10" s="51">
        <v>26.2</v>
      </c>
      <c r="O10" s="51">
        <v>0</v>
      </c>
      <c r="P10" s="51">
        <v>1.48</v>
      </c>
      <c r="Q10" s="51">
        <v>9.7100000000000009</v>
      </c>
      <c r="R10" s="43"/>
      <c r="S10" s="43"/>
      <c r="T10" s="43"/>
      <c r="U10" s="43"/>
    </row>
    <row r="11" spans="1:21" s="11" customFormat="1" x14ac:dyDescent="0.25">
      <c r="A11" s="50" t="s">
        <v>158</v>
      </c>
      <c r="B11" s="51">
        <v>61.93</v>
      </c>
      <c r="C11" s="51">
        <v>16.52</v>
      </c>
      <c r="D11" s="51">
        <v>56.92</v>
      </c>
      <c r="E11" s="51">
        <v>5.88</v>
      </c>
      <c r="F11" s="51">
        <v>4.51</v>
      </c>
      <c r="G11" s="51">
        <v>89.87</v>
      </c>
      <c r="H11" s="51">
        <v>40.53</v>
      </c>
      <c r="I11" s="51">
        <v>6.77</v>
      </c>
      <c r="J11" s="51">
        <v>0.5</v>
      </c>
      <c r="K11" s="51">
        <v>268.44</v>
      </c>
      <c r="L11" s="51">
        <v>18.29</v>
      </c>
      <c r="M11" s="51">
        <v>87.09</v>
      </c>
      <c r="N11" s="51">
        <v>26.2</v>
      </c>
      <c r="O11" s="51">
        <v>0</v>
      </c>
      <c r="P11" s="51">
        <v>1.07</v>
      </c>
      <c r="Q11" s="51">
        <v>9.66</v>
      </c>
      <c r="R11" s="43"/>
      <c r="S11" s="43"/>
      <c r="T11" s="43"/>
      <c r="U11" s="43"/>
    </row>
    <row r="12" spans="1:21" s="11" customFormat="1" x14ac:dyDescent="0.25">
      <c r="A12" s="50" t="s">
        <v>159</v>
      </c>
      <c r="B12" s="51">
        <v>52.29</v>
      </c>
      <c r="C12" s="51">
        <v>14.87</v>
      </c>
      <c r="D12" s="51">
        <v>48.33</v>
      </c>
      <c r="E12" s="51">
        <v>5.77</v>
      </c>
      <c r="F12" s="51">
        <v>3.85</v>
      </c>
      <c r="G12" s="51">
        <v>85.42</v>
      </c>
      <c r="H12" s="51">
        <v>34.340000000000003</v>
      </c>
      <c r="I12" s="51">
        <v>7.03</v>
      </c>
      <c r="J12" s="51">
        <v>0.87</v>
      </c>
      <c r="K12" s="51">
        <v>336.93</v>
      </c>
      <c r="L12" s="51">
        <v>17.27</v>
      </c>
      <c r="M12" s="51">
        <v>93.35</v>
      </c>
      <c r="N12" s="51">
        <v>26.1</v>
      </c>
      <c r="O12" s="51">
        <v>0</v>
      </c>
      <c r="P12" s="51">
        <v>1.1599999999999999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160</v>
      </c>
      <c r="B13" s="51">
        <v>44.2</v>
      </c>
      <c r="C13" s="51">
        <v>15.35</v>
      </c>
      <c r="D13" s="51">
        <v>41.87</v>
      </c>
      <c r="E13" s="51">
        <v>5.97</v>
      </c>
      <c r="F13" s="51">
        <v>4.54</v>
      </c>
      <c r="G13" s="51">
        <v>81.88</v>
      </c>
      <c r="H13" s="51">
        <v>37.21</v>
      </c>
      <c r="I13" s="51">
        <v>7.34</v>
      </c>
      <c r="J13" s="51">
        <v>0.44</v>
      </c>
      <c r="K13" s="51">
        <v>247.58</v>
      </c>
      <c r="L13" s="51">
        <v>16.84</v>
      </c>
      <c r="M13" s="51">
        <v>91.53</v>
      </c>
      <c r="N13" s="51">
        <v>26</v>
      </c>
      <c r="O13" s="51">
        <v>0</v>
      </c>
      <c r="P13" s="51">
        <v>1.1000000000000001</v>
      </c>
      <c r="Q13" s="51">
        <v>9.6300000000000008</v>
      </c>
      <c r="R13" s="43"/>
      <c r="S13" s="43"/>
      <c r="T13" s="43"/>
      <c r="U13" s="43"/>
    </row>
    <row r="14" spans="1:21" s="11" customFormat="1" x14ac:dyDescent="0.25">
      <c r="A14" s="50" t="s">
        <v>161</v>
      </c>
      <c r="B14" s="51">
        <v>36.6</v>
      </c>
      <c r="C14" s="51">
        <v>16.54</v>
      </c>
      <c r="D14" s="51">
        <v>36.29</v>
      </c>
      <c r="E14" s="51">
        <v>5.57</v>
      </c>
      <c r="F14" s="51">
        <v>4.08</v>
      </c>
      <c r="G14" s="51">
        <v>78.59</v>
      </c>
      <c r="H14" s="51">
        <v>33.61</v>
      </c>
      <c r="I14" s="51">
        <v>6.97</v>
      </c>
      <c r="J14" s="51">
        <v>0.53</v>
      </c>
      <c r="K14" s="51">
        <v>75.760000000000005</v>
      </c>
      <c r="L14" s="51">
        <v>16.71</v>
      </c>
      <c r="M14" s="51">
        <v>91.53</v>
      </c>
      <c r="N14" s="51">
        <v>26.2</v>
      </c>
      <c r="O14" s="51">
        <v>0</v>
      </c>
      <c r="P14" s="51">
        <v>0.97</v>
      </c>
      <c r="Q14" s="51">
        <v>9.65</v>
      </c>
      <c r="R14" s="43"/>
      <c r="S14" s="43"/>
      <c r="T14" s="43"/>
      <c r="U14" s="43"/>
    </row>
    <row r="15" spans="1:21" s="11" customFormat="1" x14ac:dyDescent="0.25">
      <c r="A15" s="50" t="s">
        <v>162</v>
      </c>
      <c r="B15" s="51">
        <v>30.53</v>
      </c>
      <c r="C15" s="51">
        <v>14.98</v>
      </c>
      <c r="D15" s="51">
        <v>30.9</v>
      </c>
      <c r="E15" s="51">
        <v>5.35</v>
      </c>
      <c r="F15" s="51">
        <v>4.0999999999999996</v>
      </c>
      <c r="G15" s="51">
        <v>74.62</v>
      </c>
      <c r="H15" s="51">
        <v>32.979999999999997</v>
      </c>
      <c r="I15" s="51">
        <v>5.66</v>
      </c>
      <c r="J15" s="51">
        <v>0.55000000000000004</v>
      </c>
      <c r="K15" s="51">
        <v>328.41</v>
      </c>
      <c r="L15" s="51">
        <v>16.940000000000001</v>
      </c>
      <c r="M15" s="51">
        <v>94.29</v>
      </c>
      <c r="N15" s="51">
        <v>68.7</v>
      </c>
      <c r="O15" s="51">
        <v>0</v>
      </c>
      <c r="P15" s="51">
        <v>0.78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163</v>
      </c>
      <c r="B16" s="51">
        <v>28.8</v>
      </c>
      <c r="C16" s="51">
        <v>16.66</v>
      </c>
      <c r="D16" s="51">
        <v>29.59</v>
      </c>
      <c r="E16" s="51">
        <v>5.81</v>
      </c>
      <c r="F16" s="51">
        <v>3.98</v>
      </c>
      <c r="G16" s="51">
        <v>74.53</v>
      </c>
      <c r="H16" s="51">
        <v>23.95</v>
      </c>
      <c r="I16" s="51">
        <v>5.23</v>
      </c>
      <c r="J16" s="51">
        <v>1.07</v>
      </c>
      <c r="K16" s="51">
        <v>358.13</v>
      </c>
      <c r="L16" s="51">
        <v>21.55</v>
      </c>
      <c r="M16" s="51">
        <v>90.69</v>
      </c>
      <c r="N16" s="51">
        <v>255.2</v>
      </c>
      <c r="O16" s="51">
        <v>0</v>
      </c>
      <c r="P16" s="51">
        <v>0.91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164</v>
      </c>
      <c r="B17" s="51">
        <v>27.17</v>
      </c>
      <c r="C17" s="51">
        <v>18.32</v>
      </c>
      <c r="D17" s="51">
        <v>29.43</v>
      </c>
      <c r="E17" s="51">
        <v>5.64</v>
      </c>
      <c r="F17" s="51">
        <v>4.62</v>
      </c>
      <c r="G17" s="51">
        <v>72.86</v>
      </c>
      <c r="H17" s="51">
        <v>34.01</v>
      </c>
      <c r="I17" s="51">
        <v>6.55</v>
      </c>
      <c r="J17" s="51">
        <v>1.44</v>
      </c>
      <c r="K17" s="51">
        <v>117.38</v>
      </c>
      <c r="L17" s="51">
        <v>22.01</v>
      </c>
      <c r="M17" s="51">
        <v>74.13</v>
      </c>
      <c r="N17" s="51">
        <v>440.8</v>
      </c>
      <c r="O17" s="51">
        <v>0</v>
      </c>
      <c r="P17" s="51">
        <v>0.9</v>
      </c>
      <c r="Q17" s="51">
        <v>9.6300000000000008</v>
      </c>
      <c r="R17" s="43"/>
      <c r="S17" s="43"/>
      <c r="T17" s="43"/>
      <c r="U17" s="43"/>
    </row>
    <row r="18" spans="1:21" s="11" customFormat="1" x14ac:dyDescent="0.25">
      <c r="A18" s="50" t="s">
        <v>165</v>
      </c>
      <c r="B18" s="51">
        <v>20.9</v>
      </c>
      <c r="C18" s="51">
        <v>19.62</v>
      </c>
      <c r="D18" s="51">
        <v>25.38</v>
      </c>
      <c r="E18" s="51">
        <v>5.35</v>
      </c>
      <c r="F18" s="51">
        <v>4.26</v>
      </c>
      <c r="G18" s="51">
        <v>69.05</v>
      </c>
      <c r="H18" s="51">
        <v>25.37</v>
      </c>
      <c r="I18" s="51">
        <v>7.22</v>
      </c>
      <c r="J18" s="51">
        <v>1.67</v>
      </c>
      <c r="K18" s="51">
        <v>120.56</v>
      </c>
      <c r="L18" s="51">
        <v>23.55</v>
      </c>
      <c r="M18" s="51">
        <v>66.319999999999993</v>
      </c>
      <c r="N18" s="51">
        <v>584.70000000000005</v>
      </c>
      <c r="O18" s="51">
        <v>0</v>
      </c>
      <c r="P18" s="51">
        <v>0.84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166</v>
      </c>
      <c r="B19" s="51">
        <v>11.96</v>
      </c>
      <c r="C19" s="51">
        <v>18.440000000000001</v>
      </c>
      <c r="D19" s="51">
        <v>17.850000000000001</v>
      </c>
      <c r="E19" s="51">
        <v>5</v>
      </c>
      <c r="F19" s="51">
        <v>4.62</v>
      </c>
      <c r="G19" s="51">
        <v>67.930000000000007</v>
      </c>
      <c r="H19" s="51">
        <v>38.11</v>
      </c>
      <c r="I19" s="51">
        <v>7.51</v>
      </c>
      <c r="J19" s="51">
        <v>1.47</v>
      </c>
      <c r="K19" s="51">
        <v>335.68</v>
      </c>
      <c r="L19" s="51">
        <v>29.07</v>
      </c>
      <c r="M19" s="51">
        <v>57.42</v>
      </c>
      <c r="N19" s="51">
        <v>699.5</v>
      </c>
      <c r="O19" s="51">
        <v>0</v>
      </c>
      <c r="P19" s="51">
        <v>0.73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167</v>
      </c>
      <c r="B20" s="51">
        <v>7.54</v>
      </c>
      <c r="C20" s="51">
        <v>19.45</v>
      </c>
      <c r="D20" s="51">
        <v>14.21</v>
      </c>
      <c r="E20" s="51">
        <v>5.01</v>
      </c>
      <c r="F20" s="51">
        <v>4.07</v>
      </c>
      <c r="G20" s="51">
        <v>66.790000000000006</v>
      </c>
      <c r="H20" s="51">
        <v>29.28</v>
      </c>
      <c r="I20" s="51">
        <v>7.19</v>
      </c>
      <c r="J20" s="51">
        <v>1.38</v>
      </c>
      <c r="K20" s="51">
        <v>332.56</v>
      </c>
      <c r="L20" s="51">
        <v>31.13</v>
      </c>
      <c r="M20" s="51">
        <v>44.66</v>
      </c>
      <c r="N20" s="51">
        <v>716.7</v>
      </c>
      <c r="O20" s="51">
        <v>0</v>
      </c>
      <c r="P20" s="51">
        <v>0.71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168</v>
      </c>
      <c r="B21" s="51">
        <v>4.9800000000000004</v>
      </c>
      <c r="C21" s="51">
        <v>19.43</v>
      </c>
      <c r="D21" s="51">
        <v>12.76</v>
      </c>
      <c r="E21" s="51">
        <v>4.71</v>
      </c>
      <c r="F21" s="51">
        <v>5.58</v>
      </c>
      <c r="G21" s="51">
        <v>66.59</v>
      </c>
      <c r="H21" s="51">
        <v>27.21</v>
      </c>
      <c r="I21" s="51">
        <v>7.63</v>
      </c>
      <c r="J21" s="51">
        <v>1.86</v>
      </c>
      <c r="K21" s="51">
        <v>117.52</v>
      </c>
      <c r="L21" s="51">
        <v>27.82</v>
      </c>
      <c r="M21" s="51">
        <v>45.01</v>
      </c>
      <c r="N21" s="51">
        <v>672.1</v>
      </c>
      <c r="O21" s="51">
        <v>0</v>
      </c>
      <c r="P21" s="51">
        <v>0.69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169</v>
      </c>
      <c r="B22" s="51">
        <v>2.89</v>
      </c>
      <c r="C22" s="51">
        <v>20.36</v>
      </c>
      <c r="D22" s="51">
        <v>11.51</v>
      </c>
      <c r="E22" s="51">
        <v>4.9800000000000004</v>
      </c>
      <c r="F22" s="51">
        <v>5.84</v>
      </c>
      <c r="G22" s="51">
        <v>60.1</v>
      </c>
      <c r="H22" s="51">
        <v>17.440000000000001</v>
      </c>
      <c r="I22" s="51">
        <v>7.05</v>
      </c>
      <c r="J22" s="51">
        <v>1.28</v>
      </c>
      <c r="K22" s="51">
        <v>333.85</v>
      </c>
      <c r="L22" s="51">
        <v>29.02</v>
      </c>
      <c r="M22" s="51">
        <v>42.14</v>
      </c>
      <c r="N22" s="51">
        <v>480.2</v>
      </c>
      <c r="O22" s="51">
        <v>0</v>
      </c>
      <c r="P22" s="51">
        <v>0.62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170</v>
      </c>
      <c r="B23" s="51">
        <v>3.16</v>
      </c>
      <c r="C23" s="51">
        <v>19.73</v>
      </c>
      <c r="D23" s="51">
        <v>11.47</v>
      </c>
      <c r="E23" s="51">
        <v>4.7300000000000004</v>
      </c>
      <c r="F23" s="51">
        <v>7.12</v>
      </c>
      <c r="G23" s="51">
        <v>62.45</v>
      </c>
      <c r="H23" s="51">
        <v>22.29</v>
      </c>
      <c r="I23" s="51">
        <v>6.26</v>
      </c>
      <c r="J23" s="51">
        <v>1.42</v>
      </c>
      <c r="K23" s="51">
        <v>340.03</v>
      </c>
      <c r="L23" s="51">
        <v>27.77</v>
      </c>
      <c r="M23" s="51">
        <v>42.95</v>
      </c>
      <c r="N23" s="51">
        <v>160.69999999999999</v>
      </c>
      <c r="O23" s="51">
        <v>0</v>
      </c>
      <c r="P23" s="51">
        <v>0.68</v>
      </c>
      <c r="Q23" s="51">
        <v>9.6199999999999992</v>
      </c>
      <c r="R23" s="43"/>
      <c r="S23" s="43"/>
      <c r="T23" s="43"/>
      <c r="U23" s="43"/>
    </row>
    <row r="24" spans="1:21" s="11" customFormat="1" x14ac:dyDescent="0.25">
      <c r="A24" s="50" t="s">
        <v>171</v>
      </c>
      <c r="B24" s="51">
        <v>3.51</v>
      </c>
      <c r="C24" s="51">
        <v>20.16</v>
      </c>
      <c r="D24" s="51">
        <v>11.97</v>
      </c>
      <c r="E24" s="51">
        <v>6.29</v>
      </c>
      <c r="F24" s="51">
        <v>7.05</v>
      </c>
      <c r="G24" s="51">
        <v>64.900000000000006</v>
      </c>
      <c r="H24" s="51">
        <v>24.91</v>
      </c>
      <c r="I24" s="51">
        <v>3.28</v>
      </c>
      <c r="J24" s="51">
        <v>0.74</v>
      </c>
      <c r="K24" s="51">
        <v>358.41</v>
      </c>
      <c r="L24" s="51">
        <v>26.19</v>
      </c>
      <c r="M24" s="51">
        <v>45.24</v>
      </c>
      <c r="N24" s="51">
        <v>122.3</v>
      </c>
      <c r="O24" s="51">
        <v>0</v>
      </c>
      <c r="P24" s="51">
        <v>0.7</v>
      </c>
      <c r="Q24" s="51">
        <v>9.6300000000000008</v>
      </c>
      <c r="R24" s="43"/>
      <c r="S24" s="43"/>
      <c r="T24" s="43"/>
      <c r="U24" s="43"/>
    </row>
    <row r="25" spans="1:21" s="11" customFormat="1" x14ac:dyDescent="0.25">
      <c r="A25" s="50" t="s">
        <v>172</v>
      </c>
      <c r="B25" s="51">
        <v>3.35</v>
      </c>
      <c r="C25" s="51">
        <v>21.93</v>
      </c>
      <c r="D25" s="51">
        <v>12.74</v>
      </c>
      <c r="E25" s="51">
        <v>6.94</v>
      </c>
      <c r="F25" s="51">
        <v>5.63</v>
      </c>
      <c r="G25" s="51">
        <v>61.19</v>
      </c>
      <c r="H25" s="51">
        <v>27</v>
      </c>
      <c r="I25" s="51">
        <v>4.3899999999999997</v>
      </c>
      <c r="J25" s="51">
        <v>1.1100000000000001</v>
      </c>
      <c r="K25" s="51">
        <v>343.91</v>
      </c>
      <c r="L25" s="51">
        <v>25.15</v>
      </c>
      <c r="M25" s="51">
        <v>49.3</v>
      </c>
      <c r="N25" s="51">
        <v>74.900000000000006</v>
      </c>
      <c r="O25" s="51">
        <v>0</v>
      </c>
      <c r="P25" s="51">
        <v>0.68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173</v>
      </c>
      <c r="B26" s="51">
        <v>3.79</v>
      </c>
      <c r="C26" s="51">
        <v>23.48</v>
      </c>
      <c r="D26" s="51">
        <v>13.93</v>
      </c>
      <c r="E26" s="51">
        <v>6.76</v>
      </c>
      <c r="F26" s="51">
        <v>5.13</v>
      </c>
      <c r="G26" s="51">
        <v>63.72</v>
      </c>
      <c r="H26" s="51">
        <v>20.95</v>
      </c>
      <c r="I26" s="51">
        <v>4.2300000000000004</v>
      </c>
      <c r="J26" s="51">
        <v>0.44</v>
      </c>
      <c r="K26" s="51">
        <v>102.12</v>
      </c>
      <c r="L26" s="51">
        <v>23.74</v>
      </c>
      <c r="M26" s="51">
        <v>53.36</v>
      </c>
      <c r="N26" s="51">
        <v>34.299999999999997</v>
      </c>
      <c r="O26" s="51">
        <v>0</v>
      </c>
      <c r="P26" s="51">
        <v>0.74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174</v>
      </c>
      <c r="B27" s="51">
        <v>5.29</v>
      </c>
      <c r="C27" s="51">
        <v>22.87</v>
      </c>
      <c r="D27" s="51">
        <v>14.34</v>
      </c>
      <c r="E27" s="51">
        <v>6.37</v>
      </c>
      <c r="F27" s="51">
        <v>5.57</v>
      </c>
      <c r="G27" s="51">
        <v>61.33</v>
      </c>
      <c r="H27" s="51">
        <v>29.14</v>
      </c>
      <c r="I27" s="51">
        <v>4.53</v>
      </c>
      <c r="J27" s="51">
        <v>0.57999999999999996</v>
      </c>
      <c r="K27" s="51">
        <v>357.63</v>
      </c>
      <c r="L27" s="51">
        <v>22.66</v>
      </c>
      <c r="M27" s="51">
        <v>63.9</v>
      </c>
      <c r="N27" s="51">
        <v>26.3</v>
      </c>
      <c r="O27" s="51">
        <v>0</v>
      </c>
      <c r="P27" s="51">
        <v>1.28</v>
      </c>
      <c r="Q27" s="51">
        <v>9.6199999999999992</v>
      </c>
      <c r="R27" s="43"/>
      <c r="S27" s="43"/>
      <c r="T27" s="43"/>
      <c r="U27" s="43"/>
    </row>
    <row r="28" spans="1:21" s="11" customFormat="1" x14ac:dyDescent="0.25">
      <c r="A28" s="50" t="s">
        <v>175</v>
      </c>
      <c r="B28" s="51">
        <v>12</v>
      </c>
      <c r="C28" s="51">
        <v>22.32</v>
      </c>
      <c r="D28" s="51">
        <v>19.73</v>
      </c>
      <c r="E28" s="51">
        <v>6.54</v>
      </c>
      <c r="F28" s="51">
        <v>5.16</v>
      </c>
      <c r="G28" s="51">
        <v>67.91</v>
      </c>
      <c r="H28" s="51">
        <v>33.11</v>
      </c>
      <c r="I28" s="51">
        <v>6.58</v>
      </c>
      <c r="J28" s="51">
        <v>0.75</v>
      </c>
      <c r="K28" s="51">
        <v>352.95</v>
      </c>
      <c r="L28" s="51">
        <v>21.48</v>
      </c>
      <c r="M28" s="51">
        <v>69.78</v>
      </c>
      <c r="N28" s="51">
        <v>26.2</v>
      </c>
      <c r="O28" s="51">
        <v>0</v>
      </c>
      <c r="P28" s="51">
        <v>1.64</v>
      </c>
      <c r="Q28" s="51">
        <v>9.6199999999999992</v>
      </c>
      <c r="R28" s="43"/>
      <c r="S28" s="43"/>
      <c r="T28" s="43"/>
      <c r="U28" s="43"/>
    </row>
    <row r="29" spans="1:21" s="11" customFormat="1" x14ac:dyDescent="0.25">
      <c r="A29" s="50" t="s">
        <v>176</v>
      </c>
      <c r="B29" s="51">
        <v>12.06</v>
      </c>
      <c r="C29" s="51">
        <v>22.08</v>
      </c>
      <c r="D29" s="51">
        <v>19.48</v>
      </c>
      <c r="E29" s="51">
        <v>5.78</v>
      </c>
      <c r="F29" s="51">
        <v>4.67</v>
      </c>
      <c r="G29" s="51">
        <v>73.69</v>
      </c>
      <c r="H29" s="51">
        <v>32.31</v>
      </c>
      <c r="I29" s="51">
        <v>5.78</v>
      </c>
      <c r="J29" s="51">
        <v>0.38</v>
      </c>
      <c r="K29" s="51">
        <v>215.89</v>
      </c>
      <c r="L29" s="51">
        <v>21.1</v>
      </c>
      <c r="M29" s="51">
        <v>68.48</v>
      </c>
      <c r="N29" s="51">
        <v>25.8</v>
      </c>
      <c r="O29" s="51">
        <v>0</v>
      </c>
      <c r="P29" s="51">
        <v>1.07</v>
      </c>
      <c r="Q29" s="51">
        <v>9.6199999999999992</v>
      </c>
      <c r="R29" s="43"/>
      <c r="S29" s="43"/>
      <c r="T29" s="43"/>
      <c r="U29" s="43"/>
    </row>
    <row r="30" spans="1:21" s="11" customFormat="1" x14ac:dyDescent="0.25">
      <c r="A30" s="50" t="s">
        <v>177</v>
      </c>
      <c r="B30" s="51">
        <v>9.49</v>
      </c>
      <c r="C30" s="51">
        <v>22.16</v>
      </c>
      <c r="D30" s="51">
        <v>17.809999999999999</v>
      </c>
      <c r="E30" s="51">
        <v>5.47</v>
      </c>
      <c r="F30" s="51">
        <v>5.07</v>
      </c>
      <c r="G30" s="51">
        <v>75.47</v>
      </c>
      <c r="H30" s="51">
        <v>27.75</v>
      </c>
      <c r="I30" s="51">
        <v>5.74</v>
      </c>
      <c r="J30" s="51">
        <v>1.03</v>
      </c>
      <c r="K30" s="51">
        <v>120.55</v>
      </c>
      <c r="L30" s="51">
        <v>20.96</v>
      </c>
      <c r="M30" s="51">
        <v>69.739999999999995</v>
      </c>
      <c r="N30" s="51">
        <v>26</v>
      </c>
      <c r="O30" s="51">
        <v>0</v>
      </c>
      <c r="P30" s="51">
        <v>0.92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178</v>
      </c>
      <c r="B31" s="51">
        <v>5.85</v>
      </c>
      <c r="C31" s="51">
        <v>20.99</v>
      </c>
      <c r="D31" s="51">
        <v>14.28</v>
      </c>
      <c r="E31" s="51">
        <v>5.72</v>
      </c>
      <c r="F31" s="51">
        <v>4.67</v>
      </c>
      <c r="G31" s="51">
        <v>73.5</v>
      </c>
      <c r="H31" s="51">
        <v>28.69</v>
      </c>
      <c r="I31" s="51">
        <v>5.68</v>
      </c>
      <c r="J31" s="51">
        <v>1.97</v>
      </c>
      <c r="K31" s="51">
        <v>120.09</v>
      </c>
      <c r="L31" s="51">
        <v>20.420000000000002</v>
      </c>
      <c r="M31" s="51">
        <v>71.2</v>
      </c>
      <c r="N31" s="51">
        <v>25.9</v>
      </c>
      <c r="O31" s="51">
        <v>0</v>
      </c>
      <c r="P31" s="51">
        <v>0.84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179</v>
      </c>
      <c r="B32" s="51">
        <v>4.29</v>
      </c>
      <c r="C32" s="51">
        <v>17.47</v>
      </c>
      <c r="D32" s="51">
        <v>11.19</v>
      </c>
      <c r="E32" s="51">
        <v>6.56</v>
      </c>
      <c r="F32" s="51">
        <v>4.46</v>
      </c>
      <c r="G32" s="51">
        <v>71.540000000000006</v>
      </c>
      <c r="H32" s="51">
        <v>26.99</v>
      </c>
      <c r="I32" s="51">
        <v>6.28</v>
      </c>
      <c r="J32" s="51">
        <v>1.83</v>
      </c>
      <c r="K32" s="51">
        <v>121.68</v>
      </c>
      <c r="L32" s="51">
        <v>20.149999999999999</v>
      </c>
      <c r="M32" s="51">
        <v>72.88</v>
      </c>
      <c r="N32" s="51">
        <v>26</v>
      </c>
      <c r="O32" s="51">
        <v>0</v>
      </c>
      <c r="P32" s="51">
        <v>0.75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2.89</v>
      </c>
      <c r="C34" s="28">
        <f t="shared" si="0"/>
        <v>14.87</v>
      </c>
      <c r="D34" s="28">
        <f t="shared" si="0"/>
        <v>11.19</v>
      </c>
      <c r="E34" s="28">
        <f t="shared" si="0"/>
        <v>4.71</v>
      </c>
      <c r="F34" s="28">
        <f t="shared" si="0"/>
        <v>3.85</v>
      </c>
      <c r="G34" s="28">
        <f t="shared" si="0"/>
        <v>60.1</v>
      </c>
      <c r="H34" s="28">
        <f t="shared" si="0"/>
        <v>17.440000000000001</v>
      </c>
      <c r="I34" s="28">
        <f t="shared" si="0"/>
        <v>3.28</v>
      </c>
      <c r="J34" s="28">
        <f t="shared" si="0"/>
        <v>0.37</v>
      </c>
      <c r="K34" s="28">
        <f t="shared" si="0"/>
        <v>75.760000000000005</v>
      </c>
      <c r="L34" s="28">
        <f t="shared" si="0"/>
        <v>16.71</v>
      </c>
      <c r="M34" s="28">
        <f t="shared" si="0"/>
        <v>42.14</v>
      </c>
      <c r="N34" s="28">
        <f t="shared" si="0"/>
        <v>25.8</v>
      </c>
      <c r="O34" s="28">
        <f t="shared" si="0"/>
        <v>0</v>
      </c>
      <c r="P34" s="28">
        <f t="shared" si="0"/>
        <v>0.62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93.79</v>
      </c>
      <c r="C35" s="29">
        <f t="shared" si="1"/>
        <v>23.48</v>
      </c>
      <c r="D35" s="29">
        <f t="shared" si="1"/>
        <v>84.73</v>
      </c>
      <c r="E35" s="29">
        <f t="shared" si="1"/>
        <v>7.23</v>
      </c>
      <c r="F35" s="29">
        <f t="shared" si="1"/>
        <v>7.12</v>
      </c>
      <c r="G35" s="29">
        <f t="shared" si="1"/>
        <v>117.47</v>
      </c>
      <c r="H35" s="29">
        <f t="shared" si="1"/>
        <v>53.84</v>
      </c>
      <c r="I35" s="29">
        <f t="shared" si="1"/>
        <v>9.07</v>
      </c>
      <c r="J35" s="29">
        <f t="shared" si="1"/>
        <v>1.97</v>
      </c>
      <c r="K35" s="29">
        <f t="shared" si="1"/>
        <v>358.41</v>
      </c>
      <c r="L35" s="29">
        <f t="shared" si="1"/>
        <v>31.13</v>
      </c>
      <c r="M35" s="29">
        <f t="shared" si="1"/>
        <v>94.29</v>
      </c>
      <c r="N35" s="29">
        <f t="shared" si="1"/>
        <v>716.7</v>
      </c>
      <c r="O35" s="29">
        <f t="shared" si="1"/>
        <v>0</v>
      </c>
      <c r="P35" s="29">
        <f t="shared" si="1"/>
        <v>1.7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23.458749999999998</v>
      </c>
      <c r="C36" s="28">
        <f t="shared" si="2"/>
        <v>19.370833333333337</v>
      </c>
      <c r="D36" s="28">
        <f t="shared" si="2"/>
        <v>27.388750000000002</v>
      </c>
      <c r="E36" s="28">
        <f t="shared" si="2"/>
        <v>5.8245833333333357</v>
      </c>
      <c r="F36" s="28">
        <f t="shared" si="2"/>
        <v>4.9108333333333327</v>
      </c>
      <c r="G36" s="28">
        <f t="shared" si="2"/>
        <v>74.076666666666668</v>
      </c>
      <c r="H36" s="28">
        <f t="shared" si="2"/>
        <v>31.04000000000001</v>
      </c>
      <c r="I36" s="28">
        <f t="shared" si="2"/>
        <v>6.326666666666668</v>
      </c>
      <c r="J36" s="28">
        <f t="shared" si="2"/>
        <v>1.0083333333333331</v>
      </c>
      <c r="K36" s="28">
        <f t="shared" si="2"/>
        <v>253.64750000000001</v>
      </c>
      <c r="L36" s="28">
        <f t="shared" si="2"/>
        <v>22.425416666666663</v>
      </c>
      <c r="M36" s="28">
        <f t="shared" si="2"/>
        <v>68.188750000000013</v>
      </c>
      <c r="N36" s="28">
        <f t="shared" si="2"/>
        <v>192.62916666666663</v>
      </c>
      <c r="O36" s="28">
        <f t="shared" si="2"/>
        <v>0</v>
      </c>
      <c r="P36" s="28">
        <f t="shared" si="2"/>
        <v>0.95666666666666667</v>
      </c>
      <c r="Q36" s="28">
        <f t="shared" si="2"/>
        <v>9.6349999999999998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25.540338139551107</v>
      </c>
      <c r="C37" s="28">
        <f t="shared" ref="C37:Q37" si="3">STDEV(C9:C32)</f>
        <v>2.5706485675741026</v>
      </c>
      <c r="D37" s="28">
        <f t="shared" si="3"/>
        <v>20.01851541046765</v>
      </c>
      <c r="E37" s="28">
        <f t="shared" si="3"/>
        <v>0.69658782752015402</v>
      </c>
      <c r="F37" s="28">
        <f t="shared" si="3"/>
        <v>0.87167962137407307</v>
      </c>
      <c r="G37" s="28">
        <f t="shared" si="3"/>
        <v>13.045182907933823</v>
      </c>
      <c r="H37" s="28">
        <f t="shared" si="3"/>
        <v>7.95124491209853</v>
      </c>
      <c r="I37" s="28">
        <f t="shared" si="3"/>
        <v>1.3301051500332255</v>
      </c>
      <c r="J37" s="28">
        <f t="shared" si="3"/>
        <v>0.52269923737616419</v>
      </c>
      <c r="K37" s="28">
        <f t="shared" si="3"/>
        <v>108.24836993450879</v>
      </c>
      <c r="L37" s="28">
        <f t="shared" si="3"/>
        <v>4.2692031423925751</v>
      </c>
      <c r="M37" s="28">
        <f t="shared" si="3"/>
        <v>17.599627790654072</v>
      </c>
      <c r="N37" s="28">
        <f t="shared" si="3"/>
        <v>251.64534650310281</v>
      </c>
      <c r="O37" s="28">
        <f t="shared" si="3"/>
        <v>0</v>
      </c>
      <c r="P37" s="28">
        <f t="shared" si="3"/>
        <v>0.30617793443720226</v>
      </c>
      <c r="Q37" s="28">
        <f t="shared" si="3"/>
        <v>1.8650096164806441E-2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180</v>
      </c>
      <c r="B9" s="51">
        <v>3.57</v>
      </c>
      <c r="C9" s="51">
        <v>15.48</v>
      </c>
      <c r="D9" s="51">
        <v>9.58</v>
      </c>
      <c r="E9" s="51">
        <v>6.13</v>
      </c>
      <c r="F9" s="51">
        <v>4.26</v>
      </c>
      <c r="G9" s="51">
        <v>64.8</v>
      </c>
      <c r="H9" s="51">
        <v>24.03</v>
      </c>
      <c r="I9" s="51">
        <v>6.94</v>
      </c>
      <c r="J9" s="51">
        <v>1.32</v>
      </c>
      <c r="K9" s="51">
        <v>110.97</v>
      </c>
      <c r="L9" s="51">
        <v>19.75</v>
      </c>
      <c r="M9" s="51">
        <v>76.61</v>
      </c>
      <c r="N9" s="51">
        <v>26.1</v>
      </c>
      <c r="O9" s="51">
        <v>0</v>
      </c>
      <c r="P9" s="51">
        <v>0.69</v>
      </c>
      <c r="Q9" s="51">
        <v>9.6199999999999992</v>
      </c>
      <c r="R9" s="43"/>
      <c r="S9" s="43"/>
      <c r="T9" s="43"/>
      <c r="U9" s="43"/>
    </row>
    <row r="10" spans="1:21" s="11" customFormat="1" x14ac:dyDescent="0.25">
      <c r="A10" s="50" t="s">
        <v>181</v>
      </c>
      <c r="B10" s="51">
        <v>2.88</v>
      </c>
      <c r="C10" s="51">
        <v>14.47</v>
      </c>
      <c r="D10" s="51">
        <v>8.49</v>
      </c>
      <c r="E10" s="51">
        <v>5.84</v>
      </c>
      <c r="F10" s="51">
        <v>4.5</v>
      </c>
      <c r="G10" s="51">
        <v>61.62</v>
      </c>
      <c r="H10" s="51">
        <v>26.97</v>
      </c>
      <c r="I10" s="51">
        <v>7.23</v>
      </c>
      <c r="J10" s="51">
        <v>0.53</v>
      </c>
      <c r="K10" s="51">
        <v>202.3</v>
      </c>
      <c r="L10" s="51">
        <v>19.13</v>
      </c>
      <c r="M10" s="51">
        <v>77.5</v>
      </c>
      <c r="N10" s="51">
        <v>26</v>
      </c>
      <c r="O10" s="51">
        <v>0</v>
      </c>
      <c r="P10" s="51">
        <v>0.64</v>
      </c>
      <c r="Q10" s="51">
        <v>9.6300000000000008</v>
      </c>
      <c r="R10" s="43"/>
      <c r="S10" s="43"/>
      <c r="T10" s="43"/>
      <c r="U10" s="43"/>
    </row>
    <row r="11" spans="1:21" s="11" customFormat="1" x14ac:dyDescent="0.25">
      <c r="A11" s="50" t="s">
        <v>182</v>
      </c>
      <c r="B11" s="51">
        <v>2.52</v>
      </c>
      <c r="C11" s="51">
        <v>14.3</v>
      </c>
      <c r="D11" s="51">
        <v>8.0399999999999991</v>
      </c>
      <c r="E11" s="51">
        <v>5.59</v>
      </c>
      <c r="F11" s="51">
        <v>4.63</v>
      </c>
      <c r="G11" s="51">
        <v>58.69</v>
      </c>
      <c r="H11" s="51">
        <v>26.53</v>
      </c>
      <c r="I11" s="51">
        <v>6.4</v>
      </c>
      <c r="J11" s="51">
        <v>0.6</v>
      </c>
      <c r="K11" s="51">
        <v>311.72000000000003</v>
      </c>
      <c r="L11" s="51">
        <v>18.559999999999999</v>
      </c>
      <c r="M11" s="51">
        <v>89.85</v>
      </c>
      <c r="N11" s="51">
        <v>26.2</v>
      </c>
      <c r="O11" s="51">
        <v>0</v>
      </c>
      <c r="P11" s="51">
        <v>0.59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183</v>
      </c>
      <c r="B12" s="51">
        <v>3.48</v>
      </c>
      <c r="C12" s="51">
        <v>13.35</v>
      </c>
      <c r="D12" s="51">
        <v>8.35</v>
      </c>
      <c r="E12" s="51">
        <v>5.48</v>
      </c>
      <c r="F12" s="51">
        <v>4.41</v>
      </c>
      <c r="G12" s="51">
        <v>59.47</v>
      </c>
      <c r="H12" s="51">
        <v>23.83</v>
      </c>
      <c r="I12" s="51">
        <v>3.69</v>
      </c>
      <c r="J12" s="51">
        <v>0.57999999999999996</v>
      </c>
      <c r="K12" s="51">
        <v>315.38</v>
      </c>
      <c r="L12" s="51">
        <v>17.11</v>
      </c>
      <c r="M12" s="51">
        <v>96.32</v>
      </c>
      <c r="N12" s="51">
        <v>26.2</v>
      </c>
      <c r="O12" s="51">
        <v>0</v>
      </c>
      <c r="P12" s="51">
        <v>0.51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184</v>
      </c>
      <c r="B13" s="51">
        <v>5.25</v>
      </c>
      <c r="C13" s="51">
        <v>14.53</v>
      </c>
      <c r="D13" s="51">
        <v>10.42</v>
      </c>
      <c r="E13" s="51">
        <v>5.0199999999999996</v>
      </c>
      <c r="F13" s="51">
        <v>3.76</v>
      </c>
      <c r="G13" s="51">
        <v>51.95</v>
      </c>
      <c r="H13" s="51">
        <v>27.48</v>
      </c>
      <c r="I13" s="51">
        <v>3.96</v>
      </c>
      <c r="J13" s="51">
        <v>0.67</v>
      </c>
      <c r="K13" s="51">
        <v>333.83</v>
      </c>
      <c r="L13" s="51">
        <v>16.3</v>
      </c>
      <c r="M13" s="51">
        <v>100.65</v>
      </c>
      <c r="N13" s="51">
        <v>26.1</v>
      </c>
      <c r="O13" s="51">
        <v>0</v>
      </c>
      <c r="P13" s="51">
        <v>0.52</v>
      </c>
      <c r="Q13" s="51">
        <v>9.6199999999999992</v>
      </c>
      <c r="R13" s="43"/>
      <c r="S13" s="43"/>
      <c r="T13" s="43"/>
      <c r="U13" s="43"/>
    </row>
    <row r="14" spans="1:21" s="11" customFormat="1" x14ac:dyDescent="0.25">
      <c r="A14" s="50" t="s">
        <v>185</v>
      </c>
      <c r="B14" s="51">
        <v>10.029999999999999</v>
      </c>
      <c r="C14" s="51">
        <v>16.97</v>
      </c>
      <c r="D14" s="51">
        <v>15.54</v>
      </c>
      <c r="E14" s="51">
        <v>5.9</v>
      </c>
      <c r="F14" s="51">
        <v>4.25</v>
      </c>
      <c r="G14" s="51">
        <v>62.42</v>
      </c>
      <c r="H14" s="51">
        <v>32.76</v>
      </c>
      <c r="I14" s="51">
        <v>4.68</v>
      </c>
      <c r="J14" s="51">
        <v>1.06</v>
      </c>
      <c r="K14" s="51">
        <v>344.67</v>
      </c>
      <c r="L14" s="51">
        <v>16.32</v>
      </c>
      <c r="M14" s="51">
        <v>101.86</v>
      </c>
      <c r="N14" s="51">
        <v>26</v>
      </c>
      <c r="O14" s="51">
        <v>0</v>
      </c>
      <c r="P14" s="51">
        <v>0.61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186</v>
      </c>
      <c r="B15" s="51">
        <v>14.61</v>
      </c>
      <c r="C15" s="51">
        <v>20.37</v>
      </c>
      <c r="D15" s="51">
        <v>20.98</v>
      </c>
      <c r="E15" s="51">
        <v>6.95</v>
      </c>
      <c r="F15" s="51">
        <v>4.28</v>
      </c>
      <c r="G15" s="51">
        <v>93.11</v>
      </c>
      <c r="H15" s="51">
        <v>49.96</v>
      </c>
      <c r="I15" s="51">
        <v>4.53</v>
      </c>
      <c r="J15" s="51">
        <v>1.77</v>
      </c>
      <c r="K15" s="51">
        <v>350.98</v>
      </c>
      <c r="L15" s="51">
        <v>17.190000000000001</v>
      </c>
      <c r="M15" s="51">
        <v>95.6</v>
      </c>
      <c r="N15" s="51">
        <v>66.7</v>
      </c>
      <c r="O15" s="51">
        <v>0</v>
      </c>
      <c r="P15" s="51">
        <v>0.73</v>
      </c>
      <c r="Q15" s="51">
        <v>9.64</v>
      </c>
      <c r="R15" s="43"/>
      <c r="S15" s="43"/>
      <c r="T15" s="43"/>
      <c r="U15" s="43"/>
    </row>
    <row r="16" spans="1:21" s="11" customFormat="1" x14ac:dyDescent="0.25">
      <c r="A16" s="50" t="s">
        <v>187</v>
      </c>
      <c r="B16" s="51">
        <v>18.57</v>
      </c>
      <c r="C16" s="51">
        <v>19.52</v>
      </c>
      <c r="D16" s="51">
        <v>23.7</v>
      </c>
      <c r="E16" s="51">
        <v>7.95</v>
      </c>
      <c r="F16" s="51">
        <v>4.26</v>
      </c>
      <c r="G16" s="51">
        <v>117.17</v>
      </c>
      <c r="H16" s="51">
        <v>60.48</v>
      </c>
      <c r="I16" s="51">
        <v>4.66</v>
      </c>
      <c r="J16" s="51">
        <v>1.31</v>
      </c>
      <c r="K16" s="51">
        <v>357.47</v>
      </c>
      <c r="L16" s="51">
        <v>21.28</v>
      </c>
      <c r="M16" s="51">
        <v>91.6</v>
      </c>
      <c r="N16" s="51">
        <v>222.3</v>
      </c>
      <c r="O16" s="51">
        <v>0</v>
      </c>
      <c r="P16" s="51">
        <v>1.08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188</v>
      </c>
      <c r="B17" s="51">
        <v>21.62</v>
      </c>
      <c r="C17" s="51">
        <v>21.25</v>
      </c>
      <c r="D17" s="51">
        <v>27.06</v>
      </c>
      <c r="E17" s="51">
        <v>8.11</v>
      </c>
      <c r="F17" s="51">
        <v>4.24</v>
      </c>
      <c r="G17" s="51">
        <v>143.26</v>
      </c>
      <c r="H17" s="51">
        <v>73.2</v>
      </c>
      <c r="I17" s="51">
        <v>5.21</v>
      </c>
      <c r="J17" s="51">
        <v>1.29</v>
      </c>
      <c r="K17" s="51">
        <v>357.72</v>
      </c>
      <c r="L17" s="51">
        <v>25.84</v>
      </c>
      <c r="M17" s="51">
        <v>70.34</v>
      </c>
      <c r="N17" s="51">
        <v>384.7</v>
      </c>
      <c r="O17" s="51">
        <v>0</v>
      </c>
      <c r="P17" s="51">
        <v>1.1000000000000001</v>
      </c>
      <c r="Q17" s="51">
        <v>9.6300000000000008</v>
      </c>
      <c r="R17" s="43"/>
      <c r="S17" s="43"/>
      <c r="T17" s="43"/>
      <c r="U17" s="43"/>
    </row>
    <row r="18" spans="1:21" s="11" customFormat="1" x14ac:dyDescent="0.25">
      <c r="A18" s="50" t="s">
        <v>189</v>
      </c>
      <c r="B18" s="51">
        <v>22.1</v>
      </c>
      <c r="C18" s="51">
        <v>26.33</v>
      </c>
      <c r="D18" s="51">
        <v>29.25</v>
      </c>
      <c r="E18" s="51">
        <v>8.16</v>
      </c>
      <c r="F18" s="51">
        <v>4.55</v>
      </c>
      <c r="G18" s="51">
        <v>158.66999999999999</v>
      </c>
      <c r="H18" s="51">
        <v>88.62</v>
      </c>
      <c r="I18" s="51">
        <v>5.43</v>
      </c>
      <c r="J18" s="51">
        <v>1.52</v>
      </c>
      <c r="K18" s="51">
        <v>341.08</v>
      </c>
      <c r="L18" s="51">
        <v>27.78</v>
      </c>
      <c r="M18" s="51">
        <v>54.42</v>
      </c>
      <c r="N18" s="51">
        <v>533</v>
      </c>
      <c r="O18" s="51">
        <v>0</v>
      </c>
      <c r="P18" s="51">
        <v>1.07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190</v>
      </c>
      <c r="B19" s="51">
        <v>19.350000000000001</v>
      </c>
      <c r="C19" s="51">
        <v>27.06</v>
      </c>
      <c r="D19" s="51">
        <v>28.09</v>
      </c>
      <c r="E19" s="51">
        <v>7.64</v>
      </c>
      <c r="F19" s="51">
        <v>5.8</v>
      </c>
      <c r="G19" s="51">
        <v>149.22999999999999</v>
      </c>
      <c r="H19" s="51">
        <v>76.62</v>
      </c>
      <c r="I19" s="51">
        <v>5.97</v>
      </c>
      <c r="J19" s="51">
        <v>1.26</v>
      </c>
      <c r="K19" s="51">
        <v>127.59</v>
      </c>
      <c r="L19" s="51">
        <v>26.76</v>
      </c>
      <c r="M19" s="51">
        <v>55.75</v>
      </c>
      <c r="N19" s="51">
        <v>649.9</v>
      </c>
      <c r="O19" s="51">
        <v>0</v>
      </c>
      <c r="P19" s="51">
        <v>1.06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191</v>
      </c>
      <c r="B20" s="51">
        <v>6.4</v>
      </c>
      <c r="C20" s="51">
        <v>29.87</v>
      </c>
      <c r="D20" s="51">
        <v>19.36</v>
      </c>
      <c r="E20" s="51">
        <v>8.42</v>
      </c>
      <c r="F20" s="51">
        <v>9.08</v>
      </c>
      <c r="G20" s="51">
        <v>99.05</v>
      </c>
      <c r="H20" s="51">
        <v>56.59</v>
      </c>
      <c r="I20" s="51">
        <v>6.09</v>
      </c>
      <c r="J20" s="51">
        <v>1.52</v>
      </c>
      <c r="K20" s="51">
        <v>333.5</v>
      </c>
      <c r="L20" s="51">
        <v>27.48</v>
      </c>
      <c r="M20" s="51">
        <v>49.74</v>
      </c>
      <c r="N20" s="51">
        <v>651.70000000000005</v>
      </c>
      <c r="O20" s="51">
        <v>0</v>
      </c>
      <c r="P20" s="51">
        <v>0.86</v>
      </c>
      <c r="Q20" s="51">
        <v>9.64</v>
      </c>
      <c r="R20" s="43"/>
      <c r="S20" s="43"/>
      <c r="T20" s="43"/>
      <c r="U20" s="43"/>
    </row>
    <row r="21" spans="1:21" s="11" customFormat="1" x14ac:dyDescent="0.25">
      <c r="A21" s="50" t="s">
        <v>192</v>
      </c>
      <c r="B21" s="51">
        <v>2.9</v>
      </c>
      <c r="C21" s="51">
        <v>24.95</v>
      </c>
      <c r="D21" s="51">
        <v>13.86</v>
      </c>
      <c r="E21" s="51">
        <v>7.36</v>
      </c>
      <c r="F21" s="51">
        <v>7.22</v>
      </c>
      <c r="G21" s="51">
        <v>103.11</v>
      </c>
      <c r="H21" s="51">
        <v>36.51</v>
      </c>
      <c r="I21" s="51">
        <v>5.18</v>
      </c>
      <c r="J21" s="51">
        <v>1.5</v>
      </c>
      <c r="K21" s="51">
        <v>333.76</v>
      </c>
      <c r="L21" s="51">
        <v>28.73</v>
      </c>
      <c r="M21" s="51">
        <v>43.2</v>
      </c>
      <c r="N21" s="51">
        <v>609.5</v>
      </c>
      <c r="O21" s="51">
        <v>0</v>
      </c>
      <c r="P21" s="51">
        <v>0.8</v>
      </c>
      <c r="Q21" s="51">
        <v>9.6199999999999992</v>
      </c>
      <c r="R21" s="43"/>
      <c r="S21" s="43"/>
      <c r="T21" s="43"/>
      <c r="U21" s="43"/>
    </row>
    <row r="22" spans="1:21" s="11" customFormat="1" x14ac:dyDescent="0.25">
      <c r="A22" s="50" t="s">
        <v>193</v>
      </c>
      <c r="B22" s="51">
        <v>2.83</v>
      </c>
      <c r="C22" s="51">
        <v>24.32</v>
      </c>
      <c r="D22" s="51">
        <v>13.55</v>
      </c>
      <c r="E22" s="51">
        <v>6.73</v>
      </c>
      <c r="F22" s="51">
        <v>6.56</v>
      </c>
      <c r="G22" s="51">
        <v>92.31</v>
      </c>
      <c r="H22" s="51">
        <v>21.28</v>
      </c>
      <c r="I22" s="51">
        <v>5.23</v>
      </c>
      <c r="J22" s="51">
        <v>1.07</v>
      </c>
      <c r="K22" s="51">
        <v>347.49</v>
      </c>
      <c r="L22" s="51">
        <v>27.81</v>
      </c>
      <c r="M22" s="51">
        <v>43.41</v>
      </c>
      <c r="N22" s="51">
        <v>410.3</v>
      </c>
      <c r="O22" s="51">
        <v>0</v>
      </c>
      <c r="P22" s="51">
        <v>0.73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194</v>
      </c>
      <c r="B23" s="51">
        <v>2.66</v>
      </c>
      <c r="C23" s="51">
        <v>32.83</v>
      </c>
      <c r="D23" s="51">
        <v>17.440000000000001</v>
      </c>
      <c r="E23" s="51">
        <v>11.19</v>
      </c>
      <c r="F23" s="51">
        <v>39.18</v>
      </c>
      <c r="G23" s="51">
        <v>85.72</v>
      </c>
      <c r="H23" s="51">
        <v>22.06</v>
      </c>
      <c r="I23" s="51">
        <v>5.31</v>
      </c>
      <c r="J23" s="51">
        <v>0.71</v>
      </c>
      <c r="K23" s="51">
        <v>355.47</v>
      </c>
      <c r="L23" s="51">
        <v>26.12</v>
      </c>
      <c r="M23" s="51">
        <v>46.31</v>
      </c>
      <c r="N23" s="51">
        <v>215.5</v>
      </c>
      <c r="O23" s="51">
        <v>0</v>
      </c>
      <c r="P23" s="51">
        <v>0.7</v>
      </c>
      <c r="Q23" s="51">
        <v>9.6199999999999992</v>
      </c>
      <c r="R23" s="43"/>
      <c r="S23" s="43"/>
      <c r="T23" s="43"/>
      <c r="U23" s="43"/>
    </row>
    <row r="24" spans="1:21" s="11" customFormat="1" x14ac:dyDescent="0.25">
      <c r="A24" s="50" t="s">
        <v>195</v>
      </c>
      <c r="B24" s="51">
        <v>29.59</v>
      </c>
      <c r="C24" s="51">
        <v>70.45</v>
      </c>
      <c r="D24" s="51">
        <v>59.15</v>
      </c>
      <c r="E24" s="51">
        <v>10.51</v>
      </c>
      <c r="F24" s="51">
        <v>15.5</v>
      </c>
      <c r="G24" s="51">
        <v>80.02</v>
      </c>
      <c r="H24" s="51">
        <v>55.05</v>
      </c>
      <c r="I24" s="51">
        <v>3.19</v>
      </c>
      <c r="J24" s="51">
        <v>0.79</v>
      </c>
      <c r="K24" s="51">
        <v>354.83</v>
      </c>
      <c r="L24" s="51">
        <v>25.52</v>
      </c>
      <c r="M24" s="51">
        <v>47.63</v>
      </c>
      <c r="N24" s="51">
        <v>116.2</v>
      </c>
      <c r="O24" s="51">
        <v>0</v>
      </c>
      <c r="P24" s="51">
        <v>0.68</v>
      </c>
      <c r="Q24" s="51">
        <v>9.6300000000000008</v>
      </c>
      <c r="R24" s="43"/>
      <c r="S24" s="43"/>
      <c r="T24" s="43"/>
      <c r="U24" s="43"/>
    </row>
    <row r="25" spans="1:21" s="11" customFormat="1" x14ac:dyDescent="0.25">
      <c r="A25" s="50" t="s">
        <v>196</v>
      </c>
      <c r="B25" s="51">
        <v>24.97</v>
      </c>
      <c r="C25" s="51">
        <v>63.53</v>
      </c>
      <c r="D25" s="51">
        <v>51.84</v>
      </c>
      <c r="E25" s="51">
        <v>8.2899999999999991</v>
      </c>
      <c r="F25" s="51">
        <v>11.46</v>
      </c>
      <c r="G25" s="51">
        <v>67.349999999999994</v>
      </c>
      <c r="H25" s="51">
        <v>81.66</v>
      </c>
      <c r="I25" s="51">
        <v>2.2400000000000002</v>
      </c>
      <c r="J25" s="51">
        <v>1.07</v>
      </c>
      <c r="K25" s="51">
        <v>118.14</v>
      </c>
      <c r="L25" s="51">
        <v>24.27</v>
      </c>
      <c r="M25" s="51">
        <v>51.87</v>
      </c>
      <c r="N25" s="51">
        <v>70.599999999999994</v>
      </c>
      <c r="O25" s="51">
        <v>0</v>
      </c>
      <c r="P25" s="51">
        <v>0.65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197</v>
      </c>
      <c r="B26" s="51">
        <v>7.55</v>
      </c>
      <c r="C26" s="51">
        <v>45.15</v>
      </c>
      <c r="D26" s="51">
        <v>28.27</v>
      </c>
      <c r="E26" s="51">
        <v>7.18</v>
      </c>
      <c r="F26" s="51">
        <v>7.08</v>
      </c>
      <c r="G26" s="51">
        <v>62.21</v>
      </c>
      <c r="H26" s="51">
        <v>23.4</v>
      </c>
      <c r="I26" s="51">
        <v>3.54</v>
      </c>
      <c r="J26" s="51">
        <v>1.0900000000000001</v>
      </c>
      <c r="K26" s="51">
        <v>123.02</v>
      </c>
      <c r="L26" s="51">
        <v>23.18</v>
      </c>
      <c r="M26" s="51">
        <v>57.7</v>
      </c>
      <c r="N26" s="51">
        <v>33.799999999999997</v>
      </c>
      <c r="O26" s="51">
        <v>0</v>
      </c>
      <c r="P26" s="51">
        <v>0.61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198</v>
      </c>
      <c r="B27" s="51">
        <v>2.78</v>
      </c>
      <c r="C27" s="51">
        <v>29.52</v>
      </c>
      <c r="D27" s="51">
        <v>16.28</v>
      </c>
      <c r="E27" s="51">
        <v>5.82</v>
      </c>
      <c r="F27" s="51">
        <v>6.32</v>
      </c>
      <c r="G27" s="51">
        <v>88.86</v>
      </c>
      <c r="H27" s="51">
        <v>66.3</v>
      </c>
      <c r="I27" s="51">
        <v>3.58</v>
      </c>
      <c r="J27" s="51">
        <v>0.87</v>
      </c>
      <c r="K27" s="51">
        <v>116.05</v>
      </c>
      <c r="L27" s="51">
        <v>22.31</v>
      </c>
      <c r="M27" s="51">
        <v>60.33</v>
      </c>
      <c r="N27" s="51">
        <v>26.1</v>
      </c>
      <c r="O27" s="51">
        <v>0</v>
      </c>
      <c r="P27" s="51">
        <v>0.71</v>
      </c>
      <c r="Q27" s="51">
        <v>9.6300000000000008</v>
      </c>
      <c r="R27" s="43"/>
      <c r="S27" s="43"/>
      <c r="T27" s="43"/>
      <c r="U27" s="43"/>
    </row>
    <row r="28" spans="1:21" s="11" customFormat="1" x14ac:dyDescent="0.25">
      <c r="A28" s="50" t="s">
        <v>199</v>
      </c>
      <c r="B28" s="51">
        <v>2.73</v>
      </c>
      <c r="C28" s="51">
        <v>23.42</v>
      </c>
      <c r="D28" s="51">
        <v>12.87</v>
      </c>
      <c r="E28" s="51">
        <v>5.76</v>
      </c>
      <c r="F28" s="51">
        <v>6.45</v>
      </c>
      <c r="G28" s="51">
        <v>93.28</v>
      </c>
      <c r="H28" s="51">
        <v>61.58</v>
      </c>
      <c r="I28" s="51">
        <v>4.09</v>
      </c>
      <c r="J28" s="51">
        <v>0.89</v>
      </c>
      <c r="K28" s="51">
        <v>116.81</v>
      </c>
      <c r="L28" s="51">
        <v>21.69</v>
      </c>
      <c r="M28" s="51">
        <v>62.88</v>
      </c>
      <c r="N28" s="51">
        <v>26</v>
      </c>
      <c r="O28" s="51">
        <v>0</v>
      </c>
      <c r="P28" s="51">
        <v>0.81</v>
      </c>
      <c r="Q28" s="51">
        <v>9.6199999999999992</v>
      </c>
      <c r="R28" s="43"/>
      <c r="S28" s="43"/>
      <c r="T28" s="43"/>
      <c r="U28" s="43"/>
    </row>
    <row r="29" spans="1:21" s="11" customFormat="1" x14ac:dyDescent="0.25">
      <c r="A29" s="50" t="s">
        <v>200</v>
      </c>
      <c r="B29" s="51">
        <v>3.1</v>
      </c>
      <c r="C29" s="51">
        <v>20.37</v>
      </c>
      <c r="D29" s="51">
        <v>11.54</v>
      </c>
      <c r="E29" s="51">
        <v>5.69</v>
      </c>
      <c r="F29" s="51">
        <v>6.52</v>
      </c>
      <c r="G29" s="51">
        <v>94.23</v>
      </c>
      <c r="H29" s="51">
        <v>53.67</v>
      </c>
      <c r="I29" s="51">
        <v>3.53</v>
      </c>
      <c r="J29" s="51">
        <v>0.82</v>
      </c>
      <c r="K29" s="51">
        <v>157.03</v>
      </c>
      <c r="L29" s="51">
        <v>21.14</v>
      </c>
      <c r="M29" s="51">
        <v>67.11</v>
      </c>
      <c r="N29" s="51">
        <v>26.1</v>
      </c>
      <c r="O29" s="51">
        <v>0</v>
      </c>
      <c r="P29" s="51">
        <v>0.93</v>
      </c>
      <c r="Q29" s="51">
        <v>9.6300000000000008</v>
      </c>
      <c r="R29" s="43"/>
      <c r="S29" s="43"/>
      <c r="T29" s="43"/>
      <c r="U29" s="43"/>
    </row>
    <row r="30" spans="1:21" s="11" customFormat="1" x14ac:dyDescent="0.25">
      <c r="A30" s="50" t="s">
        <v>201</v>
      </c>
      <c r="B30" s="51">
        <v>3.74</v>
      </c>
      <c r="C30" s="51">
        <v>22.45</v>
      </c>
      <c r="D30" s="51">
        <v>13.35</v>
      </c>
      <c r="E30" s="51">
        <v>5.95</v>
      </c>
      <c r="F30" s="51">
        <v>5.92</v>
      </c>
      <c r="G30" s="51">
        <v>103.67</v>
      </c>
      <c r="H30" s="51">
        <v>56.29</v>
      </c>
      <c r="I30" s="51">
        <v>4.74</v>
      </c>
      <c r="J30" s="51">
        <v>0.56999999999999995</v>
      </c>
      <c r="K30" s="51">
        <v>109.47</v>
      </c>
      <c r="L30" s="51">
        <v>20.67</v>
      </c>
      <c r="M30" s="51">
        <v>69.650000000000006</v>
      </c>
      <c r="N30" s="51">
        <v>26</v>
      </c>
      <c r="O30" s="51">
        <v>0</v>
      </c>
      <c r="P30" s="51">
        <v>0.78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202</v>
      </c>
      <c r="B31" s="51">
        <v>3.95</v>
      </c>
      <c r="C31" s="51">
        <v>23.26</v>
      </c>
      <c r="D31" s="51">
        <v>13.77</v>
      </c>
      <c r="E31" s="51">
        <v>5.88</v>
      </c>
      <c r="F31" s="51">
        <v>4.93</v>
      </c>
      <c r="G31" s="51">
        <v>98.29</v>
      </c>
      <c r="H31" s="51">
        <v>43.13</v>
      </c>
      <c r="I31" s="51">
        <v>4.68</v>
      </c>
      <c r="J31" s="51">
        <v>0.59</v>
      </c>
      <c r="K31" s="51">
        <v>119.66</v>
      </c>
      <c r="L31" s="51">
        <v>20.29</v>
      </c>
      <c r="M31" s="51">
        <v>71.44</v>
      </c>
      <c r="N31" s="51">
        <v>26.1</v>
      </c>
      <c r="O31" s="51">
        <v>0</v>
      </c>
      <c r="P31" s="51">
        <v>0.79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203</v>
      </c>
      <c r="B32" s="51">
        <v>3.3</v>
      </c>
      <c r="C32" s="51">
        <v>22.83</v>
      </c>
      <c r="D32" s="51">
        <v>13.18</v>
      </c>
      <c r="E32" s="51">
        <v>6.04</v>
      </c>
      <c r="F32" s="51">
        <v>5.72</v>
      </c>
      <c r="G32" s="51">
        <v>97.44</v>
      </c>
      <c r="H32" s="51">
        <v>45.01</v>
      </c>
      <c r="I32" s="51">
        <v>5.01</v>
      </c>
      <c r="J32" s="51">
        <v>1.1399999999999999</v>
      </c>
      <c r="K32" s="51">
        <v>249.79</v>
      </c>
      <c r="L32" s="51">
        <v>19.850000000000001</v>
      </c>
      <c r="M32" s="51">
        <v>72.8</v>
      </c>
      <c r="N32" s="51">
        <v>26</v>
      </c>
      <c r="O32" s="51">
        <v>0</v>
      </c>
      <c r="P32" s="51">
        <v>0.75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2.52</v>
      </c>
      <c r="C34" s="28">
        <f t="shared" si="0"/>
        <v>13.35</v>
      </c>
      <c r="D34" s="28">
        <f t="shared" si="0"/>
        <v>8.0399999999999991</v>
      </c>
      <c r="E34" s="28">
        <f t="shared" si="0"/>
        <v>5.0199999999999996</v>
      </c>
      <c r="F34" s="28">
        <f t="shared" si="0"/>
        <v>3.76</v>
      </c>
      <c r="G34" s="28">
        <f t="shared" si="0"/>
        <v>51.95</v>
      </c>
      <c r="H34" s="28">
        <f t="shared" si="0"/>
        <v>21.28</v>
      </c>
      <c r="I34" s="28">
        <f t="shared" si="0"/>
        <v>2.2400000000000002</v>
      </c>
      <c r="J34" s="28">
        <f t="shared" si="0"/>
        <v>0.53</v>
      </c>
      <c r="K34" s="28">
        <f t="shared" si="0"/>
        <v>109.47</v>
      </c>
      <c r="L34" s="28">
        <f t="shared" si="0"/>
        <v>16.3</v>
      </c>
      <c r="M34" s="28">
        <f t="shared" si="0"/>
        <v>43.2</v>
      </c>
      <c r="N34" s="28">
        <f t="shared" si="0"/>
        <v>26</v>
      </c>
      <c r="O34" s="28">
        <f t="shared" si="0"/>
        <v>0</v>
      </c>
      <c r="P34" s="28">
        <f t="shared" si="0"/>
        <v>0.51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29.59</v>
      </c>
      <c r="C35" s="29">
        <f t="shared" si="1"/>
        <v>70.45</v>
      </c>
      <c r="D35" s="29">
        <f t="shared" si="1"/>
        <v>59.15</v>
      </c>
      <c r="E35" s="29">
        <f t="shared" si="1"/>
        <v>11.19</v>
      </c>
      <c r="F35" s="29">
        <f t="shared" si="1"/>
        <v>39.18</v>
      </c>
      <c r="G35" s="29">
        <f t="shared" si="1"/>
        <v>158.66999999999999</v>
      </c>
      <c r="H35" s="29">
        <f t="shared" si="1"/>
        <v>88.62</v>
      </c>
      <c r="I35" s="29">
        <f t="shared" si="1"/>
        <v>7.23</v>
      </c>
      <c r="J35" s="29">
        <f t="shared" si="1"/>
        <v>1.77</v>
      </c>
      <c r="K35" s="29">
        <f t="shared" si="1"/>
        <v>357.72</v>
      </c>
      <c r="L35" s="29">
        <f t="shared" si="1"/>
        <v>28.73</v>
      </c>
      <c r="M35" s="29">
        <f t="shared" si="1"/>
        <v>101.86</v>
      </c>
      <c r="N35" s="29">
        <f t="shared" si="1"/>
        <v>651.70000000000005</v>
      </c>
      <c r="O35" s="29">
        <f t="shared" si="1"/>
        <v>0</v>
      </c>
      <c r="P35" s="29">
        <f t="shared" si="1"/>
        <v>1.1000000000000001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9.1866666666666674</v>
      </c>
      <c r="C36" s="28">
        <f t="shared" si="2"/>
        <v>26.524166666666662</v>
      </c>
      <c r="D36" s="28">
        <f t="shared" si="2"/>
        <v>19.748333333333335</v>
      </c>
      <c r="E36" s="28">
        <f t="shared" si="2"/>
        <v>6.9829166666666653</v>
      </c>
      <c r="F36" s="28">
        <f t="shared" si="2"/>
        <v>7.5366666666666662</v>
      </c>
      <c r="G36" s="28">
        <f t="shared" si="2"/>
        <v>91.080416666666665</v>
      </c>
      <c r="H36" s="28">
        <f t="shared" si="2"/>
        <v>47.208750000000002</v>
      </c>
      <c r="I36" s="28">
        <f t="shared" si="2"/>
        <v>4.7962499999999997</v>
      </c>
      <c r="J36" s="28">
        <f t="shared" si="2"/>
        <v>1.0225</v>
      </c>
      <c r="K36" s="28">
        <f t="shared" si="2"/>
        <v>249.53041666666672</v>
      </c>
      <c r="L36" s="28">
        <f t="shared" si="2"/>
        <v>22.294999999999998</v>
      </c>
      <c r="M36" s="28">
        <f t="shared" si="2"/>
        <v>68.940416666666678</v>
      </c>
      <c r="N36" s="28">
        <f t="shared" si="2"/>
        <v>178.21250000000001</v>
      </c>
      <c r="O36" s="28">
        <f t="shared" si="2"/>
        <v>0</v>
      </c>
      <c r="P36" s="28">
        <f t="shared" si="2"/>
        <v>0.76666666666666672</v>
      </c>
      <c r="Q36" s="28">
        <f t="shared" si="2"/>
        <v>9.6291666666666647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8.6389877963177781</v>
      </c>
      <c r="C37" s="28">
        <f t="shared" ref="C37:Q37" si="3">STDEV(C9:C32)</f>
        <v>14.358747043759317</v>
      </c>
      <c r="D37" s="28">
        <f t="shared" si="3"/>
        <v>12.874704105225151</v>
      </c>
      <c r="E37" s="28">
        <f t="shared" si="3"/>
        <v>1.5760834207856458</v>
      </c>
      <c r="F37" s="28">
        <f t="shared" si="3"/>
        <v>7.2458393858680807</v>
      </c>
      <c r="G37" s="28">
        <f t="shared" si="3"/>
        <v>29.001356112095536</v>
      </c>
      <c r="H37" s="28">
        <f t="shared" si="3"/>
        <v>20.848667210556233</v>
      </c>
      <c r="I37" s="28">
        <f t="shared" si="3"/>
        <v>1.21004783412457</v>
      </c>
      <c r="J37" s="28">
        <f t="shared" si="3"/>
        <v>0.3594470390934435</v>
      </c>
      <c r="K37" s="28">
        <f t="shared" si="3"/>
        <v>106.82830822843384</v>
      </c>
      <c r="L37" s="28">
        <f t="shared" si="3"/>
        <v>3.9640328608299003</v>
      </c>
      <c r="M37" s="28">
        <f t="shared" si="3"/>
        <v>18.907124831239052</v>
      </c>
      <c r="N37" s="28">
        <f t="shared" si="3"/>
        <v>226.97100430116234</v>
      </c>
      <c r="O37" s="28">
        <f t="shared" si="3"/>
        <v>0</v>
      </c>
      <c r="P37" s="28">
        <f t="shared" si="3"/>
        <v>0.17284490828150084</v>
      </c>
      <c r="Q37" s="28">
        <f t="shared" si="3"/>
        <v>5.8359207512181299E-3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204</v>
      </c>
      <c r="B9" s="51">
        <v>3.03</v>
      </c>
      <c r="C9" s="51">
        <v>19</v>
      </c>
      <c r="D9" s="51">
        <v>10.98</v>
      </c>
      <c r="E9" s="51">
        <v>5.01</v>
      </c>
      <c r="F9" s="51">
        <v>6.02</v>
      </c>
      <c r="G9" s="51">
        <v>94.54</v>
      </c>
      <c r="H9" s="51">
        <v>77.290000000000006</v>
      </c>
      <c r="I9" s="51">
        <v>3.97</v>
      </c>
      <c r="J9" s="51">
        <v>1.07</v>
      </c>
      <c r="K9" s="51">
        <v>328.21</v>
      </c>
      <c r="L9" s="51">
        <v>19.63</v>
      </c>
      <c r="M9" s="51">
        <v>78.23</v>
      </c>
      <c r="N9" s="51">
        <v>26.1</v>
      </c>
      <c r="O9" s="51">
        <v>0</v>
      </c>
      <c r="P9" s="51">
        <v>0.65</v>
      </c>
      <c r="Q9" s="51">
        <v>9.6300000000000008</v>
      </c>
      <c r="R9" s="43"/>
      <c r="S9" s="43"/>
      <c r="T9" s="43"/>
      <c r="U9" s="43"/>
    </row>
    <row r="10" spans="1:21" s="11" customFormat="1" x14ac:dyDescent="0.25">
      <c r="A10" s="50" t="s">
        <v>205</v>
      </c>
      <c r="B10" s="51">
        <v>2.98</v>
      </c>
      <c r="C10" s="51">
        <v>16.12</v>
      </c>
      <c r="D10" s="51">
        <v>9.44</v>
      </c>
      <c r="E10" s="51">
        <v>4.9800000000000004</v>
      </c>
      <c r="F10" s="51">
        <v>5.52</v>
      </c>
      <c r="G10" s="51">
        <v>94.6</v>
      </c>
      <c r="H10" s="51">
        <v>48.42</v>
      </c>
      <c r="I10" s="51">
        <v>5.21</v>
      </c>
      <c r="J10" s="51">
        <v>0.56999999999999995</v>
      </c>
      <c r="K10" s="51">
        <v>300.22000000000003</v>
      </c>
      <c r="L10" s="51">
        <v>18.43</v>
      </c>
      <c r="M10" s="51">
        <v>85.35</v>
      </c>
      <c r="N10" s="51">
        <v>26.2</v>
      </c>
      <c r="O10" s="51">
        <v>0</v>
      </c>
      <c r="P10" s="51">
        <v>0.69</v>
      </c>
      <c r="Q10" s="51">
        <v>9.6300000000000008</v>
      </c>
      <c r="R10" s="43"/>
      <c r="S10" s="43"/>
      <c r="T10" s="43"/>
      <c r="U10" s="43"/>
    </row>
    <row r="11" spans="1:21" s="11" customFormat="1" x14ac:dyDescent="0.25">
      <c r="A11" s="50" t="s">
        <v>206</v>
      </c>
      <c r="B11" s="51">
        <v>3.15</v>
      </c>
      <c r="C11" s="51">
        <v>17.18</v>
      </c>
      <c r="D11" s="51">
        <v>10.130000000000001</v>
      </c>
      <c r="E11" s="51">
        <v>5.26</v>
      </c>
      <c r="F11" s="51">
        <v>4.78</v>
      </c>
      <c r="G11" s="51">
        <v>92.47</v>
      </c>
      <c r="H11" s="51">
        <v>38.94</v>
      </c>
      <c r="I11" s="51">
        <v>5.62</v>
      </c>
      <c r="J11" s="51">
        <v>0.55000000000000004</v>
      </c>
      <c r="K11" s="51">
        <v>310.94</v>
      </c>
      <c r="L11" s="51">
        <v>17.670000000000002</v>
      </c>
      <c r="M11" s="51">
        <v>93.83</v>
      </c>
      <c r="N11" s="51">
        <v>26.1</v>
      </c>
      <c r="O11" s="51">
        <v>0</v>
      </c>
      <c r="P11" s="51">
        <v>0.68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207</v>
      </c>
      <c r="B12" s="51">
        <v>3.77</v>
      </c>
      <c r="C12" s="51">
        <v>17.93</v>
      </c>
      <c r="D12" s="51">
        <v>10.86</v>
      </c>
      <c r="E12" s="51">
        <v>7.17</v>
      </c>
      <c r="F12" s="51">
        <v>4.43</v>
      </c>
      <c r="G12" s="51">
        <v>93.86</v>
      </c>
      <c r="H12" s="51">
        <v>72.87</v>
      </c>
      <c r="I12" s="51">
        <v>5.22</v>
      </c>
      <c r="J12" s="51">
        <v>1.04</v>
      </c>
      <c r="K12" s="51">
        <v>331.06</v>
      </c>
      <c r="L12" s="51">
        <v>16.93</v>
      </c>
      <c r="M12" s="51">
        <v>100.59</v>
      </c>
      <c r="N12" s="51">
        <v>26.1</v>
      </c>
      <c r="O12" s="51">
        <v>0</v>
      </c>
      <c r="P12" s="51">
        <v>0.66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208</v>
      </c>
      <c r="B13" s="51">
        <v>5.94</v>
      </c>
      <c r="C13" s="51">
        <v>15.74</v>
      </c>
      <c r="D13" s="51">
        <v>11.51</v>
      </c>
      <c r="E13" s="51">
        <v>7</v>
      </c>
      <c r="F13" s="51">
        <v>4.24</v>
      </c>
      <c r="G13" s="51">
        <v>99.3</v>
      </c>
      <c r="H13" s="51">
        <v>48.96</v>
      </c>
      <c r="I13" s="51">
        <v>4.72</v>
      </c>
      <c r="J13" s="51">
        <v>0.66</v>
      </c>
      <c r="K13" s="51">
        <v>357.84</v>
      </c>
      <c r="L13" s="51">
        <v>16.47</v>
      </c>
      <c r="M13" s="51">
        <v>99.9</v>
      </c>
      <c r="N13" s="51">
        <v>26.1</v>
      </c>
      <c r="O13" s="51">
        <v>0</v>
      </c>
      <c r="P13" s="51">
        <v>0.73</v>
      </c>
      <c r="Q13" s="51">
        <v>9.64</v>
      </c>
      <c r="R13" s="43"/>
      <c r="S13" s="43"/>
      <c r="T13" s="43"/>
      <c r="U13" s="43"/>
    </row>
    <row r="14" spans="1:21" s="11" customFormat="1" x14ac:dyDescent="0.25">
      <c r="A14" s="50" t="s">
        <v>209</v>
      </c>
      <c r="B14" s="51">
        <v>7.5</v>
      </c>
      <c r="C14" s="51">
        <v>16.559999999999999</v>
      </c>
      <c r="D14" s="51">
        <v>13.29</v>
      </c>
      <c r="E14" s="51">
        <v>7.48</v>
      </c>
      <c r="F14" s="51">
        <v>4.4400000000000004</v>
      </c>
      <c r="G14" s="51">
        <v>121.22</v>
      </c>
      <c r="H14" s="51">
        <v>92.02</v>
      </c>
      <c r="I14" s="51">
        <v>4.72</v>
      </c>
      <c r="J14" s="51">
        <v>0.51</v>
      </c>
      <c r="K14" s="51">
        <v>280.33999999999997</v>
      </c>
      <c r="L14" s="51">
        <v>16.420000000000002</v>
      </c>
      <c r="M14" s="51">
        <v>99.26</v>
      </c>
      <c r="N14" s="51">
        <v>26.2</v>
      </c>
      <c r="O14" s="51">
        <v>0</v>
      </c>
      <c r="P14" s="51">
        <v>0.82</v>
      </c>
      <c r="Q14" s="51">
        <v>9.6199999999999992</v>
      </c>
      <c r="R14" s="43"/>
      <c r="S14" s="43"/>
      <c r="T14" s="43"/>
      <c r="U14" s="43"/>
    </row>
    <row r="15" spans="1:21" s="11" customFormat="1" x14ac:dyDescent="0.25">
      <c r="A15" s="50" t="s">
        <v>210</v>
      </c>
      <c r="B15" s="51">
        <v>11.66</v>
      </c>
      <c r="C15" s="51">
        <v>19.850000000000001</v>
      </c>
      <c r="D15" s="51">
        <v>18.34</v>
      </c>
      <c r="E15" s="51">
        <v>7.77</v>
      </c>
      <c r="F15" s="51">
        <v>4.6900000000000004</v>
      </c>
      <c r="G15" s="51">
        <v>149.1</v>
      </c>
      <c r="H15" s="51">
        <v>102.08</v>
      </c>
      <c r="I15" s="51">
        <v>5.2</v>
      </c>
      <c r="J15" s="51">
        <v>0.52</v>
      </c>
      <c r="K15" s="51">
        <v>343.17</v>
      </c>
      <c r="L15" s="51">
        <v>17.18</v>
      </c>
      <c r="M15" s="51">
        <v>98.6</v>
      </c>
      <c r="N15" s="51">
        <v>66.599999999999994</v>
      </c>
      <c r="O15" s="51">
        <v>0</v>
      </c>
      <c r="P15" s="51">
        <v>0.88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211</v>
      </c>
      <c r="B16" s="51">
        <v>15.57</v>
      </c>
      <c r="C16" s="51">
        <v>22.73</v>
      </c>
      <c r="D16" s="51">
        <v>22.78</v>
      </c>
      <c r="E16" s="51">
        <v>8.36</v>
      </c>
      <c r="F16" s="51">
        <v>4.75</v>
      </c>
      <c r="G16" s="51">
        <v>150.49</v>
      </c>
      <c r="H16" s="51">
        <v>81.87</v>
      </c>
      <c r="I16" s="51">
        <v>5.22</v>
      </c>
      <c r="J16" s="51">
        <v>1.22</v>
      </c>
      <c r="K16" s="51">
        <v>349.43</v>
      </c>
      <c r="L16" s="51">
        <v>22.54</v>
      </c>
      <c r="M16" s="51">
        <v>91.38</v>
      </c>
      <c r="N16" s="51">
        <v>228.3</v>
      </c>
      <c r="O16" s="51">
        <v>0</v>
      </c>
      <c r="P16" s="51">
        <v>0.95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212</v>
      </c>
      <c r="B17" s="51">
        <v>15.04</v>
      </c>
      <c r="C17" s="51">
        <v>22.31</v>
      </c>
      <c r="D17" s="51">
        <v>22.05</v>
      </c>
      <c r="E17" s="51">
        <v>7.33</v>
      </c>
      <c r="F17" s="51">
        <v>4.82</v>
      </c>
      <c r="G17" s="51">
        <v>140.79</v>
      </c>
      <c r="H17" s="51">
        <v>63.92</v>
      </c>
      <c r="I17" s="51">
        <v>4.9000000000000004</v>
      </c>
      <c r="J17" s="51">
        <v>1.1499999999999999</v>
      </c>
      <c r="K17" s="51">
        <v>340.56</v>
      </c>
      <c r="L17" s="51">
        <v>25.95</v>
      </c>
      <c r="M17" s="51">
        <v>62.51</v>
      </c>
      <c r="N17" s="51">
        <v>400.6</v>
      </c>
      <c r="O17" s="51">
        <v>0</v>
      </c>
      <c r="P17" s="51">
        <v>0.98</v>
      </c>
      <c r="Q17" s="51">
        <v>9.6300000000000008</v>
      </c>
      <c r="R17" s="43"/>
      <c r="S17" s="43"/>
      <c r="T17" s="43"/>
      <c r="U17" s="43"/>
    </row>
    <row r="18" spans="1:21" s="11" customFormat="1" x14ac:dyDescent="0.25">
      <c r="A18" s="50" t="s">
        <v>213</v>
      </c>
      <c r="B18" s="51">
        <v>14.28</v>
      </c>
      <c r="C18" s="51">
        <v>23.56</v>
      </c>
      <c r="D18" s="51">
        <v>21.92</v>
      </c>
      <c r="E18" s="51">
        <v>7.16</v>
      </c>
      <c r="F18" s="51">
        <v>5.09</v>
      </c>
      <c r="G18" s="51">
        <v>143.54</v>
      </c>
      <c r="H18" s="51">
        <v>63.14</v>
      </c>
      <c r="I18" s="51">
        <v>4.96</v>
      </c>
      <c r="J18" s="51">
        <v>1.34</v>
      </c>
      <c r="K18" s="51">
        <v>336.59</v>
      </c>
      <c r="L18" s="51">
        <v>27.75</v>
      </c>
      <c r="M18" s="51">
        <v>53.16</v>
      </c>
      <c r="N18" s="51">
        <v>515.4</v>
      </c>
      <c r="O18" s="51">
        <v>0</v>
      </c>
      <c r="P18" s="51">
        <v>0.96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214</v>
      </c>
      <c r="B19" s="51">
        <v>10.16</v>
      </c>
      <c r="C19" s="51">
        <v>24.43</v>
      </c>
      <c r="D19" s="51">
        <v>19.399999999999999</v>
      </c>
      <c r="E19" s="51">
        <v>6.88</v>
      </c>
      <c r="F19" s="51">
        <v>5.0999999999999996</v>
      </c>
      <c r="G19" s="51">
        <v>129</v>
      </c>
      <c r="H19" s="51">
        <v>53.57</v>
      </c>
      <c r="I19" s="51">
        <v>6.32</v>
      </c>
      <c r="J19" s="51">
        <v>1.53</v>
      </c>
      <c r="K19" s="51">
        <v>355.82</v>
      </c>
      <c r="L19" s="51">
        <v>27.47</v>
      </c>
      <c r="M19" s="51">
        <v>56.79</v>
      </c>
      <c r="N19" s="51">
        <v>603.1</v>
      </c>
      <c r="O19" s="51">
        <v>0</v>
      </c>
      <c r="P19" s="51">
        <v>0.94</v>
      </c>
      <c r="Q19" s="51">
        <v>9.61</v>
      </c>
      <c r="R19" s="43"/>
      <c r="S19" s="43"/>
      <c r="T19" s="43"/>
      <c r="U19" s="43"/>
    </row>
    <row r="20" spans="1:21" s="11" customFormat="1" x14ac:dyDescent="0.25">
      <c r="A20" s="50" t="s">
        <v>215</v>
      </c>
      <c r="B20" s="51">
        <v>4.32</v>
      </c>
      <c r="C20" s="51">
        <v>23.05</v>
      </c>
      <c r="D20" s="51">
        <v>14.13</v>
      </c>
      <c r="E20" s="51">
        <v>6.34</v>
      </c>
      <c r="F20" s="51">
        <v>6.14</v>
      </c>
      <c r="G20" s="51">
        <v>112.49</v>
      </c>
      <c r="H20" s="51">
        <v>50.48</v>
      </c>
      <c r="I20" s="51">
        <v>6.74</v>
      </c>
      <c r="J20" s="51">
        <v>1.1599999999999999</v>
      </c>
      <c r="K20" s="51">
        <v>125.12</v>
      </c>
      <c r="L20" s="51">
        <v>26.37</v>
      </c>
      <c r="M20" s="51">
        <v>55.8</v>
      </c>
      <c r="N20" s="51">
        <v>630.70000000000005</v>
      </c>
      <c r="O20" s="51">
        <v>0</v>
      </c>
      <c r="P20" s="51">
        <v>0.86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216</v>
      </c>
      <c r="B21" s="51">
        <v>2.62</v>
      </c>
      <c r="C21" s="51">
        <v>19.399999999999999</v>
      </c>
      <c r="D21" s="51">
        <v>10.72</v>
      </c>
      <c r="E21" s="51">
        <v>5.85</v>
      </c>
      <c r="F21" s="51">
        <v>6.27</v>
      </c>
      <c r="G21" s="51">
        <v>89.05</v>
      </c>
      <c r="H21" s="51">
        <v>43.41</v>
      </c>
      <c r="I21" s="51">
        <v>6.45</v>
      </c>
      <c r="J21" s="51">
        <v>1.06</v>
      </c>
      <c r="K21" s="51">
        <v>339.82</v>
      </c>
      <c r="L21" s="51">
        <v>27.51</v>
      </c>
      <c r="M21" s="51">
        <v>51.68</v>
      </c>
      <c r="N21" s="51">
        <v>591.29999999999995</v>
      </c>
      <c r="O21" s="51">
        <v>0</v>
      </c>
      <c r="P21" s="51">
        <v>0.69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217</v>
      </c>
      <c r="B22" s="51">
        <v>3.43</v>
      </c>
      <c r="C22" s="51">
        <v>16.98</v>
      </c>
      <c r="D22" s="51">
        <v>10.25</v>
      </c>
      <c r="E22" s="51">
        <v>5.68</v>
      </c>
      <c r="F22" s="51">
        <v>6.4</v>
      </c>
      <c r="G22" s="51">
        <v>72.89</v>
      </c>
      <c r="H22" s="51">
        <v>36.159999999999997</v>
      </c>
      <c r="I22" s="51">
        <v>4.55</v>
      </c>
      <c r="J22" s="51">
        <v>0.63</v>
      </c>
      <c r="K22" s="51">
        <v>355.63</v>
      </c>
      <c r="L22" s="51">
        <v>27.05</v>
      </c>
      <c r="M22" s="51">
        <v>47.8</v>
      </c>
      <c r="N22" s="51">
        <v>378.5</v>
      </c>
      <c r="O22" s="51">
        <v>0</v>
      </c>
      <c r="P22" s="51">
        <v>0.69</v>
      </c>
      <c r="Q22" s="51">
        <v>9.6199999999999992</v>
      </c>
      <c r="R22" s="43"/>
      <c r="S22" s="43"/>
      <c r="T22" s="43"/>
      <c r="U22" s="43"/>
    </row>
    <row r="23" spans="1:21" s="11" customFormat="1" x14ac:dyDescent="0.25">
      <c r="A23" s="50" t="s">
        <v>218</v>
      </c>
      <c r="B23" s="51">
        <v>3.61</v>
      </c>
      <c r="C23" s="51">
        <v>19.72</v>
      </c>
      <c r="D23" s="51">
        <v>11.73</v>
      </c>
      <c r="E23" s="51">
        <v>5.76</v>
      </c>
      <c r="F23" s="51">
        <v>5.78</v>
      </c>
      <c r="G23" s="51">
        <v>72.52</v>
      </c>
      <c r="H23" s="51">
        <v>37.1</v>
      </c>
      <c r="I23" s="51">
        <v>4.96</v>
      </c>
      <c r="J23" s="51">
        <v>0.81</v>
      </c>
      <c r="K23" s="51">
        <v>351.99</v>
      </c>
      <c r="L23" s="51">
        <v>26.86</v>
      </c>
      <c r="M23" s="51">
        <v>47.47</v>
      </c>
      <c r="N23" s="51">
        <v>205.5</v>
      </c>
      <c r="O23" s="51">
        <v>0</v>
      </c>
      <c r="P23" s="51">
        <v>0.65</v>
      </c>
      <c r="Q23" s="51">
        <v>9.6199999999999992</v>
      </c>
      <c r="R23" s="43"/>
      <c r="S23" s="43"/>
      <c r="T23" s="43"/>
      <c r="U23" s="43"/>
    </row>
    <row r="24" spans="1:21" s="11" customFormat="1" x14ac:dyDescent="0.25">
      <c r="A24" s="50" t="s">
        <v>219</v>
      </c>
      <c r="B24" s="51">
        <v>3.17</v>
      </c>
      <c r="C24" s="51">
        <v>19.54</v>
      </c>
      <c r="D24" s="51">
        <v>11.38</v>
      </c>
      <c r="E24" s="51">
        <v>5.9</v>
      </c>
      <c r="F24" s="51">
        <v>5.8</v>
      </c>
      <c r="G24" s="51">
        <v>75.41</v>
      </c>
      <c r="H24" s="51">
        <v>35.6</v>
      </c>
      <c r="I24" s="51">
        <v>4.76</v>
      </c>
      <c r="J24" s="51">
        <v>1.17</v>
      </c>
      <c r="K24" s="51">
        <v>113.19</v>
      </c>
      <c r="L24" s="51">
        <v>25.1</v>
      </c>
      <c r="M24" s="51">
        <v>49.03</v>
      </c>
      <c r="N24" s="51">
        <v>126.6</v>
      </c>
      <c r="O24" s="51">
        <v>0</v>
      </c>
      <c r="P24" s="51">
        <v>0.61</v>
      </c>
      <c r="Q24" s="51">
        <v>9.6199999999999992</v>
      </c>
      <c r="R24" s="43"/>
      <c r="S24" s="43"/>
      <c r="T24" s="43"/>
      <c r="U24" s="43"/>
    </row>
    <row r="25" spans="1:21" s="11" customFormat="1" x14ac:dyDescent="0.25">
      <c r="A25" s="50" t="s">
        <v>220</v>
      </c>
      <c r="B25" s="51">
        <v>3.63</v>
      </c>
      <c r="C25" s="51">
        <v>18.78</v>
      </c>
      <c r="D25" s="51">
        <v>10.74</v>
      </c>
      <c r="E25" s="51">
        <v>4.9800000000000004</v>
      </c>
      <c r="F25" s="51">
        <v>7.38</v>
      </c>
      <c r="G25" s="51">
        <v>69.89</v>
      </c>
      <c r="H25" s="51">
        <v>25.61</v>
      </c>
      <c r="I25" s="51">
        <v>4.33</v>
      </c>
      <c r="J25" s="51">
        <v>0.6</v>
      </c>
      <c r="K25" s="51">
        <v>352.95</v>
      </c>
      <c r="L25" s="51">
        <v>24.23</v>
      </c>
      <c r="M25" s="51">
        <v>56.23</v>
      </c>
      <c r="N25" s="51">
        <v>71.099999999999994</v>
      </c>
      <c r="O25" s="51">
        <v>0</v>
      </c>
      <c r="P25" s="51">
        <v>0.9</v>
      </c>
      <c r="Q25" s="51">
        <v>9.6199999999999992</v>
      </c>
      <c r="R25" s="43"/>
      <c r="S25" s="43"/>
      <c r="T25" s="43"/>
      <c r="U25" s="43"/>
    </row>
    <row r="26" spans="1:21" s="11" customFormat="1" x14ac:dyDescent="0.25">
      <c r="A26" s="50" t="s">
        <v>221</v>
      </c>
      <c r="B26" s="51">
        <v>4.5</v>
      </c>
      <c r="C26" s="51">
        <v>19.48</v>
      </c>
      <c r="D26" s="51">
        <v>12.41</v>
      </c>
      <c r="E26" s="51">
        <v>4.66</v>
      </c>
      <c r="F26" s="51">
        <v>6.72</v>
      </c>
      <c r="G26" s="51">
        <v>64.48</v>
      </c>
      <c r="H26" s="51">
        <v>26.97</v>
      </c>
      <c r="I26" s="51">
        <v>3.72</v>
      </c>
      <c r="J26" s="51">
        <v>0.59</v>
      </c>
      <c r="K26" s="51">
        <v>96.49</v>
      </c>
      <c r="L26" s="51">
        <v>23.34</v>
      </c>
      <c r="M26" s="51">
        <v>58.47</v>
      </c>
      <c r="N26" s="51">
        <v>34.5</v>
      </c>
      <c r="O26" s="51">
        <v>0</v>
      </c>
      <c r="P26" s="51">
        <v>1.1499999999999999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222</v>
      </c>
      <c r="B27" s="51">
        <v>15.17</v>
      </c>
      <c r="C27" s="51">
        <v>23.87</v>
      </c>
      <c r="D27" s="51">
        <v>23.26</v>
      </c>
      <c r="E27" s="51">
        <v>5.32</v>
      </c>
      <c r="F27" s="51">
        <v>4.9000000000000004</v>
      </c>
      <c r="G27" s="51">
        <v>74.03</v>
      </c>
      <c r="H27" s="51">
        <v>34.71</v>
      </c>
      <c r="I27" s="51">
        <v>7.02</v>
      </c>
      <c r="J27" s="51">
        <v>0.53</v>
      </c>
      <c r="K27" s="51">
        <v>349.49</v>
      </c>
      <c r="L27" s="51">
        <v>21.91</v>
      </c>
      <c r="M27" s="51">
        <v>70.27</v>
      </c>
      <c r="N27" s="51">
        <v>26.2</v>
      </c>
      <c r="O27" s="51">
        <v>0</v>
      </c>
      <c r="P27" s="51">
        <v>1.53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223</v>
      </c>
      <c r="B28" s="51">
        <v>29.72</v>
      </c>
      <c r="C28" s="51">
        <v>25.53</v>
      </c>
      <c r="D28" s="51">
        <v>35.799999999999997</v>
      </c>
      <c r="E28" s="51">
        <v>7.07</v>
      </c>
      <c r="F28" s="51">
        <v>4.93</v>
      </c>
      <c r="G28" s="51">
        <v>91.32</v>
      </c>
      <c r="H28" s="51">
        <v>38.39</v>
      </c>
      <c r="I28" s="51">
        <v>8.48</v>
      </c>
      <c r="J28" s="51">
        <v>0.56000000000000005</v>
      </c>
      <c r="K28" s="51">
        <v>345.63</v>
      </c>
      <c r="L28" s="51">
        <v>20.51</v>
      </c>
      <c r="M28" s="51">
        <v>78.19</v>
      </c>
      <c r="N28" s="51">
        <v>26.1</v>
      </c>
      <c r="O28" s="51">
        <v>0</v>
      </c>
      <c r="P28" s="51">
        <v>1.98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224</v>
      </c>
      <c r="B29" s="51">
        <v>36.42</v>
      </c>
      <c r="C29" s="51">
        <v>25.79</v>
      </c>
      <c r="D29" s="51">
        <v>40.1</v>
      </c>
      <c r="E29" s="51">
        <v>6.61</v>
      </c>
      <c r="F29" s="51">
        <v>4.42</v>
      </c>
      <c r="G29" s="51">
        <v>97.47</v>
      </c>
      <c r="H29" s="51">
        <v>48.07</v>
      </c>
      <c r="I29" s="51">
        <v>9.89</v>
      </c>
      <c r="J29" s="51">
        <v>0.48</v>
      </c>
      <c r="K29" s="51">
        <v>101.8</v>
      </c>
      <c r="L29" s="51">
        <v>20.39</v>
      </c>
      <c r="M29" s="51">
        <v>71.239999999999995</v>
      </c>
      <c r="N29" s="51">
        <v>25.9</v>
      </c>
      <c r="O29" s="51">
        <v>0</v>
      </c>
      <c r="P29" s="51">
        <v>2.31</v>
      </c>
      <c r="Q29" s="51">
        <v>9.65</v>
      </c>
      <c r="R29" s="43"/>
      <c r="S29" s="43"/>
      <c r="T29" s="43"/>
      <c r="U29" s="43"/>
    </row>
    <row r="30" spans="1:21" s="11" customFormat="1" x14ac:dyDescent="0.25">
      <c r="A30" s="50" t="s">
        <v>225</v>
      </c>
      <c r="B30" s="51">
        <v>37.92</v>
      </c>
      <c r="C30" s="51">
        <v>23.39</v>
      </c>
      <c r="D30" s="51">
        <v>41.14</v>
      </c>
      <c r="E30" s="51">
        <v>5.58</v>
      </c>
      <c r="F30" s="51">
        <v>4.5199999999999996</v>
      </c>
      <c r="G30" s="51">
        <v>99.58</v>
      </c>
      <c r="H30" s="51">
        <v>49.18</v>
      </c>
      <c r="I30" s="51">
        <v>9.1300000000000008</v>
      </c>
      <c r="J30" s="51">
        <v>0.5</v>
      </c>
      <c r="K30" s="51">
        <v>72.27</v>
      </c>
      <c r="L30" s="51">
        <v>20.11</v>
      </c>
      <c r="M30" s="51">
        <v>71.540000000000006</v>
      </c>
      <c r="N30" s="51">
        <v>26</v>
      </c>
      <c r="O30" s="51">
        <v>0</v>
      </c>
      <c r="P30" s="51">
        <v>1.76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226</v>
      </c>
      <c r="B31" s="51">
        <v>35.67</v>
      </c>
      <c r="C31" s="51">
        <v>23.74</v>
      </c>
      <c r="D31" s="51">
        <v>38.39</v>
      </c>
      <c r="E31" s="51">
        <v>5</v>
      </c>
      <c r="F31" s="51">
        <v>4.58</v>
      </c>
      <c r="G31" s="51">
        <v>98.34</v>
      </c>
      <c r="H31" s="51">
        <v>46.81</v>
      </c>
      <c r="I31" s="51">
        <v>6.98</v>
      </c>
      <c r="J31" s="51">
        <v>0.49</v>
      </c>
      <c r="K31" s="51">
        <v>348.64</v>
      </c>
      <c r="L31" s="51">
        <v>19.850000000000001</v>
      </c>
      <c r="M31" s="51">
        <v>75.650000000000006</v>
      </c>
      <c r="N31" s="51">
        <v>26.1</v>
      </c>
      <c r="O31" s="51">
        <v>0</v>
      </c>
      <c r="P31" s="51">
        <v>1.58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227</v>
      </c>
      <c r="B32" s="51">
        <v>35.380000000000003</v>
      </c>
      <c r="C32" s="51">
        <v>25.55</v>
      </c>
      <c r="D32" s="51">
        <v>40.31</v>
      </c>
      <c r="E32" s="51">
        <v>5.01</v>
      </c>
      <c r="F32" s="51">
        <v>4.28</v>
      </c>
      <c r="G32" s="51">
        <v>94.24</v>
      </c>
      <c r="H32" s="51">
        <v>49.51</v>
      </c>
      <c r="I32" s="51">
        <v>7.41</v>
      </c>
      <c r="J32" s="51">
        <v>0.57999999999999996</v>
      </c>
      <c r="K32" s="51">
        <v>311.89999999999998</v>
      </c>
      <c r="L32" s="51">
        <v>19.09</v>
      </c>
      <c r="M32" s="51">
        <v>83.56</v>
      </c>
      <c r="N32" s="51">
        <v>26.1</v>
      </c>
      <c r="O32" s="51">
        <v>0</v>
      </c>
      <c r="P32" s="51">
        <v>1.52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2.62</v>
      </c>
      <c r="C34" s="28">
        <f t="shared" si="0"/>
        <v>15.74</v>
      </c>
      <c r="D34" s="28">
        <f t="shared" si="0"/>
        <v>9.44</v>
      </c>
      <c r="E34" s="28">
        <f t="shared" si="0"/>
        <v>4.66</v>
      </c>
      <c r="F34" s="28">
        <f t="shared" si="0"/>
        <v>4.24</v>
      </c>
      <c r="G34" s="28">
        <f t="shared" si="0"/>
        <v>64.48</v>
      </c>
      <c r="H34" s="28">
        <f t="shared" si="0"/>
        <v>25.61</v>
      </c>
      <c r="I34" s="28">
        <f t="shared" si="0"/>
        <v>3.72</v>
      </c>
      <c r="J34" s="28">
        <f t="shared" si="0"/>
        <v>0.48</v>
      </c>
      <c r="K34" s="28">
        <f t="shared" si="0"/>
        <v>72.27</v>
      </c>
      <c r="L34" s="28">
        <f t="shared" si="0"/>
        <v>16.420000000000002</v>
      </c>
      <c r="M34" s="28">
        <f t="shared" si="0"/>
        <v>47.47</v>
      </c>
      <c r="N34" s="28">
        <f t="shared" si="0"/>
        <v>25.9</v>
      </c>
      <c r="O34" s="28">
        <f t="shared" si="0"/>
        <v>0</v>
      </c>
      <c r="P34" s="28">
        <f t="shared" si="0"/>
        <v>0.61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37.92</v>
      </c>
      <c r="C35" s="29">
        <f t="shared" si="1"/>
        <v>25.79</v>
      </c>
      <c r="D35" s="29">
        <f t="shared" si="1"/>
        <v>41.14</v>
      </c>
      <c r="E35" s="29">
        <f t="shared" si="1"/>
        <v>8.36</v>
      </c>
      <c r="F35" s="29">
        <f t="shared" si="1"/>
        <v>7.38</v>
      </c>
      <c r="G35" s="29">
        <f t="shared" si="1"/>
        <v>150.49</v>
      </c>
      <c r="H35" s="29">
        <f t="shared" si="1"/>
        <v>102.08</v>
      </c>
      <c r="I35" s="29">
        <f t="shared" si="1"/>
        <v>9.89</v>
      </c>
      <c r="J35" s="29">
        <f t="shared" si="1"/>
        <v>1.53</v>
      </c>
      <c r="K35" s="29">
        <f t="shared" si="1"/>
        <v>357.84</v>
      </c>
      <c r="L35" s="29">
        <f t="shared" si="1"/>
        <v>27.75</v>
      </c>
      <c r="M35" s="29">
        <f t="shared" si="1"/>
        <v>100.59</v>
      </c>
      <c r="N35" s="29">
        <f t="shared" si="1"/>
        <v>630.70000000000005</v>
      </c>
      <c r="O35" s="29">
        <f t="shared" si="1"/>
        <v>0</v>
      </c>
      <c r="P35" s="29">
        <f t="shared" si="1"/>
        <v>2.31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12.860000000000001</v>
      </c>
      <c r="C36" s="28">
        <f t="shared" si="2"/>
        <v>20.842916666666671</v>
      </c>
      <c r="D36" s="28">
        <f t="shared" si="2"/>
        <v>19.627500000000001</v>
      </c>
      <c r="E36" s="28">
        <f t="shared" si="2"/>
        <v>6.1733333333333329</v>
      </c>
      <c r="F36" s="28">
        <f t="shared" si="2"/>
        <v>5.2500000000000009</v>
      </c>
      <c r="G36" s="28">
        <f t="shared" si="2"/>
        <v>100.85916666666667</v>
      </c>
      <c r="H36" s="28">
        <f t="shared" si="2"/>
        <v>52.711666666666673</v>
      </c>
      <c r="I36" s="28">
        <f t="shared" si="2"/>
        <v>5.8533333333333326</v>
      </c>
      <c r="J36" s="28">
        <f t="shared" si="2"/>
        <v>0.80499999999999983</v>
      </c>
      <c r="K36" s="28">
        <f t="shared" si="2"/>
        <v>287.46249999999998</v>
      </c>
      <c r="L36" s="28">
        <f t="shared" si="2"/>
        <v>22.03166666666667</v>
      </c>
      <c r="M36" s="28">
        <f t="shared" si="2"/>
        <v>72.35541666666667</v>
      </c>
      <c r="N36" s="28">
        <f t="shared" si="2"/>
        <v>173.55833333333337</v>
      </c>
      <c r="O36" s="28">
        <f t="shared" si="2"/>
        <v>0</v>
      </c>
      <c r="P36" s="28">
        <f t="shared" si="2"/>
        <v>1.0487499999999998</v>
      </c>
      <c r="Q36" s="28">
        <f t="shared" si="2"/>
        <v>9.6295833333333309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12.462097318076815</v>
      </c>
      <c r="C37" s="28">
        <f t="shared" ref="C37:Q37" si="3">STDEV(C9:C32)</f>
        <v>3.2472496444872863</v>
      </c>
      <c r="D37" s="28">
        <f t="shared" si="3"/>
        <v>11.170406652517567</v>
      </c>
      <c r="E37" s="28">
        <f t="shared" si="3"/>
        <v>1.0688826619080023</v>
      </c>
      <c r="F37" s="28">
        <f t="shared" si="3"/>
        <v>0.86739490028675548</v>
      </c>
      <c r="G37" s="28">
        <f t="shared" si="3"/>
        <v>25.773503231818914</v>
      </c>
      <c r="H37" s="28">
        <f t="shared" si="3"/>
        <v>20.008366438473438</v>
      </c>
      <c r="I37" s="28">
        <f t="shared" si="3"/>
        <v>1.6208979440197757</v>
      </c>
      <c r="J37" s="28">
        <f t="shared" si="3"/>
        <v>0.32740083131816589</v>
      </c>
      <c r="K37" s="28">
        <f t="shared" si="3"/>
        <v>99.458054748460839</v>
      </c>
      <c r="L37" s="28">
        <f t="shared" si="3"/>
        <v>3.973057815561817</v>
      </c>
      <c r="M37" s="28">
        <f t="shared" si="3"/>
        <v>18.415594520893741</v>
      </c>
      <c r="N37" s="28">
        <f t="shared" si="3"/>
        <v>217.37785159100002</v>
      </c>
      <c r="O37" s="28">
        <f t="shared" si="3"/>
        <v>0</v>
      </c>
      <c r="P37" s="28">
        <f t="shared" si="3"/>
        <v>0.47402359600047084</v>
      </c>
      <c r="Q37" s="28">
        <f t="shared" si="3"/>
        <v>8.5867272029556355E-3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228</v>
      </c>
      <c r="B9" s="51">
        <v>34.01</v>
      </c>
      <c r="C9" s="51">
        <v>25.5</v>
      </c>
      <c r="D9" s="51">
        <v>39.22</v>
      </c>
      <c r="E9" s="51">
        <v>5.47</v>
      </c>
      <c r="F9" s="51">
        <v>4.3</v>
      </c>
      <c r="G9" s="51">
        <v>97.29</v>
      </c>
      <c r="H9" s="51">
        <v>45.58</v>
      </c>
      <c r="I9" s="51">
        <v>7.18</v>
      </c>
      <c r="J9" s="51">
        <v>0.56999999999999995</v>
      </c>
      <c r="K9" s="51">
        <v>337.19</v>
      </c>
      <c r="L9" s="51">
        <v>18.02</v>
      </c>
      <c r="M9" s="51">
        <v>91.23</v>
      </c>
      <c r="N9" s="51">
        <v>26.1</v>
      </c>
      <c r="O9" s="51">
        <v>0</v>
      </c>
      <c r="P9" s="51">
        <v>1.43</v>
      </c>
      <c r="Q9" s="51">
        <v>9.68</v>
      </c>
      <c r="R9" s="43"/>
      <c r="S9" s="43"/>
      <c r="T9" s="43"/>
      <c r="U9" s="43"/>
    </row>
    <row r="10" spans="1:21" s="11" customFormat="1" x14ac:dyDescent="0.25">
      <c r="A10" s="50" t="s">
        <v>229</v>
      </c>
      <c r="B10" s="51">
        <v>29.38</v>
      </c>
      <c r="C10" s="51">
        <v>20.76</v>
      </c>
      <c r="D10" s="51">
        <v>33.03</v>
      </c>
      <c r="E10" s="51">
        <v>5.31</v>
      </c>
      <c r="F10" s="51">
        <v>4.2</v>
      </c>
      <c r="G10" s="51">
        <v>98.73</v>
      </c>
      <c r="H10" s="51">
        <v>44.21</v>
      </c>
      <c r="I10" s="51">
        <v>5.66</v>
      </c>
      <c r="J10" s="51">
        <v>0.57999999999999996</v>
      </c>
      <c r="K10" s="51">
        <v>323.18</v>
      </c>
      <c r="L10" s="51">
        <v>17.649999999999999</v>
      </c>
      <c r="M10" s="51">
        <v>94.96</v>
      </c>
      <c r="N10" s="51">
        <v>26.1</v>
      </c>
      <c r="O10" s="51">
        <v>0</v>
      </c>
      <c r="P10" s="51">
        <v>1.1100000000000001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230</v>
      </c>
      <c r="B11" s="51">
        <v>26.04</v>
      </c>
      <c r="C11" s="51">
        <v>17.510000000000002</v>
      </c>
      <c r="D11" s="51">
        <v>28.65</v>
      </c>
      <c r="E11" s="51">
        <v>6.41</v>
      </c>
      <c r="F11" s="51">
        <v>4.2300000000000004</v>
      </c>
      <c r="G11" s="51">
        <v>97.63</v>
      </c>
      <c r="H11" s="51">
        <v>48.46</v>
      </c>
      <c r="I11" s="51">
        <v>7.4</v>
      </c>
      <c r="J11" s="51">
        <v>0.55000000000000004</v>
      </c>
      <c r="K11" s="51">
        <v>352.34</v>
      </c>
      <c r="L11" s="51">
        <v>16.940000000000001</v>
      </c>
      <c r="M11" s="51">
        <v>102.6</v>
      </c>
      <c r="N11" s="51">
        <v>26.1</v>
      </c>
      <c r="O11" s="51">
        <v>0</v>
      </c>
      <c r="P11" s="51">
        <v>1.1399999999999999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231</v>
      </c>
      <c r="B12" s="51">
        <v>22.99</v>
      </c>
      <c r="C12" s="51">
        <v>16.5</v>
      </c>
      <c r="D12" s="51">
        <v>25.68</v>
      </c>
      <c r="E12" s="51">
        <v>8.02</v>
      </c>
      <c r="F12" s="51">
        <v>4.2300000000000004</v>
      </c>
      <c r="G12" s="51">
        <v>104.37</v>
      </c>
      <c r="H12" s="51">
        <v>50.91</v>
      </c>
      <c r="I12" s="51">
        <v>7.35</v>
      </c>
      <c r="J12" s="51">
        <v>0.57999999999999996</v>
      </c>
      <c r="K12" s="51">
        <v>301.43</v>
      </c>
      <c r="L12" s="51">
        <v>16.12</v>
      </c>
      <c r="M12" s="51">
        <v>102.79</v>
      </c>
      <c r="N12" s="51">
        <v>26</v>
      </c>
      <c r="O12" s="51">
        <v>0</v>
      </c>
      <c r="P12" s="51">
        <v>1.1100000000000001</v>
      </c>
      <c r="Q12" s="51">
        <v>9.6199999999999992</v>
      </c>
      <c r="R12" s="43"/>
      <c r="S12" s="43"/>
      <c r="T12" s="43"/>
      <c r="U12" s="43"/>
    </row>
    <row r="13" spans="1:21" s="11" customFormat="1" x14ac:dyDescent="0.25">
      <c r="A13" s="50" t="s">
        <v>232</v>
      </c>
      <c r="B13" s="51">
        <v>22.36</v>
      </c>
      <c r="C13" s="51">
        <v>16.96</v>
      </c>
      <c r="D13" s="51">
        <v>24.79</v>
      </c>
      <c r="E13" s="51">
        <v>8.02</v>
      </c>
      <c r="F13" s="51">
        <v>4.18</v>
      </c>
      <c r="G13" s="51">
        <v>102.38</v>
      </c>
      <c r="H13" s="51">
        <v>51.65</v>
      </c>
      <c r="I13" s="51">
        <v>7.33</v>
      </c>
      <c r="J13" s="51">
        <v>0.55000000000000004</v>
      </c>
      <c r="K13" s="51">
        <v>322.88</v>
      </c>
      <c r="L13" s="51">
        <v>15.85</v>
      </c>
      <c r="M13" s="51">
        <v>102.8</v>
      </c>
      <c r="N13" s="51">
        <v>25.9</v>
      </c>
      <c r="O13" s="51">
        <v>0</v>
      </c>
      <c r="P13" s="51">
        <v>1.01</v>
      </c>
      <c r="Q13" s="51">
        <v>9.6300000000000008</v>
      </c>
      <c r="R13" s="43"/>
      <c r="S13" s="43"/>
      <c r="T13" s="43"/>
      <c r="U13" s="43"/>
    </row>
    <row r="14" spans="1:21" s="11" customFormat="1" x14ac:dyDescent="0.25">
      <c r="A14" s="50" t="s">
        <v>233</v>
      </c>
      <c r="B14" s="51">
        <v>26.91</v>
      </c>
      <c r="C14" s="51">
        <v>14.96</v>
      </c>
      <c r="D14" s="51">
        <v>27.64</v>
      </c>
      <c r="E14" s="51">
        <v>7.06</v>
      </c>
      <c r="F14" s="51">
        <v>4.01</v>
      </c>
      <c r="G14" s="51">
        <v>105.29</v>
      </c>
      <c r="H14" s="51">
        <v>48.05</v>
      </c>
      <c r="I14" s="51">
        <v>7.08</v>
      </c>
      <c r="J14" s="51">
        <v>0.6</v>
      </c>
      <c r="K14" s="51">
        <v>330.71</v>
      </c>
      <c r="L14" s="51">
        <v>16.12</v>
      </c>
      <c r="M14" s="51">
        <v>102.79</v>
      </c>
      <c r="N14" s="51">
        <v>26.2</v>
      </c>
      <c r="O14" s="51">
        <v>0</v>
      </c>
      <c r="P14" s="51">
        <v>0.98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234</v>
      </c>
      <c r="B15" s="51">
        <v>41.27</v>
      </c>
      <c r="C15" s="51">
        <v>14.86</v>
      </c>
      <c r="D15" s="51">
        <v>39.479999999999997</v>
      </c>
      <c r="E15" s="51">
        <v>7.37</v>
      </c>
      <c r="F15" s="51">
        <v>4.1500000000000004</v>
      </c>
      <c r="G15" s="51">
        <v>107.99</v>
      </c>
      <c r="H15" s="51">
        <v>50.15</v>
      </c>
      <c r="I15" s="51">
        <v>6.45</v>
      </c>
      <c r="J15" s="51">
        <v>0.56000000000000005</v>
      </c>
      <c r="K15" s="51">
        <v>348.27</v>
      </c>
      <c r="L15" s="51">
        <v>16.53</v>
      </c>
      <c r="M15" s="51">
        <v>102.83</v>
      </c>
      <c r="N15" s="51">
        <v>67.2</v>
      </c>
      <c r="O15" s="51">
        <v>0</v>
      </c>
      <c r="P15" s="51">
        <v>0.96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235</v>
      </c>
      <c r="B16" s="51">
        <v>42.52</v>
      </c>
      <c r="C16" s="51">
        <v>18.91</v>
      </c>
      <c r="D16" s="51">
        <v>40.729999999999997</v>
      </c>
      <c r="E16" s="51">
        <v>7.64</v>
      </c>
      <c r="F16" s="51">
        <v>4.46</v>
      </c>
      <c r="G16" s="51">
        <v>113.22</v>
      </c>
      <c r="H16" s="51">
        <v>51.08</v>
      </c>
      <c r="I16" s="51">
        <v>6.82</v>
      </c>
      <c r="J16" s="51">
        <v>1.05</v>
      </c>
      <c r="K16" s="51">
        <v>341.71</v>
      </c>
      <c r="L16" s="51">
        <v>22.39</v>
      </c>
      <c r="M16" s="51">
        <v>96.34</v>
      </c>
      <c r="N16" s="51">
        <v>229.8</v>
      </c>
      <c r="O16" s="51">
        <v>0</v>
      </c>
      <c r="P16" s="51">
        <v>1.05</v>
      </c>
      <c r="Q16" s="51">
        <v>9.66</v>
      </c>
      <c r="R16" s="43"/>
      <c r="S16" s="43"/>
      <c r="T16" s="43"/>
      <c r="U16" s="43"/>
    </row>
    <row r="17" spans="1:21" s="11" customFormat="1" x14ac:dyDescent="0.25">
      <c r="A17" s="50" t="s">
        <v>236</v>
      </c>
      <c r="B17" s="51">
        <v>39.57</v>
      </c>
      <c r="C17" s="51">
        <v>23.96</v>
      </c>
      <c r="D17" s="51">
        <v>41.2</v>
      </c>
      <c r="E17" s="51">
        <v>6.57</v>
      </c>
      <c r="F17" s="51">
        <v>4.62</v>
      </c>
      <c r="G17" s="51">
        <v>113.27</v>
      </c>
      <c r="H17" s="51">
        <v>56.03</v>
      </c>
      <c r="I17" s="51">
        <v>6.71</v>
      </c>
      <c r="J17" s="51">
        <v>1.04</v>
      </c>
      <c r="K17" s="51">
        <v>342.24</v>
      </c>
      <c r="L17" s="51">
        <v>26.54</v>
      </c>
      <c r="M17" s="51">
        <v>66.72</v>
      </c>
      <c r="N17" s="51">
        <v>389.2</v>
      </c>
      <c r="O17" s="51">
        <v>0</v>
      </c>
      <c r="P17" s="51">
        <v>1.06</v>
      </c>
      <c r="Q17" s="51">
        <v>9.65</v>
      </c>
      <c r="R17" s="43"/>
      <c r="S17" s="43"/>
      <c r="T17" s="43"/>
      <c r="U17" s="43"/>
    </row>
    <row r="18" spans="1:21" s="11" customFormat="1" x14ac:dyDescent="0.25">
      <c r="A18" s="50" t="s">
        <v>237</v>
      </c>
      <c r="B18" s="51">
        <v>34.14</v>
      </c>
      <c r="C18" s="51">
        <v>23.3</v>
      </c>
      <c r="D18" s="51">
        <v>37.799999999999997</v>
      </c>
      <c r="E18" s="51">
        <v>6.88</v>
      </c>
      <c r="F18" s="51">
        <v>4.41</v>
      </c>
      <c r="G18" s="51">
        <v>115.28</v>
      </c>
      <c r="H18" s="51">
        <v>57.5</v>
      </c>
      <c r="I18" s="51">
        <v>6.43</v>
      </c>
      <c r="J18" s="51">
        <v>1.25</v>
      </c>
      <c r="K18" s="51">
        <v>356.16</v>
      </c>
      <c r="L18" s="51">
        <v>28.08</v>
      </c>
      <c r="M18" s="51">
        <v>56.84</v>
      </c>
      <c r="N18" s="51">
        <v>548.1</v>
      </c>
      <c r="O18" s="51">
        <v>0</v>
      </c>
      <c r="P18" s="51">
        <v>1.04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238</v>
      </c>
      <c r="B19" s="51">
        <v>27.58</v>
      </c>
      <c r="C19" s="51">
        <v>24.14</v>
      </c>
      <c r="D19" s="51">
        <v>32.83</v>
      </c>
      <c r="E19" s="51">
        <v>6.22</v>
      </c>
      <c r="F19" s="51">
        <v>4.83</v>
      </c>
      <c r="G19" s="51">
        <v>115.13</v>
      </c>
      <c r="H19" s="51">
        <v>56.21</v>
      </c>
      <c r="I19" s="51">
        <v>7.07</v>
      </c>
      <c r="J19" s="51">
        <v>1.57</v>
      </c>
      <c r="K19" s="51">
        <v>119.05</v>
      </c>
      <c r="L19" s="51">
        <v>25.81</v>
      </c>
      <c r="M19" s="51">
        <v>60.05</v>
      </c>
      <c r="N19" s="51">
        <v>646.29999999999995</v>
      </c>
      <c r="O19" s="51">
        <v>0</v>
      </c>
      <c r="P19" s="51">
        <v>0.97</v>
      </c>
      <c r="Q19" s="51">
        <v>9.64</v>
      </c>
      <c r="R19" s="43"/>
      <c r="S19" s="43"/>
      <c r="T19" s="43"/>
      <c r="U19" s="43"/>
    </row>
    <row r="20" spans="1:21" s="11" customFormat="1" x14ac:dyDescent="0.25">
      <c r="A20" s="50" t="s">
        <v>239</v>
      </c>
      <c r="B20" s="51">
        <v>9.36</v>
      </c>
      <c r="C20" s="51">
        <v>32.61</v>
      </c>
      <c r="D20" s="51">
        <v>22.03</v>
      </c>
      <c r="E20" s="51">
        <v>7.42</v>
      </c>
      <c r="F20" s="51">
        <v>8.06</v>
      </c>
      <c r="G20" s="51">
        <v>83.35</v>
      </c>
      <c r="H20" s="51">
        <v>47</v>
      </c>
      <c r="I20" s="51">
        <v>7.81</v>
      </c>
      <c r="J20" s="51">
        <v>1.64</v>
      </c>
      <c r="K20" s="51">
        <v>114.04</v>
      </c>
      <c r="L20" s="51">
        <v>25.49</v>
      </c>
      <c r="M20" s="51">
        <v>56.52</v>
      </c>
      <c r="N20" s="51">
        <v>740.7</v>
      </c>
      <c r="O20" s="51">
        <v>0</v>
      </c>
      <c r="P20" s="51">
        <v>0.81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240</v>
      </c>
      <c r="B21" s="51">
        <v>2.5</v>
      </c>
      <c r="C21" s="51">
        <v>23.12</v>
      </c>
      <c r="D21" s="51">
        <v>12.25</v>
      </c>
      <c r="E21" s="51">
        <v>7.16</v>
      </c>
      <c r="F21" s="51">
        <v>10.73</v>
      </c>
      <c r="G21" s="51">
        <v>88.06</v>
      </c>
      <c r="H21" s="51">
        <v>42.1</v>
      </c>
      <c r="I21" s="51">
        <v>6.36</v>
      </c>
      <c r="J21" s="51">
        <v>1.67</v>
      </c>
      <c r="K21" s="51">
        <v>353.21</v>
      </c>
      <c r="L21" s="51">
        <v>28.13</v>
      </c>
      <c r="M21" s="51">
        <v>47.76</v>
      </c>
      <c r="N21" s="51">
        <v>632.9</v>
      </c>
      <c r="O21" s="51">
        <v>0</v>
      </c>
      <c r="P21" s="51">
        <v>0.61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241</v>
      </c>
      <c r="B22" s="51">
        <v>3.47</v>
      </c>
      <c r="C22" s="51">
        <v>25.6</v>
      </c>
      <c r="D22" s="51">
        <v>14.52</v>
      </c>
      <c r="E22" s="51">
        <v>7.22</v>
      </c>
      <c r="F22" s="51">
        <v>11.6</v>
      </c>
      <c r="G22" s="51">
        <v>83.46</v>
      </c>
      <c r="H22" s="51">
        <v>40.4</v>
      </c>
      <c r="I22" s="51">
        <v>5.29</v>
      </c>
      <c r="J22" s="51">
        <v>1.59</v>
      </c>
      <c r="K22" s="51">
        <v>328.45</v>
      </c>
      <c r="L22" s="51">
        <v>29.55</v>
      </c>
      <c r="M22" s="51">
        <v>40.72</v>
      </c>
      <c r="N22" s="51">
        <v>473.4</v>
      </c>
      <c r="O22" s="51">
        <v>0</v>
      </c>
      <c r="P22" s="51">
        <v>0.62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242</v>
      </c>
      <c r="B23" s="51">
        <v>1.84</v>
      </c>
      <c r="C23" s="51">
        <v>19.079999999999998</v>
      </c>
      <c r="D23" s="51">
        <v>10.01</v>
      </c>
      <c r="E23" s="51">
        <v>8.3000000000000007</v>
      </c>
      <c r="F23" s="51">
        <v>29.24</v>
      </c>
      <c r="G23" s="51">
        <v>92.57</v>
      </c>
      <c r="H23" s="51">
        <v>37.39</v>
      </c>
      <c r="I23" s="51">
        <v>2.59</v>
      </c>
      <c r="J23" s="51">
        <v>1</v>
      </c>
      <c r="K23" s="51">
        <v>323.02</v>
      </c>
      <c r="L23" s="51">
        <v>26.21</v>
      </c>
      <c r="M23" s="51">
        <v>40.85</v>
      </c>
      <c r="N23" s="51">
        <v>170.6</v>
      </c>
      <c r="O23" s="51">
        <v>0</v>
      </c>
      <c r="P23" s="51">
        <v>0.48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243</v>
      </c>
      <c r="B24" s="51">
        <v>2.2200000000000002</v>
      </c>
      <c r="C24" s="51">
        <v>20</v>
      </c>
      <c r="D24" s="51">
        <v>10.51</v>
      </c>
      <c r="E24" s="51">
        <v>7.34</v>
      </c>
      <c r="F24" s="51">
        <v>11.19</v>
      </c>
      <c r="G24" s="51">
        <v>82.23</v>
      </c>
      <c r="H24" s="51">
        <v>36.82</v>
      </c>
      <c r="I24" s="51">
        <v>2.99</v>
      </c>
      <c r="J24" s="51">
        <v>0.82</v>
      </c>
      <c r="K24" s="51">
        <v>331.86</v>
      </c>
      <c r="L24" s="51">
        <v>26.34</v>
      </c>
      <c r="M24" s="51">
        <v>42.44</v>
      </c>
      <c r="N24" s="51">
        <v>120.7</v>
      </c>
      <c r="O24" s="51">
        <v>0</v>
      </c>
      <c r="P24" s="51">
        <v>0.55000000000000004</v>
      </c>
      <c r="Q24" s="51">
        <v>9.6199999999999992</v>
      </c>
      <c r="R24" s="43"/>
      <c r="S24" s="43"/>
      <c r="T24" s="43"/>
      <c r="U24" s="43"/>
    </row>
    <row r="25" spans="1:21" s="11" customFormat="1" x14ac:dyDescent="0.25">
      <c r="A25" s="50" t="s">
        <v>244</v>
      </c>
      <c r="B25" s="51">
        <v>2.75</v>
      </c>
      <c r="C25" s="51">
        <v>21.83</v>
      </c>
      <c r="D25" s="51">
        <v>12.23</v>
      </c>
      <c r="E25" s="51">
        <v>7.19</v>
      </c>
      <c r="F25" s="51">
        <v>7.95</v>
      </c>
      <c r="G25" s="51">
        <v>66.180000000000007</v>
      </c>
      <c r="H25" s="51">
        <v>33.97</v>
      </c>
      <c r="I25" s="51">
        <v>2.57</v>
      </c>
      <c r="J25" s="51">
        <v>0.88</v>
      </c>
      <c r="K25" s="51">
        <v>325.35000000000002</v>
      </c>
      <c r="L25" s="51">
        <v>25.06</v>
      </c>
      <c r="M25" s="51">
        <v>45.14</v>
      </c>
      <c r="N25" s="51">
        <v>80.7</v>
      </c>
      <c r="O25" s="51">
        <v>0</v>
      </c>
      <c r="P25" s="51">
        <v>0.62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245</v>
      </c>
      <c r="B26" s="51">
        <v>9.69</v>
      </c>
      <c r="C26" s="51">
        <v>25.2</v>
      </c>
      <c r="D26" s="51">
        <v>19.559999999999999</v>
      </c>
      <c r="E26" s="51">
        <v>7.08</v>
      </c>
      <c r="F26" s="51">
        <v>5.43</v>
      </c>
      <c r="G26" s="51">
        <v>87.65</v>
      </c>
      <c r="H26" s="51">
        <v>35.67</v>
      </c>
      <c r="I26" s="51">
        <v>3.65</v>
      </c>
      <c r="J26" s="51">
        <v>0.57999999999999996</v>
      </c>
      <c r="K26" s="51">
        <v>306.95999999999998</v>
      </c>
      <c r="L26" s="51">
        <v>23.59</v>
      </c>
      <c r="M26" s="51">
        <v>63.91</v>
      </c>
      <c r="N26" s="51">
        <v>32.9</v>
      </c>
      <c r="O26" s="51">
        <v>0</v>
      </c>
      <c r="P26" s="51">
        <v>1.82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246</v>
      </c>
      <c r="B27" s="51">
        <v>21.14</v>
      </c>
      <c r="C27" s="51">
        <v>25.86</v>
      </c>
      <c r="D27" s="51">
        <v>28.93</v>
      </c>
      <c r="E27" s="51">
        <v>7.51</v>
      </c>
      <c r="F27" s="51">
        <v>4.34</v>
      </c>
      <c r="G27" s="51">
        <v>97.36</v>
      </c>
      <c r="H27" s="51">
        <v>38.76</v>
      </c>
      <c r="I27" s="51">
        <v>6.46</v>
      </c>
      <c r="J27" s="51">
        <v>0.59</v>
      </c>
      <c r="K27" s="51">
        <v>342.35</v>
      </c>
      <c r="L27" s="51">
        <v>21.25</v>
      </c>
      <c r="M27" s="51">
        <v>66.69</v>
      </c>
      <c r="N27" s="51">
        <v>26.2</v>
      </c>
      <c r="O27" s="51">
        <v>0</v>
      </c>
      <c r="P27" s="51">
        <v>2.25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247</v>
      </c>
      <c r="B28" s="51">
        <v>28.4</v>
      </c>
      <c r="C28" s="51">
        <v>27.38</v>
      </c>
      <c r="D28" s="51">
        <v>35.65</v>
      </c>
      <c r="E28" s="51">
        <v>7.97</v>
      </c>
      <c r="F28" s="51">
        <v>5.6</v>
      </c>
      <c r="G28" s="51">
        <v>114.12</v>
      </c>
      <c r="H28" s="51">
        <v>44.52</v>
      </c>
      <c r="I28" s="51">
        <v>7.56</v>
      </c>
      <c r="J28" s="51">
        <v>0.74</v>
      </c>
      <c r="K28" s="51">
        <v>355.87</v>
      </c>
      <c r="L28" s="51">
        <v>20.94</v>
      </c>
      <c r="M28" s="51">
        <v>66.319999999999993</v>
      </c>
      <c r="N28" s="51">
        <v>26.1</v>
      </c>
      <c r="O28" s="51">
        <v>0</v>
      </c>
      <c r="P28" s="51">
        <v>1.46</v>
      </c>
      <c r="Q28" s="51">
        <v>9.64</v>
      </c>
      <c r="R28" s="43"/>
      <c r="S28" s="43"/>
      <c r="T28" s="43"/>
      <c r="U28" s="43"/>
    </row>
    <row r="29" spans="1:21" s="11" customFormat="1" x14ac:dyDescent="0.25">
      <c r="A29" s="50" t="s">
        <v>248</v>
      </c>
      <c r="B29" s="51">
        <v>29.78</v>
      </c>
      <c r="C29" s="51">
        <v>27.59</v>
      </c>
      <c r="D29" s="51">
        <v>36.380000000000003</v>
      </c>
      <c r="E29" s="51">
        <v>6.81</v>
      </c>
      <c r="F29" s="51">
        <v>4.47</v>
      </c>
      <c r="G29" s="51">
        <v>120.85</v>
      </c>
      <c r="H29" s="51">
        <v>47.98</v>
      </c>
      <c r="I29" s="51">
        <v>6.47</v>
      </c>
      <c r="J29" s="51">
        <v>0.3</v>
      </c>
      <c r="K29" s="51">
        <v>351.99</v>
      </c>
      <c r="L29" s="51">
        <v>20.91</v>
      </c>
      <c r="M29" s="51">
        <v>68.83</v>
      </c>
      <c r="N29" s="51">
        <v>26.1</v>
      </c>
      <c r="O29" s="51">
        <v>0</v>
      </c>
      <c r="P29" s="51">
        <v>1.47</v>
      </c>
      <c r="Q29" s="51">
        <v>9.64</v>
      </c>
      <c r="R29" s="43"/>
      <c r="S29" s="43"/>
      <c r="T29" s="43"/>
      <c r="U29" s="43"/>
    </row>
    <row r="30" spans="1:21" s="11" customFormat="1" x14ac:dyDescent="0.25">
      <c r="A30" s="50" t="s">
        <v>249</v>
      </c>
      <c r="B30" s="51">
        <v>31.7</v>
      </c>
      <c r="C30" s="51">
        <v>27.75</v>
      </c>
      <c r="D30" s="51">
        <v>38.229999999999997</v>
      </c>
      <c r="E30" s="51">
        <v>6.5</v>
      </c>
      <c r="F30" s="51">
        <v>4.68</v>
      </c>
      <c r="G30" s="51">
        <v>120.48</v>
      </c>
      <c r="H30" s="51">
        <v>42.98</v>
      </c>
      <c r="I30" s="51">
        <v>6.3</v>
      </c>
      <c r="J30" s="51">
        <v>0.49</v>
      </c>
      <c r="K30" s="51">
        <v>345.62</v>
      </c>
      <c r="L30" s="51">
        <v>20.37</v>
      </c>
      <c r="M30" s="51">
        <v>71.97</v>
      </c>
      <c r="N30" s="51">
        <v>26</v>
      </c>
      <c r="O30" s="51">
        <v>0</v>
      </c>
      <c r="P30" s="51">
        <v>1.4</v>
      </c>
      <c r="Q30" s="51">
        <v>9.66</v>
      </c>
      <c r="R30" s="43"/>
      <c r="S30" s="43"/>
      <c r="T30" s="43"/>
      <c r="U30" s="43"/>
    </row>
    <row r="31" spans="1:21" s="11" customFormat="1" x14ac:dyDescent="0.25">
      <c r="A31" s="50" t="s">
        <v>250</v>
      </c>
      <c r="B31" s="51">
        <v>28.76</v>
      </c>
      <c r="C31" s="51">
        <v>22.68</v>
      </c>
      <c r="D31" s="51">
        <v>33.53</v>
      </c>
      <c r="E31" s="51">
        <v>5.82</v>
      </c>
      <c r="F31" s="51">
        <v>5.76</v>
      </c>
      <c r="G31" s="51">
        <v>114.81</v>
      </c>
      <c r="H31" s="51">
        <v>45.17</v>
      </c>
      <c r="I31" s="51">
        <v>4.6399999999999997</v>
      </c>
      <c r="J31" s="51">
        <v>0.46</v>
      </c>
      <c r="K31" s="51">
        <v>102.1</v>
      </c>
      <c r="L31" s="51">
        <v>20.010000000000002</v>
      </c>
      <c r="M31" s="51">
        <v>74.53</v>
      </c>
      <c r="N31" s="51">
        <v>25.9</v>
      </c>
      <c r="O31" s="51">
        <v>0</v>
      </c>
      <c r="P31" s="51">
        <v>1.1200000000000001</v>
      </c>
      <c r="Q31" s="51">
        <v>9.65</v>
      </c>
      <c r="R31" s="43"/>
      <c r="S31" s="43"/>
      <c r="T31" s="43"/>
      <c r="U31" s="43"/>
    </row>
    <row r="32" spans="1:21" s="11" customFormat="1" x14ac:dyDescent="0.25">
      <c r="A32" s="50" t="s">
        <v>251</v>
      </c>
      <c r="B32" s="51">
        <v>23.99</v>
      </c>
      <c r="C32" s="51">
        <v>22.01</v>
      </c>
      <c r="D32" s="51">
        <v>28.69</v>
      </c>
      <c r="E32" s="51">
        <v>5.86</v>
      </c>
      <c r="F32" s="51">
        <v>4.8899999999999997</v>
      </c>
      <c r="G32" s="51">
        <v>111.5</v>
      </c>
      <c r="H32" s="51">
        <v>47.82</v>
      </c>
      <c r="I32" s="51">
        <v>6.96</v>
      </c>
      <c r="J32" s="51">
        <v>1.47</v>
      </c>
      <c r="K32" s="51">
        <v>121.54</v>
      </c>
      <c r="L32" s="51">
        <v>19.920000000000002</v>
      </c>
      <c r="M32" s="51">
        <v>74.92</v>
      </c>
      <c r="N32" s="51">
        <v>25.8</v>
      </c>
      <c r="O32" s="51">
        <v>0</v>
      </c>
      <c r="P32" s="51">
        <v>1.22</v>
      </c>
      <c r="Q32" s="51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1.84</v>
      </c>
      <c r="C34" s="28">
        <f t="shared" si="0"/>
        <v>14.86</v>
      </c>
      <c r="D34" s="28">
        <f t="shared" si="0"/>
        <v>10.01</v>
      </c>
      <c r="E34" s="28">
        <f t="shared" si="0"/>
        <v>5.31</v>
      </c>
      <c r="F34" s="28">
        <f t="shared" si="0"/>
        <v>4.01</v>
      </c>
      <c r="G34" s="28">
        <f t="shared" si="0"/>
        <v>66.180000000000007</v>
      </c>
      <c r="H34" s="28">
        <f t="shared" si="0"/>
        <v>33.97</v>
      </c>
      <c r="I34" s="28">
        <f t="shared" si="0"/>
        <v>2.57</v>
      </c>
      <c r="J34" s="28">
        <f t="shared" si="0"/>
        <v>0.3</v>
      </c>
      <c r="K34" s="28">
        <f t="shared" si="0"/>
        <v>102.1</v>
      </c>
      <c r="L34" s="28">
        <f t="shared" si="0"/>
        <v>15.85</v>
      </c>
      <c r="M34" s="28">
        <f t="shared" si="0"/>
        <v>40.72</v>
      </c>
      <c r="N34" s="28">
        <f t="shared" si="0"/>
        <v>25.8</v>
      </c>
      <c r="O34" s="28">
        <f t="shared" si="0"/>
        <v>0</v>
      </c>
      <c r="P34" s="28">
        <f t="shared" si="0"/>
        <v>0.48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42.52</v>
      </c>
      <c r="C35" s="29">
        <f t="shared" si="1"/>
        <v>32.61</v>
      </c>
      <c r="D35" s="29">
        <f t="shared" si="1"/>
        <v>41.2</v>
      </c>
      <c r="E35" s="29">
        <f t="shared" si="1"/>
        <v>8.3000000000000007</v>
      </c>
      <c r="F35" s="29">
        <f t="shared" si="1"/>
        <v>29.24</v>
      </c>
      <c r="G35" s="29">
        <f t="shared" si="1"/>
        <v>120.85</v>
      </c>
      <c r="H35" s="29">
        <f t="shared" si="1"/>
        <v>57.5</v>
      </c>
      <c r="I35" s="29">
        <f t="shared" si="1"/>
        <v>7.81</v>
      </c>
      <c r="J35" s="29">
        <f t="shared" si="1"/>
        <v>1.67</v>
      </c>
      <c r="K35" s="29">
        <f t="shared" si="1"/>
        <v>356.16</v>
      </c>
      <c r="L35" s="29">
        <f t="shared" si="1"/>
        <v>29.55</v>
      </c>
      <c r="M35" s="29">
        <f t="shared" si="1"/>
        <v>102.83</v>
      </c>
      <c r="N35" s="29">
        <f t="shared" si="1"/>
        <v>740.7</v>
      </c>
      <c r="O35" s="29">
        <f t="shared" si="1"/>
        <v>0</v>
      </c>
      <c r="P35" s="29">
        <f t="shared" si="1"/>
        <v>2.25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22.598749999999999</v>
      </c>
      <c r="C36" s="28">
        <f t="shared" si="2"/>
        <v>22.419583333333335</v>
      </c>
      <c r="D36" s="28">
        <f t="shared" si="2"/>
        <v>28.065416666666664</v>
      </c>
      <c r="E36" s="28">
        <f t="shared" si="2"/>
        <v>6.9645833333333336</v>
      </c>
      <c r="F36" s="28">
        <f t="shared" si="2"/>
        <v>6.7316666666666656</v>
      </c>
      <c r="G36" s="28">
        <f t="shared" si="2"/>
        <v>101.38333333333333</v>
      </c>
      <c r="H36" s="28">
        <f t="shared" si="2"/>
        <v>45.850416666666668</v>
      </c>
      <c r="I36" s="28">
        <f t="shared" si="2"/>
        <v>6.0470833333333331</v>
      </c>
      <c r="J36" s="28">
        <f t="shared" si="2"/>
        <v>0.88041666666666651</v>
      </c>
      <c r="K36" s="28">
        <f t="shared" si="2"/>
        <v>299.06333333333333</v>
      </c>
      <c r="L36" s="28">
        <f t="shared" si="2"/>
        <v>21.992499999999996</v>
      </c>
      <c r="M36" s="28">
        <f t="shared" si="2"/>
        <v>72.522916666666674</v>
      </c>
      <c r="N36" s="28">
        <f t="shared" si="2"/>
        <v>185.20833333333334</v>
      </c>
      <c r="O36" s="28">
        <f t="shared" si="2"/>
        <v>0</v>
      </c>
      <c r="P36" s="28">
        <f t="shared" si="2"/>
        <v>1.0954166666666667</v>
      </c>
      <c r="Q36" s="28">
        <f t="shared" si="2"/>
        <v>9.6387499999999982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13.122156607118328</v>
      </c>
      <c r="C37" s="28">
        <f t="shared" ref="C37:Q37" si="3">STDEV(C9:C32)</f>
        <v>4.4904415190749196</v>
      </c>
      <c r="D37" s="28">
        <f t="shared" si="3"/>
        <v>10.289250608266393</v>
      </c>
      <c r="E37" s="28">
        <f t="shared" si="3"/>
        <v>0.81377263765568275</v>
      </c>
      <c r="F37" s="28">
        <f t="shared" si="3"/>
        <v>5.3399313353887505</v>
      </c>
      <c r="G37" s="28">
        <f t="shared" si="3"/>
        <v>14.251197864731012</v>
      </c>
      <c r="H37" s="28">
        <f t="shared" si="3"/>
        <v>6.5218912162218414</v>
      </c>
      <c r="I37" s="28">
        <f t="shared" si="3"/>
        <v>1.5947481174063234</v>
      </c>
      <c r="J37" s="28">
        <f t="shared" si="3"/>
        <v>0.43100972617560657</v>
      </c>
      <c r="K37" s="28">
        <f t="shared" si="3"/>
        <v>85.726468880192897</v>
      </c>
      <c r="L37" s="28">
        <f t="shared" si="3"/>
        <v>4.3665330491781882</v>
      </c>
      <c r="M37" s="28">
        <f t="shared" si="3"/>
        <v>22.00491733170934</v>
      </c>
      <c r="N37" s="28">
        <f t="shared" si="3"/>
        <v>241.04655678153111</v>
      </c>
      <c r="O37" s="28">
        <f t="shared" si="3"/>
        <v>0</v>
      </c>
      <c r="P37" s="28">
        <f t="shared" si="3"/>
        <v>0.40971866452234174</v>
      </c>
      <c r="Q37" s="28">
        <f t="shared" si="3"/>
        <v>1.3929168644626002E-2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252</v>
      </c>
      <c r="B9" s="51">
        <v>15.99</v>
      </c>
      <c r="C9" s="51">
        <v>22.12</v>
      </c>
      <c r="D9" s="51">
        <v>23</v>
      </c>
      <c r="E9" s="51">
        <v>5.89</v>
      </c>
      <c r="F9" s="51">
        <v>4.92</v>
      </c>
      <c r="G9" s="51">
        <v>99.23</v>
      </c>
      <c r="H9" s="51">
        <v>47.53</v>
      </c>
      <c r="I9" s="51">
        <v>7.73</v>
      </c>
      <c r="J9" s="51">
        <v>1.35</v>
      </c>
      <c r="K9" s="51">
        <v>358.95</v>
      </c>
      <c r="L9" s="51">
        <v>19.8</v>
      </c>
      <c r="M9" s="51">
        <v>81.45</v>
      </c>
      <c r="N9" s="51">
        <v>26.2</v>
      </c>
      <c r="O9" s="51">
        <v>0</v>
      </c>
      <c r="P9" s="51">
        <v>1.1000000000000001</v>
      </c>
      <c r="Q9" s="51">
        <v>9.65</v>
      </c>
      <c r="R9" s="43"/>
      <c r="S9" s="43"/>
      <c r="T9" s="43"/>
      <c r="U9" s="43"/>
    </row>
    <row r="10" spans="1:21" s="11" customFormat="1" x14ac:dyDescent="0.25">
      <c r="A10" s="50" t="s">
        <v>253</v>
      </c>
      <c r="B10" s="51">
        <v>11.2</v>
      </c>
      <c r="C10" s="51">
        <v>21.12</v>
      </c>
      <c r="D10" s="51">
        <v>18.64</v>
      </c>
      <c r="E10" s="51">
        <v>5.41</v>
      </c>
      <c r="F10" s="51">
        <v>4.8899999999999997</v>
      </c>
      <c r="G10" s="51">
        <v>90.42</v>
      </c>
      <c r="H10" s="51">
        <v>44.32</v>
      </c>
      <c r="I10" s="51">
        <v>6.9</v>
      </c>
      <c r="J10" s="51">
        <v>0.64</v>
      </c>
      <c r="K10" s="51">
        <v>306.19</v>
      </c>
      <c r="L10" s="51">
        <v>18.72</v>
      </c>
      <c r="M10" s="51">
        <v>88.33</v>
      </c>
      <c r="N10" s="51">
        <v>26.1</v>
      </c>
      <c r="O10" s="51">
        <v>0</v>
      </c>
      <c r="P10" s="51">
        <v>0.93</v>
      </c>
      <c r="Q10" s="51">
        <v>9.6300000000000008</v>
      </c>
      <c r="R10" s="43"/>
      <c r="S10" s="43"/>
      <c r="T10" s="43"/>
      <c r="U10" s="43"/>
    </row>
    <row r="11" spans="1:21" s="11" customFormat="1" x14ac:dyDescent="0.25">
      <c r="A11" s="50" t="s">
        <v>254</v>
      </c>
      <c r="B11" s="51">
        <v>9.26</v>
      </c>
      <c r="C11" s="51">
        <v>17.39</v>
      </c>
      <c r="D11" s="51">
        <v>15.13</v>
      </c>
      <c r="E11" s="51">
        <v>5.5</v>
      </c>
      <c r="F11" s="51">
        <v>4.7300000000000004</v>
      </c>
      <c r="G11" s="51">
        <v>78.38</v>
      </c>
      <c r="H11" s="51">
        <v>40.46</v>
      </c>
      <c r="I11" s="51">
        <v>4.92</v>
      </c>
      <c r="J11" s="51">
        <v>0.55000000000000004</v>
      </c>
      <c r="K11" s="51">
        <v>332.17</v>
      </c>
      <c r="L11" s="51">
        <v>18.2</v>
      </c>
      <c r="M11" s="51">
        <v>93.13</v>
      </c>
      <c r="N11" s="51">
        <v>26.1</v>
      </c>
      <c r="O11" s="51">
        <v>0</v>
      </c>
      <c r="P11" s="51">
        <v>0.73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255</v>
      </c>
      <c r="B12" s="51">
        <v>8.7200000000000006</v>
      </c>
      <c r="C12" s="51">
        <v>16.690000000000001</v>
      </c>
      <c r="D12" s="51">
        <v>14.21</v>
      </c>
      <c r="E12" s="51">
        <v>5.85</v>
      </c>
      <c r="F12" s="51">
        <v>4.25</v>
      </c>
      <c r="G12" s="51">
        <v>74.540000000000006</v>
      </c>
      <c r="H12" s="51">
        <v>37.92</v>
      </c>
      <c r="I12" s="51">
        <v>4.9800000000000004</v>
      </c>
      <c r="J12" s="51">
        <v>0.61</v>
      </c>
      <c r="K12" s="51">
        <v>322.74</v>
      </c>
      <c r="L12" s="51">
        <v>17.100000000000001</v>
      </c>
      <c r="M12" s="51">
        <v>99.94</v>
      </c>
      <c r="N12" s="51">
        <v>26.1</v>
      </c>
      <c r="O12" s="51">
        <v>0</v>
      </c>
      <c r="P12" s="51">
        <v>0.76</v>
      </c>
      <c r="Q12" s="51">
        <v>9.6199999999999992</v>
      </c>
      <c r="R12" s="43"/>
      <c r="S12" s="43"/>
      <c r="T12" s="43"/>
      <c r="U12" s="43"/>
    </row>
    <row r="13" spans="1:21" s="11" customFormat="1" x14ac:dyDescent="0.25">
      <c r="A13" s="50" t="s">
        <v>256</v>
      </c>
      <c r="B13" s="51">
        <v>13.32</v>
      </c>
      <c r="C13" s="51">
        <v>18.190000000000001</v>
      </c>
      <c r="D13" s="51">
        <v>18.809999999999999</v>
      </c>
      <c r="E13" s="51">
        <v>5.35</v>
      </c>
      <c r="F13" s="51">
        <v>3.91</v>
      </c>
      <c r="G13" s="51">
        <v>66.05</v>
      </c>
      <c r="H13" s="51">
        <v>42.28</v>
      </c>
      <c r="I13" s="51">
        <v>5.3</v>
      </c>
      <c r="J13" s="51">
        <v>0.5</v>
      </c>
      <c r="K13" s="51">
        <v>347.19</v>
      </c>
      <c r="L13" s="51">
        <v>16.63</v>
      </c>
      <c r="M13" s="51">
        <v>101.71</v>
      </c>
      <c r="N13" s="51">
        <v>26.1</v>
      </c>
      <c r="O13" s="51">
        <v>0</v>
      </c>
      <c r="P13" s="51">
        <v>0.72</v>
      </c>
      <c r="Q13" s="51">
        <v>9.6300000000000008</v>
      </c>
      <c r="R13" s="43"/>
      <c r="S13" s="43"/>
      <c r="T13" s="43"/>
      <c r="U13" s="43"/>
    </row>
    <row r="14" spans="1:21" s="11" customFormat="1" x14ac:dyDescent="0.25">
      <c r="A14" s="50" t="s">
        <v>257</v>
      </c>
      <c r="B14" s="51">
        <v>17.23</v>
      </c>
      <c r="C14" s="51">
        <v>19.11</v>
      </c>
      <c r="D14" s="51">
        <v>22.03</v>
      </c>
      <c r="E14" s="51">
        <v>5.49</v>
      </c>
      <c r="F14" s="51">
        <v>4.03</v>
      </c>
      <c r="G14" s="51">
        <v>64.5</v>
      </c>
      <c r="H14" s="51">
        <v>45.38</v>
      </c>
      <c r="I14" s="51">
        <v>5.1100000000000003</v>
      </c>
      <c r="J14" s="51">
        <v>0.52</v>
      </c>
      <c r="K14" s="51">
        <v>337.91</v>
      </c>
      <c r="L14" s="51">
        <v>16.84</v>
      </c>
      <c r="M14" s="51">
        <v>100.64</v>
      </c>
      <c r="N14" s="51">
        <v>26.1</v>
      </c>
      <c r="O14" s="51">
        <v>0</v>
      </c>
      <c r="P14" s="51">
        <v>0.69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258</v>
      </c>
      <c r="B15" s="51">
        <v>18.97</v>
      </c>
      <c r="C15" s="51">
        <v>16.64</v>
      </c>
      <c r="D15" s="51">
        <v>22.16</v>
      </c>
      <c r="E15" s="51">
        <v>5.66</v>
      </c>
      <c r="F15" s="51">
        <v>4.3</v>
      </c>
      <c r="G15" s="51">
        <v>75.42</v>
      </c>
      <c r="H15" s="51">
        <v>47.86</v>
      </c>
      <c r="I15" s="51">
        <v>4.5599999999999996</v>
      </c>
      <c r="J15" s="51">
        <v>0.86</v>
      </c>
      <c r="K15" s="51">
        <v>346.18</v>
      </c>
      <c r="L15" s="51">
        <v>17.03</v>
      </c>
      <c r="M15" s="51">
        <v>99.97</v>
      </c>
      <c r="N15" s="51">
        <v>65.7</v>
      </c>
      <c r="O15" s="51">
        <v>0</v>
      </c>
      <c r="P15" s="51">
        <v>0.93</v>
      </c>
      <c r="Q15" s="51">
        <v>9.64</v>
      </c>
      <c r="R15" s="43"/>
      <c r="S15" s="43"/>
      <c r="T15" s="43"/>
      <c r="U15" s="43"/>
    </row>
    <row r="16" spans="1:21" s="11" customFormat="1" x14ac:dyDescent="0.25">
      <c r="A16" s="50" t="s">
        <v>259</v>
      </c>
      <c r="B16" s="51">
        <v>20.92</v>
      </c>
      <c r="C16" s="51">
        <v>18.22</v>
      </c>
      <c r="D16" s="51">
        <v>24.76</v>
      </c>
      <c r="E16" s="51">
        <v>6.77</v>
      </c>
      <c r="F16" s="51">
        <v>4.54</v>
      </c>
      <c r="G16" s="51">
        <v>99.39</v>
      </c>
      <c r="H16" s="51">
        <v>52.86</v>
      </c>
      <c r="I16" s="51">
        <v>4.72</v>
      </c>
      <c r="J16" s="51">
        <v>1.08</v>
      </c>
      <c r="K16" s="51">
        <v>348.17</v>
      </c>
      <c r="L16" s="51">
        <v>21.24</v>
      </c>
      <c r="M16" s="51">
        <v>96.16</v>
      </c>
      <c r="N16" s="51">
        <v>220.1</v>
      </c>
      <c r="O16" s="51">
        <v>0</v>
      </c>
      <c r="P16" s="51">
        <v>1.02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260</v>
      </c>
      <c r="B17" s="51">
        <v>20.440000000000001</v>
      </c>
      <c r="C17" s="51">
        <v>20.68</v>
      </c>
      <c r="D17" s="51">
        <v>25.05</v>
      </c>
      <c r="E17" s="51">
        <v>6.63</v>
      </c>
      <c r="F17" s="51">
        <v>4.8</v>
      </c>
      <c r="G17" s="51">
        <v>117.72</v>
      </c>
      <c r="H17" s="51">
        <v>61.08</v>
      </c>
      <c r="I17" s="51">
        <v>5.53</v>
      </c>
      <c r="J17" s="51">
        <v>1.18</v>
      </c>
      <c r="K17" s="51">
        <v>124.04</v>
      </c>
      <c r="L17" s="51">
        <v>22.62</v>
      </c>
      <c r="M17" s="51">
        <v>78.400000000000006</v>
      </c>
      <c r="N17" s="51">
        <v>373.9</v>
      </c>
      <c r="O17" s="51">
        <v>0</v>
      </c>
      <c r="P17" s="51">
        <v>0.87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261</v>
      </c>
      <c r="B18" s="51">
        <v>16.14</v>
      </c>
      <c r="C18" s="51">
        <v>22.53</v>
      </c>
      <c r="D18" s="51">
        <v>22.83</v>
      </c>
      <c r="E18" s="51">
        <v>5.86</v>
      </c>
      <c r="F18" s="51">
        <v>4.55</v>
      </c>
      <c r="G18" s="51">
        <v>110.71</v>
      </c>
      <c r="H18" s="51">
        <v>57.3</v>
      </c>
      <c r="I18" s="51">
        <v>6.25</v>
      </c>
      <c r="J18" s="51">
        <v>1.07</v>
      </c>
      <c r="K18" s="51">
        <v>140.19999999999999</v>
      </c>
      <c r="L18" s="51">
        <v>24.37</v>
      </c>
      <c r="M18" s="51">
        <v>65.400000000000006</v>
      </c>
      <c r="N18" s="51">
        <v>501.4</v>
      </c>
      <c r="O18" s="51">
        <v>0</v>
      </c>
      <c r="P18" s="51">
        <v>0.86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262</v>
      </c>
      <c r="B19" s="51">
        <v>10.78</v>
      </c>
      <c r="C19" s="51">
        <v>20.81</v>
      </c>
      <c r="D19" s="51">
        <v>18.14</v>
      </c>
      <c r="E19" s="51">
        <v>5.12</v>
      </c>
      <c r="F19" s="51">
        <v>4.68</v>
      </c>
      <c r="G19" s="51">
        <v>109.84</v>
      </c>
      <c r="H19" s="51">
        <v>50.1</v>
      </c>
      <c r="I19" s="51">
        <v>6.01</v>
      </c>
      <c r="J19" s="51">
        <v>1.33</v>
      </c>
      <c r="K19" s="51">
        <v>122.04</v>
      </c>
      <c r="L19" s="51">
        <v>25.32</v>
      </c>
      <c r="M19" s="51">
        <v>61.45</v>
      </c>
      <c r="N19" s="51">
        <v>623.70000000000005</v>
      </c>
      <c r="O19" s="51">
        <v>0</v>
      </c>
      <c r="P19" s="51">
        <v>0.79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263</v>
      </c>
      <c r="B20" s="51">
        <v>6.45</v>
      </c>
      <c r="C20" s="51">
        <v>19.62</v>
      </c>
      <c r="D20" s="51">
        <v>13.56</v>
      </c>
      <c r="E20" s="51">
        <v>4.83</v>
      </c>
      <c r="F20" s="51">
        <v>4.33</v>
      </c>
      <c r="G20" s="51">
        <v>92.26</v>
      </c>
      <c r="H20" s="51">
        <v>47.31</v>
      </c>
      <c r="I20" s="51">
        <v>6.18</v>
      </c>
      <c r="J20" s="51">
        <v>1.23</v>
      </c>
      <c r="K20" s="51">
        <v>353.49</v>
      </c>
      <c r="L20" s="51">
        <v>27.72</v>
      </c>
      <c r="M20" s="51">
        <v>56.29</v>
      </c>
      <c r="N20" s="51">
        <v>661.6</v>
      </c>
      <c r="O20" s="51">
        <v>0</v>
      </c>
      <c r="P20" s="51">
        <v>0.71</v>
      </c>
      <c r="Q20" s="51">
        <v>9.64</v>
      </c>
      <c r="R20" s="43"/>
      <c r="S20" s="43"/>
      <c r="T20" s="43"/>
      <c r="U20" s="43"/>
    </row>
    <row r="21" spans="1:21" s="11" customFormat="1" x14ac:dyDescent="0.25">
      <c r="A21" s="50" t="s">
        <v>264</v>
      </c>
      <c r="B21" s="51">
        <v>4.49</v>
      </c>
      <c r="C21" s="51">
        <v>20.56</v>
      </c>
      <c r="D21" s="51">
        <v>12.71</v>
      </c>
      <c r="E21" s="51">
        <v>5.24</v>
      </c>
      <c r="F21" s="51">
        <v>5.23</v>
      </c>
      <c r="G21" s="51">
        <v>76.319999999999993</v>
      </c>
      <c r="H21" s="51">
        <v>44.12</v>
      </c>
      <c r="I21" s="51">
        <v>6.53</v>
      </c>
      <c r="J21" s="51">
        <v>0.59</v>
      </c>
      <c r="K21" s="51">
        <v>102.01</v>
      </c>
      <c r="L21" s="51">
        <v>26.78</v>
      </c>
      <c r="M21" s="51">
        <v>48.26</v>
      </c>
      <c r="N21" s="51">
        <v>609.9</v>
      </c>
      <c r="O21" s="51">
        <v>0</v>
      </c>
      <c r="P21" s="51">
        <v>0.68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265</v>
      </c>
      <c r="B22" s="51">
        <v>3.5</v>
      </c>
      <c r="C22" s="51">
        <v>23.15</v>
      </c>
      <c r="D22" s="51">
        <v>13.37</v>
      </c>
      <c r="E22" s="51">
        <v>5.04</v>
      </c>
      <c r="F22" s="51">
        <v>5.24</v>
      </c>
      <c r="G22" s="51">
        <v>71.89</v>
      </c>
      <c r="H22" s="51">
        <v>40</v>
      </c>
      <c r="I22" s="51">
        <v>6.4</v>
      </c>
      <c r="J22" s="51">
        <v>0.94</v>
      </c>
      <c r="K22" s="51">
        <v>343.13</v>
      </c>
      <c r="L22" s="51">
        <v>28.09</v>
      </c>
      <c r="M22" s="51">
        <v>44.66</v>
      </c>
      <c r="N22" s="51">
        <v>443.5</v>
      </c>
      <c r="O22" s="51">
        <v>0</v>
      </c>
      <c r="P22" s="51">
        <v>0.72</v>
      </c>
      <c r="Q22" s="51">
        <v>9.6199999999999992</v>
      </c>
      <c r="R22" s="43"/>
      <c r="S22" s="43"/>
      <c r="T22" s="43"/>
      <c r="U22" s="43"/>
    </row>
    <row r="23" spans="1:21" s="11" customFormat="1" x14ac:dyDescent="0.25">
      <c r="A23" s="50" t="s">
        <v>266</v>
      </c>
      <c r="B23" s="51">
        <v>3.45</v>
      </c>
      <c r="C23" s="51">
        <v>22.41</v>
      </c>
      <c r="D23" s="51">
        <v>13.1</v>
      </c>
      <c r="E23" s="51">
        <v>5.13</v>
      </c>
      <c r="F23" s="51">
        <v>6.78</v>
      </c>
      <c r="G23" s="51">
        <v>65.959999999999994</v>
      </c>
      <c r="H23" s="51">
        <v>30.12</v>
      </c>
      <c r="I23" s="51">
        <v>5.1100000000000003</v>
      </c>
      <c r="J23" s="51">
        <v>0.31</v>
      </c>
      <c r="K23" s="51">
        <v>205.3</v>
      </c>
      <c r="L23" s="51">
        <v>26.76</v>
      </c>
      <c r="M23" s="51">
        <v>41.34</v>
      </c>
      <c r="N23" s="51">
        <v>162.9</v>
      </c>
      <c r="O23" s="51">
        <v>0</v>
      </c>
      <c r="P23" s="51">
        <v>0.63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267</v>
      </c>
      <c r="B24" s="51">
        <v>3.58</v>
      </c>
      <c r="C24" s="51">
        <v>19.510000000000002</v>
      </c>
      <c r="D24" s="51">
        <v>11.69</v>
      </c>
      <c r="E24" s="51">
        <v>5.03</v>
      </c>
      <c r="F24" s="51">
        <v>6.06</v>
      </c>
      <c r="G24" s="51">
        <v>66.45</v>
      </c>
      <c r="H24" s="51">
        <v>32.729999999999997</v>
      </c>
      <c r="I24" s="51">
        <v>3.15</v>
      </c>
      <c r="J24" s="51">
        <v>0.62</v>
      </c>
      <c r="K24" s="51">
        <v>339.72</v>
      </c>
      <c r="L24" s="51">
        <v>26.33</v>
      </c>
      <c r="M24" s="51">
        <v>44.57</v>
      </c>
      <c r="N24" s="51">
        <v>129.80000000000001</v>
      </c>
      <c r="O24" s="51">
        <v>0</v>
      </c>
      <c r="P24" s="51">
        <v>0.76</v>
      </c>
      <c r="Q24" s="51">
        <v>9.6199999999999992</v>
      </c>
      <c r="R24" s="43"/>
      <c r="S24" s="43"/>
      <c r="T24" s="43"/>
      <c r="U24" s="43"/>
    </row>
    <row r="25" spans="1:21" s="11" customFormat="1" x14ac:dyDescent="0.25">
      <c r="A25" s="50" t="s">
        <v>268</v>
      </c>
      <c r="B25" s="51">
        <v>4.59</v>
      </c>
      <c r="C25" s="51">
        <v>22.03</v>
      </c>
      <c r="D25" s="51">
        <v>13.72</v>
      </c>
      <c r="E25" s="51">
        <v>5.92</v>
      </c>
      <c r="F25" s="51">
        <v>5.36</v>
      </c>
      <c r="G25" s="51">
        <v>66.89</v>
      </c>
      <c r="H25" s="51">
        <v>35.32</v>
      </c>
      <c r="I25" s="51">
        <v>3.99</v>
      </c>
      <c r="J25" s="51">
        <v>0.87</v>
      </c>
      <c r="K25" s="51">
        <v>353.42</v>
      </c>
      <c r="L25" s="51">
        <v>25.1</v>
      </c>
      <c r="M25" s="51">
        <v>49.82</v>
      </c>
      <c r="N25" s="51">
        <v>83.4</v>
      </c>
      <c r="O25" s="51">
        <v>0</v>
      </c>
      <c r="P25" s="51">
        <v>0.76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269</v>
      </c>
      <c r="B26" s="51">
        <v>5.61</v>
      </c>
      <c r="C26" s="51">
        <v>26.51</v>
      </c>
      <c r="D26" s="51">
        <v>16.97</v>
      </c>
      <c r="E26" s="51">
        <v>5.94</v>
      </c>
      <c r="F26" s="51">
        <v>5.19</v>
      </c>
      <c r="G26" s="51">
        <v>67.040000000000006</v>
      </c>
      <c r="H26" s="51">
        <v>31.77</v>
      </c>
      <c r="I26" s="51">
        <v>4.0599999999999996</v>
      </c>
      <c r="J26" s="51">
        <v>0.49</v>
      </c>
      <c r="K26" s="51">
        <v>92.1</v>
      </c>
      <c r="L26" s="51">
        <v>23.44</v>
      </c>
      <c r="M26" s="51">
        <v>54.71</v>
      </c>
      <c r="N26" s="51">
        <v>33</v>
      </c>
      <c r="O26" s="51">
        <v>0</v>
      </c>
      <c r="P26" s="51">
        <v>1.06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270</v>
      </c>
      <c r="B27" s="51">
        <v>9.9600000000000009</v>
      </c>
      <c r="C27" s="51">
        <v>27.39</v>
      </c>
      <c r="D27" s="51">
        <v>19.98</v>
      </c>
      <c r="E27" s="51">
        <v>5.96</v>
      </c>
      <c r="F27" s="51">
        <v>4.5</v>
      </c>
      <c r="G27" s="51">
        <v>71.92</v>
      </c>
      <c r="H27" s="51">
        <v>46.16</v>
      </c>
      <c r="I27" s="51">
        <v>6.22</v>
      </c>
      <c r="J27" s="51">
        <v>0.45</v>
      </c>
      <c r="K27" s="51">
        <v>339.02</v>
      </c>
      <c r="L27" s="51">
        <v>22.39</v>
      </c>
      <c r="M27" s="51">
        <v>68.28</v>
      </c>
      <c r="N27" s="51">
        <v>26.3</v>
      </c>
      <c r="O27" s="51">
        <v>0</v>
      </c>
      <c r="P27" s="51">
        <v>2.04</v>
      </c>
      <c r="Q27" s="51">
        <v>9.6300000000000008</v>
      </c>
      <c r="R27" s="43"/>
      <c r="S27" s="43"/>
      <c r="T27" s="43"/>
      <c r="U27" s="43"/>
    </row>
    <row r="28" spans="1:21" s="11" customFormat="1" x14ac:dyDescent="0.25">
      <c r="A28" s="50" t="s">
        <v>271</v>
      </c>
      <c r="B28" s="51">
        <v>15.33</v>
      </c>
      <c r="C28" s="51">
        <v>25.74</v>
      </c>
      <c r="D28" s="51">
        <v>24.03</v>
      </c>
      <c r="E28" s="51">
        <v>6.36</v>
      </c>
      <c r="F28" s="51">
        <v>4.95</v>
      </c>
      <c r="G28" s="51">
        <v>88.77</v>
      </c>
      <c r="H28" s="51">
        <v>44.8</v>
      </c>
      <c r="I28" s="51">
        <v>7.79</v>
      </c>
      <c r="J28" s="51">
        <v>0.64</v>
      </c>
      <c r="K28" s="51">
        <v>358.78</v>
      </c>
      <c r="L28" s="51">
        <v>21.67</v>
      </c>
      <c r="M28" s="51">
        <v>73.64</v>
      </c>
      <c r="N28" s="51">
        <v>26.3</v>
      </c>
      <c r="O28" s="51">
        <v>0</v>
      </c>
      <c r="P28" s="51">
        <v>2.4700000000000002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272</v>
      </c>
      <c r="B29" s="51">
        <v>28.01</v>
      </c>
      <c r="C29" s="51">
        <v>26.82</v>
      </c>
      <c r="D29" s="51">
        <v>35.1</v>
      </c>
      <c r="E29" s="51">
        <v>6.77</v>
      </c>
      <c r="F29" s="51">
        <v>4.49</v>
      </c>
      <c r="G29" s="51">
        <v>96.38</v>
      </c>
      <c r="H29" s="51">
        <v>51.6</v>
      </c>
      <c r="I29" s="51">
        <v>9.4499999999999993</v>
      </c>
      <c r="J29" s="51">
        <v>0.49</v>
      </c>
      <c r="K29" s="51">
        <v>357.41</v>
      </c>
      <c r="L29" s="51">
        <v>20.7</v>
      </c>
      <c r="M29" s="51">
        <v>76.17</v>
      </c>
      <c r="N29" s="51">
        <v>26</v>
      </c>
      <c r="O29" s="51">
        <v>0</v>
      </c>
      <c r="P29" s="51">
        <v>1.91</v>
      </c>
      <c r="Q29" s="51">
        <v>9.64</v>
      </c>
      <c r="R29" s="43"/>
      <c r="S29" s="43"/>
      <c r="T29" s="43"/>
      <c r="U29" s="43"/>
    </row>
    <row r="30" spans="1:21" s="11" customFormat="1" x14ac:dyDescent="0.25">
      <c r="A30" s="50" t="s">
        <v>273</v>
      </c>
      <c r="B30" s="51">
        <v>33.17</v>
      </c>
      <c r="C30" s="51">
        <v>28.14</v>
      </c>
      <c r="D30" s="51">
        <v>39.92</v>
      </c>
      <c r="E30" s="51">
        <v>6.74</v>
      </c>
      <c r="F30" s="51">
        <v>4.99</v>
      </c>
      <c r="G30" s="51">
        <v>104.15</v>
      </c>
      <c r="H30" s="51">
        <v>51.64</v>
      </c>
      <c r="I30" s="51">
        <v>7.81</v>
      </c>
      <c r="J30" s="51">
        <v>0.49</v>
      </c>
      <c r="K30" s="51">
        <v>330.33</v>
      </c>
      <c r="L30" s="51">
        <v>20.350000000000001</v>
      </c>
      <c r="M30" s="51">
        <v>75.33</v>
      </c>
      <c r="N30" s="51">
        <v>26.1</v>
      </c>
      <c r="O30" s="51">
        <v>0</v>
      </c>
      <c r="P30" s="51">
        <v>1.71</v>
      </c>
      <c r="Q30" s="51">
        <v>9.67</v>
      </c>
      <c r="R30" s="43"/>
      <c r="S30" s="43"/>
      <c r="T30" s="43"/>
      <c r="U30" s="43"/>
    </row>
    <row r="31" spans="1:21" s="11" customFormat="1" x14ac:dyDescent="0.25">
      <c r="A31" s="50" t="s">
        <v>274</v>
      </c>
      <c r="B31" s="51">
        <v>30.75</v>
      </c>
      <c r="C31" s="51">
        <v>27.36</v>
      </c>
      <c r="D31" s="51">
        <v>37.58</v>
      </c>
      <c r="E31" s="51">
        <v>6.03</v>
      </c>
      <c r="F31" s="51">
        <v>4.41</v>
      </c>
      <c r="G31" s="51">
        <v>106.68</v>
      </c>
      <c r="H31" s="51">
        <v>53.34</v>
      </c>
      <c r="I31" s="51">
        <v>6.56</v>
      </c>
      <c r="J31" s="51">
        <v>0.43</v>
      </c>
      <c r="K31" s="51">
        <v>102.87</v>
      </c>
      <c r="L31" s="51">
        <v>20.13</v>
      </c>
      <c r="M31" s="51">
        <v>71.11</v>
      </c>
      <c r="N31" s="51">
        <v>26.1</v>
      </c>
      <c r="O31" s="51">
        <v>0</v>
      </c>
      <c r="P31" s="51">
        <v>1.54</v>
      </c>
      <c r="Q31" s="51">
        <v>9.67</v>
      </c>
      <c r="R31" s="43"/>
      <c r="S31" s="43"/>
      <c r="T31" s="43"/>
      <c r="U31" s="43"/>
    </row>
    <row r="32" spans="1:21" s="11" customFormat="1" x14ac:dyDescent="0.25">
      <c r="A32" s="50" t="s">
        <v>275</v>
      </c>
      <c r="B32" s="51">
        <v>28.35</v>
      </c>
      <c r="C32" s="51">
        <v>22.63</v>
      </c>
      <c r="D32" s="51">
        <v>33.17</v>
      </c>
      <c r="E32" s="51">
        <v>6.08</v>
      </c>
      <c r="F32" s="51">
        <v>4</v>
      </c>
      <c r="G32" s="51">
        <v>88.32</v>
      </c>
      <c r="H32" s="51">
        <v>47.71</v>
      </c>
      <c r="I32" s="51">
        <v>4.63</v>
      </c>
      <c r="J32" s="51">
        <v>0.74</v>
      </c>
      <c r="K32" s="51">
        <v>199.06</v>
      </c>
      <c r="L32" s="51">
        <v>19.7</v>
      </c>
      <c r="M32" s="51">
        <v>71.260000000000005</v>
      </c>
      <c r="N32" s="51">
        <v>26</v>
      </c>
      <c r="O32" s="51">
        <v>0</v>
      </c>
      <c r="P32" s="51">
        <v>1.27</v>
      </c>
      <c r="Q32" s="51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3.45</v>
      </c>
      <c r="C34" s="28">
        <f t="shared" si="0"/>
        <v>16.64</v>
      </c>
      <c r="D34" s="28">
        <f t="shared" si="0"/>
        <v>11.69</v>
      </c>
      <c r="E34" s="28">
        <f t="shared" si="0"/>
        <v>4.83</v>
      </c>
      <c r="F34" s="28">
        <f t="shared" si="0"/>
        <v>3.91</v>
      </c>
      <c r="G34" s="28">
        <f t="shared" si="0"/>
        <v>64.5</v>
      </c>
      <c r="H34" s="28">
        <f t="shared" si="0"/>
        <v>30.12</v>
      </c>
      <c r="I34" s="28">
        <f t="shared" si="0"/>
        <v>3.15</v>
      </c>
      <c r="J34" s="28">
        <f t="shared" si="0"/>
        <v>0.31</v>
      </c>
      <c r="K34" s="28">
        <f t="shared" si="0"/>
        <v>92.1</v>
      </c>
      <c r="L34" s="28">
        <f t="shared" si="0"/>
        <v>16.63</v>
      </c>
      <c r="M34" s="28">
        <f t="shared" si="0"/>
        <v>41.34</v>
      </c>
      <c r="N34" s="28">
        <f t="shared" si="0"/>
        <v>26</v>
      </c>
      <c r="O34" s="28">
        <f t="shared" si="0"/>
        <v>0</v>
      </c>
      <c r="P34" s="28">
        <f t="shared" si="0"/>
        <v>0.63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33.17</v>
      </c>
      <c r="C35" s="29">
        <f t="shared" si="1"/>
        <v>28.14</v>
      </c>
      <c r="D35" s="29">
        <f t="shared" si="1"/>
        <v>39.92</v>
      </c>
      <c r="E35" s="29">
        <f t="shared" si="1"/>
        <v>6.77</v>
      </c>
      <c r="F35" s="29">
        <f t="shared" si="1"/>
        <v>6.78</v>
      </c>
      <c r="G35" s="29">
        <f t="shared" si="1"/>
        <v>117.72</v>
      </c>
      <c r="H35" s="29">
        <f t="shared" si="1"/>
        <v>61.08</v>
      </c>
      <c r="I35" s="29">
        <f t="shared" si="1"/>
        <v>9.4499999999999993</v>
      </c>
      <c r="J35" s="29">
        <f t="shared" si="1"/>
        <v>1.35</v>
      </c>
      <c r="K35" s="29">
        <f t="shared" si="1"/>
        <v>358.95</v>
      </c>
      <c r="L35" s="29">
        <f t="shared" si="1"/>
        <v>28.09</v>
      </c>
      <c r="M35" s="29">
        <f t="shared" si="1"/>
        <v>101.71</v>
      </c>
      <c r="N35" s="29">
        <f t="shared" si="1"/>
        <v>661.6</v>
      </c>
      <c r="O35" s="29">
        <f t="shared" si="1"/>
        <v>0</v>
      </c>
      <c r="P35" s="29">
        <f t="shared" si="1"/>
        <v>2.4700000000000002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14.175416666666669</v>
      </c>
      <c r="C36" s="28">
        <f t="shared" si="2"/>
        <v>21.890416666666667</v>
      </c>
      <c r="D36" s="28">
        <f t="shared" si="2"/>
        <v>21.235833333333336</v>
      </c>
      <c r="E36" s="28">
        <f t="shared" si="2"/>
        <v>5.7749999999999995</v>
      </c>
      <c r="F36" s="28">
        <f t="shared" si="2"/>
        <v>4.7970833333333323</v>
      </c>
      <c r="G36" s="28">
        <f t="shared" si="2"/>
        <v>85.384583333333353</v>
      </c>
      <c r="H36" s="28">
        <f t="shared" si="2"/>
        <v>45.154583333333335</v>
      </c>
      <c r="I36" s="28">
        <f t="shared" si="2"/>
        <v>5.8287500000000003</v>
      </c>
      <c r="J36" s="28">
        <f t="shared" si="2"/>
        <v>0.74916666666666643</v>
      </c>
      <c r="K36" s="28">
        <f t="shared" si="2"/>
        <v>273.43416666666673</v>
      </c>
      <c r="L36" s="28">
        <f t="shared" si="2"/>
        <v>21.959583333333331</v>
      </c>
      <c r="M36" s="28">
        <f t="shared" si="2"/>
        <v>72.584166666666661</v>
      </c>
      <c r="N36" s="28">
        <f t="shared" si="2"/>
        <v>175.93333333333339</v>
      </c>
      <c r="O36" s="28">
        <f t="shared" si="2"/>
        <v>0</v>
      </c>
      <c r="P36" s="28">
        <f t="shared" si="2"/>
        <v>1.0691666666666666</v>
      </c>
      <c r="Q36" s="28">
        <f t="shared" si="2"/>
        <v>9.6366666666666649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9.1036734005596855</v>
      </c>
      <c r="C37" s="28">
        <f t="shared" ref="C37:Q37" si="3">STDEV(C9:C32)</f>
        <v>3.5394810220987449</v>
      </c>
      <c r="D37" s="28">
        <f t="shared" si="3"/>
        <v>8.1525935679425299</v>
      </c>
      <c r="E37" s="28">
        <f t="shared" si="3"/>
        <v>0.58438373336882576</v>
      </c>
      <c r="F37" s="28">
        <f t="shared" si="3"/>
        <v>0.65005337016123155</v>
      </c>
      <c r="G37" s="28">
        <f t="shared" si="3"/>
        <v>16.975731521451522</v>
      </c>
      <c r="H37" s="28">
        <f t="shared" si="3"/>
        <v>7.8799255012847036</v>
      </c>
      <c r="I37" s="28">
        <f t="shared" si="3"/>
        <v>1.4505870251009767</v>
      </c>
      <c r="J37" s="28">
        <f t="shared" si="3"/>
        <v>0.31041230178820178</v>
      </c>
      <c r="K37" s="28">
        <f t="shared" si="3"/>
        <v>102.82915294276972</v>
      </c>
      <c r="L37" s="28">
        <f t="shared" si="3"/>
        <v>3.677069342462203</v>
      </c>
      <c r="M37" s="28">
        <f t="shared" si="3"/>
        <v>19.7012848657726</v>
      </c>
      <c r="N37" s="28">
        <f t="shared" si="3"/>
        <v>224.19988881560025</v>
      </c>
      <c r="O37" s="28">
        <f t="shared" si="3"/>
        <v>0</v>
      </c>
      <c r="P37" s="28">
        <f t="shared" si="3"/>
        <v>0.5000340568111481</v>
      </c>
      <c r="Q37" s="28">
        <f t="shared" si="3"/>
        <v>1.3077250963165907E-2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276</v>
      </c>
      <c r="B9" s="51">
        <v>26.48</v>
      </c>
      <c r="C9" s="51">
        <v>20.61</v>
      </c>
      <c r="D9" s="51">
        <v>30.41</v>
      </c>
      <c r="E9" s="51">
        <v>5.85</v>
      </c>
      <c r="F9" s="51">
        <v>4.2699999999999996</v>
      </c>
      <c r="G9" s="51">
        <v>90.79</v>
      </c>
      <c r="H9" s="51">
        <v>47</v>
      </c>
      <c r="I9" s="51">
        <v>6.69</v>
      </c>
      <c r="J9" s="51">
        <v>0.53</v>
      </c>
      <c r="K9" s="51">
        <v>319.16000000000003</v>
      </c>
      <c r="L9" s="51">
        <v>19.46</v>
      </c>
      <c r="M9" s="51">
        <v>78.010000000000005</v>
      </c>
      <c r="N9" s="51">
        <v>26.3</v>
      </c>
      <c r="O9" s="51">
        <v>0</v>
      </c>
      <c r="P9" s="51">
        <v>1.36</v>
      </c>
      <c r="Q9" s="51">
        <v>9.65</v>
      </c>
      <c r="R9" s="43"/>
      <c r="S9" s="43"/>
      <c r="T9" s="43"/>
      <c r="U9" s="43"/>
    </row>
    <row r="10" spans="1:21" s="11" customFormat="1" x14ac:dyDescent="0.25">
      <c r="A10" s="50" t="s">
        <v>277</v>
      </c>
      <c r="B10" s="51">
        <v>22.08</v>
      </c>
      <c r="C10" s="51">
        <v>21.16</v>
      </c>
      <c r="D10" s="51">
        <v>27.26</v>
      </c>
      <c r="E10" s="51">
        <v>5.44</v>
      </c>
      <c r="F10" s="51">
        <v>3.69</v>
      </c>
      <c r="G10" s="51">
        <v>90.86</v>
      </c>
      <c r="H10" s="51">
        <v>36.909999999999997</v>
      </c>
      <c r="I10" s="51">
        <v>7.08</v>
      </c>
      <c r="J10" s="51">
        <v>0.55000000000000004</v>
      </c>
      <c r="K10" s="51">
        <v>347.19</v>
      </c>
      <c r="L10" s="51">
        <v>18.22</v>
      </c>
      <c r="M10" s="51">
        <v>92.51</v>
      </c>
      <c r="N10" s="51">
        <v>26.3</v>
      </c>
      <c r="O10" s="51">
        <v>0</v>
      </c>
      <c r="P10" s="51">
        <v>1.1499999999999999</v>
      </c>
      <c r="Q10" s="51">
        <v>9.65</v>
      </c>
      <c r="R10" s="43"/>
      <c r="S10" s="43"/>
      <c r="T10" s="43"/>
      <c r="U10" s="43"/>
    </row>
    <row r="11" spans="1:21" s="11" customFormat="1" x14ac:dyDescent="0.25">
      <c r="A11" s="50" t="s">
        <v>278</v>
      </c>
      <c r="B11" s="51">
        <v>19.86</v>
      </c>
      <c r="C11" s="51">
        <v>20.66</v>
      </c>
      <c r="D11" s="51">
        <v>25.34</v>
      </c>
      <c r="E11" s="51">
        <v>5.16</v>
      </c>
      <c r="F11" s="51">
        <v>4.13</v>
      </c>
      <c r="G11" s="51">
        <v>85.47</v>
      </c>
      <c r="H11" s="51">
        <v>38.29</v>
      </c>
      <c r="I11" s="51">
        <v>6.71</v>
      </c>
      <c r="J11" s="51">
        <v>0.56000000000000005</v>
      </c>
      <c r="K11" s="51">
        <v>329.46</v>
      </c>
      <c r="L11" s="51">
        <v>17.3</v>
      </c>
      <c r="M11" s="51">
        <v>96.58</v>
      </c>
      <c r="N11" s="51">
        <v>26.1</v>
      </c>
      <c r="O11" s="51">
        <v>0</v>
      </c>
      <c r="P11" s="51">
        <v>1.06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279</v>
      </c>
      <c r="B12" s="51">
        <v>18.46</v>
      </c>
      <c r="C12" s="51">
        <v>16.75</v>
      </c>
      <c r="D12" s="51">
        <v>22.17</v>
      </c>
      <c r="E12" s="51">
        <v>5.87</v>
      </c>
      <c r="F12" s="51">
        <v>3.92</v>
      </c>
      <c r="G12" s="51">
        <v>86.11</v>
      </c>
      <c r="H12" s="51">
        <v>39.67</v>
      </c>
      <c r="I12" s="51">
        <v>5.6</v>
      </c>
      <c r="J12" s="51">
        <v>0.41</v>
      </c>
      <c r="K12" s="51">
        <v>359.29</v>
      </c>
      <c r="L12" s="51">
        <v>17.579999999999998</v>
      </c>
      <c r="M12" s="51">
        <v>93.08</v>
      </c>
      <c r="N12" s="51">
        <v>26.1</v>
      </c>
      <c r="O12" s="51">
        <v>0</v>
      </c>
      <c r="P12" s="51">
        <v>0.85</v>
      </c>
      <c r="Q12" s="51">
        <v>9.65</v>
      </c>
      <c r="R12" s="43"/>
      <c r="S12" s="43"/>
      <c r="T12" s="43"/>
      <c r="U12" s="43"/>
    </row>
    <row r="13" spans="1:21" s="11" customFormat="1" x14ac:dyDescent="0.25">
      <c r="A13" s="50" t="s">
        <v>280</v>
      </c>
      <c r="B13" s="51">
        <v>16.829999999999998</v>
      </c>
      <c r="C13" s="51">
        <v>17.309999999999999</v>
      </c>
      <c r="D13" s="51">
        <v>20.79</v>
      </c>
      <c r="E13" s="51">
        <v>6.5</v>
      </c>
      <c r="F13" s="51">
        <v>4.57</v>
      </c>
      <c r="G13" s="51">
        <v>87.73</v>
      </c>
      <c r="H13" s="51">
        <v>40.33</v>
      </c>
      <c r="I13" s="51">
        <v>5.62</v>
      </c>
      <c r="J13" s="51">
        <v>0.55000000000000004</v>
      </c>
      <c r="K13" s="51">
        <v>302.98</v>
      </c>
      <c r="L13" s="51">
        <v>17.66</v>
      </c>
      <c r="M13" s="51">
        <v>92.98</v>
      </c>
      <c r="N13" s="51">
        <v>26.1</v>
      </c>
      <c r="O13" s="51">
        <v>0</v>
      </c>
      <c r="P13" s="51">
        <v>0.86</v>
      </c>
      <c r="Q13" s="51">
        <v>9.64</v>
      </c>
      <c r="R13" s="43"/>
      <c r="S13" s="43"/>
      <c r="T13" s="43"/>
      <c r="U13" s="43"/>
    </row>
    <row r="14" spans="1:21" s="11" customFormat="1" x14ac:dyDescent="0.25">
      <c r="A14" s="50" t="s">
        <v>281</v>
      </c>
      <c r="B14" s="51">
        <v>17.8</v>
      </c>
      <c r="C14" s="51">
        <v>17.96</v>
      </c>
      <c r="D14" s="51">
        <v>22.13</v>
      </c>
      <c r="E14" s="51">
        <v>6.69</v>
      </c>
      <c r="F14" s="51">
        <v>4.0199999999999996</v>
      </c>
      <c r="G14" s="51">
        <v>87.14</v>
      </c>
      <c r="H14" s="51">
        <v>35.81</v>
      </c>
      <c r="I14" s="51">
        <v>5.63</v>
      </c>
      <c r="J14" s="51">
        <v>0.51</v>
      </c>
      <c r="K14" s="51">
        <v>319.33</v>
      </c>
      <c r="L14" s="51">
        <v>17.309999999999999</v>
      </c>
      <c r="M14" s="51">
        <v>99.4</v>
      </c>
      <c r="N14" s="51">
        <v>26.1</v>
      </c>
      <c r="O14" s="51">
        <v>0</v>
      </c>
      <c r="P14" s="51">
        <v>0.82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282</v>
      </c>
      <c r="B15" s="51">
        <v>22.38</v>
      </c>
      <c r="C15" s="51">
        <v>17.79</v>
      </c>
      <c r="D15" s="51">
        <v>25.14</v>
      </c>
      <c r="E15" s="51">
        <v>6.8</v>
      </c>
      <c r="F15" s="51">
        <v>4.0599999999999996</v>
      </c>
      <c r="G15" s="51">
        <v>90.12</v>
      </c>
      <c r="H15" s="51">
        <v>38.58</v>
      </c>
      <c r="I15" s="51">
        <v>5.51</v>
      </c>
      <c r="J15" s="51">
        <v>0.52</v>
      </c>
      <c r="K15" s="51">
        <v>350.23</v>
      </c>
      <c r="L15" s="51">
        <v>17.23</v>
      </c>
      <c r="M15" s="51">
        <v>99.21</v>
      </c>
      <c r="N15" s="51">
        <v>59</v>
      </c>
      <c r="O15" s="51">
        <v>0</v>
      </c>
      <c r="P15" s="51">
        <v>0.79</v>
      </c>
      <c r="Q15" s="51">
        <v>9.64</v>
      </c>
      <c r="R15" s="43"/>
      <c r="S15" s="43"/>
      <c r="T15" s="43"/>
      <c r="U15" s="43"/>
    </row>
    <row r="16" spans="1:21" s="11" customFormat="1" x14ac:dyDescent="0.25">
      <c r="A16" s="50" t="s">
        <v>283</v>
      </c>
      <c r="B16" s="51">
        <v>26.33</v>
      </c>
      <c r="C16" s="51">
        <v>16</v>
      </c>
      <c r="D16" s="51">
        <v>28.1</v>
      </c>
      <c r="E16" s="51">
        <v>6.56</v>
      </c>
      <c r="F16" s="51">
        <v>3.95</v>
      </c>
      <c r="G16" s="51">
        <v>89.77</v>
      </c>
      <c r="H16" s="51">
        <v>41.33</v>
      </c>
      <c r="I16" s="51">
        <v>5.26</v>
      </c>
      <c r="J16" s="51">
        <v>0.86</v>
      </c>
      <c r="K16" s="51">
        <v>359.2</v>
      </c>
      <c r="L16" s="51">
        <v>20.11</v>
      </c>
      <c r="M16" s="51">
        <v>93.63</v>
      </c>
      <c r="N16" s="51">
        <v>129.19999999999999</v>
      </c>
      <c r="O16" s="51">
        <v>0</v>
      </c>
      <c r="P16" s="51">
        <v>0.88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284</v>
      </c>
      <c r="B17" s="51">
        <v>27.89</v>
      </c>
      <c r="C17" s="51">
        <v>19</v>
      </c>
      <c r="D17" s="51">
        <v>30.47</v>
      </c>
      <c r="E17" s="51">
        <v>5.94</v>
      </c>
      <c r="F17" s="51">
        <v>4.0999999999999996</v>
      </c>
      <c r="G17" s="51">
        <v>98.63</v>
      </c>
      <c r="H17" s="51">
        <v>29.74</v>
      </c>
      <c r="I17" s="51">
        <v>5.54</v>
      </c>
      <c r="J17" s="51">
        <v>0.73</v>
      </c>
      <c r="K17" s="51">
        <v>357.49</v>
      </c>
      <c r="L17" s="51">
        <v>20.83</v>
      </c>
      <c r="M17" s="51">
        <v>81.45</v>
      </c>
      <c r="N17" s="51">
        <v>132.6</v>
      </c>
      <c r="O17" s="51">
        <v>0</v>
      </c>
      <c r="P17" s="51">
        <v>0.93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285</v>
      </c>
      <c r="B18" s="51">
        <v>26.72</v>
      </c>
      <c r="C18" s="51">
        <v>24.6</v>
      </c>
      <c r="D18" s="51">
        <v>30.92</v>
      </c>
      <c r="E18" s="51">
        <v>6.49</v>
      </c>
      <c r="F18" s="51">
        <v>4.57</v>
      </c>
      <c r="G18" s="51">
        <v>113.77</v>
      </c>
      <c r="H18" s="51">
        <v>40.409999999999997</v>
      </c>
      <c r="I18" s="51">
        <v>6.02</v>
      </c>
      <c r="J18" s="51">
        <v>1.22</v>
      </c>
      <c r="K18" s="51">
        <v>343.4</v>
      </c>
      <c r="L18" s="51">
        <v>25.25</v>
      </c>
      <c r="M18" s="51">
        <v>78.56</v>
      </c>
      <c r="N18" s="51">
        <v>430.2</v>
      </c>
      <c r="O18" s="51">
        <v>0</v>
      </c>
      <c r="P18" s="51">
        <v>1.01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286</v>
      </c>
      <c r="B19" s="51">
        <v>22.18</v>
      </c>
      <c r="C19" s="51">
        <v>26.92</v>
      </c>
      <c r="D19" s="51">
        <v>29.82</v>
      </c>
      <c r="E19" s="51">
        <v>6.27</v>
      </c>
      <c r="F19" s="51">
        <v>4.78</v>
      </c>
      <c r="G19" s="51">
        <v>125.26</v>
      </c>
      <c r="H19" s="51">
        <v>50.26</v>
      </c>
      <c r="I19" s="51">
        <v>6.06</v>
      </c>
      <c r="J19" s="51">
        <v>1.1200000000000001</v>
      </c>
      <c r="K19" s="51">
        <v>340.61</v>
      </c>
      <c r="L19" s="51">
        <v>27.01</v>
      </c>
      <c r="M19" s="51">
        <v>55.7</v>
      </c>
      <c r="N19" s="51">
        <v>538.79999999999995</v>
      </c>
      <c r="O19" s="51">
        <v>0</v>
      </c>
      <c r="P19" s="51">
        <v>1.01</v>
      </c>
      <c r="Q19" s="51">
        <v>9.64</v>
      </c>
      <c r="R19" s="43"/>
      <c r="S19" s="43"/>
      <c r="T19" s="43"/>
      <c r="U19" s="43"/>
    </row>
    <row r="20" spans="1:21" s="11" customFormat="1" x14ac:dyDescent="0.25">
      <c r="A20" s="50" t="s">
        <v>287</v>
      </c>
      <c r="B20" s="51">
        <v>14.23</v>
      </c>
      <c r="C20" s="51">
        <v>24.48</v>
      </c>
      <c r="D20" s="51">
        <v>22.82</v>
      </c>
      <c r="E20" s="51">
        <v>5.55</v>
      </c>
      <c r="F20" s="51">
        <v>4.6399999999999997</v>
      </c>
      <c r="G20" s="51">
        <v>102.64</v>
      </c>
      <c r="H20" s="51">
        <v>46.15</v>
      </c>
      <c r="I20" s="51">
        <v>5.92</v>
      </c>
      <c r="J20" s="51">
        <v>0.61</v>
      </c>
      <c r="K20" s="51">
        <v>346.69</v>
      </c>
      <c r="L20" s="51">
        <v>28.69</v>
      </c>
      <c r="M20" s="51">
        <v>56.85</v>
      </c>
      <c r="N20" s="51">
        <v>556.9</v>
      </c>
      <c r="O20" s="51">
        <v>0</v>
      </c>
      <c r="P20" s="51">
        <v>0.91</v>
      </c>
      <c r="Q20" s="51">
        <v>9.65</v>
      </c>
      <c r="R20" s="43"/>
      <c r="S20" s="43"/>
      <c r="T20" s="43"/>
      <c r="U20" s="43"/>
    </row>
    <row r="21" spans="1:21" s="11" customFormat="1" x14ac:dyDescent="0.25">
      <c r="A21" s="50" t="s">
        <v>288</v>
      </c>
      <c r="B21" s="51">
        <v>8.92</v>
      </c>
      <c r="C21" s="51">
        <v>24.88</v>
      </c>
      <c r="D21" s="51">
        <v>17.62</v>
      </c>
      <c r="E21" s="51">
        <v>5.89</v>
      </c>
      <c r="F21" s="51">
        <v>4.62</v>
      </c>
      <c r="G21" s="51">
        <v>87.21</v>
      </c>
      <c r="H21" s="51">
        <v>46.66</v>
      </c>
      <c r="I21" s="51">
        <v>6.85</v>
      </c>
      <c r="J21" s="51">
        <v>1.91</v>
      </c>
      <c r="K21" s="51">
        <v>336.98</v>
      </c>
      <c r="L21" s="51">
        <v>26.03</v>
      </c>
      <c r="M21" s="51">
        <v>57.26</v>
      </c>
      <c r="N21" s="51">
        <v>477.5</v>
      </c>
      <c r="O21" s="51">
        <v>0</v>
      </c>
      <c r="P21" s="51">
        <v>0.9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289</v>
      </c>
      <c r="B22" s="51">
        <v>6.96</v>
      </c>
      <c r="C22" s="51">
        <v>27.79</v>
      </c>
      <c r="D22" s="51">
        <v>18.5</v>
      </c>
      <c r="E22" s="51">
        <v>6.5</v>
      </c>
      <c r="F22" s="51">
        <v>5.12</v>
      </c>
      <c r="G22" s="51">
        <v>105.73</v>
      </c>
      <c r="H22" s="51">
        <v>48.03</v>
      </c>
      <c r="I22" s="51">
        <v>7.14</v>
      </c>
      <c r="J22" s="51">
        <v>1.69</v>
      </c>
      <c r="K22" s="51">
        <v>344.41</v>
      </c>
      <c r="L22" s="51">
        <v>26.69</v>
      </c>
      <c r="M22" s="51">
        <v>54.71</v>
      </c>
      <c r="N22" s="51">
        <v>230.6</v>
      </c>
      <c r="O22" s="51">
        <v>0</v>
      </c>
      <c r="P22" s="51">
        <v>0.92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290</v>
      </c>
      <c r="B23" s="51">
        <v>5.37</v>
      </c>
      <c r="C23" s="51">
        <v>28.23</v>
      </c>
      <c r="D23" s="51">
        <v>17.68</v>
      </c>
      <c r="E23" s="51">
        <v>6.23</v>
      </c>
      <c r="F23" s="51">
        <v>4.76</v>
      </c>
      <c r="G23" s="51">
        <v>113.65</v>
      </c>
      <c r="H23" s="51">
        <v>50.68</v>
      </c>
      <c r="I23" s="51">
        <v>6.06</v>
      </c>
      <c r="J23" s="51">
        <v>1.32</v>
      </c>
      <c r="K23" s="51">
        <v>342.87</v>
      </c>
      <c r="L23" s="51">
        <v>25.6</v>
      </c>
      <c r="M23" s="51">
        <v>50.59</v>
      </c>
      <c r="N23" s="51">
        <v>146.9</v>
      </c>
      <c r="O23" s="51">
        <v>0</v>
      </c>
      <c r="P23" s="51">
        <v>0.95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291</v>
      </c>
      <c r="B24" s="51">
        <v>5.6</v>
      </c>
      <c r="C24" s="51">
        <v>28.61</v>
      </c>
      <c r="D24" s="51">
        <v>17.899999999999999</v>
      </c>
      <c r="E24" s="51">
        <v>6.09</v>
      </c>
      <c r="F24" s="51">
        <v>5.52</v>
      </c>
      <c r="G24" s="51">
        <v>103.32</v>
      </c>
      <c r="H24" s="51">
        <v>48.77</v>
      </c>
      <c r="I24" s="51">
        <v>5.68</v>
      </c>
      <c r="J24" s="51">
        <v>1.26</v>
      </c>
      <c r="K24" s="51">
        <v>342.78</v>
      </c>
      <c r="L24" s="51">
        <v>25.74</v>
      </c>
      <c r="M24" s="51">
        <v>47.46</v>
      </c>
      <c r="N24" s="51">
        <v>137.1</v>
      </c>
      <c r="O24" s="51">
        <v>0</v>
      </c>
      <c r="P24" s="51">
        <v>0.93</v>
      </c>
      <c r="Q24" s="51">
        <v>9.6300000000000008</v>
      </c>
      <c r="R24" s="43"/>
      <c r="S24" s="43"/>
      <c r="T24" s="43"/>
      <c r="U24" s="43"/>
    </row>
    <row r="25" spans="1:21" s="11" customFormat="1" x14ac:dyDescent="0.25">
      <c r="A25" s="50" t="s">
        <v>292</v>
      </c>
      <c r="B25" s="51">
        <v>6.39</v>
      </c>
      <c r="C25" s="51">
        <v>26.84</v>
      </c>
      <c r="D25" s="51">
        <v>17.63</v>
      </c>
      <c r="E25" s="51">
        <v>5.43</v>
      </c>
      <c r="F25" s="51">
        <v>5.46</v>
      </c>
      <c r="G25" s="51">
        <v>103.52</v>
      </c>
      <c r="H25" s="51">
        <v>49.66</v>
      </c>
      <c r="I25" s="51">
        <v>3.84</v>
      </c>
      <c r="J25" s="51">
        <v>1.38</v>
      </c>
      <c r="K25" s="51">
        <v>343.87</v>
      </c>
      <c r="L25" s="51">
        <v>24.73</v>
      </c>
      <c r="M25" s="51">
        <v>47.15</v>
      </c>
      <c r="N25" s="51">
        <v>84.9</v>
      </c>
      <c r="O25" s="51">
        <v>0</v>
      </c>
      <c r="P25" s="51">
        <v>1.1200000000000001</v>
      </c>
      <c r="Q25" s="51">
        <v>9.64</v>
      </c>
      <c r="R25" s="43"/>
      <c r="S25" s="43"/>
      <c r="T25" s="43"/>
      <c r="U25" s="43"/>
    </row>
    <row r="26" spans="1:21" s="11" customFormat="1" x14ac:dyDescent="0.25">
      <c r="A26" s="50" t="s">
        <v>293</v>
      </c>
      <c r="B26" s="51">
        <v>6.28</v>
      </c>
      <c r="C26" s="51">
        <v>27.98</v>
      </c>
      <c r="D26" s="51">
        <v>18.03</v>
      </c>
      <c r="E26" s="51">
        <v>5.35</v>
      </c>
      <c r="F26" s="51">
        <v>4.83</v>
      </c>
      <c r="G26" s="51">
        <v>97.07</v>
      </c>
      <c r="H26" s="51">
        <v>44.58</v>
      </c>
      <c r="I26" s="51">
        <v>4.84</v>
      </c>
      <c r="J26" s="51">
        <v>0.59</v>
      </c>
      <c r="K26" s="51">
        <v>91.08</v>
      </c>
      <c r="L26" s="51">
        <v>22.93</v>
      </c>
      <c r="M26" s="51">
        <v>54.59</v>
      </c>
      <c r="N26" s="51">
        <v>32.700000000000003</v>
      </c>
      <c r="O26" s="51">
        <v>0</v>
      </c>
      <c r="P26" s="51">
        <v>1.26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294</v>
      </c>
      <c r="B27" s="51">
        <v>11.22</v>
      </c>
      <c r="C27" s="51">
        <v>30.47</v>
      </c>
      <c r="D27" s="51">
        <v>23.5</v>
      </c>
      <c r="E27" s="51">
        <v>5.92</v>
      </c>
      <c r="F27" s="51">
        <v>4.51</v>
      </c>
      <c r="G27" s="51">
        <v>102.18</v>
      </c>
      <c r="H27" s="51">
        <v>42.39</v>
      </c>
      <c r="I27" s="51">
        <v>6.49</v>
      </c>
      <c r="J27" s="51">
        <v>0.45</v>
      </c>
      <c r="K27" s="51">
        <v>325.35000000000002</v>
      </c>
      <c r="L27" s="51">
        <v>21.51</v>
      </c>
      <c r="M27" s="51">
        <v>59.8</v>
      </c>
      <c r="N27" s="51">
        <v>26.1</v>
      </c>
      <c r="O27" s="51">
        <v>0</v>
      </c>
      <c r="P27" s="51">
        <v>1.51</v>
      </c>
      <c r="Q27" s="51">
        <v>9.6300000000000008</v>
      </c>
      <c r="R27" s="43"/>
      <c r="S27" s="43"/>
      <c r="T27" s="43"/>
      <c r="U27" s="43"/>
    </row>
    <row r="28" spans="1:21" s="11" customFormat="1" x14ac:dyDescent="0.25">
      <c r="A28" s="50" t="s">
        <v>295</v>
      </c>
      <c r="B28" s="51">
        <v>10.75</v>
      </c>
      <c r="C28" s="51">
        <v>29.92</v>
      </c>
      <c r="D28" s="51">
        <v>22.87</v>
      </c>
      <c r="E28" s="51">
        <v>5.65</v>
      </c>
      <c r="F28" s="51">
        <v>4.9800000000000004</v>
      </c>
      <c r="G28" s="51">
        <v>105.65</v>
      </c>
      <c r="H28" s="51">
        <v>27.55</v>
      </c>
      <c r="I28" s="51">
        <v>5.93</v>
      </c>
      <c r="J28" s="51">
        <v>0.53</v>
      </c>
      <c r="K28" s="51">
        <v>151.72999999999999</v>
      </c>
      <c r="L28" s="51">
        <v>21.15</v>
      </c>
      <c r="M28" s="51">
        <v>62.54</v>
      </c>
      <c r="N28" s="51">
        <v>26.1</v>
      </c>
      <c r="O28" s="51">
        <v>0</v>
      </c>
      <c r="P28" s="51">
        <v>1.22</v>
      </c>
      <c r="Q28" s="51">
        <v>9.64</v>
      </c>
      <c r="R28" s="43"/>
      <c r="S28" s="43"/>
      <c r="T28" s="43"/>
      <c r="U28" s="43"/>
    </row>
    <row r="29" spans="1:21" s="11" customFormat="1" x14ac:dyDescent="0.25">
      <c r="A29" s="50" t="s">
        <v>296</v>
      </c>
      <c r="B29" s="51">
        <v>9.99</v>
      </c>
      <c r="C29" s="51">
        <v>24.92</v>
      </c>
      <c r="D29" s="51">
        <v>19.66</v>
      </c>
      <c r="E29" s="51">
        <v>6.34</v>
      </c>
      <c r="F29" s="51">
        <v>4.99</v>
      </c>
      <c r="G29" s="51">
        <v>107.33</v>
      </c>
      <c r="H29" s="51">
        <v>16.53</v>
      </c>
      <c r="I29" s="51">
        <v>4.53</v>
      </c>
      <c r="J29" s="51">
        <v>0.49</v>
      </c>
      <c r="K29" s="51">
        <v>117.81</v>
      </c>
      <c r="L29" s="51">
        <v>21.31</v>
      </c>
      <c r="M29" s="51">
        <v>63.19</v>
      </c>
      <c r="N29" s="51">
        <v>26.2</v>
      </c>
      <c r="O29" s="51">
        <v>0</v>
      </c>
      <c r="P29" s="51">
        <v>1.03</v>
      </c>
      <c r="Q29" s="51">
        <v>9.6199999999999992</v>
      </c>
      <c r="R29" s="43"/>
      <c r="S29" s="43"/>
      <c r="T29" s="43"/>
      <c r="U29" s="43"/>
    </row>
    <row r="30" spans="1:21" s="11" customFormat="1" x14ac:dyDescent="0.25">
      <c r="A30" s="50" t="s">
        <v>297</v>
      </c>
      <c r="B30" s="51">
        <v>10.55</v>
      </c>
      <c r="C30" s="51">
        <v>23.31</v>
      </c>
      <c r="D30" s="51">
        <v>19.260000000000002</v>
      </c>
      <c r="E30" s="51">
        <v>5.93</v>
      </c>
      <c r="F30" s="51">
        <v>4.62</v>
      </c>
      <c r="G30" s="51">
        <v>104.08</v>
      </c>
      <c r="H30" s="51">
        <v>10.25</v>
      </c>
      <c r="I30" s="51">
        <v>6.71</v>
      </c>
      <c r="J30" s="51">
        <v>0.79</v>
      </c>
      <c r="K30" s="51">
        <v>322.32</v>
      </c>
      <c r="L30" s="51">
        <v>21.27</v>
      </c>
      <c r="M30" s="51">
        <v>61.5</v>
      </c>
      <c r="N30" s="51">
        <v>26.3</v>
      </c>
      <c r="O30" s="51">
        <v>0</v>
      </c>
      <c r="P30" s="51">
        <v>1.1299999999999999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298</v>
      </c>
      <c r="B31" s="51">
        <v>9.8000000000000007</v>
      </c>
      <c r="C31" s="51">
        <v>24.21</v>
      </c>
      <c r="D31" s="51">
        <v>19.14</v>
      </c>
      <c r="E31" s="51">
        <v>5.95</v>
      </c>
      <c r="F31" s="51">
        <v>4.33</v>
      </c>
      <c r="G31" s="51">
        <v>87.99</v>
      </c>
      <c r="H31" s="51">
        <v>6.56</v>
      </c>
      <c r="I31" s="51">
        <v>6.6</v>
      </c>
      <c r="J31" s="51">
        <v>0.88</v>
      </c>
      <c r="K31" s="51">
        <v>115.19</v>
      </c>
      <c r="L31" s="51">
        <v>21.06</v>
      </c>
      <c r="M31" s="51">
        <v>60.53</v>
      </c>
      <c r="N31" s="51">
        <v>26.4</v>
      </c>
      <c r="O31" s="51">
        <v>0</v>
      </c>
      <c r="P31" s="51">
        <v>1.03</v>
      </c>
      <c r="Q31" s="51">
        <v>9.6199999999999992</v>
      </c>
      <c r="R31" s="43"/>
      <c r="S31" s="43"/>
      <c r="T31" s="43"/>
      <c r="U31" s="43"/>
    </row>
    <row r="32" spans="1:21" s="11" customFormat="1" x14ac:dyDescent="0.25">
      <c r="A32" s="50" t="s">
        <v>299</v>
      </c>
      <c r="B32" s="51">
        <v>9.23</v>
      </c>
      <c r="C32" s="51">
        <v>23.97</v>
      </c>
      <c r="D32" s="51">
        <v>18.55</v>
      </c>
      <c r="E32" s="51">
        <v>5.58</v>
      </c>
      <c r="F32" s="51">
        <v>4.45</v>
      </c>
      <c r="G32" s="51">
        <v>84.86</v>
      </c>
      <c r="H32" s="51">
        <v>4.33</v>
      </c>
      <c r="I32" s="51">
        <v>6.39</v>
      </c>
      <c r="J32" s="51">
        <v>0.93</v>
      </c>
      <c r="K32" s="51">
        <v>114.14</v>
      </c>
      <c r="L32" s="51">
        <v>20.91</v>
      </c>
      <c r="M32" s="51">
        <v>65.650000000000006</v>
      </c>
      <c r="N32" s="51">
        <v>26.5</v>
      </c>
      <c r="O32" s="51">
        <v>0</v>
      </c>
      <c r="P32" s="51">
        <v>0.96</v>
      </c>
      <c r="Q32" s="51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5.37</v>
      </c>
      <c r="C34" s="28">
        <f t="shared" si="0"/>
        <v>16</v>
      </c>
      <c r="D34" s="28">
        <f t="shared" si="0"/>
        <v>17.62</v>
      </c>
      <c r="E34" s="28">
        <f t="shared" si="0"/>
        <v>5.16</v>
      </c>
      <c r="F34" s="28">
        <f t="shared" si="0"/>
        <v>3.69</v>
      </c>
      <c r="G34" s="28">
        <f t="shared" si="0"/>
        <v>84.86</v>
      </c>
      <c r="H34" s="28">
        <f t="shared" si="0"/>
        <v>4.33</v>
      </c>
      <c r="I34" s="28">
        <f t="shared" si="0"/>
        <v>3.84</v>
      </c>
      <c r="J34" s="28">
        <f t="shared" si="0"/>
        <v>0.41</v>
      </c>
      <c r="K34" s="28">
        <f t="shared" si="0"/>
        <v>91.08</v>
      </c>
      <c r="L34" s="28">
        <f t="shared" si="0"/>
        <v>17.23</v>
      </c>
      <c r="M34" s="28">
        <f t="shared" si="0"/>
        <v>47.15</v>
      </c>
      <c r="N34" s="28">
        <f t="shared" si="0"/>
        <v>26.1</v>
      </c>
      <c r="O34" s="28">
        <f t="shared" si="0"/>
        <v>0</v>
      </c>
      <c r="P34" s="28">
        <f t="shared" si="0"/>
        <v>0.79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27.89</v>
      </c>
      <c r="C35" s="29">
        <f t="shared" si="1"/>
        <v>30.47</v>
      </c>
      <c r="D35" s="29">
        <f t="shared" si="1"/>
        <v>30.92</v>
      </c>
      <c r="E35" s="29">
        <f t="shared" si="1"/>
        <v>6.8</v>
      </c>
      <c r="F35" s="29">
        <f t="shared" si="1"/>
        <v>5.52</v>
      </c>
      <c r="G35" s="29">
        <f t="shared" si="1"/>
        <v>125.26</v>
      </c>
      <c r="H35" s="29">
        <f t="shared" si="1"/>
        <v>50.68</v>
      </c>
      <c r="I35" s="29">
        <f t="shared" si="1"/>
        <v>7.14</v>
      </c>
      <c r="J35" s="29">
        <f t="shared" si="1"/>
        <v>1.91</v>
      </c>
      <c r="K35" s="29">
        <f t="shared" si="1"/>
        <v>359.29</v>
      </c>
      <c r="L35" s="29">
        <f t="shared" si="1"/>
        <v>28.69</v>
      </c>
      <c r="M35" s="29">
        <f t="shared" si="1"/>
        <v>99.4</v>
      </c>
      <c r="N35" s="29">
        <f t="shared" si="1"/>
        <v>556.9</v>
      </c>
      <c r="O35" s="29">
        <f t="shared" si="1"/>
        <v>0</v>
      </c>
      <c r="P35" s="29">
        <f t="shared" si="1"/>
        <v>1.51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15.095833333333333</v>
      </c>
      <c r="C36" s="28">
        <f t="shared" si="2"/>
        <v>23.51541666666667</v>
      </c>
      <c r="D36" s="28">
        <f t="shared" si="2"/>
        <v>22.737916666666667</v>
      </c>
      <c r="E36" s="28">
        <f t="shared" si="2"/>
        <v>5.9991666666666665</v>
      </c>
      <c r="F36" s="28">
        <f t="shared" si="2"/>
        <v>4.5370833333333334</v>
      </c>
      <c r="G36" s="28">
        <f t="shared" si="2"/>
        <v>97.953333333333333</v>
      </c>
      <c r="H36" s="28">
        <f t="shared" si="2"/>
        <v>36.686249999999987</v>
      </c>
      <c r="I36" s="28">
        <f t="shared" si="2"/>
        <v>5.9458333333333329</v>
      </c>
      <c r="J36" s="28">
        <f t="shared" si="2"/>
        <v>0.84958333333333325</v>
      </c>
      <c r="K36" s="28">
        <f t="shared" si="2"/>
        <v>292.64833333333331</v>
      </c>
      <c r="L36" s="28">
        <f t="shared" si="2"/>
        <v>21.899166666666662</v>
      </c>
      <c r="M36" s="28">
        <f t="shared" si="2"/>
        <v>70.955416666666679</v>
      </c>
      <c r="N36" s="28">
        <f t="shared" si="2"/>
        <v>136.29166666666666</v>
      </c>
      <c r="O36" s="28">
        <f t="shared" si="2"/>
        <v>0</v>
      </c>
      <c r="P36" s="28">
        <f t="shared" si="2"/>
        <v>1.0245833333333334</v>
      </c>
      <c r="Q36" s="28">
        <f t="shared" si="2"/>
        <v>9.6366666666666649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7.6255502533696937</v>
      </c>
      <c r="C37" s="28">
        <f t="shared" ref="C37:Q37" si="3">STDEV(C9:C32)</f>
        <v>4.4331900175701788</v>
      </c>
      <c r="D37" s="28">
        <f t="shared" si="3"/>
        <v>4.6439825292397527</v>
      </c>
      <c r="E37" s="28">
        <f t="shared" si="3"/>
        <v>0.45474232232127343</v>
      </c>
      <c r="F37" s="28">
        <f t="shared" si="3"/>
        <v>0.47536237131053061</v>
      </c>
      <c r="G37" s="28">
        <f t="shared" si="3"/>
        <v>10.8784956067769</v>
      </c>
      <c r="H37" s="28">
        <f t="shared" si="3"/>
        <v>13.939806876742246</v>
      </c>
      <c r="I37" s="28">
        <f t="shared" si="3"/>
        <v>0.80995392604693217</v>
      </c>
      <c r="J37" s="28">
        <f t="shared" si="3"/>
        <v>0.41890622761691199</v>
      </c>
      <c r="K37" s="28">
        <f t="shared" si="3"/>
        <v>92.948004757529958</v>
      </c>
      <c r="L37" s="28">
        <f t="shared" si="3"/>
        <v>3.5423670748178786</v>
      </c>
      <c r="M37" s="28">
        <f t="shared" si="3"/>
        <v>18.179501590519692</v>
      </c>
      <c r="N37" s="28">
        <f t="shared" si="3"/>
        <v>176.38216393281718</v>
      </c>
      <c r="O37" s="28">
        <f t="shared" si="3"/>
        <v>0</v>
      </c>
      <c r="P37" s="28">
        <f t="shared" si="3"/>
        <v>0.1771754023232501</v>
      </c>
      <c r="Q37" s="28">
        <f t="shared" si="3"/>
        <v>8.6811473228244236E-3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300</v>
      </c>
      <c r="B9" s="51">
        <v>7.24</v>
      </c>
      <c r="C9" s="51">
        <v>20.25</v>
      </c>
      <c r="D9" s="51">
        <v>15.01</v>
      </c>
      <c r="E9" s="51">
        <v>5.22</v>
      </c>
      <c r="F9" s="51">
        <v>4.67</v>
      </c>
      <c r="G9" s="51">
        <v>84.06</v>
      </c>
      <c r="H9" s="51">
        <v>41.93</v>
      </c>
      <c r="I9" s="51">
        <v>4.24</v>
      </c>
      <c r="J9" s="51">
        <v>1.39</v>
      </c>
      <c r="K9" s="51">
        <v>120.58</v>
      </c>
      <c r="L9" s="51">
        <v>20.34</v>
      </c>
      <c r="M9" s="51">
        <v>68.489999999999995</v>
      </c>
      <c r="N9" s="51">
        <v>26.4</v>
      </c>
      <c r="O9" s="51">
        <v>0</v>
      </c>
      <c r="P9" s="51">
        <v>0.74</v>
      </c>
      <c r="Q9" s="51">
        <v>9.6300000000000008</v>
      </c>
      <c r="R9" s="43"/>
      <c r="S9" s="43"/>
      <c r="T9" s="43"/>
      <c r="U9" s="43"/>
    </row>
    <row r="10" spans="1:21" s="11" customFormat="1" x14ac:dyDescent="0.25">
      <c r="A10" s="50" t="s">
        <v>301</v>
      </c>
      <c r="B10" s="51">
        <v>6.02</v>
      </c>
      <c r="C10" s="51">
        <v>18.89</v>
      </c>
      <c r="D10" s="51">
        <v>12.97</v>
      </c>
      <c r="E10" s="51">
        <v>5.54</v>
      </c>
      <c r="F10" s="51">
        <v>7.31</v>
      </c>
      <c r="G10" s="51">
        <v>82.5</v>
      </c>
      <c r="H10" s="51">
        <v>41.93</v>
      </c>
      <c r="I10" s="51">
        <v>6.31</v>
      </c>
      <c r="J10" s="51">
        <v>1.37</v>
      </c>
      <c r="K10" s="51">
        <v>350.07</v>
      </c>
      <c r="L10" s="51">
        <v>20.350000000000001</v>
      </c>
      <c r="M10" s="51">
        <v>73.38</v>
      </c>
      <c r="N10" s="51">
        <v>26.7</v>
      </c>
      <c r="O10" s="51">
        <v>0</v>
      </c>
      <c r="P10" s="51">
        <v>0.77</v>
      </c>
      <c r="Q10" s="51">
        <v>9.6300000000000008</v>
      </c>
      <c r="R10" s="43"/>
      <c r="S10" s="43"/>
      <c r="T10" s="43"/>
      <c r="U10" s="43"/>
    </row>
    <row r="11" spans="1:21" s="11" customFormat="1" x14ac:dyDescent="0.25">
      <c r="A11" s="50" t="s">
        <v>302</v>
      </c>
      <c r="B11" s="51">
        <v>5.07</v>
      </c>
      <c r="C11" s="51">
        <v>20.54</v>
      </c>
      <c r="D11" s="51">
        <v>13.4</v>
      </c>
      <c r="E11" s="51">
        <v>5.61</v>
      </c>
      <c r="F11" s="51">
        <v>4.4000000000000004</v>
      </c>
      <c r="G11" s="51">
        <v>81</v>
      </c>
      <c r="H11" s="51">
        <v>44.61</v>
      </c>
      <c r="I11" s="51">
        <v>6.67</v>
      </c>
      <c r="J11" s="51">
        <v>1.23</v>
      </c>
      <c r="K11" s="51">
        <v>340.44</v>
      </c>
      <c r="L11" s="51">
        <v>19.47</v>
      </c>
      <c r="M11" s="51">
        <v>74.540000000000006</v>
      </c>
      <c r="N11" s="51">
        <v>26.3</v>
      </c>
      <c r="O11" s="51">
        <v>0</v>
      </c>
      <c r="P11" s="51">
        <v>0.74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303</v>
      </c>
      <c r="B12" s="51">
        <v>5.0999999999999996</v>
      </c>
      <c r="C12" s="51">
        <v>20.29</v>
      </c>
      <c r="D12" s="51">
        <v>13.27</v>
      </c>
      <c r="E12" s="51">
        <v>5.45</v>
      </c>
      <c r="F12" s="51">
        <v>4.5199999999999996</v>
      </c>
      <c r="G12" s="51">
        <v>93.34</v>
      </c>
      <c r="H12" s="51">
        <v>45.26</v>
      </c>
      <c r="I12" s="51">
        <v>5.92</v>
      </c>
      <c r="J12" s="51">
        <v>0.87</v>
      </c>
      <c r="K12" s="51">
        <v>338.26</v>
      </c>
      <c r="L12" s="51">
        <v>18.850000000000001</v>
      </c>
      <c r="M12" s="51">
        <v>77</v>
      </c>
      <c r="N12" s="51">
        <v>26.3</v>
      </c>
      <c r="O12" s="51">
        <v>0</v>
      </c>
      <c r="P12" s="51">
        <v>0.72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304</v>
      </c>
      <c r="B13" s="51">
        <v>6.02</v>
      </c>
      <c r="C13" s="51">
        <v>17.21</v>
      </c>
      <c r="D13" s="51">
        <v>12.27</v>
      </c>
      <c r="E13" s="51">
        <v>6.11</v>
      </c>
      <c r="F13" s="51">
        <v>4.3</v>
      </c>
      <c r="G13" s="51">
        <v>85.46</v>
      </c>
      <c r="H13" s="51">
        <v>40.659999999999997</v>
      </c>
      <c r="I13" s="51">
        <v>4.04</v>
      </c>
      <c r="J13" s="51">
        <v>1.35</v>
      </c>
      <c r="K13" s="51">
        <v>344.89</v>
      </c>
      <c r="L13" s="51">
        <v>18.420000000000002</v>
      </c>
      <c r="M13" s="51">
        <v>79.44</v>
      </c>
      <c r="N13" s="51">
        <v>26.1</v>
      </c>
      <c r="O13" s="51">
        <v>0</v>
      </c>
      <c r="P13" s="51">
        <v>0.68</v>
      </c>
      <c r="Q13" s="51">
        <v>9.6300000000000008</v>
      </c>
      <c r="R13" s="43"/>
      <c r="S13" s="43"/>
      <c r="T13" s="43"/>
      <c r="U13" s="43"/>
    </row>
    <row r="14" spans="1:21" s="11" customFormat="1" x14ac:dyDescent="0.25">
      <c r="A14" s="50" t="s">
        <v>305</v>
      </c>
      <c r="B14" s="51">
        <v>8.1300000000000008</v>
      </c>
      <c r="C14" s="51">
        <v>18.78</v>
      </c>
      <c r="D14" s="51">
        <v>14.96</v>
      </c>
      <c r="E14" s="51">
        <v>6.63</v>
      </c>
      <c r="F14" s="51">
        <v>4.1900000000000004</v>
      </c>
      <c r="G14" s="51">
        <v>91.6</v>
      </c>
      <c r="H14" s="51">
        <v>54.51</v>
      </c>
      <c r="I14" s="51">
        <v>4.55</v>
      </c>
      <c r="J14" s="51">
        <v>1.1399999999999999</v>
      </c>
      <c r="K14" s="51">
        <v>347.51</v>
      </c>
      <c r="L14" s="51">
        <v>18.04</v>
      </c>
      <c r="M14" s="51">
        <v>88.5</v>
      </c>
      <c r="N14" s="51">
        <v>26.1</v>
      </c>
      <c r="O14" s="51">
        <v>0</v>
      </c>
      <c r="P14" s="51">
        <v>0.83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306</v>
      </c>
      <c r="B15" s="51">
        <v>13.66</v>
      </c>
      <c r="C15" s="51">
        <v>20.34</v>
      </c>
      <c r="D15" s="51">
        <v>20.2</v>
      </c>
      <c r="E15" s="51">
        <v>7.36</v>
      </c>
      <c r="F15" s="51">
        <v>4.2300000000000004</v>
      </c>
      <c r="G15" s="51">
        <v>109.76</v>
      </c>
      <c r="H15" s="51">
        <v>63.51</v>
      </c>
      <c r="I15" s="51">
        <v>4.99</v>
      </c>
      <c r="J15" s="51">
        <v>1.27</v>
      </c>
      <c r="K15" s="51">
        <v>346.65</v>
      </c>
      <c r="L15" s="51">
        <v>17.39</v>
      </c>
      <c r="M15" s="51">
        <v>88.71</v>
      </c>
      <c r="N15" s="51">
        <v>64.3</v>
      </c>
      <c r="O15" s="51">
        <v>0</v>
      </c>
      <c r="P15" s="51">
        <v>0.92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307</v>
      </c>
      <c r="B16" s="51">
        <v>17.899999999999999</v>
      </c>
      <c r="C16" s="51">
        <v>21.8</v>
      </c>
      <c r="D16" s="51">
        <v>23.88</v>
      </c>
      <c r="E16" s="51">
        <v>7.54</v>
      </c>
      <c r="F16" s="51">
        <v>4.4000000000000004</v>
      </c>
      <c r="G16" s="51">
        <v>115.11</v>
      </c>
      <c r="H16" s="51">
        <v>62.9</v>
      </c>
      <c r="I16" s="51">
        <v>5.23</v>
      </c>
      <c r="J16" s="51">
        <v>1.3</v>
      </c>
      <c r="K16" s="51">
        <v>343.76</v>
      </c>
      <c r="L16" s="51">
        <v>19.28</v>
      </c>
      <c r="M16" s="51">
        <v>81.61</v>
      </c>
      <c r="N16" s="51">
        <v>130</v>
      </c>
      <c r="O16" s="51">
        <v>0</v>
      </c>
      <c r="P16" s="51">
        <v>0.99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308</v>
      </c>
      <c r="B17" s="51">
        <v>21.46</v>
      </c>
      <c r="C17" s="51">
        <v>21.15</v>
      </c>
      <c r="D17" s="51">
        <v>26.6</v>
      </c>
      <c r="E17" s="51">
        <v>7.14</v>
      </c>
      <c r="F17" s="51">
        <v>4.2</v>
      </c>
      <c r="G17" s="51">
        <v>112.92</v>
      </c>
      <c r="H17" s="51">
        <v>43.75</v>
      </c>
      <c r="I17" s="51">
        <v>4.76</v>
      </c>
      <c r="J17" s="51">
        <v>0.91</v>
      </c>
      <c r="K17" s="51">
        <v>336.81</v>
      </c>
      <c r="L17" s="51">
        <v>20.7</v>
      </c>
      <c r="M17" s="51">
        <v>71.680000000000007</v>
      </c>
      <c r="N17" s="51">
        <v>194.6</v>
      </c>
      <c r="O17" s="51">
        <v>0</v>
      </c>
      <c r="P17" s="51">
        <v>0.97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309</v>
      </c>
      <c r="B18" s="51">
        <v>21.51</v>
      </c>
      <c r="C18" s="51">
        <v>21.58</v>
      </c>
      <c r="D18" s="51">
        <v>26.55</v>
      </c>
      <c r="E18" s="51">
        <v>6.18</v>
      </c>
      <c r="F18" s="51">
        <v>4.26</v>
      </c>
      <c r="G18" s="51">
        <v>98.74</v>
      </c>
      <c r="H18" s="51">
        <v>25.86</v>
      </c>
      <c r="I18" s="51">
        <v>5.27</v>
      </c>
      <c r="J18" s="51">
        <v>1.01</v>
      </c>
      <c r="K18" s="51">
        <v>355.35</v>
      </c>
      <c r="L18" s="51">
        <v>25.11</v>
      </c>
      <c r="M18" s="51">
        <v>74.92</v>
      </c>
      <c r="N18" s="51">
        <v>472.5</v>
      </c>
      <c r="O18" s="51">
        <v>0</v>
      </c>
      <c r="P18" s="51">
        <v>0.92</v>
      </c>
      <c r="Q18" s="51">
        <v>9.65</v>
      </c>
      <c r="R18" s="43"/>
      <c r="S18" s="43"/>
      <c r="T18" s="43"/>
      <c r="U18" s="43"/>
    </row>
    <row r="19" spans="1:21" s="11" customFormat="1" x14ac:dyDescent="0.25">
      <c r="A19" s="50" t="s">
        <v>310</v>
      </c>
      <c r="B19" s="51">
        <v>20.149999999999999</v>
      </c>
      <c r="C19" s="51">
        <v>22.91</v>
      </c>
      <c r="D19" s="51">
        <v>26.18</v>
      </c>
      <c r="E19" s="51">
        <v>6.55</v>
      </c>
      <c r="F19" s="51">
        <v>4.5199999999999996</v>
      </c>
      <c r="G19" s="51">
        <v>95.53</v>
      </c>
      <c r="H19" s="51">
        <v>32.75</v>
      </c>
      <c r="I19" s="51">
        <v>6.17</v>
      </c>
      <c r="J19" s="51">
        <v>1.58</v>
      </c>
      <c r="K19" s="51">
        <v>333.49</v>
      </c>
      <c r="L19" s="51">
        <v>25.91</v>
      </c>
      <c r="M19" s="51">
        <v>62.26</v>
      </c>
      <c r="N19" s="51">
        <v>587.70000000000005</v>
      </c>
      <c r="O19" s="51">
        <v>0</v>
      </c>
      <c r="P19" s="51">
        <v>0.9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311</v>
      </c>
      <c r="B20" s="51">
        <v>10.88</v>
      </c>
      <c r="C20" s="51">
        <v>37.520000000000003</v>
      </c>
      <c r="D20" s="51">
        <v>23.12</v>
      </c>
      <c r="E20" s="51">
        <v>9.4</v>
      </c>
      <c r="F20" s="51">
        <v>15.88</v>
      </c>
      <c r="G20" s="51">
        <v>83.19</v>
      </c>
      <c r="H20" s="51">
        <v>39.31</v>
      </c>
      <c r="I20" s="51">
        <v>7.02</v>
      </c>
      <c r="J20" s="51">
        <v>1.25</v>
      </c>
      <c r="K20" s="51">
        <v>349.31</v>
      </c>
      <c r="L20" s="51">
        <v>27.71</v>
      </c>
      <c r="M20" s="51">
        <v>56.52</v>
      </c>
      <c r="N20" s="51">
        <v>600.9</v>
      </c>
      <c r="O20" s="51">
        <v>0</v>
      </c>
      <c r="P20" s="51">
        <v>0.85</v>
      </c>
      <c r="Q20" s="51">
        <v>9.65</v>
      </c>
      <c r="R20" s="43"/>
      <c r="S20" s="43"/>
      <c r="T20" s="43"/>
      <c r="U20" s="43"/>
    </row>
    <row r="21" spans="1:21" s="11" customFormat="1" x14ac:dyDescent="0.25">
      <c r="A21" s="50" t="s">
        <v>312</v>
      </c>
      <c r="B21" s="51">
        <v>3.41</v>
      </c>
      <c r="C21" s="51">
        <v>24.1</v>
      </c>
      <c r="D21" s="51">
        <v>12.81</v>
      </c>
      <c r="E21" s="51">
        <v>6.98</v>
      </c>
      <c r="F21" s="51">
        <v>7.05</v>
      </c>
      <c r="G21" s="51">
        <v>60.52</v>
      </c>
      <c r="H21" s="51">
        <v>27.53</v>
      </c>
      <c r="I21" s="51">
        <v>4.18</v>
      </c>
      <c r="J21" s="51">
        <v>1.0900000000000001</v>
      </c>
      <c r="K21" s="51">
        <v>341.74</v>
      </c>
      <c r="L21" s="51">
        <v>27.41</v>
      </c>
      <c r="M21" s="51">
        <v>55.14</v>
      </c>
      <c r="N21" s="51">
        <v>391.9</v>
      </c>
      <c r="O21" s="51">
        <v>0</v>
      </c>
      <c r="P21" s="51">
        <v>0.66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313</v>
      </c>
      <c r="B22" s="51">
        <v>3.75</v>
      </c>
      <c r="C22" s="51">
        <v>23.95</v>
      </c>
      <c r="D22" s="51">
        <v>14.13</v>
      </c>
      <c r="E22" s="51">
        <v>6.76</v>
      </c>
      <c r="F22" s="51">
        <v>11.78</v>
      </c>
      <c r="G22" s="51">
        <v>66.099999999999994</v>
      </c>
      <c r="H22" s="51">
        <v>6.61</v>
      </c>
      <c r="I22" s="51">
        <v>3.56</v>
      </c>
      <c r="J22" s="51">
        <v>0.86</v>
      </c>
      <c r="K22" s="51">
        <v>113.16</v>
      </c>
      <c r="L22" s="51">
        <v>27.18</v>
      </c>
      <c r="M22" s="51">
        <v>47.87</v>
      </c>
      <c r="N22" s="51">
        <v>436.1</v>
      </c>
      <c r="O22" s="51">
        <v>0</v>
      </c>
      <c r="P22" s="51">
        <v>0.61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314</v>
      </c>
      <c r="B23" s="51">
        <v>2.33</v>
      </c>
      <c r="C23" s="51">
        <v>28.29</v>
      </c>
      <c r="D23" s="51">
        <v>15.21</v>
      </c>
      <c r="E23" s="51">
        <v>8.16</v>
      </c>
      <c r="F23" s="51">
        <v>15.19</v>
      </c>
      <c r="G23" s="51">
        <v>77.95</v>
      </c>
      <c r="H23" s="51">
        <v>1.72</v>
      </c>
      <c r="I23" s="51">
        <v>3.72</v>
      </c>
      <c r="J23" s="51">
        <v>1.3</v>
      </c>
      <c r="K23" s="51">
        <v>111.54</v>
      </c>
      <c r="L23" s="51">
        <v>26.09</v>
      </c>
      <c r="M23" s="51">
        <v>46.67</v>
      </c>
      <c r="N23" s="51">
        <v>169.8</v>
      </c>
      <c r="O23" s="51">
        <v>0</v>
      </c>
      <c r="P23" s="51">
        <v>0.57999999999999996</v>
      </c>
      <c r="Q23" s="51">
        <v>9.64</v>
      </c>
      <c r="R23" s="43"/>
      <c r="S23" s="43"/>
      <c r="T23" s="43"/>
      <c r="U23" s="43"/>
    </row>
    <row r="24" spans="1:21" s="11" customFormat="1" x14ac:dyDescent="0.25">
      <c r="A24" s="50" t="s">
        <v>315</v>
      </c>
      <c r="B24" s="51">
        <v>3.73</v>
      </c>
      <c r="C24" s="51">
        <v>24.31</v>
      </c>
      <c r="D24" s="51">
        <v>13.85</v>
      </c>
      <c r="E24" s="51">
        <v>5.96</v>
      </c>
      <c r="F24" s="51">
        <v>6.21</v>
      </c>
      <c r="G24" s="51">
        <v>54.81</v>
      </c>
      <c r="H24" s="51">
        <v>20.69</v>
      </c>
      <c r="I24" s="51">
        <v>3.51</v>
      </c>
      <c r="J24" s="51">
        <v>0.92</v>
      </c>
      <c r="K24" s="51">
        <v>355.57</v>
      </c>
      <c r="L24" s="51">
        <v>25.31</v>
      </c>
      <c r="M24" s="51">
        <v>48.26</v>
      </c>
      <c r="N24" s="51">
        <v>122.5</v>
      </c>
      <c r="O24" s="51">
        <v>0</v>
      </c>
      <c r="P24" s="51">
        <v>0.62</v>
      </c>
      <c r="Q24" s="51">
        <v>9.6300000000000008</v>
      </c>
      <c r="R24" s="43"/>
      <c r="S24" s="43"/>
      <c r="T24" s="43"/>
      <c r="U24" s="43"/>
    </row>
    <row r="25" spans="1:21" s="11" customFormat="1" x14ac:dyDescent="0.25">
      <c r="A25" s="50" t="s">
        <v>316</v>
      </c>
      <c r="B25" s="51">
        <v>4.6900000000000004</v>
      </c>
      <c r="C25" s="51">
        <v>24.52</v>
      </c>
      <c r="D25" s="51">
        <v>15.04</v>
      </c>
      <c r="E25" s="51">
        <v>5.95</v>
      </c>
      <c r="F25" s="51">
        <v>6.14</v>
      </c>
      <c r="G25" s="51">
        <v>73.09</v>
      </c>
      <c r="H25" s="51">
        <v>20.69</v>
      </c>
      <c r="I25" s="51">
        <v>3.6</v>
      </c>
      <c r="J25" s="51">
        <v>0.72</v>
      </c>
      <c r="K25" s="51">
        <v>112.15</v>
      </c>
      <c r="L25" s="51">
        <v>24.74</v>
      </c>
      <c r="M25" s="51">
        <v>53.15</v>
      </c>
      <c r="N25" s="51">
        <v>69.900000000000006</v>
      </c>
      <c r="O25" s="51">
        <v>0</v>
      </c>
      <c r="P25" s="51">
        <v>0.74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317</v>
      </c>
      <c r="B26" s="51">
        <v>9.2100000000000009</v>
      </c>
      <c r="C26" s="51">
        <v>48.23</v>
      </c>
      <c r="D26" s="51">
        <v>30.94</v>
      </c>
      <c r="E26" s="51">
        <v>8.69</v>
      </c>
      <c r="F26" s="51">
        <v>7.82</v>
      </c>
      <c r="G26" s="51">
        <v>57.51</v>
      </c>
      <c r="H26" s="51">
        <v>26.68</v>
      </c>
      <c r="I26" s="51">
        <v>4.3</v>
      </c>
      <c r="J26" s="51">
        <v>0.71</v>
      </c>
      <c r="K26" s="51">
        <v>342.04</v>
      </c>
      <c r="L26" s="51">
        <v>23.11</v>
      </c>
      <c r="M26" s="51">
        <v>59.62</v>
      </c>
      <c r="N26" s="51">
        <v>33.1</v>
      </c>
      <c r="O26" s="51">
        <v>0</v>
      </c>
      <c r="P26" s="51">
        <v>1.35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318</v>
      </c>
      <c r="B27" s="51">
        <v>8.82</v>
      </c>
      <c r="C27" s="51">
        <v>39.15</v>
      </c>
      <c r="D27" s="51">
        <v>26.15</v>
      </c>
      <c r="E27" s="51">
        <v>6.73</v>
      </c>
      <c r="F27" s="51">
        <v>4.95</v>
      </c>
      <c r="G27" s="51">
        <v>91.16</v>
      </c>
      <c r="H27" s="51">
        <v>39.03</v>
      </c>
      <c r="I27" s="51">
        <v>4.29</v>
      </c>
      <c r="J27" s="51">
        <v>0.65</v>
      </c>
      <c r="K27" s="51">
        <v>108.93</v>
      </c>
      <c r="L27" s="51">
        <v>21.86</v>
      </c>
      <c r="M27" s="51">
        <v>62.37</v>
      </c>
      <c r="N27" s="51">
        <v>26.1</v>
      </c>
      <c r="O27" s="51">
        <v>0</v>
      </c>
      <c r="P27" s="51">
        <v>1.05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319</v>
      </c>
      <c r="B28" s="51">
        <v>8.39</v>
      </c>
      <c r="C28" s="51">
        <v>31.86</v>
      </c>
      <c r="D28" s="51">
        <v>21.76</v>
      </c>
      <c r="E28" s="51">
        <v>5.9</v>
      </c>
      <c r="F28" s="51">
        <v>4.3600000000000003</v>
      </c>
      <c r="G28" s="51">
        <v>85.82</v>
      </c>
      <c r="H28" s="51">
        <v>41.28</v>
      </c>
      <c r="I28" s="51">
        <v>5.27</v>
      </c>
      <c r="J28" s="51">
        <v>0.41</v>
      </c>
      <c r="K28" s="51">
        <v>343.59</v>
      </c>
      <c r="L28" s="51">
        <v>21.29</v>
      </c>
      <c r="M28" s="51">
        <v>66.53</v>
      </c>
      <c r="N28" s="51">
        <v>26.1</v>
      </c>
      <c r="O28" s="51">
        <v>0</v>
      </c>
      <c r="P28" s="51">
        <v>1.37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320</v>
      </c>
      <c r="B29" s="51">
        <v>9.14</v>
      </c>
      <c r="C29" s="51">
        <v>30.44</v>
      </c>
      <c r="D29" s="51">
        <v>21.59</v>
      </c>
      <c r="E29" s="51">
        <v>6.88</v>
      </c>
      <c r="F29" s="51">
        <v>4.5</v>
      </c>
      <c r="G29" s="51">
        <v>89.71</v>
      </c>
      <c r="H29" s="51">
        <v>37.06</v>
      </c>
      <c r="I29" s="51">
        <v>5.23</v>
      </c>
      <c r="J29" s="51">
        <v>0.83</v>
      </c>
      <c r="K29" s="51">
        <v>339.15</v>
      </c>
      <c r="L29" s="51">
        <v>20.8</v>
      </c>
      <c r="M29" s="51">
        <v>66.739999999999995</v>
      </c>
      <c r="N29" s="51">
        <v>26</v>
      </c>
      <c r="O29" s="51">
        <v>0</v>
      </c>
      <c r="P29" s="51">
        <v>1.23</v>
      </c>
      <c r="Q29" s="51">
        <v>9.6300000000000008</v>
      </c>
      <c r="R29" s="43"/>
      <c r="S29" s="43"/>
      <c r="T29" s="43"/>
      <c r="U29" s="43"/>
    </row>
    <row r="30" spans="1:21" s="11" customFormat="1" x14ac:dyDescent="0.25">
      <c r="A30" s="50" t="s">
        <v>321</v>
      </c>
      <c r="B30" s="51">
        <v>8.76</v>
      </c>
      <c r="C30" s="51">
        <v>25.56</v>
      </c>
      <c r="D30" s="51">
        <v>19.010000000000002</v>
      </c>
      <c r="E30" s="51">
        <v>6.66</v>
      </c>
      <c r="F30" s="51">
        <v>4.3600000000000003</v>
      </c>
      <c r="G30" s="51">
        <v>85.37</v>
      </c>
      <c r="H30" s="51">
        <v>37.06</v>
      </c>
      <c r="I30" s="51">
        <v>4.6100000000000003</v>
      </c>
      <c r="J30" s="51">
        <v>0.55000000000000004</v>
      </c>
      <c r="K30" s="51">
        <v>115.1</v>
      </c>
      <c r="L30" s="51">
        <v>20.239999999999998</v>
      </c>
      <c r="M30" s="51">
        <v>71.69</v>
      </c>
      <c r="N30" s="51">
        <v>26.1</v>
      </c>
      <c r="O30" s="51">
        <v>0</v>
      </c>
      <c r="P30" s="51">
        <v>1.04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322</v>
      </c>
      <c r="B31" s="51">
        <v>8.4700000000000006</v>
      </c>
      <c r="C31" s="51">
        <v>24.6</v>
      </c>
      <c r="D31" s="51">
        <v>17.920000000000002</v>
      </c>
      <c r="E31" s="51">
        <v>6.4</v>
      </c>
      <c r="F31" s="51">
        <v>4.83</v>
      </c>
      <c r="G31" s="51">
        <v>76.22</v>
      </c>
      <c r="H31" s="51">
        <v>72.53</v>
      </c>
      <c r="I31" s="51">
        <v>6.04</v>
      </c>
      <c r="J31" s="51">
        <v>0.74</v>
      </c>
      <c r="K31" s="51">
        <v>137.32</v>
      </c>
      <c r="L31" s="51">
        <v>19.559999999999999</v>
      </c>
      <c r="M31" s="51">
        <v>74.12</v>
      </c>
      <c r="N31" s="51">
        <v>26</v>
      </c>
      <c r="O31" s="51">
        <v>0</v>
      </c>
      <c r="P31" s="51">
        <v>1.06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323</v>
      </c>
      <c r="B32" s="51">
        <v>7.08</v>
      </c>
      <c r="C32" s="51">
        <v>25.53</v>
      </c>
      <c r="D32" s="51">
        <v>17.39</v>
      </c>
      <c r="E32" s="51">
        <v>6.63</v>
      </c>
      <c r="F32" s="51">
        <v>4.34</v>
      </c>
      <c r="G32" s="51">
        <v>74.56</v>
      </c>
      <c r="H32" s="51">
        <v>46.84</v>
      </c>
      <c r="I32" s="51">
        <v>5.99</v>
      </c>
      <c r="J32" s="51">
        <v>0.44</v>
      </c>
      <c r="K32" s="51">
        <v>95.33</v>
      </c>
      <c r="L32" s="51">
        <v>19.14</v>
      </c>
      <c r="M32" s="51">
        <v>77.430000000000007</v>
      </c>
      <c r="N32" s="51">
        <v>25.9</v>
      </c>
      <c r="O32" s="51">
        <v>0</v>
      </c>
      <c r="P32" s="51">
        <v>1</v>
      </c>
      <c r="Q32" s="51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2.33</v>
      </c>
      <c r="C34" s="28">
        <f t="shared" si="0"/>
        <v>17.21</v>
      </c>
      <c r="D34" s="28">
        <f t="shared" si="0"/>
        <v>12.27</v>
      </c>
      <c r="E34" s="28">
        <f t="shared" si="0"/>
        <v>5.22</v>
      </c>
      <c r="F34" s="28">
        <f t="shared" si="0"/>
        <v>4.1900000000000004</v>
      </c>
      <c r="G34" s="28">
        <f t="shared" si="0"/>
        <v>54.81</v>
      </c>
      <c r="H34" s="28">
        <f t="shared" si="0"/>
        <v>1.72</v>
      </c>
      <c r="I34" s="28">
        <f t="shared" si="0"/>
        <v>3.51</v>
      </c>
      <c r="J34" s="28">
        <f t="shared" si="0"/>
        <v>0.41</v>
      </c>
      <c r="K34" s="28">
        <f t="shared" si="0"/>
        <v>95.33</v>
      </c>
      <c r="L34" s="28">
        <f t="shared" si="0"/>
        <v>17.39</v>
      </c>
      <c r="M34" s="28">
        <f t="shared" si="0"/>
        <v>46.67</v>
      </c>
      <c r="N34" s="28">
        <f t="shared" si="0"/>
        <v>25.9</v>
      </c>
      <c r="O34" s="28">
        <f t="shared" si="0"/>
        <v>0</v>
      </c>
      <c r="P34" s="28">
        <f t="shared" si="0"/>
        <v>0.57999999999999996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21.51</v>
      </c>
      <c r="C35" s="29">
        <f t="shared" si="1"/>
        <v>48.23</v>
      </c>
      <c r="D35" s="29">
        <f t="shared" si="1"/>
        <v>30.94</v>
      </c>
      <c r="E35" s="29">
        <f t="shared" si="1"/>
        <v>9.4</v>
      </c>
      <c r="F35" s="29">
        <f t="shared" si="1"/>
        <v>15.88</v>
      </c>
      <c r="G35" s="29">
        <f t="shared" si="1"/>
        <v>115.11</v>
      </c>
      <c r="H35" s="29">
        <f t="shared" si="1"/>
        <v>72.53</v>
      </c>
      <c r="I35" s="29">
        <f t="shared" si="1"/>
        <v>7.02</v>
      </c>
      <c r="J35" s="29">
        <f t="shared" si="1"/>
        <v>1.58</v>
      </c>
      <c r="K35" s="29">
        <f t="shared" si="1"/>
        <v>355.57</v>
      </c>
      <c r="L35" s="29">
        <f t="shared" si="1"/>
        <v>27.71</v>
      </c>
      <c r="M35" s="29">
        <f t="shared" si="1"/>
        <v>88.71</v>
      </c>
      <c r="N35" s="29">
        <f t="shared" si="1"/>
        <v>600.9</v>
      </c>
      <c r="O35" s="29">
        <f t="shared" si="1"/>
        <v>0</v>
      </c>
      <c r="P35" s="29">
        <f t="shared" si="1"/>
        <v>1.37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9.2049999999999983</v>
      </c>
      <c r="C36" s="28">
        <f t="shared" si="2"/>
        <v>25.491666666666671</v>
      </c>
      <c r="D36" s="28">
        <f t="shared" si="2"/>
        <v>18.925416666666667</v>
      </c>
      <c r="E36" s="28">
        <f t="shared" si="2"/>
        <v>6.6845833333333333</v>
      </c>
      <c r="F36" s="28">
        <f t="shared" si="2"/>
        <v>6.1837500000000007</v>
      </c>
      <c r="G36" s="28">
        <f t="shared" si="2"/>
        <v>84.41791666666667</v>
      </c>
      <c r="H36" s="28">
        <f t="shared" si="2"/>
        <v>38.112499999999997</v>
      </c>
      <c r="I36" s="28">
        <f t="shared" si="2"/>
        <v>4.9779166666666663</v>
      </c>
      <c r="J36" s="28">
        <f t="shared" si="2"/>
        <v>0.99541666666666673</v>
      </c>
      <c r="K36" s="28">
        <f t="shared" si="2"/>
        <v>267.61416666666662</v>
      </c>
      <c r="L36" s="28">
        <f t="shared" si="2"/>
        <v>22.012500000000003</v>
      </c>
      <c r="M36" s="28">
        <f t="shared" si="2"/>
        <v>67.776666666666671</v>
      </c>
      <c r="N36" s="28">
        <f t="shared" si="2"/>
        <v>149.47499999999999</v>
      </c>
      <c r="O36" s="28">
        <f t="shared" si="2"/>
        <v>0</v>
      </c>
      <c r="P36" s="28">
        <f t="shared" si="2"/>
        <v>0.88916666666666655</v>
      </c>
      <c r="Q36" s="28">
        <f t="shared" si="2"/>
        <v>9.6345833333333335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5.6949153522739229</v>
      </c>
      <c r="C37" s="28">
        <f t="shared" ref="C37:Q37" si="3">STDEV(C9:C32)</f>
        <v>7.359821398274045</v>
      </c>
      <c r="D37" s="28">
        <f t="shared" si="3"/>
        <v>5.5828549492224893</v>
      </c>
      <c r="E37" s="28">
        <f t="shared" si="3"/>
        <v>1.0130710055661631</v>
      </c>
      <c r="F37" s="28">
        <f t="shared" si="3"/>
        <v>3.3657854080501743</v>
      </c>
      <c r="G37" s="28">
        <f t="shared" si="3"/>
        <v>15.869930543988371</v>
      </c>
      <c r="H37" s="28">
        <f t="shared" si="3"/>
        <v>16.563174514566949</v>
      </c>
      <c r="I37" s="28">
        <f t="shared" si="3"/>
        <v>1.0336174515902308</v>
      </c>
      <c r="J37" s="28">
        <f t="shared" si="3"/>
        <v>0.32572299736815097</v>
      </c>
      <c r="K37" s="28">
        <f t="shared" si="3"/>
        <v>111.0729152175613</v>
      </c>
      <c r="L37" s="28">
        <f t="shared" si="3"/>
        <v>3.2963711932181057</v>
      </c>
      <c r="M37" s="28">
        <f t="shared" si="3"/>
        <v>12.20229189686229</v>
      </c>
      <c r="N37" s="28">
        <f t="shared" si="3"/>
        <v>192.71698160774523</v>
      </c>
      <c r="O37" s="28">
        <f t="shared" si="3"/>
        <v>0</v>
      </c>
      <c r="P37" s="28">
        <f t="shared" si="3"/>
        <v>0.22120061063416604</v>
      </c>
      <c r="Q37" s="28">
        <f t="shared" si="3"/>
        <v>7.2106000875923086E-3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324</v>
      </c>
      <c r="B9" s="51">
        <v>5.99</v>
      </c>
      <c r="C9" s="51">
        <v>25.15</v>
      </c>
      <c r="D9" s="51">
        <v>16.559999999999999</v>
      </c>
      <c r="E9" s="51">
        <v>4.66</v>
      </c>
      <c r="F9" s="51">
        <v>4.8</v>
      </c>
      <c r="G9" s="51">
        <v>67.42</v>
      </c>
      <c r="H9" s="51">
        <v>31.7</v>
      </c>
      <c r="I9" s="51">
        <v>5.59</v>
      </c>
      <c r="J9" s="51">
        <v>0.42</v>
      </c>
      <c r="K9" s="51">
        <v>335.84</v>
      </c>
      <c r="L9" s="51">
        <v>18.38</v>
      </c>
      <c r="M9" s="51">
        <v>85.4</v>
      </c>
      <c r="N9" s="51">
        <v>26.1</v>
      </c>
      <c r="O9" s="51">
        <v>0</v>
      </c>
      <c r="P9" s="51">
        <v>0.92</v>
      </c>
      <c r="Q9" s="51">
        <v>9.65</v>
      </c>
      <c r="R9" s="43"/>
      <c r="S9" s="43"/>
      <c r="T9" s="43"/>
      <c r="U9" s="43"/>
    </row>
    <row r="10" spans="1:21" s="11" customFormat="1" x14ac:dyDescent="0.25">
      <c r="A10" s="50" t="s">
        <v>325</v>
      </c>
      <c r="B10" s="51">
        <v>5.71</v>
      </c>
      <c r="C10" s="51">
        <v>20.85</v>
      </c>
      <c r="D10" s="51">
        <v>14.1</v>
      </c>
      <c r="E10" s="51">
        <v>5.01</v>
      </c>
      <c r="F10" s="51">
        <v>5.0199999999999996</v>
      </c>
      <c r="G10" s="51">
        <v>68.09</v>
      </c>
      <c r="H10" s="51">
        <v>23.38</v>
      </c>
      <c r="I10" s="51">
        <v>3.8</v>
      </c>
      <c r="J10" s="51">
        <v>0.56000000000000005</v>
      </c>
      <c r="K10" s="51">
        <v>354.96</v>
      </c>
      <c r="L10" s="51">
        <v>17.47</v>
      </c>
      <c r="M10" s="51">
        <v>88.07</v>
      </c>
      <c r="N10" s="51">
        <v>26</v>
      </c>
      <c r="O10" s="51">
        <v>0</v>
      </c>
      <c r="P10" s="51">
        <v>0.76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326</v>
      </c>
      <c r="B11" s="51">
        <v>5.63</v>
      </c>
      <c r="C11" s="51">
        <v>19.420000000000002</v>
      </c>
      <c r="D11" s="51">
        <v>13.28</v>
      </c>
      <c r="E11" s="51">
        <v>4.7</v>
      </c>
      <c r="F11" s="51">
        <v>4.3600000000000003</v>
      </c>
      <c r="G11" s="51">
        <v>62.81</v>
      </c>
      <c r="H11" s="51">
        <v>63.27</v>
      </c>
      <c r="I11" s="51">
        <v>4.4000000000000004</v>
      </c>
      <c r="J11" s="51">
        <v>0.53</v>
      </c>
      <c r="K11" s="51">
        <v>320.64999999999998</v>
      </c>
      <c r="L11" s="51">
        <v>16.89</v>
      </c>
      <c r="M11" s="51">
        <v>94.11</v>
      </c>
      <c r="N11" s="51">
        <v>26.1</v>
      </c>
      <c r="O11" s="51">
        <v>0</v>
      </c>
      <c r="P11" s="51">
        <v>0.76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327</v>
      </c>
      <c r="B12" s="51">
        <v>6.19</v>
      </c>
      <c r="C12" s="51">
        <v>19.850000000000001</v>
      </c>
      <c r="D12" s="51">
        <v>13.94</v>
      </c>
      <c r="E12" s="51">
        <v>4.93</v>
      </c>
      <c r="F12" s="51">
        <v>4.3</v>
      </c>
      <c r="G12" s="51">
        <v>61.88</v>
      </c>
      <c r="H12" s="51">
        <v>57.86</v>
      </c>
      <c r="I12" s="51">
        <v>4.78</v>
      </c>
      <c r="J12" s="51">
        <v>0.83</v>
      </c>
      <c r="K12" s="51">
        <v>347.25</v>
      </c>
      <c r="L12" s="51">
        <v>16.03</v>
      </c>
      <c r="M12" s="51">
        <v>97.86</v>
      </c>
      <c r="N12" s="51">
        <v>25.9</v>
      </c>
      <c r="O12" s="51">
        <v>0</v>
      </c>
      <c r="P12" s="51">
        <v>0.74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328</v>
      </c>
      <c r="B13" s="51">
        <v>10.46</v>
      </c>
      <c r="C13" s="51">
        <v>21.5</v>
      </c>
      <c r="D13" s="51">
        <v>17.420000000000002</v>
      </c>
      <c r="E13" s="51">
        <v>5.51</v>
      </c>
      <c r="F13" s="51">
        <v>4.12</v>
      </c>
      <c r="G13" s="51">
        <v>77.55</v>
      </c>
      <c r="H13" s="51">
        <v>35.5</v>
      </c>
      <c r="I13" s="51">
        <v>4.34</v>
      </c>
      <c r="J13" s="51">
        <v>1.1499999999999999</v>
      </c>
      <c r="K13" s="51">
        <v>358.04</v>
      </c>
      <c r="L13" s="51">
        <v>16.13</v>
      </c>
      <c r="M13" s="51">
        <v>95.81</v>
      </c>
      <c r="N13" s="51">
        <v>26.1</v>
      </c>
      <c r="O13" s="51">
        <v>0</v>
      </c>
      <c r="P13" s="51">
        <v>0.86</v>
      </c>
      <c r="Q13" s="51">
        <v>9.6300000000000008</v>
      </c>
      <c r="R13" s="43"/>
      <c r="S13" s="43"/>
      <c r="T13" s="43"/>
      <c r="U13" s="43"/>
    </row>
    <row r="14" spans="1:21" s="11" customFormat="1" x14ac:dyDescent="0.25">
      <c r="A14" s="50" t="s">
        <v>329</v>
      </c>
      <c r="B14" s="51">
        <v>12.55</v>
      </c>
      <c r="C14" s="51">
        <v>19.489999999999998</v>
      </c>
      <c r="D14" s="51">
        <v>18.579999999999998</v>
      </c>
      <c r="E14" s="51">
        <v>5.8</v>
      </c>
      <c r="F14" s="51">
        <v>4.57</v>
      </c>
      <c r="G14" s="51">
        <v>108.95</v>
      </c>
      <c r="H14" s="51">
        <v>47.78</v>
      </c>
      <c r="I14" s="51">
        <v>4.55</v>
      </c>
      <c r="J14" s="51">
        <v>0.49</v>
      </c>
      <c r="K14" s="51">
        <v>322.68</v>
      </c>
      <c r="L14" s="51">
        <v>15.85</v>
      </c>
      <c r="M14" s="51">
        <v>95.72</v>
      </c>
      <c r="N14" s="51">
        <v>26</v>
      </c>
      <c r="O14" s="51">
        <v>0</v>
      </c>
      <c r="P14" s="51">
        <v>0.96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330</v>
      </c>
      <c r="B15" s="51">
        <v>14.74</v>
      </c>
      <c r="C15" s="51">
        <v>19.64</v>
      </c>
      <c r="D15" s="51">
        <v>20.7</v>
      </c>
      <c r="E15" s="51">
        <v>5.93</v>
      </c>
      <c r="F15" s="51">
        <v>4.21</v>
      </c>
      <c r="G15" s="51">
        <v>125.41</v>
      </c>
      <c r="H15" s="51">
        <v>47.78</v>
      </c>
      <c r="I15" s="51">
        <v>4.8600000000000003</v>
      </c>
      <c r="J15" s="51">
        <v>0.7</v>
      </c>
      <c r="K15" s="51">
        <v>330.26</v>
      </c>
      <c r="L15" s="51">
        <v>16.23</v>
      </c>
      <c r="M15" s="51">
        <v>94.02</v>
      </c>
      <c r="N15" s="51">
        <v>64</v>
      </c>
      <c r="O15" s="51">
        <v>0</v>
      </c>
      <c r="P15" s="51">
        <v>0.97</v>
      </c>
      <c r="Q15" s="51">
        <v>9.65</v>
      </c>
      <c r="R15" s="43"/>
      <c r="S15" s="43"/>
      <c r="T15" s="43"/>
      <c r="U15" s="43"/>
    </row>
    <row r="16" spans="1:21" s="11" customFormat="1" x14ac:dyDescent="0.25">
      <c r="A16" s="50" t="s">
        <v>331</v>
      </c>
      <c r="B16" s="51">
        <v>17.96</v>
      </c>
      <c r="C16" s="51">
        <v>21.67</v>
      </c>
      <c r="D16" s="51">
        <v>24.35</v>
      </c>
      <c r="E16" s="51">
        <v>6.97</v>
      </c>
      <c r="F16" s="51">
        <v>4.71</v>
      </c>
      <c r="G16" s="51">
        <v>129.49</v>
      </c>
      <c r="H16" s="51">
        <v>85.96</v>
      </c>
      <c r="I16" s="51">
        <v>5.01</v>
      </c>
      <c r="J16" s="51">
        <v>1.31</v>
      </c>
      <c r="K16" s="51">
        <v>342.84</v>
      </c>
      <c r="L16" s="51">
        <v>20.18</v>
      </c>
      <c r="M16" s="51">
        <v>85.39</v>
      </c>
      <c r="N16" s="51">
        <v>252.3</v>
      </c>
      <c r="O16" s="51">
        <v>0</v>
      </c>
      <c r="P16" s="51">
        <v>1.04</v>
      </c>
      <c r="Q16" s="51">
        <v>9.65</v>
      </c>
      <c r="R16" s="43"/>
      <c r="S16" s="43"/>
      <c r="T16" s="43"/>
      <c r="U16" s="43"/>
    </row>
    <row r="17" spans="1:21" s="11" customFormat="1" x14ac:dyDescent="0.25">
      <c r="A17" s="50" t="s">
        <v>332</v>
      </c>
      <c r="B17" s="51">
        <v>20.2</v>
      </c>
      <c r="C17" s="51">
        <v>24.12</v>
      </c>
      <c r="D17" s="51">
        <v>27.38</v>
      </c>
      <c r="E17" s="51">
        <v>6.67</v>
      </c>
      <c r="F17" s="51">
        <v>4.55</v>
      </c>
      <c r="G17" s="51">
        <v>135.62</v>
      </c>
      <c r="H17" s="51">
        <v>57.28</v>
      </c>
      <c r="I17" s="51">
        <v>5.19</v>
      </c>
      <c r="J17" s="51">
        <v>1.27</v>
      </c>
      <c r="K17" s="51">
        <v>337.79</v>
      </c>
      <c r="L17" s="51">
        <v>24.94</v>
      </c>
      <c r="M17" s="51">
        <v>59.6</v>
      </c>
      <c r="N17" s="51">
        <v>416.8</v>
      </c>
      <c r="O17" s="51">
        <v>0</v>
      </c>
      <c r="P17" s="51">
        <v>1.05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333</v>
      </c>
      <c r="B18" s="51">
        <v>23.42</v>
      </c>
      <c r="C18" s="51">
        <v>24.55</v>
      </c>
      <c r="D18" s="51">
        <v>30.23</v>
      </c>
      <c r="E18" s="51">
        <v>6.43</v>
      </c>
      <c r="F18" s="51">
        <v>4.2300000000000004</v>
      </c>
      <c r="G18" s="51">
        <v>123.47</v>
      </c>
      <c r="H18" s="51">
        <v>35.840000000000003</v>
      </c>
      <c r="I18" s="51">
        <v>5.35</v>
      </c>
      <c r="J18" s="51">
        <v>1.45</v>
      </c>
      <c r="K18" s="51">
        <v>357.99</v>
      </c>
      <c r="L18" s="51">
        <v>28.19</v>
      </c>
      <c r="M18" s="51">
        <v>53.1</v>
      </c>
      <c r="N18" s="51">
        <v>549.29999999999995</v>
      </c>
      <c r="O18" s="51">
        <v>0</v>
      </c>
      <c r="P18" s="51">
        <v>0.98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334</v>
      </c>
      <c r="B19" s="51">
        <v>24.74</v>
      </c>
      <c r="C19" s="51">
        <v>38.17</v>
      </c>
      <c r="D19" s="51">
        <v>31.79</v>
      </c>
      <c r="E19" s="51">
        <v>7.49</v>
      </c>
      <c r="F19" s="51">
        <v>8.49</v>
      </c>
      <c r="G19" s="51">
        <v>108.44</v>
      </c>
      <c r="H19" s="51">
        <v>33.33</v>
      </c>
      <c r="I19" s="51">
        <v>5.42</v>
      </c>
      <c r="J19" s="51">
        <v>0.87</v>
      </c>
      <c r="K19" s="51">
        <v>334.47</v>
      </c>
      <c r="L19" s="51">
        <v>28.73</v>
      </c>
      <c r="M19" s="51">
        <v>50.28</v>
      </c>
      <c r="N19" s="51">
        <v>699.8</v>
      </c>
      <c r="O19" s="51">
        <v>0</v>
      </c>
      <c r="P19" s="51">
        <v>0.93</v>
      </c>
      <c r="Q19" s="51">
        <v>9.64</v>
      </c>
      <c r="R19" s="43"/>
      <c r="S19" s="43"/>
      <c r="T19" s="43"/>
      <c r="U19" s="43"/>
    </row>
    <row r="20" spans="1:21" s="11" customFormat="1" x14ac:dyDescent="0.25">
      <c r="A20" s="50" t="s">
        <v>335</v>
      </c>
      <c r="B20" s="51">
        <v>6.74</v>
      </c>
      <c r="C20" s="51">
        <v>42.39</v>
      </c>
      <c r="D20" s="51">
        <v>26.17</v>
      </c>
      <c r="E20" s="51">
        <v>7.14</v>
      </c>
      <c r="F20" s="51">
        <v>11.74</v>
      </c>
      <c r="G20" s="51">
        <v>76.53</v>
      </c>
      <c r="H20" s="51">
        <v>28.02</v>
      </c>
      <c r="I20" s="51">
        <v>5.32</v>
      </c>
      <c r="J20" s="51">
        <v>1.36</v>
      </c>
      <c r="K20" s="51">
        <v>340.16</v>
      </c>
      <c r="L20" s="51">
        <v>28.98</v>
      </c>
      <c r="M20" s="51">
        <v>37.97</v>
      </c>
      <c r="N20" s="51">
        <v>713.4</v>
      </c>
      <c r="O20" s="51">
        <v>0</v>
      </c>
      <c r="P20" s="51">
        <v>0.78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336</v>
      </c>
      <c r="B21" s="51">
        <v>2.27</v>
      </c>
      <c r="C21" s="51">
        <v>31.27</v>
      </c>
      <c r="D21" s="51">
        <v>16.78</v>
      </c>
      <c r="E21" s="51">
        <v>8.0399999999999991</v>
      </c>
      <c r="F21" s="51">
        <v>24.72</v>
      </c>
      <c r="G21" s="51">
        <v>86.6</v>
      </c>
      <c r="H21" s="51">
        <v>28.91</v>
      </c>
      <c r="I21" s="51">
        <v>5.0999999999999996</v>
      </c>
      <c r="J21" s="51">
        <v>1.51</v>
      </c>
      <c r="K21" s="51">
        <v>127.51</v>
      </c>
      <c r="L21" s="51">
        <v>27.03</v>
      </c>
      <c r="M21" s="51">
        <v>39.03</v>
      </c>
      <c r="N21" s="51">
        <v>659.9</v>
      </c>
      <c r="O21" s="51">
        <v>0</v>
      </c>
      <c r="P21" s="51">
        <v>0.47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337</v>
      </c>
      <c r="B22" s="51">
        <v>2.96</v>
      </c>
      <c r="C22" s="51">
        <v>26.17</v>
      </c>
      <c r="D22" s="51">
        <v>14.67</v>
      </c>
      <c r="E22" s="51">
        <v>6.27</v>
      </c>
      <c r="F22" s="51">
        <v>7.81</v>
      </c>
      <c r="G22" s="51">
        <v>60.84</v>
      </c>
      <c r="H22" s="51">
        <v>4.05</v>
      </c>
      <c r="I22" s="51">
        <v>3.67</v>
      </c>
      <c r="J22" s="51">
        <v>0.95</v>
      </c>
      <c r="K22" s="51">
        <v>331.17</v>
      </c>
      <c r="L22" s="51">
        <v>29.2</v>
      </c>
      <c r="M22" s="51">
        <v>34.83</v>
      </c>
      <c r="N22" s="51">
        <v>543.29999999999995</v>
      </c>
      <c r="O22" s="51">
        <v>0</v>
      </c>
      <c r="P22" s="51">
        <v>0.53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338</v>
      </c>
      <c r="B23" s="51">
        <v>3.03</v>
      </c>
      <c r="C23" s="51">
        <v>29.59</v>
      </c>
      <c r="D23" s="51">
        <v>16.22</v>
      </c>
      <c r="E23" s="51">
        <v>6.31</v>
      </c>
      <c r="F23" s="51">
        <v>9.66</v>
      </c>
      <c r="G23" s="51">
        <v>57.6</v>
      </c>
      <c r="H23" s="51">
        <v>19.510000000000002</v>
      </c>
      <c r="I23" s="51">
        <v>2.71</v>
      </c>
      <c r="J23" s="51">
        <v>0.91</v>
      </c>
      <c r="K23" s="51">
        <v>351.09</v>
      </c>
      <c r="L23" s="51">
        <v>27.26</v>
      </c>
      <c r="M23" s="51">
        <v>34.369999999999997</v>
      </c>
      <c r="N23" s="51">
        <v>144.9</v>
      </c>
      <c r="O23" s="51">
        <v>0</v>
      </c>
      <c r="P23" s="51">
        <v>0.53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339</v>
      </c>
      <c r="B24" s="51">
        <v>2.83</v>
      </c>
      <c r="C24" s="51">
        <v>30.12</v>
      </c>
      <c r="D24" s="51">
        <v>16.149999999999999</v>
      </c>
      <c r="E24" s="51">
        <v>6.64</v>
      </c>
      <c r="F24" s="51">
        <v>10.58</v>
      </c>
      <c r="G24" s="51">
        <v>49.22</v>
      </c>
      <c r="H24" s="51">
        <v>55.6</v>
      </c>
      <c r="I24" s="51">
        <v>3.17</v>
      </c>
      <c r="J24" s="51">
        <v>0.94</v>
      </c>
      <c r="K24" s="51">
        <v>116.82</v>
      </c>
      <c r="L24" s="51">
        <v>25.86</v>
      </c>
      <c r="M24" s="51">
        <v>40.590000000000003</v>
      </c>
      <c r="N24" s="51">
        <v>101.8</v>
      </c>
      <c r="O24" s="51">
        <v>0</v>
      </c>
      <c r="P24" s="51">
        <v>0.56000000000000005</v>
      </c>
      <c r="Q24" s="51">
        <v>9.6300000000000008</v>
      </c>
      <c r="R24" s="43"/>
      <c r="S24" s="43"/>
      <c r="T24" s="43"/>
      <c r="U24" s="43"/>
    </row>
    <row r="25" spans="1:21" s="11" customFormat="1" x14ac:dyDescent="0.25">
      <c r="A25" s="50" t="s">
        <v>340</v>
      </c>
      <c r="B25" s="51">
        <v>4.12</v>
      </c>
      <c r="C25" s="51">
        <v>30</v>
      </c>
      <c r="D25" s="51">
        <v>17.600000000000001</v>
      </c>
      <c r="E25" s="51">
        <v>5.09</v>
      </c>
      <c r="F25" s="51">
        <v>5.88</v>
      </c>
      <c r="G25" s="51">
        <v>51.7</v>
      </c>
      <c r="H25" s="52" t="s">
        <v>14</v>
      </c>
      <c r="I25" s="51">
        <v>3.86</v>
      </c>
      <c r="J25" s="51">
        <v>1.34</v>
      </c>
      <c r="K25" s="51">
        <v>357.98</v>
      </c>
      <c r="L25" s="51">
        <v>24.64</v>
      </c>
      <c r="M25" s="51">
        <v>42.37</v>
      </c>
      <c r="N25" s="51">
        <v>66</v>
      </c>
      <c r="O25" s="51">
        <v>0</v>
      </c>
      <c r="P25" s="51">
        <v>0.71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341</v>
      </c>
      <c r="B26" s="51">
        <v>6.59</v>
      </c>
      <c r="C26" s="51">
        <v>31.8</v>
      </c>
      <c r="D26" s="51">
        <v>20.52</v>
      </c>
      <c r="E26" s="51">
        <v>5.85</v>
      </c>
      <c r="F26" s="51">
        <v>4.9000000000000004</v>
      </c>
      <c r="G26" s="51">
        <v>60.77</v>
      </c>
      <c r="H26" s="52" t="s">
        <v>14</v>
      </c>
      <c r="I26" s="51">
        <v>3.82</v>
      </c>
      <c r="J26" s="51">
        <v>1.38</v>
      </c>
      <c r="K26" s="51">
        <v>345.17</v>
      </c>
      <c r="L26" s="51">
        <v>23.59</v>
      </c>
      <c r="M26" s="51">
        <v>50.09</v>
      </c>
      <c r="N26" s="51">
        <v>32.9</v>
      </c>
      <c r="O26" s="51">
        <v>0</v>
      </c>
      <c r="P26" s="51">
        <v>1.07</v>
      </c>
      <c r="Q26" s="51">
        <v>9.64</v>
      </c>
      <c r="R26" s="43"/>
      <c r="S26" s="43"/>
      <c r="T26" s="43"/>
      <c r="U26" s="43"/>
    </row>
    <row r="27" spans="1:21" s="11" customFormat="1" x14ac:dyDescent="0.25">
      <c r="A27" s="50" t="s">
        <v>342</v>
      </c>
      <c r="B27" s="51">
        <v>10.07</v>
      </c>
      <c r="C27" s="51">
        <v>31.74</v>
      </c>
      <c r="D27" s="51">
        <v>22.78</v>
      </c>
      <c r="E27" s="51">
        <v>6.13</v>
      </c>
      <c r="F27" s="51">
        <v>5.2</v>
      </c>
      <c r="G27" s="51">
        <v>79.61</v>
      </c>
      <c r="H27" s="51">
        <v>75.36</v>
      </c>
      <c r="I27" s="51">
        <v>5.98</v>
      </c>
      <c r="J27" s="51">
        <v>0.78</v>
      </c>
      <c r="K27" s="51">
        <v>345.11</v>
      </c>
      <c r="L27" s="51">
        <v>22.06</v>
      </c>
      <c r="M27" s="51">
        <v>58.98</v>
      </c>
      <c r="N27" s="51">
        <v>26.1</v>
      </c>
      <c r="O27" s="51">
        <v>0</v>
      </c>
      <c r="P27" s="51">
        <v>1.68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343</v>
      </c>
      <c r="B28" s="51">
        <v>13.94</v>
      </c>
      <c r="C28" s="51">
        <v>33.72</v>
      </c>
      <c r="D28" s="51">
        <v>27.42</v>
      </c>
      <c r="E28" s="51">
        <v>7.59</v>
      </c>
      <c r="F28" s="51">
        <v>4.8</v>
      </c>
      <c r="G28" s="51">
        <v>112.45</v>
      </c>
      <c r="H28" s="51">
        <v>78.63</v>
      </c>
      <c r="I28" s="51">
        <v>7.04</v>
      </c>
      <c r="J28" s="51">
        <v>1.01</v>
      </c>
      <c r="K28" s="51">
        <v>345.34</v>
      </c>
      <c r="L28" s="51">
        <v>20.97</v>
      </c>
      <c r="M28" s="51">
        <v>58.19</v>
      </c>
      <c r="N28" s="51">
        <v>25.9</v>
      </c>
      <c r="O28" s="51">
        <v>0</v>
      </c>
      <c r="P28" s="51">
        <v>1.08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344</v>
      </c>
      <c r="B29" s="51">
        <v>15.93</v>
      </c>
      <c r="C29" s="51">
        <v>34.43</v>
      </c>
      <c r="D29" s="51">
        <v>29.39</v>
      </c>
      <c r="E29" s="51">
        <v>8.68</v>
      </c>
      <c r="F29" s="51">
        <v>4.67</v>
      </c>
      <c r="G29" s="51">
        <v>140.34</v>
      </c>
      <c r="H29" s="51">
        <v>92.78</v>
      </c>
      <c r="I29" s="51">
        <v>6.22</v>
      </c>
      <c r="J29" s="51">
        <v>0.66</v>
      </c>
      <c r="K29" s="51">
        <v>342.27</v>
      </c>
      <c r="L29" s="51">
        <v>20.58</v>
      </c>
      <c r="M29" s="51">
        <v>61.76</v>
      </c>
      <c r="N29" s="51">
        <v>26</v>
      </c>
      <c r="O29" s="51">
        <v>0</v>
      </c>
      <c r="P29" s="51">
        <v>1.18</v>
      </c>
      <c r="Q29" s="51">
        <v>9.64</v>
      </c>
      <c r="R29" s="43"/>
      <c r="S29" s="43"/>
      <c r="T29" s="43"/>
      <c r="U29" s="43"/>
    </row>
    <row r="30" spans="1:21" s="11" customFormat="1" x14ac:dyDescent="0.25">
      <c r="A30" s="50" t="s">
        <v>345</v>
      </c>
      <c r="B30" s="51">
        <v>14.63</v>
      </c>
      <c r="C30" s="51">
        <v>33.83</v>
      </c>
      <c r="D30" s="51">
        <v>28.03</v>
      </c>
      <c r="E30" s="51">
        <v>8.11</v>
      </c>
      <c r="F30" s="51">
        <v>5.71</v>
      </c>
      <c r="G30" s="51">
        <v>164.81</v>
      </c>
      <c r="H30" s="51">
        <v>111.77</v>
      </c>
      <c r="I30" s="51">
        <v>5.76</v>
      </c>
      <c r="J30" s="51">
        <v>0.55000000000000004</v>
      </c>
      <c r="K30" s="51">
        <v>112.01</v>
      </c>
      <c r="L30" s="51">
        <v>19.82</v>
      </c>
      <c r="M30" s="51">
        <v>63.92</v>
      </c>
      <c r="N30" s="51">
        <v>26</v>
      </c>
      <c r="O30" s="51">
        <v>0</v>
      </c>
      <c r="P30" s="51">
        <v>1.08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346</v>
      </c>
      <c r="B31" s="51">
        <v>12.64</v>
      </c>
      <c r="C31" s="51">
        <v>28.53</v>
      </c>
      <c r="D31" s="51">
        <v>23.66</v>
      </c>
      <c r="E31" s="51">
        <v>8.17</v>
      </c>
      <c r="F31" s="51">
        <v>5.41</v>
      </c>
      <c r="G31" s="51">
        <v>189.78</v>
      </c>
      <c r="H31" s="51">
        <v>123.99</v>
      </c>
      <c r="I31" s="51">
        <v>4.53</v>
      </c>
      <c r="J31" s="51">
        <v>0.44</v>
      </c>
      <c r="K31" s="51">
        <v>91.28</v>
      </c>
      <c r="L31" s="51">
        <v>19.55</v>
      </c>
      <c r="M31" s="51">
        <v>70.78</v>
      </c>
      <c r="N31" s="51">
        <v>26</v>
      </c>
      <c r="O31" s="51">
        <v>0</v>
      </c>
      <c r="P31" s="51">
        <v>1.02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347</v>
      </c>
      <c r="B32" s="51">
        <v>13.08</v>
      </c>
      <c r="C32" s="51">
        <v>26.83</v>
      </c>
      <c r="D32" s="51">
        <v>23.13</v>
      </c>
      <c r="E32" s="51">
        <v>8.4499999999999993</v>
      </c>
      <c r="F32" s="51">
        <v>5.35</v>
      </c>
      <c r="G32" s="51">
        <v>222.02</v>
      </c>
      <c r="H32" s="51">
        <v>130.36000000000001</v>
      </c>
      <c r="I32" s="51">
        <v>6.07</v>
      </c>
      <c r="J32" s="51">
        <v>0.51</v>
      </c>
      <c r="K32" s="51">
        <v>293.57</v>
      </c>
      <c r="L32" s="51">
        <v>18.79</v>
      </c>
      <c r="M32" s="51">
        <v>71.12</v>
      </c>
      <c r="N32" s="51">
        <v>26</v>
      </c>
      <c r="O32" s="51">
        <v>0</v>
      </c>
      <c r="P32" s="51">
        <v>1.03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2.27</v>
      </c>
      <c r="C34" s="28">
        <f t="shared" si="0"/>
        <v>19.420000000000002</v>
      </c>
      <c r="D34" s="28">
        <f t="shared" si="0"/>
        <v>13.28</v>
      </c>
      <c r="E34" s="28">
        <f t="shared" si="0"/>
        <v>4.66</v>
      </c>
      <c r="F34" s="28">
        <f t="shared" si="0"/>
        <v>4.12</v>
      </c>
      <c r="G34" s="28">
        <f t="shared" si="0"/>
        <v>49.22</v>
      </c>
      <c r="H34" s="28">
        <f t="shared" si="0"/>
        <v>4.05</v>
      </c>
      <c r="I34" s="28">
        <f t="shared" si="0"/>
        <v>2.71</v>
      </c>
      <c r="J34" s="28">
        <f t="shared" si="0"/>
        <v>0.42</v>
      </c>
      <c r="K34" s="28">
        <f t="shared" si="0"/>
        <v>91.28</v>
      </c>
      <c r="L34" s="28">
        <f t="shared" si="0"/>
        <v>15.85</v>
      </c>
      <c r="M34" s="28">
        <f t="shared" si="0"/>
        <v>34.369999999999997</v>
      </c>
      <c r="N34" s="28">
        <f t="shared" si="0"/>
        <v>25.9</v>
      </c>
      <c r="O34" s="28">
        <f t="shared" si="0"/>
        <v>0</v>
      </c>
      <c r="P34" s="28">
        <f t="shared" si="0"/>
        <v>0.47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24.74</v>
      </c>
      <c r="C35" s="29">
        <f t="shared" si="1"/>
        <v>42.39</v>
      </c>
      <c r="D35" s="29">
        <f t="shared" si="1"/>
        <v>31.79</v>
      </c>
      <c r="E35" s="29">
        <f t="shared" si="1"/>
        <v>8.68</v>
      </c>
      <c r="F35" s="29">
        <f t="shared" si="1"/>
        <v>24.72</v>
      </c>
      <c r="G35" s="29">
        <f t="shared" si="1"/>
        <v>222.02</v>
      </c>
      <c r="H35" s="29">
        <f t="shared" si="1"/>
        <v>130.36000000000001</v>
      </c>
      <c r="I35" s="29">
        <f t="shared" si="1"/>
        <v>7.04</v>
      </c>
      <c r="J35" s="29">
        <f t="shared" si="1"/>
        <v>1.51</v>
      </c>
      <c r="K35" s="29">
        <f t="shared" si="1"/>
        <v>358.04</v>
      </c>
      <c r="L35" s="29">
        <f t="shared" si="1"/>
        <v>29.2</v>
      </c>
      <c r="M35" s="29">
        <f t="shared" si="1"/>
        <v>97.86</v>
      </c>
      <c r="N35" s="29">
        <f t="shared" si="1"/>
        <v>713.4</v>
      </c>
      <c r="O35" s="29">
        <f t="shared" si="1"/>
        <v>0</v>
      </c>
      <c r="P35" s="29">
        <f t="shared" si="1"/>
        <v>1.68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10.684166666666668</v>
      </c>
      <c r="C36" s="28">
        <f t="shared" si="2"/>
        <v>27.701250000000002</v>
      </c>
      <c r="D36" s="28">
        <f t="shared" si="2"/>
        <v>21.285416666666666</v>
      </c>
      <c r="E36" s="28">
        <f t="shared" si="2"/>
        <v>6.5237499999999988</v>
      </c>
      <c r="F36" s="28">
        <f t="shared" si="2"/>
        <v>6.657916666666666</v>
      </c>
      <c r="G36" s="28">
        <f t="shared" si="2"/>
        <v>100.89166666666665</v>
      </c>
      <c r="H36" s="28">
        <f t="shared" si="2"/>
        <v>57.666363636363627</v>
      </c>
      <c r="I36" s="28">
        <f t="shared" si="2"/>
        <v>4.855833333333333</v>
      </c>
      <c r="J36" s="28">
        <f t="shared" si="2"/>
        <v>0.91333333333333344</v>
      </c>
      <c r="K36" s="28">
        <f t="shared" si="2"/>
        <v>301.76041666666663</v>
      </c>
      <c r="L36" s="28">
        <f t="shared" si="2"/>
        <v>21.972916666666663</v>
      </c>
      <c r="M36" s="28">
        <f t="shared" si="2"/>
        <v>65.139999999999986</v>
      </c>
      <c r="N36" s="28">
        <f t="shared" si="2"/>
        <v>189.85833333333332</v>
      </c>
      <c r="O36" s="28">
        <f t="shared" si="2"/>
        <v>0</v>
      </c>
      <c r="P36" s="28">
        <f t="shared" si="2"/>
        <v>0.90375000000000005</v>
      </c>
      <c r="Q36" s="28">
        <f t="shared" si="2"/>
        <v>9.6370833333333294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6.6120153585309582</v>
      </c>
      <c r="C37" s="28">
        <f t="shared" ref="C37:Q37" si="3">STDEV(C9:C32)</f>
        <v>6.3328757891553042</v>
      </c>
      <c r="D37" s="28">
        <f t="shared" si="3"/>
        <v>5.7698428726753246</v>
      </c>
      <c r="E37" s="28">
        <f t="shared" si="3"/>
        <v>1.2316154555845762</v>
      </c>
      <c r="F37" s="28">
        <f t="shared" si="3"/>
        <v>4.4057107003708627</v>
      </c>
      <c r="G37" s="28">
        <f t="shared" si="3"/>
        <v>46.037337556328865</v>
      </c>
      <c r="H37" s="28">
        <f t="shared" si="3"/>
        <v>34.554324316998724</v>
      </c>
      <c r="I37" s="28">
        <f t="shared" si="3"/>
        <v>1.0302085760393067</v>
      </c>
      <c r="J37" s="28">
        <f t="shared" si="3"/>
        <v>0.35781543295108298</v>
      </c>
      <c r="K37" s="28">
        <f t="shared" si="3"/>
        <v>88.02916643531924</v>
      </c>
      <c r="L37" s="28">
        <f t="shared" si="3"/>
        <v>4.6558242899448796</v>
      </c>
      <c r="M37" s="28">
        <f t="shared" si="3"/>
        <v>22.029945627436952</v>
      </c>
      <c r="N37" s="28">
        <f t="shared" si="3"/>
        <v>251.28523186535097</v>
      </c>
      <c r="O37" s="28">
        <f t="shared" si="3"/>
        <v>0</v>
      </c>
      <c r="P37" s="28">
        <f t="shared" si="3"/>
        <v>0.26051474964502197</v>
      </c>
      <c r="Q37" s="28">
        <f t="shared" si="3"/>
        <v>6.9025305168633529E-3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348</v>
      </c>
      <c r="B9" s="51">
        <v>11.33</v>
      </c>
      <c r="C9" s="51">
        <v>26.69</v>
      </c>
      <c r="D9" s="51">
        <v>21.65</v>
      </c>
      <c r="E9" s="51">
        <v>6.99</v>
      </c>
      <c r="F9" s="51">
        <v>4.71</v>
      </c>
      <c r="G9" s="51">
        <v>227.85</v>
      </c>
      <c r="H9" s="51">
        <v>105.45</v>
      </c>
      <c r="I9" s="51">
        <v>6.03</v>
      </c>
      <c r="J9" s="51">
        <v>0.23</v>
      </c>
      <c r="K9" s="51">
        <v>352.7</v>
      </c>
      <c r="L9" s="51">
        <v>18.52</v>
      </c>
      <c r="M9" s="51">
        <v>71.239999999999995</v>
      </c>
      <c r="N9" s="51">
        <v>25.9</v>
      </c>
      <c r="O9" s="51">
        <v>0</v>
      </c>
      <c r="P9" s="51">
        <v>0.96</v>
      </c>
      <c r="Q9" s="51">
        <v>9.6300000000000008</v>
      </c>
      <c r="R9" s="43"/>
      <c r="S9" s="43"/>
      <c r="T9" s="43"/>
      <c r="U9" s="43"/>
    </row>
    <row r="10" spans="1:21" s="11" customFormat="1" x14ac:dyDescent="0.25">
      <c r="A10" s="50" t="s">
        <v>349</v>
      </c>
      <c r="B10" s="51">
        <v>8.0399999999999991</v>
      </c>
      <c r="C10" s="51">
        <v>26.14</v>
      </c>
      <c r="D10" s="51">
        <v>18.73</v>
      </c>
      <c r="E10" s="51">
        <v>6.4</v>
      </c>
      <c r="F10" s="51">
        <v>4.74</v>
      </c>
      <c r="G10" s="51">
        <v>377.41</v>
      </c>
      <c r="H10" s="51">
        <v>72.8</v>
      </c>
      <c r="I10" s="51">
        <v>5.6</v>
      </c>
      <c r="J10" s="51">
        <v>0.35</v>
      </c>
      <c r="K10" s="51">
        <v>357.22</v>
      </c>
      <c r="L10" s="51">
        <v>17.98</v>
      </c>
      <c r="M10" s="51">
        <v>73.69</v>
      </c>
      <c r="N10" s="51">
        <v>26</v>
      </c>
      <c r="O10" s="51">
        <v>0</v>
      </c>
      <c r="P10" s="51">
        <v>0.85</v>
      </c>
      <c r="Q10" s="51">
        <v>9.6300000000000008</v>
      </c>
      <c r="R10" s="43"/>
      <c r="S10" s="43"/>
      <c r="T10" s="43"/>
      <c r="U10" s="43"/>
    </row>
    <row r="11" spans="1:21" s="11" customFormat="1" x14ac:dyDescent="0.25">
      <c r="A11" s="50" t="s">
        <v>350</v>
      </c>
      <c r="B11" s="51">
        <v>6.52</v>
      </c>
      <c r="C11" s="51">
        <v>22.74</v>
      </c>
      <c r="D11" s="51">
        <v>15.73</v>
      </c>
      <c r="E11" s="51">
        <v>5.71</v>
      </c>
      <c r="F11" s="51">
        <v>4.38</v>
      </c>
      <c r="G11" s="51">
        <v>71.55</v>
      </c>
      <c r="H11" s="51">
        <v>61.26</v>
      </c>
      <c r="I11" s="51">
        <v>3.94</v>
      </c>
      <c r="J11" s="51">
        <v>0.56999999999999995</v>
      </c>
      <c r="K11" s="51">
        <v>327.41000000000003</v>
      </c>
      <c r="L11" s="51">
        <v>17.45</v>
      </c>
      <c r="M11" s="51">
        <v>87.76</v>
      </c>
      <c r="N11" s="51">
        <v>26.2</v>
      </c>
      <c r="O11" s="51">
        <v>0</v>
      </c>
      <c r="P11" s="51">
        <v>0.73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351</v>
      </c>
      <c r="B12" s="51">
        <v>7.31</v>
      </c>
      <c r="C12" s="51">
        <v>20.86</v>
      </c>
      <c r="D12" s="51">
        <v>15.38</v>
      </c>
      <c r="E12" s="51">
        <v>5.76</v>
      </c>
      <c r="F12" s="51">
        <v>5.46</v>
      </c>
      <c r="G12" s="51">
        <v>86.89</v>
      </c>
      <c r="H12" s="51">
        <v>38.409999999999997</v>
      </c>
      <c r="I12" s="51">
        <v>4.42</v>
      </c>
      <c r="J12" s="51">
        <v>0.57999999999999996</v>
      </c>
      <c r="K12" s="51">
        <v>338.73</v>
      </c>
      <c r="L12" s="51">
        <v>15.74</v>
      </c>
      <c r="M12" s="51">
        <v>92.62</v>
      </c>
      <c r="N12" s="51">
        <v>26</v>
      </c>
      <c r="O12" s="51">
        <v>0</v>
      </c>
      <c r="P12" s="51">
        <v>0.72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352</v>
      </c>
      <c r="B13" s="51">
        <v>10.130000000000001</v>
      </c>
      <c r="C13" s="51">
        <v>22.52</v>
      </c>
      <c r="D13" s="51">
        <v>18.52</v>
      </c>
      <c r="E13" s="51">
        <v>4.95</v>
      </c>
      <c r="F13" s="51">
        <v>4.8099999999999996</v>
      </c>
      <c r="G13" s="51">
        <v>79.680000000000007</v>
      </c>
      <c r="H13" s="51">
        <v>43.29</v>
      </c>
      <c r="I13" s="51">
        <v>4.7699999999999996</v>
      </c>
      <c r="J13" s="51">
        <v>0.5</v>
      </c>
      <c r="K13" s="51">
        <v>354.37</v>
      </c>
      <c r="L13" s="51">
        <v>15.17</v>
      </c>
      <c r="M13" s="51">
        <v>96.6</v>
      </c>
      <c r="N13" s="51">
        <v>26</v>
      </c>
      <c r="O13" s="51">
        <v>0</v>
      </c>
      <c r="P13" s="51">
        <v>0.71</v>
      </c>
      <c r="Q13" s="51">
        <v>9.6300000000000008</v>
      </c>
      <c r="R13" s="43"/>
      <c r="S13" s="43"/>
      <c r="T13" s="43"/>
      <c r="U13" s="43"/>
    </row>
    <row r="14" spans="1:21" s="11" customFormat="1" x14ac:dyDescent="0.25">
      <c r="A14" s="50" t="s">
        <v>353</v>
      </c>
      <c r="B14" s="51">
        <v>13.37</v>
      </c>
      <c r="C14" s="51">
        <v>23.33</v>
      </c>
      <c r="D14" s="51">
        <v>20.78</v>
      </c>
      <c r="E14" s="51">
        <v>5.23</v>
      </c>
      <c r="F14" s="51">
        <v>4.3499999999999996</v>
      </c>
      <c r="G14" s="51">
        <v>112.16</v>
      </c>
      <c r="H14" s="51">
        <v>52.3</v>
      </c>
      <c r="I14" s="51">
        <v>4.5599999999999996</v>
      </c>
      <c r="J14" s="51">
        <v>0.65</v>
      </c>
      <c r="K14" s="51">
        <v>347.69</v>
      </c>
      <c r="L14" s="51">
        <v>15.24</v>
      </c>
      <c r="M14" s="51">
        <v>94.05</v>
      </c>
      <c r="N14" s="51">
        <v>25.8</v>
      </c>
      <c r="O14" s="51">
        <v>0</v>
      </c>
      <c r="P14" s="51">
        <v>0.79</v>
      </c>
      <c r="Q14" s="51">
        <v>9.6300000000000008</v>
      </c>
      <c r="R14" s="43"/>
      <c r="S14" s="43"/>
      <c r="T14" s="43"/>
      <c r="U14" s="43"/>
    </row>
    <row r="15" spans="1:21" s="11" customFormat="1" x14ac:dyDescent="0.25">
      <c r="A15" s="50" t="s">
        <v>354</v>
      </c>
      <c r="B15" s="51">
        <v>16.59</v>
      </c>
      <c r="C15" s="51">
        <v>21.89</v>
      </c>
      <c r="D15" s="51">
        <v>22.87</v>
      </c>
      <c r="E15" s="51">
        <v>5.31</v>
      </c>
      <c r="F15" s="51">
        <v>4.25</v>
      </c>
      <c r="G15" s="51">
        <v>115.83</v>
      </c>
      <c r="H15" s="51">
        <v>53.67</v>
      </c>
      <c r="I15" s="51">
        <v>4.68</v>
      </c>
      <c r="J15" s="51">
        <v>0.93</v>
      </c>
      <c r="K15" s="51">
        <v>340.93</v>
      </c>
      <c r="L15" s="51">
        <v>15.96</v>
      </c>
      <c r="M15" s="51">
        <v>93.74</v>
      </c>
      <c r="N15" s="51">
        <v>61.3</v>
      </c>
      <c r="O15" s="51">
        <v>0</v>
      </c>
      <c r="P15" s="51">
        <v>0.9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355</v>
      </c>
      <c r="B16" s="51">
        <v>22.06</v>
      </c>
      <c r="C16" s="51">
        <v>23.47</v>
      </c>
      <c r="D16" s="51">
        <v>28.57</v>
      </c>
      <c r="E16" s="51">
        <v>6.58</v>
      </c>
      <c r="F16" s="51">
        <v>4.33</v>
      </c>
      <c r="G16" s="51">
        <v>119.58</v>
      </c>
      <c r="H16" s="51">
        <v>53.94</v>
      </c>
      <c r="I16" s="51">
        <v>5.09</v>
      </c>
      <c r="J16" s="51">
        <v>1.06</v>
      </c>
      <c r="K16" s="51">
        <v>337.9</v>
      </c>
      <c r="L16" s="51">
        <v>20.28</v>
      </c>
      <c r="M16" s="51">
        <v>86.18</v>
      </c>
      <c r="N16" s="51">
        <v>253.4</v>
      </c>
      <c r="O16" s="51">
        <v>0</v>
      </c>
      <c r="P16" s="51">
        <v>0.87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356</v>
      </c>
      <c r="B17" s="51">
        <v>23.26</v>
      </c>
      <c r="C17" s="51">
        <v>26.45</v>
      </c>
      <c r="D17" s="51">
        <v>30.68</v>
      </c>
      <c r="E17" s="51">
        <v>6.89</v>
      </c>
      <c r="F17" s="51">
        <v>4.59</v>
      </c>
      <c r="G17" s="51">
        <v>121.35</v>
      </c>
      <c r="H17" s="51">
        <v>70.77</v>
      </c>
      <c r="I17" s="51">
        <v>5.24</v>
      </c>
      <c r="J17" s="51">
        <v>1.03</v>
      </c>
      <c r="K17" s="51">
        <v>339.12</v>
      </c>
      <c r="L17" s="51">
        <v>25.41</v>
      </c>
      <c r="M17" s="51">
        <v>61.09</v>
      </c>
      <c r="N17" s="51">
        <v>418.9</v>
      </c>
      <c r="O17" s="51">
        <v>0</v>
      </c>
      <c r="P17" s="51">
        <v>0.89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357</v>
      </c>
      <c r="B18" s="51">
        <v>21.88</v>
      </c>
      <c r="C18" s="51">
        <v>28.67</v>
      </c>
      <c r="D18" s="51">
        <v>30.42</v>
      </c>
      <c r="E18" s="51">
        <v>6.19</v>
      </c>
      <c r="F18" s="51">
        <v>4.24</v>
      </c>
      <c r="G18" s="51">
        <v>103.73</v>
      </c>
      <c r="H18" s="51">
        <v>83.4</v>
      </c>
      <c r="I18" s="51">
        <v>5.7</v>
      </c>
      <c r="J18" s="51">
        <v>2.04</v>
      </c>
      <c r="K18" s="51">
        <v>119.54</v>
      </c>
      <c r="L18" s="51">
        <v>23.82</v>
      </c>
      <c r="M18" s="51">
        <v>55.41</v>
      </c>
      <c r="N18" s="51">
        <v>550.4</v>
      </c>
      <c r="O18" s="51">
        <v>0</v>
      </c>
      <c r="P18" s="51">
        <v>0.87</v>
      </c>
      <c r="Q18" s="51">
        <v>9.65</v>
      </c>
      <c r="R18" s="43"/>
      <c r="S18" s="43"/>
      <c r="T18" s="43"/>
      <c r="U18" s="43"/>
    </row>
    <row r="19" spans="1:21" s="11" customFormat="1" x14ac:dyDescent="0.25">
      <c r="A19" s="50" t="s">
        <v>358</v>
      </c>
      <c r="B19" s="51">
        <v>19.87</v>
      </c>
      <c r="C19" s="51">
        <v>29.66</v>
      </c>
      <c r="D19" s="51">
        <v>29.41</v>
      </c>
      <c r="E19" s="51">
        <v>5.82</v>
      </c>
      <c r="F19" s="51">
        <v>4.21</v>
      </c>
      <c r="G19" s="51">
        <v>75.680000000000007</v>
      </c>
      <c r="H19" s="51">
        <v>50.59</v>
      </c>
      <c r="I19" s="51">
        <v>6.64</v>
      </c>
      <c r="J19" s="51">
        <v>1.56</v>
      </c>
      <c r="K19" s="51">
        <v>348.87</v>
      </c>
      <c r="L19" s="51">
        <v>28.98</v>
      </c>
      <c r="M19" s="51">
        <v>51.29</v>
      </c>
      <c r="N19" s="51">
        <v>676.5</v>
      </c>
      <c r="O19" s="51">
        <v>0</v>
      </c>
      <c r="P19" s="51">
        <v>0.8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359</v>
      </c>
      <c r="B20" s="51">
        <v>18.38</v>
      </c>
      <c r="C20" s="51">
        <v>29.48</v>
      </c>
      <c r="D20" s="51">
        <v>28.76</v>
      </c>
      <c r="E20" s="51">
        <v>5.96</v>
      </c>
      <c r="F20" s="51">
        <v>4.12</v>
      </c>
      <c r="G20" s="51">
        <v>66.45</v>
      </c>
      <c r="H20" s="51">
        <v>43.09</v>
      </c>
      <c r="I20" s="51">
        <v>6.66</v>
      </c>
      <c r="J20" s="51">
        <v>1.27</v>
      </c>
      <c r="K20" s="51">
        <v>118.74</v>
      </c>
      <c r="L20" s="51">
        <v>27.44</v>
      </c>
      <c r="M20" s="51">
        <v>41.23</v>
      </c>
      <c r="N20" s="51">
        <v>674.1</v>
      </c>
      <c r="O20" s="51">
        <v>0</v>
      </c>
      <c r="P20" s="51">
        <v>0.76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360</v>
      </c>
      <c r="B21" s="51">
        <v>11.66</v>
      </c>
      <c r="C21" s="51">
        <v>31.13</v>
      </c>
      <c r="D21" s="51">
        <v>23</v>
      </c>
      <c r="E21" s="51">
        <v>5.44</v>
      </c>
      <c r="F21" s="51">
        <v>5.16</v>
      </c>
      <c r="G21" s="51">
        <v>57.37</v>
      </c>
      <c r="H21" s="51">
        <v>32.01</v>
      </c>
      <c r="I21" s="51">
        <v>7.14</v>
      </c>
      <c r="J21" s="51">
        <v>1.58</v>
      </c>
      <c r="K21" s="51">
        <v>356.28</v>
      </c>
      <c r="L21" s="51">
        <v>28.18</v>
      </c>
      <c r="M21" s="51">
        <v>38.450000000000003</v>
      </c>
      <c r="N21" s="51">
        <v>623.29999999999995</v>
      </c>
      <c r="O21" s="51">
        <v>0</v>
      </c>
      <c r="P21" s="51">
        <v>0.69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361</v>
      </c>
      <c r="B22" s="51">
        <v>5.93</v>
      </c>
      <c r="C22" s="51">
        <v>31.52</v>
      </c>
      <c r="D22" s="51">
        <v>19.73</v>
      </c>
      <c r="E22" s="51">
        <v>5.58</v>
      </c>
      <c r="F22" s="51">
        <v>5.0999999999999996</v>
      </c>
      <c r="G22" s="51">
        <v>56.85</v>
      </c>
      <c r="H22" s="51">
        <v>24.38</v>
      </c>
      <c r="I22" s="51">
        <v>6.63</v>
      </c>
      <c r="J22" s="51">
        <v>1.03</v>
      </c>
      <c r="K22" s="51">
        <v>347.91</v>
      </c>
      <c r="L22" s="51">
        <v>28.1</v>
      </c>
      <c r="M22" s="51">
        <v>37.299999999999997</v>
      </c>
      <c r="N22" s="51">
        <v>509.5</v>
      </c>
      <c r="O22" s="51">
        <v>0</v>
      </c>
      <c r="P22" s="51">
        <v>0.62</v>
      </c>
      <c r="Q22" s="51">
        <v>9.6300000000000008</v>
      </c>
      <c r="R22" s="43"/>
      <c r="S22" s="43"/>
      <c r="T22" s="43"/>
      <c r="U22" s="43"/>
    </row>
    <row r="23" spans="1:21" s="11" customFormat="1" x14ac:dyDescent="0.25">
      <c r="A23" s="50" t="s">
        <v>362</v>
      </c>
      <c r="B23" s="51">
        <v>4.46</v>
      </c>
      <c r="C23" s="51">
        <v>29.73</v>
      </c>
      <c r="D23" s="51">
        <v>17.73</v>
      </c>
      <c r="E23" s="51">
        <v>5.57</v>
      </c>
      <c r="F23" s="51">
        <v>5.81</v>
      </c>
      <c r="G23" s="51">
        <v>62.7</v>
      </c>
      <c r="H23" s="51">
        <v>22.68</v>
      </c>
      <c r="I23" s="51">
        <v>5.98</v>
      </c>
      <c r="J23" s="51">
        <v>0.52</v>
      </c>
      <c r="K23" s="51">
        <v>80.33</v>
      </c>
      <c r="L23" s="51">
        <v>26.5</v>
      </c>
      <c r="M23" s="51">
        <v>39.35</v>
      </c>
      <c r="N23" s="51">
        <v>150.69999999999999</v>
      </c>
      <c r="O23" s="51">
        <v>0</v>
      </c>
      <c r="P23" s="51">
        <v>0.59</v>
      </c>
      <c r="Q23" s="51">
        <v>9.64</v>
      </c>
      <c r="R23" s="43"/>
      <c r="S23" s="43"/>
      <c r="T23" s="43"/>
      <c r="U23" s="43"/>
    </row>
    <row r="24" spans="1:21" s="11" customFormat="1" x14ac:dyDescent="0.25">
      <c r="A24" s="50" t="s">
        <v>363</v>
      </c>
      <c r="B24" s="51">
        <v>4.04</v>
      </c>
      <c r="C24" s="51">
        <v>26.41</v>
      </c>
      <c r="D24" s="51">
        <v>15.66</v>
      </c>
      <c r="E24" s="51">
        <v>6.97</v>
      </c>
      <c r="F24" s="51">
        <v>5.51</v>
      </c>
      <c r="G24" s="51">
        <v>52.27</v>
      </c>
      <c r="H24" s="51">
        <v>23.95</v>
      </c>
      <c r="I24" s="51">
        <v>3.34</v>
      </c>
      <c r="J24" s="51">
        <v>1.74</v>
      </c>
      <c r="K24" s="51">
        <v>122.63</v>
      </c>
      <c r="L24" s="51">
        <v>25.01</v>
      </c>
      <c r="M24" s="51">
        <v>41.87</v>
      </c>
      <c r="N24" s="51">
        <v>103.9</v>
      </c>
      <c r="O24" s="51">
        <v>0</v>
      </c>
      <c r="P24" s="51">
        <v>0.54</v>
      </c>
      <c r="Q24" s="51">
        <v>9.64</v>
      </c>
      <c r="R24" s="43"/>
      <c r="S24" s="43"/>
      <c r="T24" s="43"/>
      <c r="U24" s="43"/>
    </row>
    <row r="25" spans="1:21" s="11" customFormat="1" x14ac:dyDescent="0.25">
      <c r="A25" s="50" t="s">
        <v>364</v>
      </c>
      <c r="B25" s="51">
        <v>3.9</v>
      </c>
      <c r="C25" s="51">
        <v>25.7</v>
      </c>
      <c r="D25" s="51">
        <v>15.14</v>
      </c>
      <c r="E25" s="51">
        <v>7.06</v>
      </c>
      <c r="F25" s="51">
        <v>5.31</v>
      </c>
      <c r="G25" s="51">
        <v>36.86</v>
      </c>
      <c r="H25" s="51">
        <v>14.23</v>
      </c>
      <c r="I25" s="51">
        <v>5.25</v>
      </c>
      <c r="J25" s="51">
        <v>0.77</v>
      </c>
      <c r="K25" s="51">
        <v>114.39</v>
      </c>
      <c r="L25" s="51">
        <v>24.15</v>
      </c>
      <c r="M25" s="51">
        <v>42.75</v>
      </c>
      <c r="N25" s="51">
        <v>64</v>
      </c>
      <c r="O25" s="51">
        <v>0</v>
      </c>
      <c r="P25" s="51">
        <v>0.6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365</v>
      </c>
      <c r="B26" s="51">
        <v>3.36</v>
      </c>
      <c r="C26" s="51">
        <v>26.61</v>
      </c>
      <c r="D26" s="51">
        <v>15.1</v>
      </c>
      <c r="E26" s="51">
        <v>7.16</v>
      </c>
      <c r="F26" s="51">
        <v>5.61</v>
      </c>
      <c r="G26" s="51">
        <v>43.43</v>
      </c>
      <c r="H26" s="51">
        <v>21.28</v>
      </c>
      <c r="I26" s="51">
        <v>4.1900000000000004</v>
      </c>
      <c r="J26" s="51">
        <v>1.1200000000000001</v>
      </c>
      <c r="K26" s="51">
        <v>120.89</v>
      </c>
      <c r="L26" s="51">
        <v>23.04</v>
      </c>
      <c r="M26" s="51">
        <v>47.7</v>
      </c>
      <c r="N26" s="51">
        <v>32.700000000000003</v>
      </c>
      <c r="O26" s="51">
        <v>0</v>
      </c>
      <c r="P26" s="51">
        <v>0.56999999999999995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366</v>
      </c>
      <c r="B27" s="51">
        <v>3.01</v>
      </c>
      <c r="C27" s="51">
        <v>26.14</v>
      </c>
      <c r="D27" s="51">
        <v>14.4</v>
      </c>
      <c r="E27" s="51">
        <v>6.83</v>
      </c>
      <c r="F27" s="51">
        <v>5.65</v>
      </c>
      <c r="G27" s="51">
        <v>63.97</v>
      </c>
      <c r="H27" s="51">
        <v>22.03</v>
      </c>
      <c r="I27" s="51">
        <v>4.93</v>
      </c>
      <c r="J27" s="51">
        <v>1.44</v>
      </c>
      <c r="K27" s="51">
        <v>119.28</v>
      </c>
      <c r="L27" s="51">
        <v>22.21</v>
      </c>
      <c r="M27" s="51">
        <v>54.2</v>
      </c>
      <c r="N27" s="51">
        <v>26.2</v>
      </c>
      <c r="O27" s="51">
        <v>0</v>
      </c>
      <c r="P27" s="51">
        <v>0.83</v>
      </c>
      <c r="Q27" s="51">
        <v>9.6199999999999992</v>
      </c>
      <c r="R27" s="43"/>
      <c r="S27" s="43"/>
      <c r="T27" s="43"/>
      <c r="U27" s="43"/>
    </row>
    <row r="28" spans="1:21" s="11" customFormat="1" x14ac:dyDescent="0.25">
      <c r="A28" s="50" t="s">
        <v>367</v>
      </c>
      <c r="B28" s="51">
        <v>3.44</v>
      </c>
      <c r="C28" s="51">
        <v>23.84</v>
      </c>
      <c r="D28" s="51">
        <v>13.66</v>
      </c>
      <c r="E28" s="51">
        <v>7.38</v>
      </c>
      <c r="F28" s="51">
        <v>6.54</v>
      </c>
      <c r="G28" s="51">
        <v>82.21</v>
      </c>
      <c r="H28" s="51">
        <v>45.91</v>
      </c>
      <c r="I28" s="51">
        <v>4.08</v>
      </c>
      <c r="J28" s="51">
        <v>1.42</v>
      </c>
      <c r="K28" s="51">
        <v>122.75</v>
      </c>
      <c r="L28" s="51">
        <v>21.2</v>
      </c>
      <c r="M28" s="51">
        <v>58.18</v>
      </c>
      <c r="N28" s="51">
        <v>25.9</v>
      </c>
      <c r="O28" s="51">
        <v>0</v>
      </c>
      <c r="P28" s="51">
        <v>0.65</v>
      </c>
      <c r="Q28" s="51">
        <v>9.64</v>
      </c>
      <c r="R28" s="43"/>
      <c r="S28" s="43"/>
      <c r="T28" s="43"/>
      <c r="U28" s="43"/>
    </row>
    <row r="29" spans="1:21" s="11" customFormat="1" x14ac:dyDescent="0.25">
      <c r="A29" s="50" t="s">
        <v>368</v>
      </c>
      <c r="B29" s="51">
        <v>3.41</v>
      </c>
      <c r="C29" s="51">
        <v>25.96</v>
      </c>
      <c r="D29" s="51">
        <v>14.71</v>
      </c>
      <c r="E29" s="51">
        <v>6.41</v>
      </c>
      <c r="F29" s="51">
        <v>4.8499999999999996</v>
      </c>
      <c r="G29" s="51">
        <v>82.98</v>
      </c>
      <c r="H29" s="51">
        <v>51.02</v>
      </c>
      <c r="I29" s="51">
        <v>6.65</v>
      </c>
      <c r="J29" s="51">
        <v>1.48</v>
      </c>
      <c r="K29" s="51">
        <v>117.32</v>
      </c>
      <c r="L29" s="51">
        <v>20.99</v>
      </c>
      <c r="M29" s="51">
        <v>58.53</v>
      </c>
      <c r="N29" s="51">
        <v>25.7</v>
      </c>
      <c r="O29" s="51">
        <v>0</v>
      </c>
      <c r="P29" s="51">
        <v>0.63</v>
      </c>
      <c r="Q29" s="51">
        <v>9.6300000000000008</v>
      </c>
      <c r="R29" s="43"/>
      <c r="S29" s="43"/>
      <c r="T29" s="43"/>
      <c r="U29" s="43"/>
    </row>
    <row r="30" spans="1:21" s="11" customFormat="1" x14ac:dyDescent="0.25">
      <c r="A30" s="50" t="s">
        <v>369</v>
      </c>
      <c r="B30" s="51">
        <v>3.7</v>
      </c>
      <c r="C30" s="51">
        <v>28.78</v>
      </c>
      <c r="D30" s="51">
        <v>16.63</v>
      </c>
      <c r="E30" s="51">
        <v>5.75</v>
      </c>
      <c r="F30" s="51">
        <v>4.5199999999999996</v>
      </c>
      <c r="G30" s="51">
        <v>77.13</v>
      </c>
      <c r="H30" s="51">
        <v>43.49</v>
      </c>
      <c r="I30" s="51">
        <v>6.88</v>
      </c>
      <c r="J30" s="51">
        <v>1.23</v>
      </c>
      <c r="K30" s="51">
        <v>120.72</v>
      </c>
      <c r="L30" s="51">
        <v>20.66</v>
      </c>
      <c r="M30" s="51">
        <v>62.16</v>
      </c>
      <c r="N30" s="51">
        <v>26</v>
      </c>
      <c r="O30" s="51">
        <v>0</v>
      </c>
      <c r="P30" s="51">
        <v>0.66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370</v>
      </c>
      <c r="B31" s="51">
        <v>4.26</v>
      </c>
      <c r="C31" s="51">
        <v>29.09</v>
      </c>
      <c r="D31" s="51">
        <v>16.8</v>
      </c>
      <c r="E31" s="51">
        <v>6.26</v>
      </c>
      <c r="F31" s="51">
        <v>4.88</v>
      </c>
      <c r="G31" s="51">
        <v>84.91</v>
      </c>
      <c r="H31" s="51">
        <v>38.57</v>
      </c>
      <c r="I31" s="51">
        <v>6.59</v>
      </c>
      <c r="J31" s="51">
        <v>0.66</v>
      </c>
      <c r="K31" s="51">
        <v>125.86</v>
      </c>
      <c r="L31" s="51">
        <v>19.71</v>
      </c>
      <c r="M31" s="51">
        <v>65.39</v>
      </c>
      <c r="N31" s="51">
        <v>26.1</v>
      </c>
      <c r="O31" s="51">
        <v>0</v>
      </c>
      <c r="P31" s="51">
        <v>0.76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371</v>
      </c>
      <c r="B32" s="51">
        <v>4.7699999999999996</v>
      </c>
      <c r="C32" s="51">
        <v>26.69</v>
      </c>
      <c r="D32" s="51">
        <v>16.21</v>
      </c>
      <c r="E32" s="51">
        <v>6.15</v>
      </c>
      <c r="F32" s="51">
        <v>5.0999999999999996</v>
      </c>
      <c r="G32" s="51">
        <v>81.55</v>
      </c>
      <c r="H32" s="51">
        <v>50.66</v>
      </c>
      <c r="I32" s="51">
        <v>4.92</v>
      </c>
      <c r="J32" s="51">
        <v>0.57999999999999996</v>
      </c>
      <c r="K32" s="51">
        <v>107.52</v>
      </c>
      <c r="L32" s="51">
        <v>19.09</v>
      </c>
      <c r="M32" s="51">
        <v>68.400000000000006</v>
      </c>
      <c r="N32" s="51">
        <v>25.9</v>
      </c>
      <c r="O32" s="51">
        <v>0</v>
      </c>
      <c r="P32" s="51">
        <v>0.66</v>
      </c>
      <c r="Q32" s="51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3.01</v>
      </c>
      <c r="C34" s="28">
        <f t="shared" si="0"/>
        <v>20.86</v>
      </c>
      <c r="D34" s="28">
        <f t="shared" si="0"/>
        <v>13.66</v>
      </c>
      <c r="E34" s="28">
        <f t="shared" si="0"/>
        <v>4.95</v>
      </c>
      <c r="F34" s="28">
        <f t="shared" si="0"/>
        <v>4.12</v>
      </c>
      <c r="G34" s="28">
        <f t="shared" si="0"/>
        <v>36.86</v>
      </c>
      <c r="H34" s="28">
        <f t="shared" si="0"/>
        <v>14.23</v>
      </c>
      <c r="I34" s="28">
        <f t="shared" si="0"/>
        <v>3.34</v>
      </c>
      <c r="J34" s="28">
        <f t="shared" si="0"/>
        <v>0.23</v>
      </c>
      <c r="K34" s="28">
        <f t="shared" si="0"/>
        <v>80.33</v>
      </c>
      <c r="L34" s="28">
        <f t="shared" si="0"/>
        <v>15.17</v>
      </c>
      <c r="M34" s="28">
        <f t="shared" si="0"/>
        <v>37.299999999999997</v>
      </c>
      <c r="N34" s="28">
        <f t="shared" si="0"/>
        <v>25.7</v>
      </c>
      <c r="O34" s="28">
        <f t="shared" si="0"/>
        <v>0</v>
      </c>
      <c r="P34" s="28">
        <f t="shared" si="0"/>
        <v>0.54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23.26</v>
      </c>
      <c r="C35" s="29">
        <f t="shared" si="1"/>
        <v>31.52</v>
      </c>
      <c r="D35" s="29">
        <f t="shared" si="1"/>
        <v>30.68</v>
      </c>
      <c r="E35" s="29">
        <f t="shared" si="1"/>
        <v>7.38</v>
      </c>
      <c r="F35" s="29">
        <f t="shared" si="1"/>
        <v>6.54</v>
      </c>
      <c r="G35" s="29">
        <f t="shared" si="1"/>
        <v>377.41</v>
      </c>
      <c r="H35" s="29">
        <f t="shared" si="1"/>
        <v>105.45</v>
      </c>
      <c r="I35" s="29">
        <f t="shared" si="1"/>
        <v>7.14</v>
      </c>
      <c r="J35" s="29">
        <f t="shared" si="1"/>
        <v>2.04</v>
      </c>
      <c r="K35" s="29">
        <f t="shared" si="1"/>
        <v>357.22</v>
      </c>
      <c r="L35" s="29">
        <f t="shared" si="1"/>
        <v>28.98</v>
      </c>
      <c r="M35" s="29">
        <f t="shared" si="1"/>
        <v>96.6</v>
      </c>
      <c r="N35" s="29">
        <f t="shared" si="1"/>
        <v>676.5</v>
      </c>
      <c r="O35" s="29">
        <f t="shared" si="1"/>
        <v>0</v>
      </c>
      <c r="P35" s="29">
        <f t="shared" si="1"/>
        <v>0.96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9.7783333333333342</v>
      </c>
      <c r="C36" s="28">
        <f t="shared" si="2"/>
        <v>26.395833333333339</v>
      </c>
      <c r="D36" s="28">
        <f t="shared" si="2"/>
        <v>20.01125</v>
      </c>
      <c r="E36" s="28">
        <f t="shared" si="2"/>
        <v>6.1812499999999995</v>
      </c>
      <c r="F36" s="28">
        <f t="shared" si="2"/>
        <v>4.9262499999999996</v>
      </c>
      <c r="G36" s="28">
        <f t="shared" si="2"/>
        <v>97.516249999999999</v>
      </c>
      <c r="H36" s="28">
        <f t="shared" si="2"/>
        <v>46.632499999999993</v>
      </c>
      <c r="I36" s="28">
        <f t="shared" si="2"/>
        <v>5.4129166666666677</v>
      </c>
      <c r="J36" s="28">
        <f t="shared" si="2"/>
        <v>1.0141666666666667</v>
      </c>
      <c r="K36" s="28">
        <f t="shared" si="2"/>
        <v>230.79583333333335</v>
      </c>
      <c r="L36" s="28">
        <f t="shared" si="2"/>
        <v>21.701249999999998</v>
      </c>
      <c r="M36" s="28">
        <f t="shared" si="2"/>
        <v>63.299166666666679</v>
      </c>
      <c r="N36" s="28">
        <f t="shared" si="2"/>
        <v>184.59999999999994</v>
      </c>
      <c r="O36" s="28">
        <f t="shared" si="2"/>
        <v>0</v>
      </c>
      <c r="P36" s="28">
        <f t="shared" si="2"/>
        <v>0.73541666666666672</v>
      </c>
      <c r="Q36" s="28">
        <f t="shared" si="2"/>
        <v>9.6329166666666648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6.9494201614026858</v>
      </c>
      <c r="C37" s="28">
        <f t="shared" ref="C37:Q37" si="3">STDEV(C9:C32)</f>
        <v>2.9703021609822944</v>
      </c>
      <c r="D37" s="28">
        <f t="shared" si="3"/>
        <v>5.6434127144146888</v>
      </c>
      <c r="E37" s="28">
        <f t="shared" si="3"/>
        <v>0.6872270209042054</v>
      </c>
      <c r="F37" s="28">
        <f t="shared" si="3"/>
        <v>0.61583321076267294</v>
      </c>
      <c r="G37" s="28">
        <f t="shared" si="3"/>
        <v>70.725329747798142</v>
      </c>
      <c r="H37" s="28">
        <f t="shared" si="3"/>
        <v>21.609924501407281</v>
      </c>
      <c r="I37" s="28">
        <f t="shared" si="3"/>
        <v>1.0724311234259947</v>
      </c>
      <c r="J37" s="28">
        <f t="shared" si="3"/>
        <v>0.48228547081818551</v>
      </c>
      <c r="K37" s="28">
        <f t="shared" si="3"/>
        <v>117.90129725718684</v>
      </c>
      <c r="L37" s="28">
        <f t="shared" si="3"/>
        <v>4.3673116917668757</v>
      </c>
      <c r="M37" s="28">
        <f t="shared" si="3"/>
        <v>19.767605013531924</v>
      </c>
      <c r="N37" s="28">
        <f t="shared" si="3"/>
        <v>240.96352060191521</v>
      </c>
      <c r="O37" s="28">
        <f t="shared" si="3"/>
        <v>0</v>
      </c>
      <c r="P37" s="28">
        <f t="shared" si="3"/>
        <v>0.11780526181009429</v>
      </c>
      <c r="Q37" s="28">
        <f t="shared" si="3"/>
        <v>6.2409354557084757E-3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372</v>
      </c>
      <c r="B9" s="51">
        <v>4.6500000000000004</v>
      </c>
      <c r="C9" s="51">
        <v>24.47</v>
      </c>
      <c r="D9" s="51">
        <v>15.09</v>
      </c>
      <c r="E9" s="51">
        <v>5.33</v>
      </c>
      <c r="F9" s="51">
        <v>4.5999999999999996</v>
      </c>
      <c r="G9" s="51">
        <v>74.180000000000007</v>
      </c>
      <c r="H9" s="51">
        <v>26.85</v>
      </c>
      <c r="I9" s="51">
        <v>6.01</v>
      </c>
      <c r="J9" s="51">
        <v>0.52</v>
      </c>
      <c r="K9" s="51">
        <v>337.2</v>
      </c>
      <c r="L9" s="51">
        <v>18.559999999999999</v>
      </c>
      <c r="M9" s="51">
        <v>74.099999999999994</v>
      </c>
      <c r="N9" s="51">
        <v>26.1</v>
      </c>
      <c r="O9" s="51">
        <v>0</v>
      </c>
      <c r="P9" s="51">
        <v>0.66</v>
      </c>
      <c r="Q9" s="51">
        <v>9.6300000000000008</v>
      </c>
      <c r="R9" s="43"/>
      <c r="S9" s="43"/>
      <c r="T9" s="43"/>
      <c r="U9" s="43"/>
    </row>
    <row r="10" spans="1:21" s="11" customFormat="1" x14ac:dyDescent="0.25">
      <c r="A10" s="50" t="s">
        <v>373</v>
      </c>
      <c r="B10" s="51">
        <v>4.51</v>
      </c>
      <c r="C10" s="51">
        <v>24.7</v>
      </c>
      <c r="D10" s="51">
        <v>15.1</v>
      </c>
      <c r="E10" s="51">
        <v>4.87</v>
      </c>
      <c r="F10" s="51">
        <v>4.53</v>
      </c>
      <c r="G10" s="51">
        <v>76.61</v>
      </c>
      <c r="H10" s="51">
        <v>12.89</v>
      </c>
      <c r="I10" s="51">
        <v>5.99</v>
      </c>
      <c r="J10" s="51">
        <v>0.3</v>
      </c>
      <c r="K10" s="51">
        <v>359.42</v>
      </c>
      <c r="L10" s="51">
        <v>17.809999999999999</v>
      </c>
      <c r="M10" s="51">
        <v>77.28</v>
      </c>
      <c r="N10" s="51">
        <v>25.9</v>
      </c>
      <c r="O10" s="51">
        <v>0</v>
      </c>
      <c r="P10" s="51">
        <v>0.64</v>
      </c>
      <c r="Q10" s="51">
        <v>9.6199999999999992</v>
      </c>
      <c r="R10" s="43"/>
      <c r="S10" s="43"/>
      <c r="T10" s="43"/>
      <c r="U10" s="43"/>
    </row>
    <row r="11" spans="1:21" s="11" customFormat="1" x14ac:dyDescent="0.25">
      <c r="A11" s="50" t="s">
        <v>374</v>
      </c>
      <c r="B11" s="51">
        <v>3.75</v>
      </c>
      <c r="C11" s="51">
        <v>24.48</v>
      </c>
      <c r="D11" s="51">
        <v>14.28</v>
      </c>
      <c r="E11" s="51">
        <v>4.59</v>
      </c>
      <c r="F11" s="51">
        <v>4.3600000000000003</v>
      </c>
      <c r="G11" s="51">
        <v>72.64</v>
      </c>
      <c r="H11" s="51">
        <v>42.12</v>
      </c>
      <c r="I11" s="51">
        <v>5.51</v>
      </c>
      <c r="J11" s="51">
        <v>0.47</v>
      </c>
      <c r="K11" s="51">
        <v>355.61</v>
      </c>
      <c r="L11" s="51">
        <v>17.440000000000001</v>
      </c>
      <c r="M11" s="51">
        <v>86.78</v>
      </c>
      <c r="N11" s="51">
        <v>26.1</v>
      </c>
      <c r="O11" s="51">
        <v>0</v>
      </c>
      <c r="P11" s="51">
        <v>0.61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375</v>
      </c>
      <c r="B12" s="51">
        <v>4.99</v>
      </c>
      <c r="C12" s="51">
        <v>21.6</v>
      </c>
      <c r="D12" s="51">
        <v>13.53</v>
      </c>
      <c r="E12" s="51">
        <v>5.1100000000000003</v>
      </c>
      <c r="F12" s="51">
        <v>4.1900000000000004</v>
      </c>
      <c r="G12" s="51">
        <v>64.5</v>
      </c>
      <c r="H12" s="51">
        <v>113.47</v>
      </c>
      <c r="I12" s="51">
        <v>3.8</v>
      </c>
      <c r="J12" s="51">
        <v>0.52</v>
      </c>
      <c r="K12" s="51">
        <v>312.58999999999997</v>
      </c>
      <c r="L12" s="51">
        <v>16.12</v>
      </c>
      <c r="M12" s="51">
        <v>95.02</v>
      </c>
      <c r="N12" s="51">
        <v>26.1</v>
      </c>
      <c r="O12" s="51">
        <v>0</v>
      </c>
      <c r="P12" s="51">
        <v>0.56000000000000005</v>
      </c>
      <c r="Q12" s="51">
        <v>9.65</v>
      </c>
      <c r="R12" s="43"/>
      <c r="S12" s="43"/>
      <c r="T12" s="43"/>
      <c r="U12" s="43"/>
    </row>
    <row r="13" spans="1:21" s="11" customFormat="1" x14ac:dyDescent="0.25">
      <c r="A13" s="50" t="s">
        <v>376</v>
      </c>
      <c r="B13" s="51">
        <v>9.01</v>
      </c>
      <c r="C13" s="51">
        <v>21.96</v>
      </c>
      <c r="D13" s="51">
        <v>17.32</v>
      </c>
      <c r="E13" s="51">
        <v>6.97</v>
      </c>
      <c r="F13" s="51">
        <v>4.07</v>
      </c>
      <c r="G13" s="51">
        <v>73.400000000000006</v>
      </c>
      <c r="H13" s="51">
        <v>14.19</v>
      </c>
      <c r="I13" s="51">
        <v>5.16</v>
      </c>
      <c r="J13" s="51">
        <v>0.53</v>
      </c>
      <c r="K13" s="51">
        <v>282.54000000000002</v>
      </c>
      <c r="L13" s="51">
        <v>15.47</v>
      </c>
      <c r="M13" s="51">
        <v>96.83</v>
      </c>
      <c r="N13" s="51">
        <v>25.8</v>
      </c>
      <c r="O13" s="51">
        <v>0</v>
      </c>
      <c r="P13" s="51">
        <v>0.66</v>
      </c>
      <c r="Q13" s="51">
        <v>9.6199999999999992</v>
      </c>
      <c r="R13" s="43"/>
      <c r="S13" s="43"/>
      <c r="T13" s="43"/>
      <c r="U13" s="43"/>
    </row>
    <row r="14" spans="1:21" s="11" customFormat="1" x14ac:dyDescent="0.25">
      <c r="A14" s="50" t="s">
        <v>377</v>
      </c>
      <c r="B14" s="51">
        <v>9.02</v>
      </c>
      <c r="C14" s="51">
        <v>24.17</v>
      </c>
      <c r="D14" s="51">
        <v>18.489999999999998</v>
      </c>
      <c r="E14" s="51">
        <v>6.99</v>
      </c>
      <c r="F14" s="51">
        <v>4.3</v>
      </c>
      <c r="G14" s="51">
        <v>81.5</v>
      </c>
      <c r="H14" s="51">
        <v>38.979999999999997</v>
      </c>
      <c r="I14" s="51">
        <v>4.79</v>
      </c>
      <c r="J14" s="51">
        <v>0.57999999999999996</v>
      </c>
      <c r="K14" s="51">
        <v>355.41</v>
      </c>
      <c r="L14" s="51">
        <v>15.35</v>
      </c>
      <c r="M14" s="51">
        <v>92.45</v>
      </c>
      <c r="N14" s="51">
        <v>25.9</v>
      </c>
      <c r="O14" s="51">
        <v>0</v>
      </c>
      <c r="P14" s="51">
        <v>0.66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378</v>
      </c>
      <c r="B15" s="51">
        <v>10.84</v>
      </c>
      <c r="C15" s="51">
        <v>25.69</v>
      </c>
      <c r="D15" s="51">
        <v>20.45</v>
      </c>
      <c r="E15" s="51">
        <v>6.81</v>
      </c>
      <c r="F15" s="51">
        <v>4.1900000000000004</v>
      </c>
      <c r="G15" s="51">
        <v>84.17</v>
      </c>
      <c r="H15" s="51">
        <v>48.34</v>
      </c>
      <c r="I15" s="51">
        <v>4.66</v>
      </c>
      <c r="J15" s="51">
        <v>0.39</v>
      </c>
      <c r="K15" s="51">
        <v>324.87</v>
      </c>
      <c r="L15" s="51">
        <v>15.59</v>
      </c>
      <c r="M15" s="51">
        <v>92.51</v>
      </c>
      <c r="N15" s="51">
        <v>63.3</v>
      </c>
      <c r="O15" s="51">
        <v>0</v>
      </c>
      <c r="P15" s="51">
        <v>0.71</v>
      </c>
      <c r="Q15" s="51">
        <v>9.64</v>
      </c>
      <c r="R15" s="43"/>
      <c r="S15" s="43"/>
      <c r="T15" s="43"/>
      <c r="U15" s="43"/>
    </row>
    <row r="16" spans="1:21" s="11" customFormat="1" x14ac:dyDescent="0.25">
      <c r="A16" s="50" t="s">
        <v>379</v>
      </c>
      <c r="B16" s="51">
        <v>11.64</v>
      </c>
      <c r="C16" s="51">
        <v>23.58</v>
      </c>
      <c r="D16" s="51">
        <v>20.2</v>
      </c>
      <c r="E16" s="51">
        <v>6.21</v>
      </c>
      <c r="F16" s="51">
        <v>4.04</v>
      </c>
      <c r="G16" s="51">
        <v>82.85</v>
      </c>
      <c r="H16" s="51">
        <v>41.34</v>
      </c>
      <c r="I16" s="51">
        <v>4.68</v>
      </c>
      <c r="J16" s="51">
        <v>0.54</v>
      </c>
      <c r="K16" s="51">
        <v>131.72</v>
      </c>
      <c r="L16" s="51">
        <v>19.38</v>
      </c>
      <c r="M16" s="51">
        <v>86.56</v>
      </c>
      <c r="N16" s="51">
        <v>257.5</v>
      </c>
      <c r="O16" s="51">
        <v>0</v>
      </c>
      <c r="P16" s="51">
        <v>0.7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380</v>
      </c>
      <c r="B17" s="51">
        <v>11.68</v>
      </c>
      <c r="C17" s="51">
        <v>24.82</v>
      </c>
      <c r="D17" s="51">
        <v>20.72</v>
      </c>
      <c r="E17" s="51">
        <v>6.29</v>
      </c>
      <c r="F17" s="51">
        <v>4.25</v>
      </c>
      <c r="G17" s="51">
        <v>91.95</v>
      </c>
      <c r="H17" s="52" t="s">
        <v>14</v>
      </c>
      <c r="I17" s="51">
        <v>5.1100000000000003</v>
      </c>
      <c r="J17" s="51">
        <v>0.79</v>
      </c>
      <c r="K17" s="51">
        <v>315.58</v>
      </c>
      <c r="L17" s="51">
        <v>23.65</v>
      </c>
      <c r="M17" s="51">
        <v>73.31</v>
      </c>
      <c r="N17" s="51">
        <v>423.4</v>
      </c>
      <c r="O17" s="51">
        <v>0</v>
      </c>
      <c r="P17" s="51">
        <v>0.72</v>
      </c>
      <c r="Q17" s="51">
        <v>9.6300000000000008</v>
      </c>
      <c r="R17" s="43"/>
      <c r="S17" s="43"/>
      <c r="T17" s="43"/>
      <c r="U17" s="43"/>
    </row>
    <row r="18" spans="1:21" s="11" customFormat="1" x14ac:dyDescent="0.25">
      <c r="A18" s="50" t="s">
        <v>381</v>
      </c>
      <c r="B18" s="51">
        <v>11.13</v>
      </c>
      <c r="C18" s="51">
        <v>28.74</v>
      </c>
      <c r="D18" s="51">
        <v>21.01</v>
      </c>
      <c r="E18" s="51">
        <v>6.21</v>
      </c>
      <c r="F18" s="51">
        <v>4.3600000000000003</v>
      </c>
      <c r="G18" s="51">
        <v>87.07</v>
      </c>
      <c r="H18" s="52" t="s">
        <v>14</v>
      </c>
      <c r="I18" s="51">
        <v>5.73</v>
      </c>
      <c r="J18" s="51">
        <v>1.39</v>
      </c>
      <c r="K18" s="51">
        <v>321.23</v>
      </c>
      <c r="L18" s="51">
        <v>25.51</v>
      </c>
      <c r="M18" s="51">
        <v>61.63</v>
      </c>
      <c r="N18" s="51">
        <v>540.1</v>
      </c>
      <c r="O18" s="51">
        <v>0</v>
      </c>
      <c r="P18" s="51">
        <v>0.72</v>
      </c>
      <c r="Q18" s="51">
        <v>9.64</v>
      </c>
      <c r="R18" s="43"/>
      <c r="S18" s="43"/>
      <c r="T18" s="43"/>
      <c r="U18" s="43"/>
    </row>
    <row r="19" spans="1:21" s="11" customFormat="1" x14ac:dyDescent="0.25">
      <c r="A19" s="50" t="s">
        <v>382</v>
      </c>
      <c r="B19" s="51">
        <v>8.2899999999999991</v>
      </c>
      <c r="C19" s="51">
        <v>31.78</v>
      </c>
      <c r="D19" s="51">
        <v>20.61</v>
      </c>
      <c r="E19" s="51">
        <v>6.54</v>
      </c>
      <c r="F19" s="51">
        <v>4.5199999999999996</v>
      </c>
      <c r="G19" s="51">
        <v>86.02</v>
      </c>
      <c r="H19" s="52" t="s">
        <v>14</v>
      </c>
      <c r="I19" s="51">
        <v>6.17</v>
      </c>
      <c r="J19" s="51">
        <v>0.83</v>
      </c>
      <c r="K19" s="51">
        <v>354.71</v>
      </c>
      <c r="L19" s="51">
        <v>25.98</v>
      </c>
      <c r="M19" s="51">
        <v>52.82</v>
      </c>
      <c r="N19" s="51">
        <v>645</v>
      </c>
      <c r="O19" s="51">
        <v>0</v>
      </c>
      <c r="P19" s="51">
        <v>0.73</v>
      </c>
      <c r="Q19" s="51">
        <v>9.64</v>
      </c>
      <c r="R19" s="43"/>
      <c r="S19" s="43"/>
      <c r="T19" s="43"/>
      <c r="U19" s="43"/>
    </row>
    <row r="20" spans="1:21" s="11" customFormat="1" x14ac:dyDescent="0.25">
      <c r="A20" s="50" t="s">
        <v>383</v>
      </c>
      <c r="B20" s="51">
        <v>5.28</v>
      </c>
      <c r="C20" s="51">
        <v>28.79</v>
      </c>
      <c r="D20" s="51">
        <v>17.899999999999999</v>
      </c>
      <c r="E20" s="51">
        <v>6.17</v>
      </c>
      <c r="F20" s="51">
        <v>5.05</v>
      </c>
      <c r="G20" s="51">
        <v>82.83</v>
      </c>
      <c r="H20" s="51">
        <v>71.569999999999993</v>
      </c>
      <c r="I20" s="51">
        <v>6.11</v>
      </c>
      <c r="J20" s="51">
        <v>0.96</v>
      </c>
      <c r="K20" s="51">
        <v>333.71</v>
      </c>
      <c r="L20" s="51">
        <v>26.75</v>
      </c>
      <c r="M20" s="51">
        <v>44.93</v>
      </c>
      <c r="N20" s="51">
        <v>643.20000000000005</v>
      </c>
      <c r="O20" s="51">
        <v>0</v>
      </c>
      <c r="P20" s="51">
        <v>0.7</v>
      </c>
      <c r="Q20" s="51">
        <v>9.64</v>
      </c>
      <c r="R20" s="43"/>
      <c r="S20" s="43"/>
      <c r="T20" s="43"/>
      <c r="U20" s="43"/>
    </row>
    <row r="21" spans="1:21" s="11" customFormat="1" x14ac:dyDescent="0.25">
      <c r="A21" s="50" t="s">
        <v>384</v>
      </c>
      <c r="B21" s="51">
        <v>4.1100000000000003</v>
      </c>
      <c r="C21" s="51">
        <v>27.32</v>
      </c>
      <c r="D21" s="51">
        <v>16.2</v>
      </c>
      <c r="E21" s="51">
        <v>5.58</v>
      </c>
      <c r="F21" s="51">
        <v>5.04</v>
      </c>
      <c r="G21" s="51">
        <v>76.09</v>
      </c>
      <c r="H21" s="51" t="s">
        <v>396</v>
      </c>
      <c r="I21" s="51">
        <v>6.71</v>
      </c>
      <c r="J21" s="51">
        <v>0.97</v>
      </c>
      <c r="K21" s="51">
        <v>117.81</v>
      </c>
      <c r="L21" s="51">
        <v>26.11</v>
      </c>
      <c r="M21" s="51">
        <v>39.549999999999997</v>
      </c>
      <c r="N21" s="51">
        <v>608.9</v>
      </c>
      <c r="O21" s="51">
        <v>0</v>
      </c>
      <c r="P21" s="51">
        <v>0.64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385</v>
      </c>
      <c r="B22" s="51">
        <v>3.24</v>
      </c>
      <c r="C22" s="51">
        <v>27.31</v>
      </c>
      <c r="D22" s="51">
        <v>15.14</v>
      </c>
      <c r="E22" s="51">
        <v>5.73</v>
      </c>
      <c r="F22" s="51">
        <v>6.1</v>
      </c>
      <c r="G22" s="51">
        <v>68.55</v>
      </c>
      <c r="H22" s="51">
        <v>40.159999999999997</v>
      </c>
      <c r="I22" s="51">
        <v>7.24</v>
      </c>
      <c r="J22" s="51">
        <v>1.04</v>
      </c>
      <c r="K22" s="51">
        <v>358.67</v>
      </c>
      <c r="L22" s="51">
        <v>27.26</v>
      </c>
      <c r="M22" s="51">
        <v>37.049999999999997</v>
      </c>
      <c r="N22" s="51">
        <v>472.9</v>
      </c>
      <c r="O22" s="51">
        <v>0</v>
      </c>
      <c r="P22" s="51">
        <v>0.62</v>
      </c>
      <c r="Q22" s="51">
        <v>9.64</v>
      </c>
      <c r="R22" s="43"/>
      <c r="S22" s="43"/>
      <c r="T22" s="43"/>
      <c r="U22" s="43"/>
    </row>
    <row r="23" spans="1:21" s="11" customFormat="1" x14ac:dyDescent="0.25">
      <c r="A23" s="50" t="s">
        <v>386</v>
      </c>
      <c r="B23" s="51">
        <v>2.69</v>
      </c>
      <c r="C23" s="51">
        <v>29.04</v>
      </c>
      <c r="D23" s="51">
        <v>15.93</v>
      </c>
      <c r="E23" s="51">
        <v>5.78</v>
      </c>
      <c r="F23" s="51">
        <v>6.4</v>
      </c>
      <c r="G23" s="51">
        <v>69.319999999999993</v>
      </c>
      <c r="H23" s="51">
        <v>40.96</v>
      </c>
      <c r="I23" s="51">
        <v>5.9</v>
      </c>
      <c r="J23" s="51">
        <v>1.64</v>
      </c>
      <c r="K23" s="51">
        <v>334.79</v>
      </c>
      <c r="L23" s="51">
        <v>26.4</v>
      </c>
      <c r="M23" s="51">
        <v>37.86</v>
      </c>
      <c r="N23" s="51">
        <v>156.1</v>
      </c>
      <c r="O23" s="51">
        <v>0</v>
      </c>
      <c r="P23" s="51">
        <v>0.6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387</v>
      </c>
      <c r="B24" s="51">
        <v>3.51</v>
      </c>
      <c r="C24" s="51">
        <v>28.07</v>
      </c>
      <c r="D24" s="51">
        <v>16.03</v>
      </c>
      <c r="E24" s="51">
        <v>5.84</v>
      </c>
      <c r="F24" s="51">
        <v>7.08</v>
      </c>
      <c r="G24" s="51">
        <v>64.569999999999993</v>
      </c>
      <c r="H24" s="51">
        <v>30.28</v>
      </c>
      <c r="I24" s="51">
        <v>5.66</v>
      </c>
      <c r="J24" s="51">
        <v>0.6</v>
      </c>
      <c r="K24" s="51">
        <v>354.2</v>
      </c>
      <c r="L24" s="51">
        <v>25.17</v>
      </c>
      <c r="M24" s="51">
        <v>37.29</v>
      </c>
      <c r="N24" s="51">
        <v>101.4</v>
      </c>
      <c r="O24" s="51">
        <v>0</v>
      </c>
      <c r="P24" s="51">
        <v>0.67</v>
      </c>
      <c r="Q24" s="51">
        <v>9.6300000000000008</v>
      </c>
      <c r="R24" s="43"/>
      <c r="S24" s="43"/>
      <c r="T24" s="43"/>
      <c r="U24" s="43"/>
    </row>
    <row r="25" spans="1:21" s="11" customFormat="1" x14ac:dyDescent="0.25">
      <c r="A25" s="50" t="s">
        <v>388</v>
      </c>
      <c r="B25" s="51">
        <v>3.53</v>
      </c>
      <c r="C25" s="51">
        <v>27.83</v>
      </c>
      <c r="D25" s="51">
        <v>15.98</v>
      </c>
      <c r="E25" s="51">
        <v>6.14</v>
      </c>
      <c r="F25" s="51">
        <v>8.06</v>
      </c>
      <c r="G25" s="51">
        <v>64.400000000000006</v>
      </c>
      <c r="H25" s="51">
        <v>30.28</v>
      </c>
      <c r="I25" s="51">
        <v>2.8</v>
      </c>
      <c r="J25" s="51">
        <v>0.67</v>
      </c>
      <c r="K25" s="51">
        <v>110.53</v>
      </c>
      <c r="L25" s="51">
        <v>24.04</v>
      </c>
      <c r="M25" s="51">
        <v>41.49</v>
      </c>
      <c r="N25" s="51">
        <v>64</v>
      </c>
      <c r="O25" s="51">
        <v>0</v>
      </c>
      <c r="P25" s="51">
        <v>0.66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389</v>
      </c>
      <c r="B26" s="51">
        <v>3.11</v>
      </c>
      <c r="C26" s="51">
        <v>27.38</v>
      </c>
      <c r="D26" s="51">
        <v>15.43</v>
      </c>
      <c r="E26" s="51">
        <v>6.22</v>
      </c>
      <c r="F26" s="51">
        <v>6.31</v>
      </c>
      <c r="G26" s="51">
        <v>62.78</v>
      </c>
      <c r="H26" s="51">
        <v>43.21</v>
      </c>
      <c r="I26" s="51">
        <v>4.68</v>
      </c>
      <c r="J26" s="51">
        <v>0.85</v>
      </c>
      <c r="K26" s="51">
        <v>115.66</v>
      </c>
      <c r="L26" s="51">
        <v>22.76</v>
      </c>
      <c r="M26" s="51">
        <v>46.53</v>
      </c>
      <c r="N26" s="51">
        <v>32.6</v>
      </c>
      <c r="O26" s="51">
        <v>0</v>
      </c>
      <c r="P26" s="51">
        <v>0.62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390</v>
      </c>
      <c r="B27" s="51">
        <v>2.58</v>
      </c>
      <c r="C27" s="51">
        <v>29.08</v>
      </c>
      <c r="D27" s="51">
        <v>15.89</v>
      </c>
      <c r="E27" s="51">
        <v>5.95</v>
      </c>
      <c r="F27" s="51">
        <v>5.51</v>
      </c>
      <c r="G27" s="51">
        <v>60.77</v>
      </c>
      <c r="H27" s="51">
        <v>43.21</v>
      </c>
      <c r="I27" s="51">
        <v>4.8600000000000003</v>
      </c>
      <c r="J27" s="51">
        <v>0.57999999999999996</v>
      </c>
      <c r="K27" s="51">
        <v>111.93</v>
      </c>
      <c r="L27" s="51">
        <v>21.51</v>
      </c>
      <c r="M27" s="51">
        <v>49.72</v>
      </c>
      <c r="N27" s="51">
        <v>25.9</v>
      </c>
      <c r="O27" s="51">
        <v>0</v>
      </c>
      <c r="P27" s="51">
        <v>0.7</v>
      </c>
      <c r="Q27" s="51">
        <v>9.6300000000000008</v>
      </c>
      <c r="R27" s="43"/>
      <c r="S27" s="43"/>
      <c r="T27" s="43"/>
      <c r="U27" s="43"/>
    </row>
    <row r="28" spans="1:21" s="11" customFormat="1" x14ac:dyDescent="0.25">
      <c r="A28" s="50" t="s">
        <v>391</v>
      </c>
      <c r="B28" s="51">
        <v>3.67</v>
      </c>
      <c r="C28" s="51">
        <v>29.5</v>
      </c>
      <c r="D28" s="51">
        <v>16.260000000000002</v>
      </c>
      <c r="E28" s="51">
        <v>6.2</v>
      </c>
      <c r="F28" s="51">
        <v>5.17</v>
      </c>
      <c r="G28" s="51">
        <v>61.95</v>
      </c>
      <c r="H28" s="51">
        <v>0.21</v>
      </c>
      <c r="I28" s="51">
        <v>4.99</v>
      </c>
      <c r="J28" s="51">
        <v>1.26</v>
      </c>
      <c r="K28" s="51">
        <v>354.34</v>
      </c>
      <c r="L28" s="51">
        <v>20.77</v>
      </c>
      <c r="M28" s="51">
        <v>53.55</v>
      </c>
      <c r="N28" s="51">
        <v>25.9</v>
      </c>
      <c r="O28" s="51">
        <v>0</v>
      </c>
      <c r="P28" s="51">
        <v>0.94</v>
      </c>
      <c r="Q28" s="51">
        <v>9.6199999999999992</v>
      </c>
      <c r="R28" s="43"/>
      <c r="S28" s="43"/>
      <c r="T28" s="43"/>
      <c r="U28" s="43"/>
    </row>
    <row r="29" spans="1:21" s="11" customFormat="1" x14ac:dyDescent="0.25">
      <c r="A29" s="50" t="s">
        <v>392</v>
      </c>
      <c r="B29" s="51">
        <v>5.45</v>
      </c>
      <c r="C29" s="51">
        <v>28.56</v>
      </c>
      <c r="D29" s="51">
        <v>17.920000000000002</v>
      </c>
      <c r="E29" s="51">
        <v>5.64</v>
      </c>
      <c r="F29" s="51">
        <v>4.92</v>
      </c>
      <c r="G29" s="51">
        <v>68.5</v>
      </c>
      <c r="H29" s="51">
        <v>19.8</v>
      </c>
      <c r="I29" s="51">
        <v>5.44</v>
      </c>
      <c r="J29" s="51">
        <v>0.59</v>
      </c>
      <c r="K29" s="51">
        <v>351.71</v>
      </c>
      <c r="L29" s="51">
        <v>20.09</v>
      </c>
      <c r="M29" s="51">
        <v>60.36</v>
      </c>
      <c r="N29" s="51">
        <v>26.1</v>
      </c>
      <c r="O29" s="51">
        <v>0</v>
      </c>
      <c r="P29" s="51">
        <v>1.08</v>
      </c>
      <c r="Q29" s="51">
        <v>9.6300000000000008</v>
      </c>
      <c r="R29" s="43"/>
      <c r="S29" s="43"/>
      <c r="T29" s="43"/>
      <c r="U29" s="43"/>
    </row>
    <row r="30" spans="1:21" s="11" customFormat="1" x14ac:dyDescent="0.25">
      <c r="A30" s="50" t="s">
        <v>393</v>
      </c>
      <c r="B30" s="51">
        <v>5.76</v>
      </c>
      <c r="C30" s="51">
        <v>30.51</v>
      </c>
      <c r="D30" s="51">
        <v>18.86</v>
      </c>
      <c r="E30" s="51">
        <v>5.61</v>
      </c>
      <c r="F30" s="51">
        <v>4.5</v>
      </c>
      <c r="G30" s="51">
        <v>75.5</v>
      </c>
      <c r="H30" s="51">
        <v>57.68</v>
      </c>
      <c r="I30" s="51">
        <v>6.21</v>
      </c>
      <c r="J30" s="51">
        <v>0.31</v>
      </c>
      <c r="K30" s="51">
        <v>179.27</v>
      </c>
      <c r="L30" s="51">
        <v>18.93</v>
      </c>
      <c r="M30" s="51">
        <v>62.58</v>
      </c>
      <c r="N30" s="51">
        <v>25.8</v>
      </c>
      <c r="O30" s="51">
        <v>0</v>
      </c>
      <c r="P30" s="51">
        <v>0.91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394</v>
      </c>
      <c r="B31" s="51">
        <v>11.18</v>
      </c>
      <c r="C31" s="51">
        <v>34.619999999999997</v>
      </c>
      <c r="D31" s="51">
        <v>25.68</v>
      </c>
      <c r="E31" s="51">
        <v>5.48</v>
      </c>
      <c r="F31" s="51">
        <v>4.1900000000000004</v>
      </c>
      <c r="G31" s="51">
        <v>80.87</v>
      </c>
      <c r="H31" s="51">
        <v>3.46</v>
      </c>
      <c r="I31" s="51">
        <v>6.22</v>
      </c>
      <c r="J31" s="51">
        <v>0.56000000000000005</v>
      </c>
      <c r="K31" s="51">
        <v>347.44</v>
      </c>
      <c r="L31" s="51">
        <v>18.649999999999999</v>
      </c>
      <c r="M31" s="51">
        <v>69.760000000000005</v>
      </c>
      <c r="N31" s="51">
        <v>26.1</v>
      </c>
      <c r="O31" s="51">
        <v>0</v>
      </c>
      <c r="P31" s="51">
        <v>0.95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395</v>
      </c>
      <c r="B32" s="51">
        <v>28.01</v>
      </c>
      <c r="C32" s="51">
        <v>35.020000000000003</v>
      </c>
      <c r="D32" s="51">
        <v>38.090000000000003</v>
      </c>
      <c r="E32" s="51">
        <v>7.02</v>
      </c>
      <c r="F32" s="51">
        <v>3.91</v>
      </c>
      <c r="G32" s="51">
        <v>78.099999999999994</v>
      </c>
      <c r="H32" s="51">
        <v>25.25</v>
      </c>
      <c r="I32" s="51">
        <v>6.09</v>
      </c>
      <c r="J32" s="51">
        <v>0.59</v>
      </c>
      <c r="K32" s="51">
        <v>336.02</v>
      </c>
      <c r="L32" s="51">
        <v>17.510000000000002</v>
      </c>
      <c r="M32" s="51">
        <v>78.7</v>
      </c>
      <c r="N32" s="51">
        <v>26.1</v>
      </c>
      <c r="O32" s="51">
        <v>0</v>
      </c>
      <c r="P32" s="51">
        <v>1.1499999999999999</v>
      </c>
      <c r="Q32" s="51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2.58</v>
      </c>
      <c r="C34" s="28">
        <f t="shared" si="0"/>
        <v>21.6</v>
      </c>
      <c r="D34" s="28">
        <f t="shared" si="0"/>
        <v>13.53</v>
      </c>
      <c r="E34" s="28">
        <f t="shared" si="0"/>
        <v>4.59</v>
      </c>
      <c r="F34" s="28">
        <f t="shared" si="0"/>
        <v>3.91</v>
      </c>
      <c r="G34" s="28">
        <f t="shared" si="0"/>
        <v>60.77</v>
      </c>
      <c r="H34" s="28">
        <f t="shared" si="0"/>
        <v>0.21</v>
      </c>
      <c r="I34" s="28">
        <f t="shared" si="0"/>
        <v>2.8</v>
      </c>
      <c r="J34" s="28">
        <f t="shared" si="0"/>
        <v>0.3</v>
      </c>
      <c r="K34" s="28">
        <f t="shared" si="0"/>
        <v>110.53</v>
      </c>
      <c r="L34" s="28">
        <f t="shared" si="0"/>
        <v>15.35</v>
      </c>
      <c r="M34" s="28">
        <f t="shared" si="0"/>
        <v>37.049999999999997</v>
      </c>
      <c r="N34" s="28">
        <f t="shared" si="0"/>
        <v>25.8</v>
      </c>
      <c r="O34" s="28">
        <f t="shared" si="0"/>
        <v>0</v>
      </c>
      <c r="P34" s="28">
        <f t="shared" si="0"/>
        <v>0.56000000000000005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28.01</v>
      </c>
      <c r="C35" s="29">
        <f t="shared" si="1"/>
        <v>35.020000000000003</v>
      </c>
      <c r="D35" s="29">
        <f t="shared" si="1"/>
        <v>38.090000000000003</v>
      </c>
      <c r="E35" s="29">
        <f t="shared" si="1"/>
        <v>7.02</v>
      </c>
      <c r="F35" s="29">
        <f t="shared" si="1"/>
        <v>8.06</v>
      </c>
      <c r="G35" s="29">
        <f t="shared" si="1"/>
        <v>91.95</v>
      </c>
      <c r="H35" s="29">
        <f t="shared" si="1"/>
        <v>113.47</v>
      </c>
      <c r="I35" s="29">
        <f t="shared" si="1"/>
        <v>7.24</v>
      </c>
      <c r="J35" s="29">
        <f t="shared" si="1"/>
        <v>1.64</v>
      </c>
      <c r="K35" s="29">
        <f t="shared" si="1"/>
        <v>359.42</v>
      </c>
      <c r="L35" s="29">
        <f t="shared" si="1"/>
        <v>27.26</v>
      </c>
      <c r="M35" s="29">
        <f t="shared" si="1"/>
        <v>96.83</v>
      </c>
      <c r="N35" s="29">
        <f t="shared" si="1"/>
        <v>645</v>
      </c>
      <c r="O35" s="29">
        <f t="shared" si="1"/>
        <v>0</v>
      </c>
      <c r="P35" s="29">
        <f t="shared" si="1"/>
        <v>1.1499999999999999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7.1512500000000001</v>
      </c>
      <c r="C36" s="28">
        <f t="shared" si="2"/>
        <v>27.459166666666661</v>
      </c>
      <c r="D36" s="28">
        <f t="shared" si="2"/>
        <v>18.421250000000001</v>
      </c>
      <c r="E36" s="28">
        <f t="shared" si="2"/>
        <v>5.9700000000000015</v>
      </c>
      <c r="F36" s="28">
        <f t="shared" si="2"/>
        <v>4.9854166666666666</v>
      </c>
      <c r="G36" s="28">
        <f t="shared" si="2"/>
        <v>74.546666666666667</v>
      </c>
      <c r="H36" s="28">
        <f t="shared" si="2"/>
        <v>37.212499999999999</v>
      </c>
      <c r="I36" s="28">
        <f t="shared" si="2"/>
        <v>5.4383333333333317</v>
      </c>
      <c r="J36" s="28">
        <f t="shared" si="2"/>
        <v>0.72833333333333339</v>
      </c>
      <c r="K36" s="28">
        <f t="shared" si="2"/>
        <v>285.70666666666665</v>
      </c>
      <c r="L36" s="28">
        <f t="shared" si="2"/>
        <v>21.11708333333333</v>
      </c>
      <c r="M36" s="28">
        <f t="shared" si="2"/>
        <v>64.527499999999989</v>
      </c>
      <c r="N36" s="28">
        <f t="shared" si="2"/>
        <v>180.00833333333335</v>
      </c>
      <c r="O36" s="28">
        <f t="shared" si="2"/>
        <v>0</v>
      </c>
      <c r="P36" s="28">
        <f t="shared" si="2"/>
        <v>0.73374999999999979</v>
      </c>
      <c r="Q36" s="28">
        <f t="shared" si="2"/>
        <v>9.6337499999999974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5.4678127830454093</v>
      </c>
      <c r="C37" s="28">
        <f t="shared" ref="C37:Q37" si="3">STDEV(C9:C32)</f>
        <v>3.469431624503013</v>
      </c>
      <c r="D37" s="28">
        <f t="shared" si="3"/>
        <v>5.0318596376532163</v>
      </c>
      <c r="E37" s="28">
        <f t="shared" si="3"/>
        <v>0.64540516428592887</v>
      </c>
      <c r="F37" s="28">
        <f t="shared" si="3"/>
        <v>1.0743328735491653</v>
      </c>
      <c r="G37" s="28">
        <f t="shared" si="3"/>
        <v>8.9084682071106993</v>
      </c>
      <c r="H37" s="28">
        <f t="shared" si="3"/>
        <v>25.086305946723829</v>
      </c>
      <c r="I37" s="28">
        <f t="shared" si="3"/>
        <v>0.95567716336623143</v>
      </c>
      <c r="J37" s="28">
        <f t="shared" si="3"/>
        <v>0.33760881230342227</v>
      </c>
      <c r="K37" s="28">
        <f t="shared" si="3"/>
        <v>95.594578965212477</v>
      </c>
      <c r="L37" s="28">
        <f t="shared" si="3"/>
        <v>4.0605551978138354</v>
      </c>
      <c r="M37" s="28">
        <f t="shared" si="3"/>
        <v>20.486664432386711</v>
      </c>
      <c r="N37" s="28">
        <f t="shared" si="3"/>
        <v>231.78431487740576</v>
      </c>
      <c r="O37" s="28">
        <f t="shared" si="3"/>
        <v>0</v>
      </c>
      <c r="P37" s="28">
        <f t="shared" si="3"/>
        <v>0.15471748446765898</v>
      </c>
      <c r="Q37" s="28">
        <f t="shared" si="3"/>
        <v>8.2422559174475472E-3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397</v>
      </c>
      <c r="B9" s="51">
        <v>30.14</v>
      </c>
      <c r="C9" s="51">
        <v>31.65</v>
      </c>
      <c r="D9" s="51">
        <v>39.33</v>
      </c>
      <c r="E9" s="51">
        <v>7.11</v>
      </c>
      <c r="F9" s="51">
        <v>4.1500000000000004</v>
      </c>
      <c r="G9" s="51">
        <v>76.349999999999994</v>
      </c>
      <c r="H9" s="51">
        <v>13.51</v>
      </c>
      <c r="I9" s="51">
        <v>5.85</v>
      </c>
      <c r="J9" s="51">
        <v>0.6</v>
      </c>
      <c r="K9" s="51">
        <v>322.70999999999998</v>
      </c>
      <c r="L9" s="51">
        <v>17.21</v>
      </c>
      <c r="M9" s="51">
        <v>78.44</v>
      </c>
      <c r="N9" s="51">
        <v>26</v>
      </c>
      <c r="O9" s="51">
        <v>0</v>
      </c>
      <c r="P9" s="51">
        <v>0.94</v>
      </c>
      <c r="Q9" s="51">
        <v>9.64</v>
      </c>
      <c r="R9" s="43"/>
      <c r="S9" s="43"/>
      <c r="T9" s="43"/>
      <c r="U9" s="43"/>
    </row>
    <row r="10" spans="1:21" s="11" customFormat="1" x14ac:dyDescent="0.25">
      <c r="A10" s="50" t="s">
        <v>398</v>
      </c>
      <c r="B10" s="51">
        <v>27.73</v>
      </c>
      <c r="C10" s="51">
        <v>28.91</v>
      </c>
      <c r="D10" s="51">
        <v>35.74</v>
      </c>
      <c r="E10" s="51">
        <v>6.9</v>
      </c>
      <c r="F10" s="51">
        <v>3.8</v>
      </c>
      <c r="G10" s="51">
        <v>72</v>
      </c>
      <c r="H10" s="51">
        <v>48.45</v>
      </c>
      <c r="I10" s="51">
        <v>6.21</v>
      </c>
      <c r="J10" s="51">
        <v>0.64</v>
      </c>
      <c r="K10" s="51">
        <v>348.84</v>
      </c>
      <c r="L10" s="51">
        <v>16.23</v>
      </c>
      <c r="M10" s="51">
        <v>84.72</v>
      </c>
      <c r="N10" s="51">
        <v>26.1</v>
      </c>
      <c r="O10" s="51">
        <v>0</v>
      </c>
      <c r="P10" s="51">
        <v>0.96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399</v>
      </c>
      <c r="B11" s="51">
        <v>22.86</v>
      </c>
      <c r="C11" s="51">
        <v>29.92</v>
      </c>
      <c r="D11" s="51">
        <v>32.26</v>
      </c>
      <c r="E11" s="51">
        <v>6.71</v>
      </c>
      <c r="F11" s="51">
        <v>3.72</v>
      </c>
      <c r="G11" s="51">
        <v>73.959999999999994</v>
      </c>
      <c r="H11" s="51">
        <v>30.91</v>
      </c>
      <c r="I11" s="51">
        <v>6.14</v>
      </c>
      <c r="J11" s="51">
        <v>0.42</v>
      </c>
      <c r="K11" s="51">
        <v>307.77999999999997</v>
      </c>
      <c r="L11" s="51">
        <v>15.67</v>
      </c>
      <c r="M11" s="51">
        <v>88.4</v>
      </c>
      <c r="N11" s="51">
        <v>26</v>
      </c>
      <c r="O11" s="51">
        <v>0</v>
      </c>
      <c r="P11" s="51">
        <v>0.88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400</v>
      </c>
      <c r="B12" s="51">
        <v>19.760000000000002</v>
      </c>
      <c r="C12" s="51">
        <v>29.96</v>
      </c>
      <c r="D12" s="51">
        <v>30.12</v>
      </c>
      <c r="E12" s="51">
        <v>6.82</v>
      </c>
      <c r="F12" s="51">
        <v>3.96</v>
      </c>
      <c r="G12" s="51">
        <v>69.27</v>
      </c>
      <c r="H12" s="51">
        <v>37.36</v>
      </c>
      <c r="I12" s="51">
        <v>5.58</v>
      </c>
      <c r="J12" s="51">
        <v>1.1399999999999999</v>
      </c>
      <c r="K12" s="51">
        <v>341</v>
      </c>
      <c r="L12" s="51">
        <v>15.29</v>
      </c>
      <c r="M12" s="51">
        <v>92.2</v>
      </c>
      <c r="N12" s="51">
        <v>25.8</v>
      </c>
      <c r="O12" s="51">
        <v>0</v>
      </c>
      <c r="P12" s="51">
        <v>0.8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401</v>
      </c>
      <c r="B13" s="51">
        <v>18.510000000000002</v>
      </c>
      <c r="C13" s="51">
        <v>27.62</v>
      </c>
      <c r="D13" s="51">
        <v>27.9</v>
      </c>
      <c r="E13" s="51">
        <v>6.43</v>
      </c>
      <c r="F13" s="51">
        <v>3.72</v>
      </c>
      <c r="G13" s="51">
        <v>79.69</v>
      </c>
      <c r="H13" s="51">
        <v>36.97</v>
      </c>
      <c r="I13" s="51">
        <v>4.8600000000000003</v>
      </c>
      <c r="J13" s="51">
        <v>1.1100000000000001</v>
      </c>
      <c r="K13" s="51">
        <v>344.46</v>
      </c>
      <c r="L13" s="51">
        <v>15.3</v>
      </c>
      <c r="M13" s="51">
        <v>82.29</v>
      </c>
      <c r="N13" s="51">
        <v>26</v>
      </c>
      <c r="O13" s="51">
        <v>0</v>
      </c>
      <c r="P13" s="51">
        <v>0.86</v>
      </c>
      <c r="Q13" s="51">
        <v>9.64</v>
      </c>
      <c r="R13" s="43"/>
      <c r="S13" s="43"/>
      <c r="T13" s="43"/>
      <c r="U13" s="43"/>
    </row>
    <row r="14" spans="1:21" s="11" customFormat="1" x14ac:dyDescent="0.25">
      <c r="A14" s="50" t="s">
        <v>402</v>
      </c>
      <c r="B14" s="51">
        <v>18.850000000000001</v>
      </c>
      <c r="C14" s="51">
        <v>26.48</v>
      </c>
      <c r="D14" s="51">
        <v>27.53</v>
      </c>
      <c r="E14" s="51">
        <v>6.71</v>
      </c>
      <c r="F14" s="51">
        <v>4.21</v>
      </c>
      <c r="G14" s="51">
        <v>103.37</v>
      </c>
      <c r="H14" s="51">
        <v>3.7</v>
      </c>
      <c r="I14" s="51">
        <v>4.91</v>
      </c>
      <c r="J14" s="51">
        <v>0.91</v>
      </c>
      <c r="K14" s="51">
        <v>352.24</v>
      </c>
      <c r="L14" s="51">
        <v>14.98</v>
      </c>
      <c r="M14" s="51">
        <v>80.28</v>
      </c>
      <c r="N14" s="51">
        <v>25.9</v>
      </c>
      <c r="O14" s="51">
        <v>0</v>
      </c>
      <c r="P14" s="51">
        <v>0.9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403</v>
      </c>
      <c r="B15" s="51">
        <v>19.170000000000002</v>
      </c>
      <c r="C15" s="51">
        <v>28.63</v>
      </c>
      <c r="D15" s="51">
        <v>28.95</v>
      </c>
      <c r="E15" s="51">
        <v>6.74</v>
      </c>
      <c r="F15" s="51">
        <v>4.2</v>
      </c>
      <c r="G15" s="51">
        <v>113.17</v>
      </c>
      <c r="H15" s="51">
        <v>0.44</v>
      </c>
      <c r="I15" s="51">
        <v>4.88</v>
      </c>
      <c r="J15" s="51">
        <v>0.71</v>
      </c>
      <c r="K15" s="51">
        <v>339.73</v>
      </c>
      <c r="L15" s="51">
        <v>15.09</v>
      </c>
      <c r="M15" s="51">
        <v>79.31</v>
      </c>
      <c r="N15" s="51">
        <v>61.2</v>
      </c>
      <c r="O15" s="51">
        <v>0</v>
      </c>
      <c r="P15" s="51">
        <v>0.88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404</v>
      </c>
      <c r="B16" s="51">
        <v>18.53</v>
      </c>
      <c r="C16" s="51">
        <v>29.59</v>
      </c>
      <c r="D16" s="51">
        <v>28.69</v>
      </c>
      <c r="E16" s="51">
        <v>6.92</v>
      </c>
      <c r="F16" s="51">
        <v>4.09</v>
      </c>
      <c r="G16" s="51">
        <v>95.94</v>
      </c>
      <c r="H16" s="51">
        <v>22.28</v>
      </c>
      <c r="I16" s="51">
        <v>4.54</v>
      </c>
      <c r="J16" s="51">
        <v>0.99</v>
      </c>
      <c r="K16" s="51">
        <v>125.84</v>
      </c>
      <c r="L16" s="51">
        <v>19.350000000000001</v>
      </c>
      <c r="M16" s="51">
        <v>73.33</v>
      </c>
      <c r="N16" s="51">
        <v>253</v>
      </c>
      <c r="O16" s="51">
        <v>0</v>
      </c>
      <c r="P16" s="51">
        <v>0.81</v>
      </c>
      <c r="Q16" s="51">
        <v>9.65</v>
      </c>
      <c r="R16" s="43"/>
      <c r="S16" s="43"/>
      <c r="T16" s="43"/>
      <c r="U16" s="43"/>
    </row>
    <row r="17" spans="1:21" s="11" customFormat="1" x14ac:dyDescent="0.25">
      <c r="A17" s="50" t="s">
        <v>405</v>
      </c>
      <c r="B17" s="51">
        <v>16.28</v>
      </c>
      <c r="C17" s="51">
        <v>28.23</v>
      </c>
      <c r="D17" s="51">
        <v>26.43</v>
      </c>
      <c r="E17" s="51">
        <v>6.3</v>
      </c>
      <c r="F17" s="51">
        <v>4.2300000000000004</v>
      </c>
      <c r="G17" s="51">
        <v>90.31</v>
      </c>
      <c r="H17" s="51">
        <v>22.28</v>
      </c>
      <c r="I17" s="51">
        <v>4.58</v>
      </c>
      <c r="J17" s="51">
        <v>1.24</v>
      </c>
      <c r="K17" s="51">
        <v>119.44</v>
      </c>
      <c r="L17" s="51">
        <v>21.93</v>
      </c>
      <c r="M17" s="51">
        <v>58.78</v>
      </c>
      <c r="N17" s="51">
        <v>420.2</v>
      </c>
      <c r="O17" s="51">
        <v>0</v>
      </c>
      <c r="P17" s="51">
        <v>0.8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406</v>
      </c>
      <c r="B18" s="51">
        <v>13.23</v>
      </c>
      <c r="C18" s="51">
        <v>29.94</v>
      </c>
      <c r="D18" s="51">
        <v>23.79</v>
      </c>
      <c r="E18" s="51">
        <v>6.29</v>
      </c>
      <c r="F18" s="51">
        <v>4.49</v>
      </c>
      <c r="G18" s="51">
        <v>86.81</v>
      </c>
      <c r="H18" s="51">
        <v>13.08</v>
      </c>
      <c r="I18" s="51">
        <v>5.91</v>
      </c>
      <c r="J18" s="51">
        <v>1.67</v>
      </c>
      <c r="K18" s="51">
        <v>354.37</v>
      </c>
      <c r="L18" s="51">
        <v>25.55</v>
      </c>
      <c r="M18" s="51">
        <v>52.75</v>
      </c>
      <c r="N18" s="51">
        <v>546.70000000000005</v>
      </c>
      <c r="O18" s="51">
        <v>0</v>
      </c>
      <c r="P18" s="51">
        <v>0.75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407</v>
      </c>
      <c r="B19" s="51">
        <v>11.51</v>
      </c>
      <c r="C19" s="51">
        <v>34.86</v>
      </c>
      <c r="D19" s="51">
        <v>24.69</v>
      </c>
      <c r="E19" s="51">
        <v>6.28</v>
      </c>
      <c r="F19" s="51">
        <v>4.4000000000000004</v>
      </c>
      <c r="G19" s="51">
        <v>81.53</v>
      </c>
      <c r="H19" s="51">
        <v>36.72</v>
      </c>
      <c r="I19" s="51">
        <v>6.43</v>
      </c>
      <c r="J19" s="51">
        <v>1.33</v>
      </c>
      <c r="K19" s="51">
        <v>119.68</v>
      </c>
      <c r="L19" s="51">
        <v>25.65</v>
      </c>
      <c r="M19" s="51">
        <v>41.25</v>
      </c>
      <c r="N19" s="51">
        <v>658.3</v>
      </c>
      <c r="O19" s="51">
        <v>0</v>
      </c>
      <c r="P19" s="51">
        <v>0.74</v>
      </c>
      <c r="Q19" s="51">
        <v>9.65</v>
      </c>
      <c r="R19" s="43"/>
      <c r="S19" s="43"/>
      <c r="T19" s="43"/>
      <c r="U19" s="43"/>
    </row>
    <row r="20" spans="1:21" s="11" customFormat="1" x14ac:dyDescent="0.25">
      <c r="A20" s="50" t="s">
        <v>408</v>
      </c>
      <c r="B20" s="51">
        <v>8.73</v>
      </c>
      <c r="C20" s="51">
        <v>36.83</v>
      </c>
      <c r="D20" s="51">
        <v>24.2</v>
      </c>
      <c r="E20" s="51">
        <v>6.17</v>
      </c>
      <c r="F20" s="51">
        <v>4.63</v>
      </c>
      <c r="G20" s="51">
        <v>70.790000000000006</v>
      </c>
      <c r="H20" s="51">
        <v>1.47</v>
      </c>
      <c r="I20" s="51">
        <v>7.06</v>
      </c>
      <c r="J20" s="51">
        <v>1.53</v>
      </c>
      <c r="K20" s="51">
        <v>340.02</v>
      </c>
      <c r="L20" s="51">
        <v>29.71</v>
      </c>
      <c r="M20" s="51">
        <v>37.950000000000003</v>
      </c>
      <c r="N20" s="51">
        <v>701.4</v>
      </c>
      <c r="O20" s="51">
        <v>0</v>
      </c>
      <c r="P20" s="51">
        <v>0.69</v>
      </c>
      <c r="Q20" s="51">
        <v>9.64</v>
      </c>
      <c r="R20" s="43"/>
      <c r="S20" s="43"/>
      <c r="T20" s="43"/>
      <c r="U20" s="43"/>
    </row>
    <row r="21" spans="1:21" s="11" customFormat="1" x14ac:dyDescent="0.25">
      <c r="A21" s="50" t="s">
        <v>409</v>
      </c>
      <c r="B21" s="51">
        <v>6.54</v>
      </c>
      <c r="C21" s="51">
        <v>35.729999999999997</v>
      </c>
      <c r="D21" s="51">
        <v>22.54</v>
      </c>
      <c r="E21" s="51">
        <v>5.7</v>
      </c>
      <c r="F21" s="51">
        <v>5.18</v>
      </c>
      <c r="G21" s="51">
        <v>70.709999999999994</v>
      </c>
      <c r="H21" s="51">
        <v>14.09</v>
      </c>
      <c r="I21" s="51">
        <v>6.8</v>
      </c>
      <c r="J21" s="51">
        <v>1.63</v>
      </c>
      <c r="K21" s="51">
        <v>349.04</v>
      </c>
      <c r="L21" s="51">
        <v>29.14</v>
      </c>
      <c r="M21" s="51">
        <v>32.35</v>
      </c>
      <c r="N21" s="51">
        <v>612.20000000000005</v>
      </c>
      <c r="O21" s="51">
        <v>0</v>
      </c>
      <c r="P21" s="51">
        <v>0.66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410</v>
      </c>
      <c r="B22" s="51">
        <v>5.18</v>
      </c>
      <c r="C22" s="51">
        <v>33.92</v>
      </c>
      <c r="D22" s="51">
        <v>20.5</v>
      </c>
      <c r="E22" s="51">
        <v>6.36</v>
      </c>
      <c r="F22" s="51">
        <v>7.41</v>
      </c>
      <c r="G22" s="51">
        <v>72.819999999999993</v>
      </c>
      <c r="H22" s="51">
        <v>14.09</v>
      </c>
      <c r="I22" s="51">
        <v>4.3899999999999997</v>
      </c>
      <c r="J22" s="51">
        <v>1.31</v>
      </c>
      <c r="K22" s="51">
        <v>349.78</v>
      </c>
      <c r="L22" s="51">
        <v>28.05</v>
      </c>
      <c r="M22" s="51">
        <v>33.130000000000003</v>
      </c>
      <c r="N22" s="51">
        <v>507.4</v>
      </c>
      <c r="O22" s="51">
        <v>0</v>
      </c>
      <c r="P22" s="51">
        <v>0.68</v>
      </c>
      <c r="Q22" s="51">
        <v>9.64</v>
      </c>
      <c r="R22" s="43"/>
      <c r="S22" s="43"/>
      <c r="T22" s="43"/>
      <c r="U22" s="43"/>
    </row>
    <row r="23" spans="1:21" s="11" customFormat="1" x14ac:dyDescent="0.25">
      <c r="A23" s="50" t="s">
        <v>411</v>
      </c>
      <c r="B23" s="51">
        <v>4.33</v>
      </c>
      <c r="C23" s="51">
        <v>35.54</v>
      </c>
      <c r="D23" s="51">
        <v>20.45</v>
      </c>
      <c r="E23" s="51">
        <v>6.08</v>
      </c>
      <c r="F23" s="51">
        <v>5.1100000000000003</v>
      </c>
      <c r="G23" s="51">
        <v>69.13</v>
      </c>
      <c r="H23" s="51">
        <v>12.34</v>
      </c>
      <c r="I23" s="51">
        <v>5.63</v>
      </c>
      <c r="J23" s="51">
        <v>0.79</v>
      </c>
      <c r="K23" s="51">
        <v>107.86</v>
      </c>
      <c r="L23" s="51">
        <v>25.53</v>
      </c>
      <c r="M23" s="51">
        <v>34.299999999999997</v>
      </c>
      <c r="N23" s="51">
        <v>161.1</v>
      </c>
      <c r="O23" s="51">
        <v>0</v>
      </c>
      <c r="P23" s="51">
        <v>0.67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412</v>
      </c>
      <c r="B24" s="51">
        <v>4.17</v>
      </c>
      <c r="C24" s="51">
        <v>40.700000000000003</v>
      </c>
      <c r="D24" s="51">
        <v>23.23</v>
      </c>
      <c r="E24" s="51">
        <v>6.11</v>
      </c>
      <c r="F24" s="51">
        <v>5.76</v>
      </c>
      <c r="G24" s="51">
        <v>74.59</v>
      </c>
      <c r="H24" s="51">
        <v>10.08</v>
      </c>
      <c r="I24" s="51">
        <v>5.57</v>
      </c>
      <c r="J24" s="51">
        <v>1.82</v>
      </c>
      <c r="K24" s="51">
        <v>350.15</v>
      </c>
      <c r="L24" s="51">
        <v>25.04</v>
      </c>
      <c r="M24" s="51">
        <v>33.96</v>
      </c>
      <c r="N24" s="51">
        <v>100.8</v>
      </c>
      <c r="O24" s="51">
        <v>0</v>
      </c>
      <c r="P24" s="51">
        <v>0.73</v>
      </c>
      <c r="Q24" s="51">
        <v>9.6199999999999992</v>
      </c>
      <c r="R24" s="43"/>
      <c r="S24" s="43"/>
      <c r="T24" s="43"/>
      <c r="U24" s="43"/>
    </row>
    <row r="25" spans="1:21" s="11" customFormat="1" x14ac:dyDescent="0.25">
      <c r="A25" s="50" t="s">
        <v>413</v>
      </c>
      <c r="B25" s="51">
        <v>5.0999999999999996</v>
      </c>
      <c r="C25" s="51">
        <v>40.64</v>
      </c>
      <c r="D25" s="51">
        <v>23.94</v>
      </c>
      <c r="E25" s="51">
        <v>5.77</v>
      </c>
      <c r="F25" s="51">
        <v>5.57</v>
      </c>
      <c r="G25" s="51">
        <v>76.83</v>
      </c>
      <c r="H25" s="51">
        <v>54.43</v>
      </c>
      <c r="I25" s="51">
        <v>4.0199999999999996</v>
      </c>
      <c r="J25" s="51">
        <v>1.54</v>
      </c>
      <c r="K25" s="51">
        <v>346.53</v>
      </c>
      <c r="L25" s="51">
        <v>24.08</v>
      </c>
      <c r="M25" s="51">
        <v>36.11</v>
      </c>
      <c r="N25" s="51">
        <v>67.099999999999994</v>
      </c>
      <c r="O25" s="51">
        <v>0</v>
      </c>
      <c r="P25" s="51">
        <v>0.91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414</v>
      </c>
      <c r="B26" s="51">
        <v>8.1300000000000008</v>
      </c>
      <c r="C26" s="51">
        <v>40.770000000000003</v>
      </c>
      <c r="D26" s="51">
        <v>26.44</v>
      </c>
      <c r="E26" s="51">
        <v>6.23</v>
      </c>
      <c r="F26" s="51">
        <v>5.2</v>
      </c>
      <c r="G26" s="51">
        <v>81.89</v>
      </c>
      <c r="H26" s="51">
        <v>8.7100000000000009</v>
      </c>
      <c r="I26" s="51">
        <v>4.67</v>
      </c>
      <c r="J26" s="51">
        <v>1.24</v>
      </c>
      <c r="K26" s="51">
        <v>347.34</v>
      </c>
      <c r="L26" s="51">
        <v>22.72</v>
      </c>
      <c r="M26" s="51">
        <v>42.46</v>
      </c>
      <c r="N26" s="51">
        <v>34.200000000000003</v>
      </c>
      <c r="O26" s="51">
        <v>0</v>
      </c>
      <c r="P26" s="51">
        <v>1.28</v>
      </c>
      <c r="Q26" s="51">
        <v>9.64</v>
      </c>
      <c r="R26" s="43"/>
      <c r="S26" s="43"/>
      <c r="T26" s="43"/>
      <c r="U26" s="43"/>
    </row>
    <row r="27" spans="1:21" s="11" customFormat="1" x14ac:dyDescent="0.25">
      <c r="A27" s="50" t="s">
        <v>415</v>
      </c>
      <c r="B27" s="51">
        <v>13.97</v>
      </c>
      <c r="C27" s="51">
        <v>45.37</v>
      </c>
      <c r="D27" s="51">
        <v>33.53</v>
      </c>
      <c r="E27" s="51">
        <v>6.74</v>
      </c>
      <c r="F27" s="51">
        <v>4.33</v>
      </c>
      <c r="G27" s="51">
        <v>90.97</v>
      </c>
      <c r="H27" s="51">
        <v>1.57</v>
      </c>
      <c r="I27" s="51">
        <v>6.85</v>
      </c>
      <c r="J27" s="51">
        <v>0.8</v>
      </c>
      <c r="K27" s="51">
        <v>345.8</v>
      </c>
      <c r="L27" s="51">
        <v>20.52</v>
      </c>
      <c r="M27" s="51">
        <v>46.03</v>
      </c>
      <c r="N27" s="51">
        <v>26.1</v>
      </c>
      <c r="O27" s="51">
        <v>0</v>
      </c>
      <c r="P27" s="51">
        <v>1.25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416</v>
      </c>
      <c r="B28" s="51">
        <v>14.61</v>
      </c>
      <c r="C28" s="51">
        <v>46.66</v>
      </c>
      <c r="D28" s="51">
        <v>34.71</v>
      </c>
      <c r="E28" s="51">
        <v>6.72</v>
      </c>
      <c r="F28" s="51">
        <v>4.38</v>
      </c>
      <c r="G28" s="51">
        <v>105.25</v>
      </c>
      <c r="H28" s="51">
        <v>0.31</v>
      </c>
      <c r="I28" s="51">
        <v>6.92</v>
      </c>
      <c r="J28" s="51">
        <v>0.59</v>
      </c>
      <c r="K28" s="51">
        <v>347.91</v>
      </c>
      <c r="L28" s="51">
        <v>20.07</v>
      </c>
      <c r="M28" s="51">
        <v>44.74</v>
      </c>
      <c r="N28" s="51">
        <v>25.9</v>
      </c>
      <c r="O28" s="51">
        <v>0</v>
      </c>
      <c r="P28" s="51">
        <v>1.1399999999999999</v>
      </c>
      <c r="Q28" s="51">
        <v>9.64</v>
      </c>
      <c r="R28" s="43"/>
      <c r="S28" s="43"/>
      <c r="T28" s="43"/>
      <c r="U28" s="43"/>
    </row>
    <row r="29" spans="1:21" s="11" customFormat="1" x14ac:dyDescent="0.25">
      <c r="A29" s="50" t="s">
        <v>417</v>
      </c>
      <c r="B29" s="51">
        <v>10.79</v>
      </c>
      <c r="C29" s="51">
        <v>44.56</v>
      </c>
      <c r="D29" s="51">
        <v>30.56</v>
      </c>
      <c r="E29" s="51">
        <v>6.11</v>
      </c>
      <c r="F29" s="51">
        <v>5.2</v>
      </c>
      <c r="G29" s="51">
        <v>108.94</v>
      </c>
      <c r="H29" s="51">
        <v>7.0000000000000007E-2</v>
      </c>
      <c r="I29" s="51">
        <v>6.86</v>
      </c>
      <c r="J29" s="51">
        <v>0.5</v>
      </c>
      <c r="K29" s="51">
        <v>111.02</v>
      </c>
      <c r="L29" s="51">
        <v>19.43</v>
      </c>
      <c r="M29" s="51">
        <v>48.33</v>
      </c>
      <c r="N29" s="51">
        <v>25.9</v>
      </c>
      <c r="O29" s="51">
        <v>0</v>
      </c>
      <c r="P29" s="51">
        <v>1.1000000000000001</v>
      </c>
      <c r="Q29" s="51">
        <v>9.65</v>
      </c>
      <c r="R29" s="43"/>
      <c r="S29" s="43"/>
      <c r="T29" s="43"/>
      <c r="U29" s="43"/>
    </row>
    <row r="30" spans="1:21" s="11" customFormat="1" x14ac:dyDescent="0.25">
      <c r="A30" s="50" t="s">
        <v>418</v>
      </c>
      <c r="B30" s="51">
        <v>11.69</v>
      </c>
      <c r="C30" s="51">
        <v>37.65</v>
      </c>
      <c r="D30" s="51">
        <v>27.27</v>
      </c>
      <c r="E30" s="51">
        <v>5.95</v>
      </c>
      <c r="F30" s="51">
        <v>4.57</v>
      </c>
      <c r="G30" s="51">
        <v>97.91</v>
      </c>
      <c r="H30" s="51">
        <v>0.02</v>
      </c>
      <c r="I30" s="51">
        <v>5.21</v>
      </c>
      <c r="J30" s="51">
        <v>0.48</v>
      </c>
      <c r="K30" s="51">
        <v>353.68</v>
      </c>
      <c r="L30" s="51">
        <v>18.71</v>
      </c>
      <c r="M30" s="51">
        <v>51.1</v>
      </c>
      <c r="N30" s="51">
        <v>25.8</v>
      </c>
      <c r="O30" s="51">
        <v>0</v>
      </c>
      <c r="P30" s="51">
        <v>1.22</v>
      </c>
      <c r="Q30" s="51">
        <v>9.6300000000000008</v>
      </c>
      <c r="R30" s="43"/>
      <c r="S30" s="43"/>
      <c r="T30" s="43"/>
      <c r="U30" s="43"/>
    </row>
    <row r="31" spans="1:21" s="11" customFormat="1" x14ac:dyDescent="0.25">
      <c r="A31" s="50" t="s">
        <v>419</v>
      </c>
      <c r="B31" s="51">
        <v>12.02</v>
      </c>
      <c r="C31" s="51">
        <v>38.43</v>
      </c>
      <c r="D31" s="51">
        <v>28.2</v>
      </c>
      <c r="E31" s="51">
        <v>6.16</v>
      </c>
      <c r="F31" s="51">
        <v>4.2699999999999996</v>
      </c>
      <c r="G31" s="51">
        <v>98.24</v>
      </c>
      <c r="H31" s="52" t="s">
        <v>14</v>
      </c>
      <c r="I31" s="51">
        <v>6.86</v>
      </c>
      <c r="J31" s="51">
        <v>0.45</v>
      </c>
      <c r="K31" s="51">
        <v>113.68</v>
      </c>
      <c r="L31" s="51">
        <v>17.989999999999998</v>
      </c>
      <c r="M31" s="51">
        <v>52.99</v>
      </c>
      <c r="N31" s="51">
        <v>25.8</v>
      </c>
      <c r="O31" s="51">
        <v>0</v>
      </c>
      <c r="P31" s="51">
        <v>1.1200000000000001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420</v>
      </c>
      <c r="B32" s="51">
        <v>11.28</v>
      </c>
      <c r="C32" s="51">
        <v>38.79</v>
      </c>
      <c r="D32" s="51">
        <v>27.93</v>
      </c>
      <c r="E32" s="51">
        <v>5.73</v>
      </c>
      <c r="F32" s="51">
        <v>4.25</v>
      </c>
      <c r="G32" s="51">
        <v>99.49</v>
      </c>
      <c r="H32" s="52" t="s">
        <v>14</v>
      </c>
      <c r="I32" s="51">
        <v>7.2</v>
      </c>
      <c r="J32" s="51">
        <v>1.1599999999999999</v>
      </c>
      <c r="K32" s="51">
        <v>115.82</v>
      </c>
      <c r="L32" s="51">
        <v>18.18</v>
      </c>
      <c r="M32" s="51">
        <v>52.58</v>
      </c>
      <c r="N32" s="51">
        <v>26</v>
      </c>
      <c r="O32" s="51">
        <v>0</v>
      </c>
      <c r="P32" s="51">
        <v>1.06</v>
      </c>
      <c r="Q32" s="51">
        <v>9.6300000000000008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4.17</v>
      </c>
      <c r="C34" s="28">
        <f t="shared" si="0"/>
        <v>26.48</v>
      </c>
      <c r="D34" s="28">
        <f t="shared" si="0"/>
        <v>20.45</v>
      </c>
      <c r="E34" s="28">
        <f t="shared" si="0"/>
        <v>5.7</v>
      </c>
      <c r="F34" s="28">
        <f t="shared" si="0"/>
        <v>3.72</v>
      </c>
      <c r="G34" s="28">
        <f t="shared" si="0"/>
        <v>69.13</v>
      </c>
      <c r="H34" s="28">
        <f t="shared" si="0"/>
        <v>0.02</v>
      </c>
      <c r="I34" s="28">
        <f t="shared" si="0"/>
        <v>4.0199999999999996</v>
      </c>
      <c r="J34" s="28">
        <f t="shared" si="0"/>
        <v>0.42</v>
      </c>
      <c r="K34" s="28">
        <f t="shared" si="0"/>
        <v>107.86</v>
      </c>
      <c r="L34" s="28">
        <f t="shared" si="0"/>
        <v>14.98</v>
      </c>
      <c r="M34" s="28">
        <f t="shared" si="0"/>
        <v>32.35</v>
      </c>
      <c r="N34" s="28">
        <f t="shared" si="0"/>
        <v>25.8</v>
      </c>
      <c r="O34" s="28">
        <f t="shared" si="0"/>
        <v>0</v>
      </c>
      <c r="P34" s="28">
        <f t="shared" si="0"/>
        <v>0.66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30.14</v>
      </c>
      <c r="C35" s="29">
        <f t="shared" si="1"/>
        <v>46.66</v>
      </c>
      <c r="D35" s="29">
        <f t="shared" si="1"/>
        <v>39.33</v>
      </c>
      <c r="E35" s="29">
        <f t="shared" si="1"/>
        <v>7.11</v>
      </c>
      <c r="F35" s="29">
        <f t="shared" si="1"/>
        <v>7.41</v>
      </c>
      <c r="G35" s="29">
        <f t="shared" si="1"/>
        <v>113.17</v>
      </c>
      <c r="H35" s="29">
        <f t="shared" si="1"/>
        <v>54.43</v>
      </c>
      <c r="I35" s="29">
        <f t="shared" si="1"/>
        <v>7.2</v>
      </c>
      <c r="J35" s="29">
        <f t="shared" si="1"/>
        <v>1.82</v>
      </c>
      <c r="K35" s="29">
        <f t="shared" si="1"/>
        <v>354.37</v>
      </c>
      <c r="L35" s="29">
        <f t="shared" si="1"/>
        <v>29.71</v>
      </c>
      <c r="M35" s="29">
        <f t="shared" si="1"/>
        <v>92.2</v>
      </c>
      <c r="N35" s="29">
        <f t="shared" si="1"/>
        <v>701.4</v>
      </c>
      <c r="O35" s="29">
        <f t="shared" si="1"/>
        <v>0</v>
      </c>
      <c r="P35" s="29">
        <f t="shared" si="1"/>
        <v>1.28</v>
      </c>
      <c r="Q35" s="29">
        <f t="shared" si="1"/>
        <v>9.65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13.879583333333334</v>
      </c>
      <c r="C36" s="28">
        <f t="shared" si="2"/>
        <v>35.057499999999997</v>
      </c>
      <c r="D36" s="28">
        <f t="shared" si="2"/>
        <v>27.872083333333332</v>
      </c>
      <c r="E36" s="28">
        <f t="shared" si="2"/>
        <v>6.376666666666666</v>
      </c>
      <c r="F36" s="28">
        <f t="shared" si="2"/>
        <v>4.6179166666666669</v>
      </c>
      <c r="G36" s="28">
        <f t="shared" si="2"/>
        <v>85.831666666666663</v>
      </c>
      <c r="H36" s="28">
        <f t="shared" si="2"/>
        <v>17.403636363636362</v>
      </c>
      <c r="I36" s="28">
        <f t="shared" si="2"/>
        <v>5.7470833333333315</v>
      </c>
      <c r="J36" s="28">
        <f t="shared" si="2"/>
        <v>1.0249999999999999</v>
      </c>
      <c r="K36" s="28">
        <f t="shared" si="2"/>
        <v>277.28000000000003</v>
      </c>
      <c r="L36" s="28">
        <f t="shared" si="2"/>
        <v>20.892500000000002</v>
      </c>
      <c r="M36" s="28">
        <f t="shared" si="2"/>
        <v>56.574166666666663</v>
      </c>
      <c r="N36" s="28">
        <f t="shared" si="2"/>
        <v>184.78750000000002</v>
      </c>
      <c r="O36" s="28">
        <f t="shared" si="2"/>
        <v>0</v>
      </c>
      <c r="P36" s="28">
        <f t="shared" si="2"/>
        <v>0.90958333333333341</v>
      </c>
      <c r="Q36" s="28">
        <f t="shared" si="2"/>
        <v>9.6370833333333312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7.088874000957369</v>
      </c>
      <c r="C37" s="28">
        <f t="shared" ref="C37:Q37" si="3">STDEV(C9:C32)</f>
        <v>6.0388778470982754</v>
      </c>
      <c r="D37" s="28">
        <f t="shared" si="3"/>
        <v>4.778534411635933</v>
      </c>
      <c r="E37" s="28">
        <f t="shared" si="3"/>
        <v>0.40113606784672989</v>
      </c>
      <c r="F37" s="28">
        <f t="shared" si="3"/>
        <v>0.81848204764603372</v>
      </c>
      <c r="G37" s="28">
        <f t="shared" si="3"/>
        <v>13.957723330819725</v>
      </c>
      <c r="H37" s="28">
        <f t="shared" si="3"/>
        <v>16.625677944058925</v>
      </c>
      <c r="I37" s="28">
        <f t="shared" si="3"/>
        <v>0.98443309294882253</v>
      </c>
      <c r="J37" s="28">
        <f t="shared" si="3"/>
        <v>0.42969149701698328</v>
      </c>
      <c r="K37" s="28">
        <f t="shared" si="3"/>
        <v>106.09510741495713</v>
      </c>
      <c r="L37" s="28">
        <f t="shared" si="3"/>
        <v>4.728975668108796</v>
      </c>
      <c r="M37" s="28">
        <f t="shared" si="3"/>
        <v>20.124009004316147</v>
      </c>
      <c r="N37" s="28">
        <f t="shared" si="3"/>
        <v>240.571367540767</v>
      </c>
      <c r="O37" s="28">
        <f t="shared" si="3"/>
        <v>0</v>
      </c>
      <c r="P37" s="28">
        <f t="shared" si="3"/>
        <v>0.19274852205301884</v>
      </c>
      <c r="Q37" s="28">
        <f t="shared" si="3"/>
        <v>7.5060362182809348E-3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421</v>
      </c>
      <c r="B9" s="51">
        <v>7.05</v>
      </c>
      <c r="C9" s="51">
        <v>38.21</v>
      </c>
      <c r="D9" s="51">
        <v>24.24</v>
      </c>
      <c r="E9" s="51">
        <v>5.96</v>
      </c>
      <c r="F9" s="51">
        <v>4.0199999999999996</v>
      </c>
      <c r="G9" s="51">
        <v>98.15</v>
      </c>
      <c r="H9" s="51">
        <v>43.71</v>
      </c>
      <c r="I9" s="51">
        <v>7.08</v>
      </c>
      <c r="J9" s="51">
        <v>0.48</v>
      </c>
      <c r="K9" s="51">
        <v>341.57</v>
      </c>
      <c r="L9" s="51">
        <v>17.16</v>
      </c>
      <c r="M9" s="51">
        <v>68.739999999999995</v>
      </c>
      <c r="N9" s="51">
        <v>26.3</v>
      </c>
      <c r="O9" s="51">
        <v>0</v>
      </c>
      <c r="P9" s="51">
        <v>0.95</v>
      </c>
      <c r="Q9" s="51">
        <v>9.6300000000000008</v>
      </c>
      <c r="R9" s="43"/>
      <c r="S9" s="43"/>
      <c r="T9" s="43"/>
      <c r="U9" s="43"/>
    </row>
    <row r="10" spans="1:21" s="11" customFormat="1" x14ac:dyDescent="0.25">
      <c r="A10" s="50" t="s">
        <v>422</v>
      </c>
      <c r="B10" s="51">
        <v>7.53</v>
      </c>
      <c r="C10" s="51">
        <v>34.200000000000003</v>
      </c>
      <c r="D10" s="51">
        <v>22.12</v>
      </c>
      <c r="E10" s="51">
        <v>6.03</v>
      </c>
      <c r="F10" s="51">
        <v>3.71</v>
      </c>
      <c r="G10" s="51">
        <v>97.22</v>
      </c>
      <c r="H10" s="51">
        <v>73.569999999999993</v>
      </c>
      <c r="I10" s="51">
        <v>5.64</v>
      </c>
      <c r="J10" s="51">
        <v>1.1299999999999999</v>
      </c>
      <c r="K10" s="51">
        <v>345.22</v>
      </c>
      <c r="L10" s="51">
        <v>15.19</v>
      </c>
      <c r="M10" s="51">
        <v>78.12</v>
      </c>
      <c r="N10" s="51">
        <v>26</v>
      </c>
      <c r="O10" s="51">
        <v>0</v>
      </c>
      <c r="P10" s="51">
        <v>0.86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423</v>
      </c>
      <c r="B11" s="51">
        <v>7.52</v>
      </c>
      <c r="C11" s="51">
        <v>31.16</v>
      </c>
      <c r="D11" s="51">
        <v>20.92</v>
      </c>
      <c r="E11" s="51">
        <v>6.9</v>
      </c>
      <c r="F11" s="51">
        <v>4.3</v>
      </c>
      <c r="G11" s="51">
        <v>98.97</v>
      </c>
      <c r="H11" s="51">
        <v>66.28</v>
      </c>
      <c r="I11" s="51">
        <v>5.86</v>
      </c>
      <c r="J11" s="51">
        <v>1.1399999999999999</v>
      </c>
      <c r="K11" s="51">
        <v>342.32</v>
      </c>
      <c r="L11" s="51">
        <v>14.79</v>
      </c>
      <c r="M11" s="51">
        <v>75.67</v>
      </c>
      <c r="N11" s="51">
        <v>25.9</v>
      </c>
      <c r="O11" s="51">
        <v>0</v>
      </c>
      <c r="P11" s="51">
        <v>0.87</v>
      </c>
      <c r="Q11" s="51">
        <v>9.6300000000000008</v>
      </c>
      <c r="R11" s="43"/>
      <c r="S11" s="43"/>
      <c r="T11" s="43"/>
      <c r="U11" s="43"/>
    </row>
    <row r="12" spans="1:21" s="11" customFormat="1" x14ac:dyDescent="0.25">
      <c r="A12" s="50" t="s">
        <v>424</v>
      </c>
      <c r="B12" s="51">
        <v>6.6</v>
      </c>
      <c r="C12" s="51">
        <v>32.979999999999997</v>
      </c>
      <c r="D12" s="51">
        <v>20.86</v>
      </c>
      <c r="E12" s="51">
        <v>7.11</v>
      </c>
      <c r="F12" s="51">
        <v>4.7</v>
      </c>
      <c r="G12" s="51">
        <v>116.87</v>
      </c>
      <c r="H12" s="51">
        <v>77.010000000000005</v>
      </c>
      <c r="I12" s="51">
        <v>5.75</v>
      </c>
      <c r="J12" s="51">
        <v>0.86</v>
      </c>
      <c r="K12" s="51">
        <v>341.32</v>
      </c>
      <c r="L12" s="51">
        <v>14.45</v>
      </c>
      <c r="M12" s="51">
        <v>73.739999999999995</v>
      </c>
      <c r="N12" s="51">
        <v>26</v>
      </c>
      <c r="O12" s="51">
        <v>0</v>
      </c>
      <c r="P12" s="51">
        <v>0.88</v>
      </c>
      <c r="Q12" s="51">
        <v>9.64</v>
      </c>
      <c r="R12" s="43"/>
      <c r="S12" s="43"/>
      <c r="T12" s="43"/>
      <c r="U12" s="43"/>
    </row>
    <row r="13" spans="1:21" s="11" customFormat="1" x14ac:dyDescent="0.25">
      <c r="A13" s="50" t="s">
        <v>425</v>
      </c>
      <c r="B13" s="51">
        <v>6.92</v>
      </c>
      <c r="C13" s="51">
        <v>33.79</v>
      </c>
      <c r="D13" s="51">
        <v>21.43</v>
      </c>
      <c r="E13" s="51">
        <v>6.71</v>
      </c>
      <c r="F13" s="51">
        <v>4.29</v>
      </c>
      <c r="G13" s="51">
        <v>134.77000000000001</v>
      </c>
      <c r="H13" s="51">
        <v>74.69</v>
      </c>
      <c r="I13" s="51">
        <v>5.45</v>
      </c>
      <c r="J13" s="51">
        <v>0.6</v>
      </c>
      <c r="K13" s="51">
        <v>265.22000000000003</v>
      </c>
      <c r="L13" s="51">
        <v>14.12</v>
      </c>
      <c r="M13" s="51">
        <v>77.69</v>
      </c>
      <c r="N13" s="51">
        <v>26</v>
      </c>
      <c r="O13" s="51">
        <v>0</v>
      </c>
      <c r="P13" s="51">
        <v>0.96</v>
      </c>
      <c r="Q13" s="51">
        <v>9.64</v>
      </c>
      <c r="R13" s="43"/>
      <c r="S13" s="43"/>
      <c r="T13" s="43"/>
      <c r="U13" s="43"/>
    </row>
    <row r="14" spans="1:21" s="11" customFormat="1" x14ac:dyDescent="0.25">
      <c r="A14" s="50" t="s">
        <v>426</v>
      </c>
      <c r="B14" s="51">
        <v>10.57</v>
      </c>
      <c r="C14" s="51">
        <v>31.97</v>
      </c>
      <c r="D14" s="51">
        <v>23.17</v>
      </c>
      <c r="E14" s="51">
        <v>6.49</v>
      </c>
      <c r="F14" s="51">
        <v>4.07</v>
      </c>
      <c r="G14" s="51">
        <v>154.83000000000001</v>
      </c>
      <c r="H14" s="51">
        <v>63.12</v>
      </c>
      <c r="I14" s="51">
        <v>5.62</v>
      </c>
      <c r="J14" s="51">
        <v>0.5</v>
      </c>
      <c r="K14" s="51">
        <v>338.04</v>
      </c>
      <c r="L14" s="51">
        <v>13.86</v>
      </c>
      <c r="M14" s="51">
        <v>85.17</v>
      </c>
      <c r="N14" s="51">
        <v>26</v>
      </c>
      <c r="O14" s="51">
        <v>0</v>
      </c>
      <c r="P14" s="51">
        <v>1.1499999999999999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427</v>
      </c>
      <c r="B15" s="51">
        <v>13.42</v>
      </c>
      <c r="C15" s="51">
        <v>30.52</v>
      </c>
      <c r="D15" s="51">
        <v>24.95</v>
      </c>
      <c r="E15" s="51">
        <v>6.49</v>
      </c>
      <c r="F15" s="51">
        <v>4.17</v>
      </c>
      <c r="G15" s="51">
        <v>163.08000000000001</v>
      </c>
      <c r="H15" s="51">
        <v>169.57</v>
      </c>
      <c r="I15" s="51">
        <v>5.82</v>
      </c>
      <c r="J15" s="51">
        <v>0.43</v>
      </c>
      <c r="K15" s="51">
        <v>339.49</v>
      </c>
      <c r="L15" s="51">
        <v>14.05</v>
      </c>
      <c r="M15" s="51">
        <v>83.41</v>
      </c>
      <c r="N15" s="51">
        <v>60.6</v>
      </c>
      <c r="O15" s="51">
        <v>0</v>
      </c>
      <c r="P15" s="51">
        <v>1.24</v>
      </c>
      <c r="Q15" s="51">
        <v>9.65</v>
      </c>
      <c r="R15" s="43"/>
      <c r="S15" s="43"/>
      <c r="T15" s="43"/>
      <c r="U15" s="43"/>
    </row>
    <row r="16" spans="1:21" s="11" customFormat="1" x14ac:dyDescent="0.25">
      <c r="A16" s="50" t="s">
        <v>428</v>
      </c>
      <c r="B16" s="51">
        <v>16.63</v>
      </c>
      <c r="C16" s="51">
        <v>34.130000000000003</v>
      </c>
      <c r="D16" s="51">
        <v>29.79</v>
      </c>
      <c r="E16" s="51">
        <v>6.4</v>
      </c>
      <c r="F16" s="51">
        <v>4.38</v>
      </c>
      <c r="G16" s="51">
        <v>140.27000000000001</v>
      </c>
      <c r="H16" s="51">
        <v>126.1</v>
      </c>
      <c r="I16" s="51">
        <v>5.64</v>
      </c>
      <c r="J16" s="51">
        <v>0.64</v>
      </c>
      <c r="K16" s="51">
        <v>331.47</v>
      </c>
      <c r="L16" s="51">
        <v>19.899999999999999</v>
      </c>
      <c r="M16" s="51">
        <v>74.11</v>
      </c>
      <c r="N16" s="51">
        <v>260.7</v>
      </c>
      <c r="O16" s="51">
        <v>0</v>
      </c>
      <c r="P16" s="51">
        <v>1.03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429</v>
      </c>
      <c r="B17" s="51">
        <v>17.690000000000001</v>
      </c>
      <c r="C17" s="51">
        <v>37.32</v>
      </c>
      <c r="D17" s="51">
        <v>32.119999999999997</v>
      </c>
      <c r="E17" s="51">
        <v>5.42</v>
      </c>
      <c r="F17" s="51">
        <v>3.95</v>
      </c>
      <c r="G17" s="51">
        <v>113.91</v>
      </c>
      <c r="H17" s="51">
        <v>66.31</v>
      </c>
      <c r="I17" s="51">
        <v>5.15</v>
      </c>
      <c r="J17" s="51">
        <v>0.92</v>
      </c>
      <c r="K17" s="51">
        <v>341.77</v>
      </c>
      <c r="L17" s="51">
        <v>24.44</v>
      </c>
      <c r="M17" s="51">
        <v>49.07</v>
      </c>
      <c r="N17" s="51">
        <v>422.1</v>
      </c>
      <c r="O17" s="51">
        <v>0</v>
      </c>
      <c r="P17" s="51">
        <v>1</v>
      </c>
      <c r="Q17" s="51">
        <v>9.65</v>
      </c>
      <c r="R17" s="43"/>
      <c r="S17" s="43"/>
      <c r="T17" s="43"/>
      <c r="U17" s="43"/>
    </row>
    <row r="18" spans="1:21" s="11" customFormat="1" x14ac:dyDescent="0.25">
      <c r="A18" s="50" t="s">
        <v>430</v>
      </c>
      <c r="B18" s="51">
        <v>16.64</v>
      </c>
      <c r="C18" s="51">
        <v>36.04</v>
      </c>
      <c r="D18" s="51">
        <v>30.8</v>
      </c>
      <c r="E18" s="51">
        <v>4.8600000000000003</v>
      </c>
      <c r="F18" s="51">
        <v>4.24</v>
      </c>
      <c r="G18" s="51">
        <v>106.75</v>
      </c>
      <c r="H18" s="51">
        <v>163.38</v>
      </c>
      <c r="I18" s="51">
        <v>6.24</v>
      </c>
      <c r="J18" s="51">
        <v>1.65</v>
      </c>
      <c r="K18" s="51">
        <v>114.48</v>
      </c>
      <c r="L18" s="51">
        <v>24.72</v>
      </c>
      <c r="M18" s="51">
        <v>47.57</v>
      </c>
      <c r="N18" s="51">
        <v>549.70000000000005</v>
      </c>
      <c r="O18" s="51">
        <v>0</v>
      </c>
      <c r="P18" s="51">
        <v>0.92</v>
      </c>
      <c r="Q18" s="51">
        <v>9.66</v>
      </c>
      <c r="R18" s="43"/>
      <c r="S18" s="43"/>
      <c r="T18" s="43"/>
      <c r="U18" s="43"/>
    </row>
    <row r="19" spans="1:21" s="11" customFormat="1" x14ac:dyDescent="0.25">
      <c r="A19" s="50" t="s">
        <v>431</v>
      </c>
      <c r="B19" s="51">
        <v>12.71</v>
      </c>
      <c r="C19" s="51">
        <v>34.72</v>
      </c>
      <c r="D19" s="51">
        <v>26.91</v>
      </c>
      <c r="E19" s="51">
        <v>4.66</v>
      </c>
      <c r="F19" s="51">
        <v>4.6399999999999997</v>
      </c>
      <c r="G19" s="51">
        <v>96.18</v>
      </c>
      <c r="H19" s="51">
        <v>48.92</v>
      </c>
      <c r="I19" s="51">
        <v>7.04</v>
      </c>
      <c r="J19" s="51">
        <v>1.59</v>
      </c>
      <c r="K19" s="51">
        <v>117.42</v>
      </c>
      <c r="L19" s="51">
        <v>25.23</v>
      </c>
      <c r="M19" s="51">
        <v>41.1</v>
      </c>
      <c r="N19" s="51">
        <v>661.5</v>
      </c>
      <c r="O19" s="51">
        <v>0</v>
      </c>
      <c r="P19" s="51">
        <v>0.85</v>
      </c>
      <c r="Q19" s="51">
        <v>9.64</v>
      </c>
      <c r="R19" s="43"/>
      <c r="S19" s="43"/>
      <c r="T19" s="43"/>
      <c r="U19" s="43"/>
    </row>
    <row r="20" spans="1:21" s="11" customFormat="1" x14ac:dyDescent="0.25">
      <c r="A20" s="50" t="s">
        <v>432</v>
      </c>
      <c r="B20" s="51">
        <v>7</v>
      </c>
      <c r="C20" s="51">
        <v>38.19</v>
      </c>
      <c r="D20" s="51">
        <v>22.8</v>
      </c>
      <c r="E20" s="51">
        <v>6.13</v>
      </c>
      <c r="F20" s="51">
        <v>5.28</v>
      </c>
      <c r="G20" s="51">
        <v>85.53</v>
      </c>
      <c r="H20" s="51">
        <v>61.75</v>
      </c>
      <c r="I20" s="51">
        <v>7.65</v>
      </c>
      <c r="J20" s="51">
        <v>1.22</v>
      </c>
      <c r="K20" s="51">
        <v>356.34</v>
      </c>
      <c r="L20" s="51">
        <v>28.44</v>
      </c>
      <c r="M20" s="51">
        <v>32.61</v>
      </c>
      <c r="N20" s="51">
        <v>683</v>
      </c>
      <c r="O20" s="51">
        <v>0</v>
      </c>
      <c r="P20" s="51">
        <v>0.76</v>
      </c>
      <c r="Q20" s="51">
        <v>9.64</v>
      </c>
      <c r="R20" s="43"/>
      <c r="S20" s="43"/>
      <c r="T20" s="43"/>
      <c r="U20" s="43"/>
    </row>
    <row r="21" spans="1:21" s="11" customFormat="1" x14ac:dyDescent="0.25">
      <c r="A21" s="50" t="s">
        <v>433</v>
      </c>
      <c r="B21" s="51">
        <v>3.75</v>
      </c>
      <c r="C21" s="51">
        <v>37.65</v>
      </c>
      <c r="D21" s="51">
        <v>21.3</v>
      </c>
      <c r="E21" s="51">
        <v>5.24</v>
      </c>
      <c r="F21" s="51">
        <v>6.01</v>
      </c>
      <c r="G21" s="51">
        <v>73.87</v>
      </c>
      <c r="H21" s="52" t="s">
        <v>14</v>
      </c>
      <c r="I21" s="51">
        <v>7.19</v>
      </c>
      <c r="J21" s="51">
        <v>1.4</v>
      </c>
      <c r="K21" s="51">
        <v>351.41</v>
      </c>
      <c r="L21" s="51">
        <v>27.51</v>
      </c>
      <c r="M21" s="51">
        <v>32.86</v>
      </c>
      <c r="N21" s="51">
        <v>632.4</v>
      </c>
      <c r="O21" s="51">
        <v>0</v>
      </c>
      <c r="P21" s="51">
        <v>0.67</v>
      </c>
      <c r="Q21" s="51">
        <v>9.65</v>
      </c>
      <c r="R21" s="43"/>
      <c r="S21" s="43"/>
      <c r="T21" s="43"/>
      <c r="U21" s="43"/>
    </row>
    <row r="22" spans="1:21" s="11" customFormat="1" x14ac:dyDescent="0.25">
      <c r="A22" s="50" t="s">
        <v>434</v>
      </c>
      <c r="B22" s="51">
        <v>3.31</v>
      </c>
      <c r="C22" s="51">
        <v>33.44</v>
      </c>
      <c r="D22" s="51">
        <v>18.420000000000002</v>
      </c>
      <c r="E22" s="51">
        <v>5</v>
      </c>
      <c r="F22" s="51">
        <v>7.83</v>
      </c>
      <c r="G22" s="51">
        <v>64.67</v>
      </c>
      <c r="H22" s="52" t="s">
        <v>14</v>
      </c>
      <c r="I22" s="51">
        <v>6.84</v>
      </c>
      <c r="J22" s="51">
        <v>1.34</v>
      </c>
      <c r="K22" s="51">
        <v>333.01</v>
      </c>
      <c r="L22" s="51">
        <v>26.38</v>
      </c>
      <c r="M22" s="51">
        <v>32.15</v>
      </c>
      <c r="N22" s="51">
        <v>540.29999999999995</v>
      </c>
      <c r="O22" s="51">
        <v>0</v>
      </c>
      <c r="P22" s="51">
        <v>0.64</v>
      </c>
      <c r="Q22" s="51">
        <v>9.64</v>
      </c>
      <c r="R22" s="43"/>
      <c r="S22" s="43"/>
      <c r="T22" s="43"/>
      <c r="U22" s="43"/>
    </row>
    <row r="23" spans="1:21" s="11" customFormat="1" x14ac:dyDescent="0.25">
      <c r="A23" s="50" t="s">
        <v>435</v>
      </c>
      <c r="B23" s="51">
        <v>3.58</v>
      </c>
      <c r="C23" s="51">
        <v>32.75</v>
      </c>
      <c r="D23" s="51">
        <v>18.59</v>
      </c>
      <c r="E23" s="51">
        <v>5.0199999999999996</v>
      </c>
      <c r="F23" s="51">
        <v>6.66</v>
      </c>
      <c r="G23" s="51">
        <v>58.26</v>
      </c>
      <c r="H23" s="52" t="s">
        <v>14</v>
      </c>
      <c r="I23" s="51">
        <v>4.49</v>
      </c>
      <c r="J23" s="51">
        <v>1.4</v>
      </c>
      <c r="K23" s="51">
        <v>341.58</v>
      </c>
      <c r="L23" s="51">
        <v>25.52</v>
      </c>
      <c r="M23" s="51">
        <v>30.84</v>
      </c>
      <c r="N23" s="51">
        <v>140.1</v>
      </c>
      <c r="O23" s="51">
        <v>0</v>
      </c>
      <c r="P23" s="51">
        <v>0.63</v>
      </c>
      <c r="Q23" s="51">
        <v>9.6300000000000008</v>
      </c>
      <c r="R23" s="43"/>
      <c r="S23" s="43"/>
      <c r="T23" s="43"/>
      <c r="U23" s="43"/>
    </row>
    <row r="24" spans="1:21" s="11" customFormat="1" x14ac:dyDescent="0.25">
      <c r="A24" s="50" t="s">
        <v>436</v>
      </c>
      <c r="B24" s="51">
        <v>3.52</v>
      </c>
      <c r="C24" s="51">
        <v>37.020000000000003</v>
      </c>
      <c r="D24" s="51">
        <v>20.78</v>
      </c>
      <c r="E24" s="51">
        <v>5.48</v>
      </c>
      <c r="F24" s="51">
        <v>6.38</v>
      </c>
      <c r="G24" s="51">
        <v>55.41</v>
      </c>
      <c r="H24" s="52" t="s">
        <v>14</v>
      </c>
      <c r="I24" s="51">
        <v>5.57</v>
      </c>
      <c r="J24" s="51">
        <v>1.34</v>
      </c>
      <c r="K24" s="51">
        <v>339.39</v>
      </c>
      <c r="L24" s="51">
        <v>23.89</v>
      </c>
      <c r="M24" s="51">
        <v>33.15</v>
      </c>
      <c r="N24" s="51">
        <v>97.5</v>
      </c>
      <c r="O24" s="51">
        <v>0</v>
      </c>
      <c r="P24" s="51">
        <v>0.64</v>
      </c>
      <c r="Q24" s="51">
        <v>9.6300000000000008</v>
      </c>
      <c r="R24" s="43"/>
      <c r="S24" s="43"/>
      <c r="T24" s="43"/>
      <c r="U24" s="43"/>
    </row>
    <row r="25" spans="1:21" s="11" customFormat="1" x14ac:dyDescent="0.25">
      <c r="A25" s="50" t="s">
        <v>437</v>
      </c>
      <c r="B25" s="51">
        <v>5.78</v>
      </c>
      <c r="C25" s="51">
        <v>43.27</v>
      </c>
      <c r="D25" s="51">
        <v>25.87</v>
      </c>
      <c r="E25" s="51">
        <v>5.24</v>
      </c>
      <c r="F25" s="51">
        <v>5.43</v>
      </c>
      <c r="G25" s="51">
        <v>60.73</v>
      </c>
      <c r="H25" s="52" t="s">
        <v>14</v>
      </c>
      <c r="I25" s="51">
        <v>5.86</v>
      </c>
      <c r="J25" s="51">
        <v>1.49</v>
      </c>
      <c r="K25" s="51">
        <v>346.13</v>
      </c>
      <c r="L25" s="51">
        <v>23.13</v>
      </c>
      <c r="M25" s="51">
        <v>37.51</v>
      </c>
      <c r="N25" s="51">
        <v>61.5</v>
      </c>
      <c r="O25" s="51">
        <v>0</v>
      </c>
      <c r="P25" s="51">
        <v>0.79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438</v>
      </c>
      <c r="B26" s="51">
        <v>11.86</v>
      </c>
      <c r="C26" s="51">
        <v>44.7</v>
      </c>
      <c r="D26" s="51">
        <v>31.48</v>
      </c>
      <c r="E26" s="51">
        <v>4.93</v>
      </c>
      <c r="F26" s="51">
        <v>4.49</v>
      </c>
      <c r="G26" s="51">
        <v>65.290000000000006</v>
      </c>
      <c r="H26" s="51">
        <v>53.09</v>
      </c>
      <c r="I26" s="51">
        <v>5.12</v>
      </c>
      <c r="J26" s="51">
        <v>0.83</v>
      </c>
      <c r="K26" s="51">
        <v>342.29</v>
      </c>
      <c r="L26" s="51">
        <v>21.96</v>
      </c>
      <c r="M26" s="51">
        <v>43.32</v>
      </c>
      <c r="N26" s="51">
        <v>34.5</v>
      </c>
      <c r="O26" s="51">
        <v>0</v>
      </c>
      <c r="P26" s="51">
        <v>1.39</v>
      </c>
      <c r="Q26" s="51">
        <v>9.6300000000000008</v>
      </c>
      <c r="R26" s="43"/>
      <c r="S26" s="43"/>
      <c r="T26" s="43"/>
      <c r="U26" s="43"/>
    </row>
    <row r="27" spans="1:21" s="11" customFormat="1" x14ac:dyDescent="0.25">
      <c r="A27" s="50" t="s">
        <v>439</v>
      </c>
      <c r="B27" s="51">
        <v>13.03</v>
      </c>
      <c r="C27" s="51">
        <v>44.02</v>
      </c>
      <c r="D27" s="51">
        <v>31.56</v>
      </c>
      <c r="E27" s="51">
        <v>5.71</v>
      </c>
      <c r="F27" s="51">
        <v>4.8499999999999996</v>
      </c>
      <c r="G27" s="51">
        <v>82.15</v>
      </c>
      <c r="H27" s="51">
        <v>15.64</v>
      </c>
      <c r="I27" s="51">
        <v>6.21</v>
      </c>
      <c r="J27" s="51">
        <v>0.56000000000000005</v>
      </c>
      <c r="K27" s="51">
        <v>88.43</v>
      </c>
      <c r="L27" s="51">
        <v>20.25</v>
      </c>
      <c r="M27" s="51">
        <v>46.48</v>
      </c>
      <c r="N27" s="51">
        <v>26</v>
      </c>
      <c r="O27" s="51">
        <v>0</v>
      </c>
      <c r="P27" s="51">
        <v>1.62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440</v>
      </c>
      <c r="B28" s="51">
        <v>13.62</v>
      </c>
      <c r="C28" s="51">
        <v>44.43</v>
      </c>
      <c r="D28" s="51">
        <v>32.76</v>
      </c>
      <c r="E28" s="51">
        <v>7.8</v>
      </c>
      <c r="F28" s="51">
        <v>4.32</v>
      </c>
      <c r="G28" s="51">
        <v>99.23</v>
      </c>
      <c r="H28" s="51">
        <v>53.19</v>
      </c>
      <c r="I28" s="51">
        <v>7.47</v>
      </c>
      <c r="J28" s="51">
        <v>0.56000000000000005</v>
      </c>
      <c r="K28" s="51">
        <v>331.04</v>
      </c>
      <c r="L28" s="51">
        <v>19.34</v>
      </c>
      <c r="M28" s="51">
        <v>58.3</v>
      </c>
      <c r="N28" s="51">
        <v>26.2</v>
      </c>
      <c r="O28" s="51">
        <v>0</v>
      </c>
      <c r="P28" s="51">
        <v>1.23</v>
      </c>
      <c r="Q28" s="51">
        <v>9.64</v>
      </c>
      <c r="R28" s="43"/>
      <c r="S28" s="43"/>
      <c r="T28" s="43"/>
      <c r="U28" s="43"/>
    </row>
    <row r="29" spans="1:21" s="11" customFormat="1" x14ac:dyDescent="0.25">
      <c r="A29" s="50" t="s">
        <v>441</v>
      </c>
      <c r="B29" s="51">
        <v>24.32</v>
      </c>
      <c r="C29" s="51">
        <v>48.42</v>
      </c>
      <c r="D29" s="51">
        <v>43.43</v>
      </c>
      <c r="E29" s="51">
        <v>8.41</v>
      </c>
      <c r="F29" s="51">
        <v>4.1900000000000004</v>
      </c>
      <c r="G29" s="51">
        <v>102.05</v>
      </c>
      <c r="H29" s="51">
        <v>63.59</v>
      </c>
      <c r="I29" s="51">
        <v>8.25</v>
      </c>
      <c r="J29" s="51">
        <v>0.56000000000000005</v>
      </c>
      <c r="K29" s="51">
        <v>320.38</v>
      </c>
      <c r="L29" s="51">
        <v>17.940000000000001</v>
      </c>
      <c r="M29" s="51">
        <v>60.68</v>
      </c>
      <c r="N29" s="51">
        <v>26.1</v>
      </c>
      <c r="O29" s="51">
        <v>0</v>
      </c>
      <c r="P29" s="51">
        <v>1.51</v>
      </c>
      <c r="Q29" s="51">
        <v>9.6300000000000008</v>
      </c>
      <c r="R29" s="43"/>
      <c r="S29" s="43"/>
      <c r="T29" s="43"/>
      <c r="U29" s="43"/>
    </row>
    <row r="30" spans="1:21" s="11" customFormat="1" x14ac:dyDescent="0.25">
      <c r="A30" s="50" t="s">
        <v>442</v>
      </c>
      <c r="B30" s="51">
        <v>28.02</v>
      </c>
      <c r="C30" s="51">
        <v>49.19</v>
      </c>
      <c r="D30" s="51">
        <v>45.46</v>
      </c>
      <c r="E30" s="51">
        <v>8.52</v>
      </c>
      <c r="F30" s="51">
        <v>4.75</v>
      </c>
      <c r="G30" s="51">
        <v>110.33</v>
      </c>
      <c r="H30" s="51">
        <v>49.54</v>
      </c>
      <c r="I30" s="51">
        <v>8.44</v>
      </c>
      <c r="J30" s="51">
        <v>0.6</v>
      </c>
      <c r="K30" s="51">
        <v>323.87</v>
      </c>
      <c r="L30" s="51">
        <v>17.82</v>
      </c>
      <c r="M30" s="51">
        <v>63.66</v>
      </c>
      <c r="N30" s="51">
        <v>26</v>
      </c>
      <c r="O30" s="51">
        <v>0</v>
      </c>
      <c r="P30" s="51">
        <v>1.69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443</v>
      </c>
      <c r="B31" s="51">
        <v>30.35</v>
      </c>
      <c r="C31" s="51">
        <v>44.66</v>
      </c>
      <c r="D31" s="51">
        <v>45.37</v>
      </c>
      <c r="E31" s="51">
        <v>7.62</v>
      </c>
      <c r="F31" s="51">
        <v>4.3499999999999996</v>
      </c>
      <c r="G31" s="51">
        <v>108.29</v>
      </c>
      <c r="H31" s="51">
        <v>54.54</v>
      </c>
      <c r="I31" s="51">
        <v>6.92</v>
      </c>
      <c r="J31" s="51">
        <v>1.06</v>
      </c>
      <c r="K31" s="51">
        <v>317.77</v>
      </c>
      <c r="L31" s="51">
        <v>17.73</v>
      </c>
      <c r="M31" s="51">
        <v>63.43</v>
      </c>
      <c r="N31" s="51">
        <v>25.8</v>
      </c>
      <c r="O31" s="51">
        <v>0</v>
      </c>
      <c r="P31" s="51">
        <v>1.54</v>
      </c>
      <c r="Q31" s="51">
        <v>9.64</v>
      </c>
      <c r="R31" s="43"/>
      <c r="S31" s="43"/>
      <c r="T31" s="43"/>
      <c r="U31" s="43"/>
    </row>
    <row r="32" spans="1:21" s="11" customFormat="1" x14ac:dyDescent="0.25">
      <c r="A32" s="50" t="s">
        <v>444</v>
      </c>
      <c r="B32" s="51">
        <v>28.42</v>
      </c>
      <c r="C32" s="51">
        <v>42.01</v>
      </c>
      <c r="D32" s="51">
        <v>42.55</v>
      </c>
      <c r="E32" s="51">
        <v>7.37</v>
      </c>
      <c r="F32" s="51">
        <v>4.08</v>
      </c>
      <c r="G32" s="51">
        <v>99.17</v>
      </c>
      <c r="H32" s="51">
        <v>37.9</v>
      </c>
      <c r="I32" s="51">
        <v>8.35</v>
      </c>
      <c r="J32" s="51">
        <v>0.87</v>
      </c>
      <c r="K32" s="51">
        <v>275.93</v>
      </c>
      <c r="L32" s="51">
        <v>17.71</v>
      </c>
      <c r="M32" s="51">
        <v>55.87</v>
      </c>
      <c r="N32" s="51">
        <v>26.1</v>
      </c>
      <c r="O32" s="51">
        <v>0</v>
      </c>
      <c r="P32" s="51">
        <v>1.45</v>
      </c>
      <c r="Q32" s="51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3.31</v>
      </c>
      <c r="C34" s="28">
        <f t="shared" si="0"/>
        <v>30.52</v>
      </c>
      <c r="D34" s="28">
        <f t="shared" si="0"/>
        <v>18.420000000000002</v>
      </c>
      <c r="E34" s="28">
        <f t="shared" si="0"/>
        <v>4.66</v>
      </c>
      <c r="F34" s="28">
        <f t="shared" si="0"/>
        <v>3.71</v>
      </c>
      <c r="G34" s="28">
        <f t="shared" si="0"/>
        <v>55.41</v>
      </c>
      <c r="H34" s="28">
        <f t="shared" si="0"/>
        <v>15.64</v>
      </c>
      <c r="I34" s="28">
        <f t="shared" si="0"/>
        <v>4.49</v>
      </c>
      <c r="J34" s="28">
        <f t="shared" si="0"/>
        <v>0.43</v>
      </c>
      <c r="K34" s="28">
        <f t="shared" si="0"/>
        <v>88.43</v>
      </c>
      <c r="L34" s="28">
        <f t="shared" si="0"/>
        <v>13.86</v>
      </c>
      <c r="M34" s="28">
        <f t="shared" si="0"/>
        <v>30.84</v>
      </c>
      <c r="N34" s="28">
        <f t="shared" si="0"/>
        <v>25.8</v>
      </c>
      <c r="O34" s="28">
        <f t="shared" si="0"/>
        <v>0</v>
      </c>
      <c r="P34" s="28">
        <f t="shared" si="0"/>
        <v>0.63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30.35</v>
      </c>
      <c r="C35" s="29">
        <f t="shared" si="1"/>
        <v>49.19</v>
      </c>
      <c r="D35" s="29">
        <f t="shared" si="1"/>
        <v>45.46</v>
      </c>
      <c r="E35" s="29">
        <f t="shared" si="1"/>
        <v>8.52</v>
      </c>
      <c r="F35" s="29">
        <f t="shared" si="1"/>
        <v>7.83</v>
      </c>
      <c r="G35" s="29">
        <f t="shared" si="1"/>
        <v>163.08000000000001</v>
      </c>
      <c r="H35" s="29">
        <f t="shared" si="1"/>
        <v>169.57</v>
      </c>
      <c r="I35" s="29">
        <f t="shared" si="1"/>
        <v>8.44</v>
      </c>
      <c r="J35" s="29">
        <f t="shared" si="1"/>
        <v>1.65</v>
      </c>
      <c r="K35" s="29">
        <f t="shared" si="1"/>
        <v>356.34</v>
      </c>
      <c r="L35" s="29">
        <f t="shared" si="1"/>
        <v>28.44</v>
      </c>
      <c r="M35" s="29">
        <f t="shared" si="1"/>
        <v>85.17</v>
      </c>
      <c r="N35" s="29">
        <f t="shared" si="1"/>
        <v>683</v>
      </c>
      <c r="O35" s="29">
        <f t="shared" si="1"/>
        <v>0</v>
      </c>
      <c r="P35" s="29">
        <f t="shared" si="1"/>
        <v>1.69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12.493333333333338</v>
      </c>
      <c r="C36" s="28">
        <f t="shared" si="2"/>
        <v>38.116249999999994</v>
      </c>
      <c r="D36" s="28">
        <f t="shared" si="2"/>
        <v>28.236666666666668</v>
      </c>
      <c r="E36" s="28">
        <f t="shared" si="2"/>
        <v>6.229166666666667</v>
      </c>
      <c r="F36" s="28">
        <f t="shared" si="2"/>
        <v>4.7954166666666662</v>
      </c>
      <c r="G36" s="28">
        <f t="shared" si="2"/>
        <v>99.415833333333353</v>
      </c>
      <c r="H36" s="28">
        <f t="shared" si="2"/>
        <v>71.678947368421063</v>
      </c>
      <c r="I36" s="28">
        <f t="shared" si="2"/>
        <v>6.4020833333333327</v>
      </c>
      <c r="J36" s="28">
        <f t="shared" si="2"/>
        <v>0.96541666666666648</v>
      </c>
      <c r="K36" s="28">
        <f t="shared" si="2"/>
        <v>303.57875000000007</v>
      </c>
      <c r="L36" s="28">
        <f t="shared" si="2"/>
        <v>20.230416666666663</v>
      </c>
      <c r="M36" s="28">
        <f t="shared" si="2"/>
        <v>56.052083333333343</v>
      </c>
      <c r="N36" s="28">
        <f t="shared" si="2"/>
        <v>185.6791666666667</v>
      </c>
      <c r="O36" s="28">
        <f t="shared" si="2"/>
        <v>0</v>
      </c>
      <c r="P36" s="28">
        <f t="shared" si="2"/>
        <v>1.0529166666666669</v>
      </c>
      <c r="Q36" s="28">
        <f t="shared" si="2"/>
        <v>9.6391666666666627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8.2412734699072452</v>
      </c>
      <c r="C37" s="28">
        <f t="shared" ref="C37:Q37" si="3">STDEV(C9:C32)</f>
        <v>5.5956969589607191</v>
      </c>
      <c r="D37" s="28">
        <f t="shared" si="3"/>
        <v>8.5113579699571691</v>
      </c>
      <c r="E37" s="28">
        <f t="shared" si="3"/>
        <v>1.1400187514349007</v>
      </c>
      <c r="F37" s="28">
        <f t="shared" si="3"/>
        <v>1.0029694137547436</v>
      </c>
      <c r="G37" s="28">
        <f t="shared" si="3"/>
        <v>29.099246952256319</v>
      </c>
      <c r="H37" s="28">
        <f t="shared" si="3"/>
        <v>39.681075099505954</v>
      </c>
      <c r="I37" s="28">
        <f t="shared" si="3"/>
        <v>1.0966707689011936</v>
      </c>
      <c r="J37" s="28">
        <f t="shared" si="3"/>
        <v>0.39393200877338264</v>
      </c>
      <c r="K37" s="28">
        <f t="shared" si="3"/>
        <v>78.954463723388002</v>
      </c>
      <c r="L37" s="28">
        <f t="shared" si="3"/>
        <v>4.719873321040172</v>
      </c>
      <c r="M37" s="28">
        <f t="shared" si="3"/>
        <v>18.220608728237771</v>
      </c>
      <c r="N37" s="28">
        <f t="shared" si="3"/>
        <v>243.40859721726213</v>
      </c>
      <c r="O37" s="28">
        <f t="shared" si="3"/>
        <v>0</v>
      </c>
      <c r="P37" s="28">
        <f t="shared" si="3"/>
        <v>0.33127525881274145</v>
      </c>
      <c r="Q37" s="28">
        <f t="shared" si="3"/>
        <v>7.7553160822902189E-3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COUNT(H9:H32)+5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445</v>
      </c>
      <c r="B9" s="51">
        <v>20.34</v>
      </c>
      <c r="C9" s="51">
        <v>43.01</v>
      </c>
      <c r="D9" s="51">
        <v>36.96</v>
      </c>
      <c r="E9" s="51">
        <v>5.66</v>
      </c>
      <c r="F9" s="51">
        <v>4.17</v>
      </c>
      <c r="G9" s="51">
        <v>94.76</v>
      </c>
      <c r="H9" s="51">
        <v>43.36</v>
      </c>
      <c r="I9" s="51">
        <v>8.17</v>
      </c>
      <c r="J9" s="51">
        <v>0.55000000000000004</v>
      </c>
      <c r="K9" s="51">
        <v>330.82</v>
      </c>
      <c r="L9" s="51">
        <v>16.53</v>
      </c>
      <c r="M9" s="51">
        <v>67.709999999999994</v>
      </c>
      <c r="N9" s="51">
        <v>26.3</v>
      </c>
      <c r="O9" s="51">
        <v>0</v>
      </c>
      <c r="P9" s="51">
        <v>1.31</v>
      </c>
      <c r="Q9" s="51">
        <v>9.65</v>
      </c>
      <c r="R9" s="43"/>
      <c r="S9" s="43"/>
      <c r="T9" s="43"/>
      <c r="U9" s="43"/>
    </row>
    <row r="10" spans="1:21" s="11" customFormat="1" x14ac:dyDescent="0.25">
      <c r="A10" s="50" t="s">
        <v>446</v>
      </c>
      <c r="B10" s="51">
        <v>14.85</v>
      </c>
      <c r="C10" s="51">
        <v>42.58</v>
      </c>
      <c r="D10" s="51">
        <v>32.78</v>
      </c>
      <c r="E10" s="51">
        <v>5.71</v>
      </c>
      <c r="F10" s="51">
        <v>3.78</v>
      </c>
      <c r="G10" s="51">
        <v>89.89</v>
      </c>
      <c r="H10" s="51">
        <v>31.42</v>
      </c>
      <c r="I10" s="51">
        <v>7.37</v>
      </c>
      <c r="J10" s="51">
        <v>0.32</v>
      </c>
      <c r="K10" s="51">
        <v>267.57</v>
      </c>
      <c r="L10" s="51">
        <v>15.03</v>
      </c>
      <c r="M10" s="51">
        <v>81.16</v>
      </c>
      <c r="N10" s="51">
        <v>26.2</v>
      </c>
      <c r="O10" s="51">
        <v>0</v>
      </c>
      <c r="P10" s="51">
        <v>1.1100000000000001</v>
      </c>
      <c r="Q10" s="51">
        <v>9.64</v>
      </c>
      <c r="R10" s="43"/>
      <c r="S10" s="43"/>
      <c r="T10" s="43"/>
      <c r="U10" s="43"/>
    </row>
    <row r="11" spans="1:21" s="11" customFormat="1" x14ac:dyDescent="0.25">
      <c r="A11" s="50" t="s">
        <v>447</v>
      </c>
      <c r="B11" s="51">
        <v>12.62</v>
      </c>
      <c r="C11" s="51">
        <v>36.43</v>
      </c>
      <c r="D11" s="51">
        <v>27.78</v>
      </c>
      <c r="E11" s="51">
        <v>6.2</v>
      </c>
      <c r="F11" s="51">
        <v>4.0199999999999996</v>
      </c>
      <c r="G11" s="51">
        <v>91.42</v>
      </c>
      <c r="H11" s="51">
        <v>39.229999999999997</v>
      </c>
      <c r="I11" s="51">
        <v>6.12</v>
      </c>
      <c r="J11" s="51">
        <v>0.96</v>
      </c>
      <c r="K11" s="51">
        <v>335.17</v>
      </c>
      <c r="L11" s="51">
        <v>14.01</v>
      </c>
      <c r="M11" s="51">
        <v>82.4</v>
      </c>
      <c r="N11" s="51">
        <v>25.9</v>
      </c>
      <c r="O11" s="51">
        <v>0</v>
      </c>
      <c r="P11" s="51">
        <v>1.04</v>
      </c>
      <c r="Q11" s="51">
        <v>9.65</v>
      </c>
      <c r="R11" s="43"/>
      <c r="S11" s="43"/>
      <c r="T11" s="43"/>
      <c r="U11" s="43"/>
    </row>
    <row r="12" spans="1:21" s="11" customFormat="1" x14ac:dyDescent="0.25">
      <c r="A12" s="50" t="s">
        <v>448</v>
      </c>
      <c r="B12" s="51">
        <v>12.52</v>
      </c>
      <c r="C12" s="51">
        <v>33.659999999999997</v>
      </c>
      <c r="D12" s="51">
        <v>26.07</v>
      </c>
      <c r="E12" s="51">
        <v>6.58</v>
      </c>
      <c r="F12" s="51">
        <v>4.26</v>
      </c>
      <c r="G12" s="51">
        <v>95.02</v>
      </c>
      <c r="H12" s="51">
        <v>49.89</v>
      </c>
      <c r="I12" s="51">
        <v>6.03</v>
      </c>
      <c r="J12" s="51">
        <v>0.53</v>
      </c>
      <c r="K12" s="51">
        <v>307.85000000000002</v>
      </c>
      <c r="L12" s="51">
        <v>13.69</v>
      </c>
      <c r="M12" s="51">
        <v>81.36</v>
      </c>
      <c r="N12" s="51">
        <v>25.9</v>
      </c>
      <c r="O12" s="51">
        <v>0</v>
      </c>
      <c r="P12" s="51">
        <v>0.99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449</v>
      </c>
      <c r="B13" s="51">
        <v>19.989999999999998</v>
      </c>
      <c r="C13" s="51">
        <v>35.090000000000003</v>
      </c>
      <c r="D13" s="51">
        <v>32.99</v>
      </c>
      <c r="E13" s="51">
        <v>6.7</v>
      </c>
      <c r="F13" s="51">
        <v>4.32</v>
      </c>
      <c r="G13" s="51">
        <v>116.79</v>
      </c>
      <c r="H13" s="51">
        <v>67.62</v>
      </c>
      <c r="I13" s="51">
        <v>6.02</v>
      </c>
      <c r="J13" s="51">
        <v>0.56000000000000005</v>
      </c>
      <c r="K13" s="51">
        <v>325.45999999999998</v>
      </c>
      <c r="L13" s="51">
        <v>13.07</v>
      </c>
      <c r="M13" s="51">
        <v>88.52</v>
      </c>
      <c r="N13" s="51">
        <v>25.8</v>
      </c>
      <c r="O13" s="51">
        <v>0</v>
      </c>
      <c r="P13" s="51">
        <v>1</v>
      </c>
      <c r="Q13" s="51">
        <v>9.66</v>
      </c>
      <c r="R13" s="43"/>
      <c r="S13" s="43"/>
      <c r="T13" s="43"/>
      <c r="U13" s="43"/>
    </row>
    <row r="14" spans="1:21" s="11" customFormat="1" x14ac:dyDescent="0.25">
      <c r="A14" s="50" t="s">
        <v>450</v>
      </c>
      <c r="B14" s="51">
        <v>28.35</v>
      </c>
      <c r="C14" s="51">
        <v>35.35</v>
      </c>
      <c r="D14" s="51">
        <v>38.85</v>
      </c>
      <c r="E14" s="51">
        <v>7.43</v>
      </c>
      <c r="F14" s="51">
        <v>4.49</v>
      </c>
      <c r="G14" s="51">
        <v>135.88</v>
      </c>
      <c r="H14" s="51">
        <v>47.67</v>
      </c>
      <c r="I14" s="51">
        <v>5.99</v>
      </c>
      <c r="J14" s="51">
        <v>0.42</v>
      </c>
      <c r="K14" s="51">
        <v>323.51</v>
      </c>
      <c r="L14" s="51">
        <v>13.18</v>
      </c>
      <c r="M14" s="51">
        <v>88.17</v>
      </c>
      <c r="N14" s="51">
        <v>25.7</v>
      </c>
      <c r="O14" s="51">
        <v>0</v>
      </c>
      <c r="P14" s="51">
        <v>1.06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451</v>
      </c>
      <c r="B15" s="51">
        <v>28.66</v>
      </c>
      <c r="C15" s="51">
        <v>33.46</v>
      </c>
      <c r="D15" s="51">
        <v>39.07</v>
      </c>
      <c r="E15" s="51">
        <v>6.97</v>
      </c>
      <c r="F15" s="51">
        <v>4.51</v>
      </c>
      <c r="G15" s="51">
        <v>159.65</v>
      </c>
      <c r="H15" s="51">
        <v>112.99</v>
      </c>
      <c r="I15" s="51">
        <v>6.35</v>
      </c>
      <c r="J15" s="51">
        <v>0.45</v>
      </c>
      <c r="K15" s="51">
        <v>121.02</v>
      </c>
      <c r="L15" s="51">
        <v>13.92</v>
      </c>
      <c r="M15" s="51">
        <v>84.68</v>
      </c>
      <c r="N15" s="51">
        <v>59.7</v>
      </c>
      <c r="O15" s="51">
        <v>0</v>
      </c>
      <c r="P15" s="51">
        <v>1.21</v>
      </c>
      <c r="Q15" s="51">
        <v>9.65</v>
      </c>
      <c r="R15" s="43"/>
      <c r="S15" s="43"/>
      <c r="T15" s="43"/>
      <c r="U15" s="43"/>
    </row>
    <row r="16" spans="1:21" s="11" customFormat="1" x14ac:dyDescent="0.25">
      <c r="A16" s="50" t="s">
        <v>452</v>
      </c>
      <c r="B16" s="51">
        <v>28.89</v>
      </c>
      <c r="C16" s="51">
        <v>32.880000000000003</v>
      </c>
      <c r="D16" s="51">
        <v>38.520000000000003</v>
      </c>
      <c r="E16" s="51">
        <v>6.87</v>
      </c>
      <c r="F16" s="51">
        <v>4.21</v>
      </c>
      <c r="G16" s="51">
        <v>168.55</v>
      </c>
      <c r="H16" s="51">
        <v>86.91</v>
      </c>
      <c r="I16" s="51">
        <v>6.27</v>
      </c>
      <c r="J16" s="51">
        <v>0.85</v>
      </c>
      <c r="K16" s="51">
        <v>357.77</v>
      </c>
      <c r="L16" s="51">
        <v>18.23</v>
      </c>
      <c r="M16" s="51">
        <v>79.099999999999994</v>
      </c>
      <c r="N16" s="51">
        <v>205.4</v>
      </c>
      <c r="O16" s="51">
        <v>0</v>
      </c>
      <c r="P16" s="51">
        <v>1.18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453</v>
      </c>
      <c r="B17" s="51">
        <v>29.23</v>
      </c>
      <c r="C17" s="51">
        <v>37.76</v>
      </c>
      <c r="D17" s="51">
        <v>40.14</v>
      </c>
      <c r="E17" s="51">
        <v>6.8</v>
      </c>
      <c r="F17" s="51">
        <v>4.3499999999999996</v>
      </c>
      <c r="G17" s="51">
        <v>155.22</v>
      </c>
      <c r="H17" s="51">
        <v>79.349999999999994</v>
      </c>
      <c r="I17" s="51">
        <v>6.33</v>
      </c>
      <c r="J17" s="51">
        <v>1.27</v>
      </c>
      <c r="K17" s="51">
        <v>121.72</v>
      </c>
      <c r="L17" s="51">
        <v>19.32</v>
      </c>
      <c r="M17" s="51">
        <v>58.63</v>
      </c>
      <c r="N17" s="51">
        <v>370.8</v>
      </c>
      <c r="O17" s="51">
        <v>0</v>
      </c>
      <c r="P17" s="51">
        <v>1.19</v>
      </c>
      <c r="Q17" s="51">
        <v>9.65</v>
      </c>
      <c r="R17" s="43"/>
      <c r="S17" s="43"/>
      <c r="T17" s="43"/>
      <c r="U17" s="43"/>
    </row>
    <row r="18" spans="1:21" s="11" customFormat="1" x14ac:dyDescent="0.25">
      <c r="A18" s="50" t="s">
        <v>454</v>
      </c>
      <c r="B18" s="51">
        <v>20.329999999999998</v>
      </c>
      <c r="C18" s="51">
        <v>42.81</v>
      </c>
      <c r="D18" s="51">
        <v>35.6</v>
      </c>
      <c r="E18" s="51">
        <v>6.13</v>
      </c>
      <c r="F18" s="51">
        <v>4.09</v>
      </c>
      <c r="G18" s="51">
        <v>129.71</v>
      </c>
      <c r="H18" s="52" t="s">
        <v>14</v>
      </c>
      <c r="I18" s="51">
        <v>6.79</v>
      </c>
      <c r="J18" s="51">
        <v>0.82</v>
      </c>
      <c r="K18" s="51">
        <v>335.59</v>
      </c>
      <c r="L18" s="51">
        <v>23.22</v>
      </c>
      <c r="M18" s="51">
        <v>47.85</v>
      </c>
      <c r="N18" s="51">
        <v>491.1</v>
      </c>
      <c r="O18" s="51">
        <v>0</v>
      </c>
      <c r="P18" s="51">
        <v>1.1100000000000001</v>
      </c>
      <c r="Q18" s="51">
        <v>9.67</v>
      </c>
      <c r="R18" s="43"/>
      <c r="S18" s="43"/>
      <c r="T18" s="43"/>
      <c r="U18" s="43"/>
    </row>
    <row r="19" spans="1:21" s="11" customFormat="1" x14ac:dyDescent="0.25">
      <c r="A19" s="50" t="s">
        <v>455</v>
      </c>
      <c r="B19" s="51">
        <v>15.53</v>
      </c>
      <c r="C19" s="51">
        <v>41.75</v>
      </c>
      <c r="D19" s="51">
        <v>32.89</v>
      </c>
      <c r="E19" s="51">
        <v>5.65</v>
      </c>
      <c r="F19" s="51">
        <v>4.26</v>
      </c>
      <c r="G19" s="51">
        <v>112.22</v>
      </c>
      <c r="H19" s="52" t="s">
        <v>14</v>
      </c>
      <c r="I19" s="51">
        <v>7.27</v>
      </c>
      <c r="J19" s="51">
        <v>1.03</v>
      </c>
      <c r="K19" s="51">
        <v>121.91</v>
      </c>
      <c r="L19" s="51">
        <v>24.21</v>
      </c>
      <c r="M19" s="51">
        <v>45.1</v>
      </c>
      <c r="N19" s="51">
        <v>617.79999999999995</v>
      </c>
      <c r="O19" s="51">
        <v>0</v>
      </c>
      <c r="P19" s="51">
        <v>1.04</v>
      </c>
      <c r="Q19" s="51">
        <v>9.64</v>
      </c>
      <c r="R19" s="43"/>
      <c r="S19" s="43"/>
      <c r="T19" s="43"/>
      <c r="U19" s="43"/>
    </row>
    <row r="20" spans="1:21" s="11" customFormat="1" x14ac:dyDescent="0.25">
      <c r="A20" s="50" t="s">
        <v>456</v>
      </c>
      <c r="B20" s="51">
        <v>9.83</v>
      </c>
      <c r="C20" s="51">
        <v>40.69</v>
      </c>
      <c r="D20" s="51">
        <v>27.76</v>
      </c>
      <c r="E20" s="51">
        <v>7.11</v>
      </c>
      <c r="F20" s="51">
        <v>5.22</v>
      </c>
      <c r="G20" s="51">
        <v>103.96</v>
      </c>
      <c r="H20" s="52" t="s">
        <v>14</v>
      </c>
      <c r="I20" s="51">
        <v>8.2100000000000009</v>
      </c>
      <c r="J20" s="51">
        <v>1.66</v>
      </c>
      <c r="K20" s="51">
        <v>355.69</v>
      </c>
      <c r="L20" s="51">
        <v>26.01</v>
      </c>
      <c r="M20" s="51">
        <v>35.11</v>
      </c>
      <c r="N20" s="51">
        <v>646.6</v>
      </c>
      <c r="O20" s="51">
        <v>0</v>
      </c>
      <c r="P20" s="51">
        <v>0.96</v>
      </c>
      <c r="Q20" s="51">
        <v>9.6300000000000008</v>
      </c>
      <c r="R20" s="43"/>
      <c r="S20" s="43"/>
      <c r="T20" s="43"/>
      <c r="U20" s="43"/>
    </row>
    <row r="21" spans="1:21" s="11" customFormat="1" x14ac:dyDescent="0.25">
      <c r="A21" s="50" t="s">
        <v>457</v>
      </c>
      <c r="B21" s="51">
        <v>4.7</v>
      </c>
      <c r="C21" s="51">
        <v>41.27</v>
      </c>
      <c r="D21" s="51">
        <v>22.89</v>
      </c>
      <c r="E21" s="51">
        <v>8.02</v>
      </c>
      <c r="F21" s="51">
        <v>6.7</v>
      </c>
      <c r="G21" s="51">
        <v>79.569999999999993</v>
      </c>
      <c r="H21" s="52" t="s">
        <v>14</v>
      </c>
      <c r="I21" s="51">
        <v>8.92</v>
      </c>
      <c r="J21" s="51">
        <v>2.2200000000000002</v>
      </c>
      <c r="K21" s="51">
        <v>355.15</v>
      </c>
      <c r="L21" s="51">
        <v>27.49</v>
      </c>
      <c r="M21" s="51">
        <v>34.47</v>
      </c>
      <c r="N21" s="51">
        <v>570.70000000000005</v>
      </c>
      <c r="O21" s="51">
        <v>0</v>
      </c>
      <c r="P21" s="51">
        <v>0.86</v>
      </c>
      <c r="Q21" s="51">
        <v>9.6300000000000008</v>
      </c>
      <c r="R21" s="43"/>
      <c r="S21" s="43"/>
      <c r="T21" s="43"/>
      <c r="U21" s="43"/>
    </row>
    <row r="22" spans="1:21" s="11" customFormat="1" x14ac:dyDescent="0.25">
      <c r="A22" s="50" t="s">
        <v>458</v>
      </c>
      <c r="B22" s="51">
        <v>2.69</v>
      </c>
      <c r="C22" s="51">
        <v>40.94</v>
      </c>
      <c r="D22" s="51">
        <v>22.08</v>
      </c>
      <c r="E22" s="51">
        <v>7.97</v>
      </c>
      <c r="F22" s="51">
        <v>6.67</v>
      </c>
      <c r="G22" s="51">
        <v>75.650000000000006</v>
      </c>
      <c r="H22" s="52" t="s">
        <v>14</v>
      </c>
      <c r="I22" s="51">
        <v>7.62</v>
      </c>
      <c r="J22" s="51">
        <v>1.86</v>
      </c>
      <c r="K22" s="51">
        <v>347.41</v>
      </c>
      <c r="L22" s="51">
        <v>26.44</v>
      </c>
      <c r="M22" s="51">
        <v>29.68</v>
      </c>
      <c r="N22" s="51">
        <v>497.3</v>
      </c>
      <c r="O22" s="51">
        <v>0</v>
      </c>
      <c r="P22" s="51">
        <v>0.76</v>
      </c>
      <c r="Q22" s="51">
        <v>9.65</v>
      </c>
      <c r="R22" s="43"/>
      <c r="S22" s="43"/>
      <c r="T22" s="43"/>
      <c r="U22" s="43"/>
    </row>
    <row r="23" spans="1:21" s="11" customFormat="1" x14ac:dyDescent="0.25">
      <c r="A23" s="50" t="s">
        <v>459</v>
      </c>
      <c r="B23" s="51">
        <v>3.03</v>
      </c>
      <c r="C23" s="51">
        <v>40.229999999999997</v>
      </c>
      <c r="D23" s="51">
        <v>21.74</v>
      </c>
      <c r="E23" s="51">
        <v>7.74</v>
      </c>
      <c r="F23" s="51">
        <v>7.88</v>
      </c>
      <c r="G23" s="51">
        <v>70.319999999999993</v>
      </c>
      <c r="H23" s="51">
        <v>43.88</v>
      </c>
      <c r="I23" s="51">
        <v>6.54</v>
      </c>
      <c r="J23" s="51">
        <v>1.01</v>
      </c>
      <c r="K23" s="51">
        <v>344.4</v>
      </c>
      <c r="L23" s="51">
        <v>25.36</v>
      </c>
      <c r="M23" s="51">
        <v>32.08</v>
      </c>
      <c r="N23" s="51">
        <v>143</v>
      </c>
      <c r="O23" s="51">
        <v>0</v>
      </c>
      <c r="P23" s="51">
        <v>0.67</v>
      </c>
      <c r="Q23" s="51">
        <v>9.65</v>
      </c>
      <c r="R23" s="43"/>
      <c r="S23" s="43"/>
      <c r="T23" s="43"/>
      <c r="U23" s="43"/>
    </row>
    <row r="24" spans="1:21" s="11" customFormat="1" x14ac:dyDescent="0.25">
      <c r="A24" s="50" t="s">
        <v>460</v>
      </c>
      <c r="B24" s="51">
        <v>3.2</v>
      </c>
      <c r="C24" s="51">
        <v>38.200000000000003</v>
      </c>
      <c r="D24" s="51">
        <v>21.15</v>
      </c>
      <c r="E24" s="51">
        <v>7.25</v>
      </c>
      <c r="F24" s="51">
        <v>7.4</v>
      </c>
      <c r="G24" s="51">
        <v>64.790000000000006</v>
      </c>
      <c r="H24" s="51">
        <v>10.29</v>
      </c>
      <c r="I24" s="51">
        <v>3.45</v>
      </c>
      <c r="J24" s="51">
        <v>0.76</v>
      </c>
      <c r="K24" s="51">
        <v>116.03</v>
      </c>
      <c r="L24" s="51">
        <v>23.96</v>
      </c>
      <c r="M24" s="51">
        <v>32.869999999999997</v>
      </c>
      <c r="N24" s="51">
        <v>98.7</v>
      </c>
      <c r="O24" s="51">
        <v>0</v>
      </c>
      <c r="P24" s="51">
        <v>0.67</v>
      </c>
      <c r="Q24" s="51">
        <v>9.6300000000000008</v>
      </c>
      <c r="R24" s="43"/>
      <c r="S24" s="43"/>
      <c r="T24" s="43"/>
      <c r="U24" s="43"/>
    </row>
    <row r="25" spans="1:21" s="11" customFormat="1" x14ac:dyDescent="0.25">
      <c r="A25" s="50" t="s">
        <v>461</v>
      </c>
      <c r="B25" s="51">
        <v>3.07</v>
      </c>
      <c r="C25" s="51">
        <v>39.950000000000003</v>
      </c>
      <c r="D25" s="51">
        <v>21.89</v>
      </c>
      <c r="E25" s="51">
        <v>5.76</v>
      </c>
      <c r="F25" s="51">
        <v>6.33</v>
      </c>
      <c r="G25" s="51">
        <v>66.59</v>
      </c>
      <c r="H25" s="51">
        <v>47.96</v>
      </c>
      <c r="I25" s="51">
        <v>6.09</v>
      </c>
      <c r="J25" s="51">
        <v>0.55000000000000004</v>
      </c>
      <c r="K25" s="51">
        <v>353.98</v>
      </c>
      <c r="L25" s="51">
        <v>22.92</v>
      </c>
      <c r="M25" s="51">
        <v>35.58</v>
      </c>
      <c r="N25" s="51">
        <v>63.7</v>
      </c>
      <c r="O25" s="51">
        <v>0</v>
      </c>
      <c r="P25" s="51">
        <v>0.74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462</v>
      </c>
      <c r="B26" s="51">
        <v>5.4</v>
      </c>
      <c r="C26" s="51">
        <v>44.19</v>
      </c>
      <c r="D26" s="51">
        <v>26.04</v>
      </c>
      <c r="E26" s="51">
        <v>5.7</v>
      </c>
      <c r="F26" s="51">
        <v>6.38</v>
      </c>
      <c r="G26" s="51">
        <v>66.89</v>
      </c>
      <c r="H26" s="51">
        <v>48.22</v>
      </c>
      <c r="I26" s="51">
        <v>4.79</v>
      </c>
      <c r="J26" s="51">
        <v>0.55000000000000004</v>
      </c>
      <c r="K26" s="51">
        <v>348.03</v>
      </c>
      <c r="L26" s="51">
        <v>21.61</v>
      </c>
      <c r="M26" s="51">
        <v>50.09</v>
      </c>
      <c r="N26" s="51">
        <v>32</v>
      </c>
      <c r="O26" s="51">
        <v>0</v>
      </c>
      <c r="P26" s="51">
        <v>1.36</v>
      </c>
      <c r="Q26" s="51">
        <v>9.64</v>
      </c>
      <c r="R26" s="43"/>
      <c r="S26" s="43"/>
      <c r="T26" s="43"/>
      <c r="U26" s="43"/>
    </row>
    <row r="27" spans="1:21" s="11" customFormat="1" x14ac:dyDescent="0.25">
      <c r="A27" s="50" t="s">
        <v>463</v>
      </c>
      <c r="B27" s="51">
        <v>14.02</v>
      </c>
      <c r="C27" s="51">
        <v>47.21</v>
      </c>
      <c r="D27" s="51">
        <v>34.43</v>
      </c>
      <c r="E27" s="51">
        <v>6.9</v>
      </c>
      <c r="F27" s="51">
        <v>4.49</v>
      </c>
      <c r="G27" s="51">
        <v>73.45</v>
      </c>
      <c r="H27" s="51">
        <v>45.22</v>
      </c>
      <c r="I27" s="51">
        <v>6.89</v>
      </c>
      <c r="J27" s="51">
        <v>0.56000000000000005</v>
      </c>
      <c r="K27" s="51">
        <v>353.26</v>
      </c>
      <c r="L27" s="51">
        <v>19.010000000000002</v>
      </c>
      <c r="M27" s="51">
        <v>61.17</v>
      </c>
      <c r="N27" s="51">
        <v>26.2</v>
      </c>
      <c r="O27" s="51">
        <v>0</v>
      </c>
      <c r="P27" s="51">
        <v>1.51</v>
      </c>
      <c r="Q27" s="51">
        <v>9.6300000000000008</v>
      </c>
      <c r="R27" s="43"/>
      <c r="S27" s="43"/>
      <c r="T27" s="43"/>
      <c r="U27" s="43"/>
    </row>
    <row r="28" spans="1:21" s="11" customFormat="1" x14ac:dyDescent="0.25">
      <c r="A28" s="50" t="s">
        <v>464</v>
      </c>
      <c r="B28" s="51">
        <v>29.5</v>
      </c>
      <c r="C28" s="51">
        <v>46.57</v>
      </c>
      <c r="D28" s="51">
        <v>46.31</v>
      </c>
      <c r="E28" s="51">
        <v>7.68</v>
      </c>
      <c r="F28" s="51">
        <v>3.68</v>
      </c>
      <c r="G28" s="51">
        <v>94.23</v>
      </c>
      <c r="H28" s="51">
        <v>85.38</v>
      </c>
      <c r="I28" s="51">
        <v>8.83</v>
      </c>
      <c r="J28" s="51">
        <v>0.55000000000000004</v>
      </c>
      <c r="K28" s="51">
        <v>310.32</v>
      </c>
      <c r="L28" s="51">
        <v>17.91</v>
      </c>
      <c r="M28" s="51">
        <v>75.12</v>
      </c>
      <c r="N28" s="51">
        <v>26</v>
      </c>
      <c r="O28" s="51">
        <v>0</v>
      </c>
      <c r="P28" s="51">
        <v>1.87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465</v>
      </c>
      <c r="B29" s="51">
        <v>57.49</v>
      </c>
      <c r="C29" s="51">
        <v>50.26</v>
      </c>
      <c r="D29" s="51">
        <v>70.989999999999995</v>
      </c>
      <c r="E29" s="51">
        <v>8.34</v>
      </c>
      <c r="F29" s="51">
        <v>4.49</v>
      </c>
      <c r="G29" s="51">
        <v>122.16</v>
      </c>
      <c r="H29" s="51">
        <v>72.010000000000005</v>
      </c>
      <c r="I29" s="51">
        <v>9.24</v>
      </c>
      <c r="J29" s="51">
        <v>0.54</v>
      </c>
      <c r="K29" s="51">
        <v>316.24</v>
      </c>
      <c r="L29" s="51">
        <v>16.89</v>
      </c>
      <c r="M29" s="51">
        <v>74.959999999999994</v>
      </c>
      <c r="N29" s="51">
        <v>25.9</v>
      </c>
      <c r="O29" s="51">
        <v>0</v>
      </c>
      <c r="P29" s="51">
        <v>1.69</v>
      </c>
      <c r="Q29" s="51">
        <v>9.6999999999999993</v>
      </c>
      <c r="R29" s="43"/>
      <c r="S29" s="43"/>
      <c r="T29" s="43"/>
      <c r="U29" s="43"/>
    </row>
    <row r="30" spans="1:21" s="11" customFormat="1" x14ac:dyDescent="0.25">
      <c r="A30" s="50" t="s">
        <v>466</v>
      </c>
      <c r="B30" s="51">
        <v>100.99</v>
      </c>
      <c r="C30" s="51">
        <v>53.47</v>
      </c>
      <c r="D30" s="51">
        <v>107.55</v>
      </c>
      <c r="E30" s="51">
        <v>9.93</v>
      </c>
      <c r="F30" s="51">
        <v>4.33</v>
      </c>
      <c r="G30" s="51">
        <v>138.31</v>
      </c>
      <c r="H30" s="51">
        <v>66.38</v>
      </c>
      <c r="I30" s="51">
        <v>9.84</v>
      </c>
      <c r="J30" s="51">
        <v>0.4</v>
      </c>
      <c r="K30" s="51">
        <v>328.96</v>
      </c>
      <c r="L30" s="51">
        <v>16.18</v>
      </c>
      <c r="M30" s="51">
        <v>75.56</v>
      </c>
      <c r="N30" s="51">
        <v>25.9</v>
      </c>
      <c r="O30" s="51">
        <v>0</v>
      </c>
      <c r="P30" s="51">
        <v>1.93</v>
      </c>
      <c r="Q30" s="51">
        <v>9.7899999999999991</v>
      </c>
      <c r="R30" s="43"/>
      <c r="S30" s="43"/>
      <c r="T30" s="43"/>
      <c r="U30" s="43"/>
    </row>
    <row r="31" spans="1:21" s="11" customFormat="1" x14ac:dyDescent="0.25">
      <c r="A31" s="50" t="s">
        <v>467</v>
      </c>
      <c r="B31" s="51">
        <v>110.92</v>
      </c>
      <c r="C31" s="51">
        <v>53.61</v>
      </c>
      <c r="D31" s="51">
        <v>113.3</v>
      </c>
      <c r="E31" s="51">
        <v>9.1300000000000008</v>
      </c>
      <c r="F31" s="51">
        <v>4.7</v>
      </c>
      <c r="G31" s="51">
        <v>142.88</v>
      </c>
      <c r="H31" s="51">
        <v>80.319999999999993</v>
      </c>
      <c r="I31" s="51">
        <v>9.92</v>
      </c>
      <c r="J31" s="51">
        <v>0.55000000000000004</v>
      </c>
      <c r="K31" s="51">
        <v>334.43</v>
      </c>
      <c r="L31" s="51">
        <v>15.86</v>
      </c>
      <c r="M31" s="51">
        <v>79.52</v>
      </c>
      <c r="N31" s="51">
        <v>26.1</v>
      </c>
      <c r="O31" s="51">
        <v>0</v>
      </c>
      <c r="P31" s="51">
        <v>2.2400000000000002</v>
      </c>
      <c r="Q31" s="51">
        <v>9.77</v>
      </c>
      <c r="R31" s="43"/>
      <c r="S31" s="43"/>
      <c r="T31" s="43"/>
      <c r="U31" s="43"/>
    </row>
    <row r="32" spans="1:21" s="11" customFormat="1" x14ac:dyDescent="0.25">
      <c r="A32" s="50" t="s">
        <v>468</v>
      </c>
      <c r="B32" s="51">
        <v>111.27</v>
      </c>
      <c r="C32" s="51">
        <v>48.13</v>
      </c>
      <c r="D32" s="51">
        <v>113</v>
      </c>
      <c r="E32" s="51">
        <v>8.2200000000000006</v>
      </c>
      <c r="F32" s="51">
        <v>4.21</v>
      </c>
      <c r="G32" s="51">
        <v>140.63</v>
      </c>
      <c r="H32" s="51">
        <v>56.9</v>
      </c>
      <c r="I32" s="51">
        <v>9.1999999999999993</v>
      </c>
      <c r="J32" s="51">
        <v>0.6</v>
      </c>
      <c r="K32" s="51">
        <v>342.45</v>
      </c>
      <c r="L32" s="51">
        <v>15.39</v>
      </c>
      <c r="M32" s="51">
        <v>78.67</v>
      </c>
      <c r="N32" s="51">
        <v>26</v>
      </c>
      <c r="O32" s="51">
        <v>0</v>
      </c>
      <c r="P32" s="51">
        <v>1.88</v>
      </c>
      <c r="Q32" s="51">
        <v>9.73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2.69</v>
      </c>
      <c r="C34" s="28">
        <f t="shared" si="0"/>
        <v>32.880000000000003</v>
      </c>
      <c r="D34" s="28">
        <f t="shared" si="0"/>
        <v>21.15</v>
      </c>
      <c r="E34" s="28">
        <f t="shared" si="0"/>
        <v>5.65</v>
      </c>
      <c r="F34" s="28">
        <f t="shared" si="0"/>
        <v>3.68</v>
      </c>
      <c r="G34" s="28">
        <f t="shared" si="0"/>
        <v>64.790000000000006</v>
      </c>
      <c r="H34" s="28">
        <f t="shared" si="0"/>
        <v>10.29</v>
      </c>
      <c r="I34" s="28">
        <f t="shared" si="0"/>
        <v>3.45</v>
      </c>
      <c r="J34" s="28">
        <f t="shared" si="0"/>
        <v>0.32</v>
      </c>
      <c r="K34" s="28">
        <f t="shared" si="0"/>
        <v>116.03</v>
      </c>
      <c r="L34" s="28">
        <f t="shared" si="0"/>
        <v>13.07</v>
      </c>
      <c r="M34" s="28">
        <f t="shared" si="0"/>
        <v>29.68</v>
      </c>
      <c r="N34" s="28">
        <f t="shared" si="0"/>
        <v>25.7</v>
      </c>
      <c r="O34" s="28">
        <f t="shared" si="0"/>
        <v>0</v>
      </c>
      <c r="P34" s="28">
        <f t="shared" si="0"/>
        <v>0.67</v>
      </c>
      <c r="Q34" s="28">
        <f t="shared" si="0"/>
        <v>9.6300000000000008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111.27</v>
      </c>
      <c r="C35" s="29">
        <f t="shared" si="1"/>
        <v>53.61</v>
      </c>
      <c r="D35" s="29">
        <f t="shared" si="1"/>
        <v>113.3</v>
      </c>
      <c r="E35" s="29">
        <f t="shared" si="1"/>
        <v>9.93</v>
      </c>
      <c r="F35" s="29">
        <f t="shared" si="1"/>
        <v>7.88</v>
      </c>
      <c r="G35" s="29">
        <f t="shared" si="1"/>
        <v>168.55</v>
      </c>
      <c r="H35" s="29">
        <f t="shared" si="1"/>
        <v>112.99</v>
      </c>
      <c r="I35" s="29">
        <f t="shared" si="1"/>
        <v>9.92</v>
      </c>
      <c r="J35" s="29">
        <f t="shared" si="1"/>
        <v>2.2200000000000002</v>
      </c>
      <c r="K35" s="29">
        <f t="shared" si="1"/>
        <v>357.77</v>
      </c>
      <c r="L35" s="29">
        <f t="shared" si="1"/>
        <v>27.49</v>
      </c>
      <c r="M35" s="29">
        <f t="shared" si="1"/>
        <v>88.52</v>
      </c>
      <c r="N35" s="29">
        <f t="shared" si="1"/>
        <v>646.6</v>
      </c>
      <c r="O35" s="29">
        <f t="shared" si="1"/>
        <v>0</v>
      </c>
      <c r="P35" s="29">
        <f t="shared" si="1"/>
        <v>2.2400000000000002</v>
      </c>
      <c r="Q35" s="29">
        <f t="shared" si="1"/>
        <v>9.7899999999999991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28.642499999999998</v>
      </c>
      <c r="C36" s="28">
        <f t="shared" si="2"/>
        <v>41.645833333333336</v>
      </c>
      <c r="D36" s="28">
        <f t="shared" si="2"/>
        <v>42.949166666666656</v>
      </c>
      <c r="E36" s="28">
        <f t="shared" si="2"/>
        <v>7.1020833333333337</v>
      </c>
      <c r="F36" s="28">
        <f t="shared" si="2"/>
        <v>4.9558333333333326</v>
      </c>
      <c r="G36" s="28">
        <f t="shared" si="2"/>
        <v>107.85583333333335</v>
      </c>
      <c r="H36" s="28">
        <f t="shared" si="2"/>
        <v>58.684210526315802</v>
      </c>
      <c r="I36" s="28">
        <f t="shared" si="2"/>
        <v>7.1770833333333348</v>
      </c>
      <c r="J36" s="28">
        <f t="shared" si="2"/>
        <v>0.81541666666666668</v>
      </c>
      <c r="K36" s="28">
        <f t="shared" si="2"/>
        <v>298.11416666666662</v>
      </c>
      <c r="L36" s="28">
        <f t="shared" si="2"/>
        <v>19.143333333333334</v>
      </c>
      <c r="M36" s="28">
        <f t="shared" si="2"/>
        <v>62.481666666666683</v>
      </c>
      <c r="N36" s="28">
        <f t="shared" si="2"/>
        <v>171.19583333333335</v>
      </c>
      <c r="O36" s="28">
        <f t="shared" si="2"/>
        <v>0</v>
      </c>
      <c r="P36" s="28">
        <f t="shared" si="2"/>
        <v>1.2241666666666666</v>
      </c>
      <c r="Q36" s="28">
        <f t="shared" si="2"/>
        <v>9.6595833333333321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33.013942542112616</v>
      </c>
      <c r="C37" s="28">
        <f t="shared" ref="C37:Q37" si="3">STDEV(C9:C32)</f>
        <v>5.9557425095934855</v>
      </c>
      <c r="D37" s="28">
        <f t="shared" si="3"/>
        <v>28.430590065091444</v>
      </c>
      <c r="E37" s="28">
        <f t="shared" si="3"/>
        <v>1.1353489376156205</v>
      </c>
      <c r="F37" s="28">
        <f t="shared" si="3"/>
        <v>1.2141195294879636</v>
      </c>
      <c r="G37" s="28">
        <f t="shared" si="3"/>
        <v>32.437402045312957</v>
      </c>
      <c r="H37" s="28">
        <f t="shared" si="3"/>
        <v>23.799788121323314</v>
      </c>
      <c r="I37" s="28">
        <f t="shared" si="3"/>
        <v>1.613018987372179</v>
      </c>
      <c r="J37" s="28">
        <f t="shared" si="3"/>
        <v>0.48844900198099667</v>
      </c>
      <c r="K37" s="28">
        <f t="shared" si="3"/>
        <v>83.669640482111745</v>
      </c>
      <c r="L37" s="28">
        <f t="shared" si="3"/>
        <v>4.7330674552801204</v>
      </c>
      <c r="M37" s="28">
        <f t="shared" si="3"/>
        <v>20.951240840428063</v>
      </c>
      <c r="N37" s="28">
        <f t="shared" si="3"/>
        <v>222.35757430645188</v>
      </c>
      <c r="O37" s="28">
        <f t="shared" si="3"/>
        <v>0</v>
      </c>
      <c r="P37" s="28">
        <f t="shared" si="3"/>
        <v>0.4272044278661043</v>
      </c>
      <c r="Q37" s="28">
        <f t="shared" si="3"/>
        <v>4.3984104506916227E-2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COUNT(H9:H32)+5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51" sqref="H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469</v>
      </c>
      <c r="B9" s="51">
        <v>104.5</v>
      </c>
      <c r="C9" s="51">
        <v>42.67</v>
      </c>
      <c r="D9" s="51">
        <v>104.72</v>
      </c>
      <c r="E9" s="51">
        <v>6.48</v>
      </c>
      <c r="F9" s="51">
        <v>4.2300000000000004</v>
      </c>
      <c r="G9" s="51">
        <v>126.74</v>
      </c>
      <c r="H9" s="51">
        <v>86.68</v>
      </c>
      <c r="I9" s="51">
        <v>9.26</v>
      </c>
      <c r="J9" s="51">
        <v>0.52</v>
      </c>
      <c r="K9" s="51">
        <v>356</v>
      </c>
      <c r="L9" s="51">
        <v>14.54</v>
      </c>
      <c r="M9" s="51">
        <v>81.400000000000006</v>
      </c>
      <c r="N9" s="51">
        <v>26</v>
      </c>
      <c r="O9" s="51">
        <v>0</v>
      </c>
      <c r="P9" s="51">
        <v>1.84</v>
      </c>
      <c r="Q9" s="51">
        <v>9.69</v>
      </c>
      <c r="R9" s="43"/>
      <c r="S9" s="43"/>
      <c r="T9" s="43"/>
      <c r="U9" s="43"/>
    </row>
    <row r="10" spans="1:21" s="11" customFormat="1" x14ac:dyDescent="0.25">
      <c r="A10" s="50" t="s">
        <v>470</v>
      </c>
      <c r="B10" s="51">
        <v>80.89</v>
      </c>
      <c r="C10" s="51">
        <v>41.12</v>
      </c>
      <c r="D10" s="51">
        <v>84.5</v>
      </c>
      <c r="E10" s="51">
        <v>5.84</v>
      </c>
      <c r="F10" s="51">
        <v>4.16</v>
      </c>
      <c r="G10" s="51">
        <v>110.09</v>
      </c>
      <c r="H10" s="51">
        <v>142.51</v>
      </c>
      <c r="I10" s="51">
        <v>8.9499999999999993</v>
      </c>
      <c r="J10" s="51">
        <v>0.67</v>
      </c>
      <c r="K10" s="51">
        <v>348.6</v>
      </c>
      <c r="L10" s="51">
        <v>14.21</v>
      </c>
      <c r="M10" s="51">
        <v>81.39</v>
      </c>
      <c r="N10" s="51">
        <v>25.6</v>
      </c>
      <c r="O10" s="51">
        <v>0</v>
      </c>
      <c r="P10" s="51">
        <v>1.51</v>
      </c>
      <c r="Q10" s="51">
        <v>9.6999999999999993</v>
      </c>
      <c r="R10" s="43"/>
      <c r="S10" s="43"/>
      <c r="T10" s="43"/>
      <c r="U10" s="43"/>
    </row>
    <row r="11" spans="1:21" s="11" customFormat="1" x14ac:dyDescent="0.25">
      <c r="A11" s="50" t="s">
        <v>471</v>
      </c>
      <c r="B11" s="51">
        <v>60.98</v>
      </c>
      <c r="C11" s="51">
        <v>41.15</v>
      </c>
      <c r="D11" s="51">
        <v>69.03</v>
      </c>
      <c r="E11" s="51">
        <v>6.11</v>
      </c>
      <c r="F11" s="51">
        <v>4.17</v>
      </c>
      <c r="G11" s="51">
        <v>112.75</v>
      </c>
      <c r="H11" s="51">
        <v>50.34</v>
      </c>
      <c r="I11" s="51">
        <v>7.99</v>
      </c>
      <c r="J11" s="51">
        <v>0.24</v>
      </c>
      <c r="K11" s="51">
        <v>315.07</v>
      </c>
      <c r="L11" s="51">
        <v>14.45</v>
      </c>
      <c r="M11" s="51">
        <v>77.02</v>
      </c>
      <c r="N11" s="51">
        <v>25.9</v>
      </c>
      <c r="O11" s="51">
        <v>0</v>
      </c>
      <c r="P11" s="51">
        <v>1.39</v>
      </c>
      <c r="Q11" s="51">
        <v>9.6999999999999993</v>
      </c>
      <c r="R11" s="43"/>
      <c r="S11" s="43"/>
      <c r="T11" s="43"/>
      <c r="U11" s="43"/>
    </row>
    <row r="12" spans="1:21" s="11" customFormat="1" x14ac:dyDescent="0.25">
      <c r="A12" s="50" t="s">
        <v>472</v>
      </c>
      <c r="B12" s="51">
        <v>48.55</v>
      </c>
      <c r="C12" s="51">
        <v>38.340000000000003</v>
      </c>
      <c r="D12" s="51">
        <v>57.59</v>
      </c>
      <c r="E12" s="51">
        <v>5.97</v>
      </c>
      <c r="F12" s="51">
        <v>4.08</v>
      </c>
      <c r="G12" s="51">
        <v>127.69</v>
      </c>
      <c r="H12" s="51">
        <v>89.96</v>
      </c>
      <c r="I12" s="51">
        <v>7.45</v>
      </c>
      <c r="J12" s="51">
        <v>0.37</v>
      </c>
      <c r="K12" s="51">
        <v>336.6</v>
      </c>
      <c r="L12" s="51">
        <v>13.94</v>
      </c>
      <c r="M12" s="51">
        <v>89.16</v>
      </c>
      <c r="N12" s="51">
        <v>26</v>
      </c>
      <c r="O12" s="51">
        <v>0</v>
      </c>
      <c r="P12" s="51">
        <v>1.29</v>
      </c>
      <c r="Q12" s="51">
        <v>9.66</v>
      </c>
      <c r="R12" s="43"/>
      <c r="S12" s="43"/>
      <c r="T12" s="43"/>
      <c r="U12" s="43"/>
    </row>
    <row r="13" spans="1:21" s="11" customFormat="1" x14ac:dyDescent="0.25">
      <c r="A13" s="50" t="s">
        <v>473</v>
      </c>
      <c r="B13" s="51">
        <v>43.63</v>
      </c>
      <c r="C13" s="51">
        <v>35.6</v>
      </c>
      <c r="D13" s="51">
        <v>51.79</v>
      </c>
      <c r="E13" s="51">
        <v>6.95</v>
      </c>
      <c r="F13" s="51">
        <v>4.34</v>
      </c>
      <c r="G13" s="51">
        <v>144.63999999999999</v>
      </c>
      <c r="H13" s="51">
        <v>86.23</v>
      </c>
      <c r="I13" s="51">
        <v>7.18</v>
      </c>
      <c r="J13" s="51">
        <v>0.42</v>
      </c>
      <c r="K13" s="51">
        <v>331.39</v>
      </c>
      <c r="L13" s="51">
        <v>13.27</v>
      </c>
      <c r="M13" s="51">
        <v>91.13</v>
      </c>
      <c r="N13" s="51">
        <v>25.8</v>
      </c>
      <c r="O13" s="51">
        <v>0</v>
      </c>
      <c r="P13" s="51">
        <v>1.23</v>
      </c>
      <c r="Q13" s="51">
        <v>9.66</v>
      </c>
      <c r="R13" s="43"/>
      <c r="S13" s="43"/>
      <c r="T13" s="43"/>
      <c r="U13" s="43"/>
    </row>
    <row r="14" spans="1:21" s="11" customFormat="1" x14ac:dyDescent="0.25">
      <c r="A14" s="50" t="s">
        <v>474</v>
      </c>
      <c r="B14" s="51">
        <v>43.7</v>
      </c>
      <c r="C14" s="51">
        <v>35.369999999999997</v>
      </c>
      <c r="D14" s="51">
        <v>52.15</v>
      </c>
      <c r="E14" s="51">
        <v>6.74</v>
      </c>
      <c r="F14" s="51">
        <v>4.5999999999999996</v>
      </c>
      <c r="G14" s="51">
        <v>154.44999999999999</v>
      </c>
      <c r="H14" s="51">
        <v>57.26</v>
      </c>
      <c r="I14" s="51">
        <v>6.97</v>
      </c>
      <c r="J14" s="51">
        <v>0.46</v>
      </c>
      <c r="K14" s="51">
        <v>318.91000000000003</v>
      </c>
      <c r="L14" s="51">
        <v>13.43</v>
      </c>
      <c r="M14" s="51">
        <v>92.29</v>
      </c>
      <c r="N14" s="51">
        <v>26</v>
      </c>
      <c r="O14" s="51">
        <v>0</v>
      </c>
      <c r="P14" s="51">
        <v>1.28</v>
      </c>
      <c r="Q14" s="51">
        <v>9.66</v>
      </c>
      <c r="R14" s="43"/>
      <c r="S14" s="43"/>
      <c r="T14" s="43"/>
      <c r="U14" s="43"/>
    </row>
    <row r="15" spans="1:21" s="11" customFormat="1" x14ac:dyDescent="0.25">
      <c r="A15" s="50" t="s">
        <v>475</v>
      </c>
      <c r="B15" s="51">
        <v>51.76</v>
      </c>
      <c r="C15" s="51">
        <v>35.56</v>
      </c>
      <c r="D15" s="51">
        <v>58.44</v>
      </c>
      <c r="E15" s="51">
        <v>6.78</v>
      </c>
      <c r="F15" s="51">
        <v>4.58</v>
      </c>
      <c r="G15" s="51">
        <v>162.51</v>
      </c>
      <c r="H15" s="51">
        <v>101.93</v>
      </c>
      <c r="I15" s="51">
        <v>6.83</v>
      </c>
      <c r="J15" s="51">
        <v>0.5</v>
      </c>
      <c r="K15" s="51">
        <v>325.8</v>
      </c>
      <c r="L15" s="51">
        <v>13.73</v>
      </c>
      <c r="M15" s="51">
        <v>92.89</v>
      </c>
      <c r="N15" s="51">
        <v>57.5</v>
      </c>
      <c r="O15" s="51">
        <v>0</v>
      </c>
      <c r="P15" s="51">
        <v>1.27</v>
      </c>
      <c r="Q15" s="51">
        <v>9.64</v>
      </c>
      <c r="R15" s="43"/>
      <c r="S15" s="43"/>
      <c r="T15" s="43"/>
      <c r="U15" s="43"/>
    </row>
    <row r="16" spans="1:21" s="11" customFormat="1" x14ac:dyDescent="0.25">
      <c r="A16" s="50" t="s">
        <v>476</v>
      </c>
      <c r="B16" s="51">
        <v>50.61</v>
      </c>
      <c r="C16" s="51">
        <v>36.11</v>
      </c>
      <c r="D16" s="51">
        <v>57.38</v>
      </c>
      <c r="E16" s="51">
        <v>6.64</v>
      </c>
      <c r="F16" s="51">
        <v>3.73</v>
      </c>
      <c r="G16" s="51">
        <v>145.66</v>
      </c>
      <c r="H16" s="51">
        <v>66.36</v>
      </c>
      <c r="I16" s="51">
        <v>6.63</v>
      </c>
      <c r="J16" s="51">
        <v>0.94</v>
      </c>
      <c r="K16" s="51">
        <v>342.06</v>
      </c>
      <c r="L16" s="51">
        <v>18.670000000000002</v>
      </c>
      <c r="M16" s="51">
        <v>79.31</v>
      </c>
      <c r="N16" s="51">
        <v>229.7</v>
      </c>
      <c r="O16" s="51">
        <v>0</v>
      </c>
      <c r="P16" s="51">
        <v>1.28</v>
      </c>
      <c r="Q16" s="51">
        <v>9.67</v>
      </c>
      <c r="R16" s="43"/>
      <c r="S16" s="43"/>
      <c r="T16" s="43"/>
      <c r="U16" s="43"/>
    </row>
    <row r="17" spans="1:21" s="11" customFormat="1" x14ac:dyDescent="0.25">
      <c r="A17" s="50" t="s">
        <v>477</v>
      </c>
      <c r="B17" s="51">
        <v>48.09</v>
      </c>
      <c r="C17" s="51">
        <v>39.840000000000003</v>
      </c>
      <c r="D17" s="51">
        <v>56.04</v>
      </c>
      <c r="E17" s="51">
        <v>7.64</v>
      </c>
      <c r="F17" s="51">
        <v>4.13</v>
      </c>
      <c r="G17" s="51">
        <v>134.96</v>
      </c>
      <c r="H17" s="51">
        <v>73.73</v>
      </c>
      <c r="I17" s="51">
        <v>6.28</v>
      </c>
      <c r="J17" s="51">
        <v>1.1100000000000001</v>
      </c>
      <c r="K17" s="51">
        <v>340.01</v>
      </c>
      <c r="L17" s="51">
        <v>24.57</v>
      </c>
      <c r="M17" s="51">
        <v>57.16</v>
      </c>
      <c r="N17" s="51">
        <v>385.4</v>
      </c>
      <c r="O17" s="51">
        <v>0</v>
      </c>
      <c r="P17" s="51">
        <v>1.22</v>
      </c>
      <c r="Q17" s="51">
        <v>9.66</v>
      </c>
      <c r="R17" s="43"/>
      <c r="S17" s="43"/>
      <c r="T17" s="43"/>
      <c r="U17" s="43"/>
    </row>
    <row r="18" spans="1:21" s="11" customFormat="1" x14ac:dyDescent="0.25">
      <c r="A18" s="50" t="s">
        <v>478</v>
      </c>
      <c r="B18" s="51">
        <v>42.09</v>
      </c>
      <c r="C18" s="51">
        <v>47.87</v>
      </c>
      <c r="D18" s="51">
        <v>54.19</v>
      </c>
      <c r="E18" s="51">
        <v>7.67</v>
      </c>
      <c r="F18" s="51">
        <v>4.13</v>
      </c>
      <c r="G18" s="51">
        <v>122.18</v>
      </c>
      <c r="H18" s="51">
        <v>76.52</v>
      </c>
      <c r="I18" s="51">
        <v>6.37</v>
      </c>
      <c r="J18" s="51">
        <v>1.43</v>
      </c>
      <c r="K18" s="51">
        <v>356.41</v>
      </c>
      <c r="L18" s="51">
        <v>26.13</v>
      </c>
      <c r="M18" s="51">
        <v>42.71</v>
      </c>
      <c r="N18" s="51">
        <v>526.70000000000005</v>
      </c>
      <c r="O18" s="51">
        <v>0</v>
      </c>
      <c r="P18" s="51">
        <v>1.19</v>
      </c>
      <c r="Q18" s="51">
        <v>9.65</v>
      </c>
      <c r="R18" s="43"/>
      <c r="S18" s="43"/>
      <c r="T18" s="43"/>
      <c r="U18" s="43"/>
    </row>
    <row r="19" spans="1:21" s="11" customFormat="1" x14ac:dyDescent="0.25">
      <c r="A19" s="50" t="s">
        <v>479</v>
      </c>
      <c r="B19" s="51">
        <v>29.18</v>
      </c>
      <c r="C19" s="51">
        <v>53.82</v>
      </c>
      <c r="D19" s="51">
        <v>47.37</v>
      </c>
      <c r="E19" s="51">
        <v>7.2</v>
      </c>
      <c r="F19" s="51">
        <v>7.02</v>
      </c>
      <c r="G19" s="51">
        <v>109.7</v>
      </c>
      <c r="H19" s="51">
        <v>45.2</v>
      </c>
      <c r="I19" s="51">
        <v>7.64</v>
      </c>
      <c r="J19" s="51">
        <v>1.76</v>
      </c>
      <c r="K19" s="51">
        <v>116.24</v>
      </c>
      <c r="L19" s="51">
        <v>23.68</v>
      </c>
      <c r="M19" s="51">
        <v>44.79</v>
      </c>
      <c r="N19" s="51">
        <v>616.9</v>
      </c>
      <c r="O19" s="51">
        <v>0</v>
      </c>
      <c r="P19" s="51">
        <v>1.0900000000000001</v>
      </c>
      <c r="Q19" s="51">
        <v>9.69</v>
      </c>
      <c r="R19" s="43"/>
      <c r="S19" s="43"/>
      <c r="T19" s="43"/>
      <c r="U19" s="43"/>
    </row>
    <row r="20" spans="1:21" s="11" customFormat="1" x14ac:dyDescent="0.25">
      <c r="A20" s="50" t="s">
        <v>480</v>
      </c>
      <c r="B20" s="51">
        <v>7.17</v>
      </c>
      <c r="C20" s="51">
        <v>55.05</v>
      </c>
      <c r="D20" s="51">
        <v>32.75</v>
      </c>
      <c r="E20" s="51">
        <v>7.4</v>
      </c>
      <c r="F20" s="51">
        <v>7.04</v>
      </c>
      <c r="G20" s="51">
        <v>64.56</v>
      </c>
      <c r="H20" s="51">
        <v>34.5</v>
      </c>
      <c r="I20" s="51">
        <v>7.15</v>
      </c>
      <c r="J20" s="51">
        <v>1.54</v>
      </c>
      <c r="K20" s="51">
        <v>118.03</v>
      </c>
      <c r="L20" s="51">
        <v>25.73</v>
      </c>
      <c r="M20" s="51">
        <v>35.44</v>
      </c>
      <c r="N20" s="51">
        <v>644.29999999999995</v>
      </c>
      <c r="O20" s="51">
        <v>0</v>
      </c>
      <c r="P20" s="51">
        <v>0.82</v>
      </c>
      <c r="Q20" s="51">
        <v>9.64</v>
      </c>
      <c r="R20" s="43"/>
      <c r="S20" s="43"/>
      <c r="T20" s="43"/>
      <c r="U20" s="43"/>
    </row>
    <row r="21" spans="1:21" s="11" customFormat="1" x14ac:dyDescent="0.25">
      <c r="A21" s="50" t="s">
        <v>481</v>
      </c>
      <c r="B21" s="51">
        <v>3.23</v>
      </c>
      <c r="C21" s="51">
        <v>53.62</v>
      </c>
      <c r="D21" s="51">
        <v>28.84</v>
      </c>
      <c r="E21" s="51">
        <v>9.0399999999999991</v>
      </c>
      <c r="F21" s="51">
        <v>13.82</v>
      </c>
      <c r="G21" s="53" t="s">
        <v>12</v>
      </c>
      <c r="H21" s="53" t="s">
        <v>12</v>
      </c>
      <c r="I21" s="51">
        <v>5.52</v>
      </c>
      <c r="J21" s="51">
        <v>1.43</v>
      </c>
      <c r="K21" s="51">
        <v>111.39</v>
      </c>
      <c r="L21" s="51">
        <v>25.8</v>
      </c>
      <c r="M21" s="51">
        <v>29.59</v>
      </c>
      <c r="N21" s="51">
        <v>586.1</v>
      </c>
      <c r="O21" s="51">
        <v>0</v>
      </c>
      <c r="P21" s="51">
        <v>0.64</v>
      </c>
      <c r="Q21" s="51">
        <v>9.64</v>
      </c>
      <c r="R21" s="43"/>
      <c r="S21" s="43"/>
      <c r="T21" s="43"/>
      <c r="U21" s="43"/>
    </row>
    <row r="22" spans="1:21" s="11" customFormat="1" x14ac:dyDescent="0.25">
      <c r="A22" s="50" t="s">
        <v>482</v>
      </c>
      <c r="B22" s="51">
        <v>3.5</v>
      </c>
      <c r="C22" s="51">
        <v>63.46</v>
      </c>
      <c r="D22" s="51">
        <v>34.4</v>
      </c>
      <c r="E22" s="51">
        <v>21.67</v>
      </c>
      <c r="F22" s="51">
        <v>20.87</v>
      </c>
      <c r="G22" s="53" t="s">
        <v>12</v>
      </c>
      <c r="H22" s="53" t="s">
        <v>12</v>
      </c>
      <c r="I22" s="51">
        <v>5.47</v>
      </c>
      <c r="J22" s="51">
        <v>0.8</v>
      </c>
      <c r="K22" s="51">
        <v>357.18</v>
      </c>
      <c r="L22" s="51">
        <v>25.88</v>
      </c>
      <c r="M22" s="51">
        <v>28.14</v>
      </c>
      <c r="N22" s="51">
        <v>526.4</v>
      </c>
      <c r="O22" s="51">
        <v>0</v>
      </c>
      <c r="P22" s="51">
        <v>0.63</v>
      </c>
      <c r="Q22" s="51">
        <v>9.64</v>
      </c>
      <c r="R22" s="43"/>
      <c r="S22" s="43"/>
      <c r="T22" s="43"/>
      <c r="U22" s="43"/>
    </row>
    <row r="23" spans="1:21" s="11" customFormat="1" x14ac:dyDescent="0.25">
      <c r="A23" s="50" t="s">
        <v>483</v>
      </c>
      <c r="B23" s="51">
        <v>3.74</v>
      </c>
      <c r="C23" s="51">
        <v>61.83</v>
      </c>
      <c r="D23" s="51">
        <v>33.79</v>
      </c>
      <c r="E23" s="51">
        <v>8.48</v>
      </c>
      <c r="F23" s="51">
        <v>7.67</v>
      </c>
      <c r="G23" s="51">
        <v>51.29</v>
      </c>
      <c r="H23" s="51">
        <v>17.489999999999998</v>
      </c>
      <c r="I23" s="51">
        <v>3.34</v>
      </c>
      <c r="J23" s="51">
        <v>2.11</v>
      </c>
      <c r="K23" s="51">
        <v>119.75</v>
      </c>
      <c r="L23" s="51">
        <v>24.93</v>
      </c>
      <c r="M23" s="51">
        <v>29.5</v>
      </c>
      <c r="N23" s="51">
        <v>137.1</v>
      </c>
      <c r="O23" s="51">
        <v>0</v>
      </c>
      <c r="P23" s="51">
        <v>0.59</v>
      </c>
      <c r="Q23" s="51">
        <v>9.65</v>
      </c>
      <c r="R23" s="43"/>
      <c r="S23" s="43"/>
      <c r="T23" s="43"/>
      <c r="U23" s="43"/>
    </row>
    <row r="24" spans="1:21" s="11" customFormat="1" x14ac:dyDescent="0.25">
      <c r="A24" s="50" t="s">
        <v>484</v>
      </c>
      <c r="B24" s="51">
        <v>4.62</v>
      </c>
      <c r="C24" s="51">
        <v>46.39</v>
      </c>
      <c r="D24" s="51">
        <v>25.71</v>
      </c>
      <c r="E24" s="51">
        <v>6.17</v>
      </c>
      <c r="F24" s="51">
        <v>5.39</v>
      </c>
      <c r="G24" s="51">
        <v>71.14</v>
      </c>
      <c r="H24" s="51">
        <v>23.09</v>
      </c>
      <c r="I24" s="51">
        <v>3.73</v>
      </c>
      <c r="J24" s="51">
        <v>1.3</v>
      </c>
      <c r="K24" s="51">
        <v>351.15</v>
      </c>
      <c r="L24" s="51">
        <v>23.77</v>
      </c>
      <c r="M24" s="51">
        <v>31.95</v>
      </c>
      <c r="N24" s="51">
        <v>93.7</v>
      </c>
      <c r="O24" s="51">
        <v>0</v>
      </c>
      <c r="P24" s="51">
        <v>0.63</v>
      </c>
      <c r="Q24" s="51">
        <v>9.64</v>
      </c>
      <c r="R24" s="43"/>
      <c r="S24" s="43"/>
      <c r="T24" s="43"/>
      <c r="U24" s="43"/>
    </row>
    <row r="25" spans="1:21" s="11" customFormat="1" x14ac:dyDescent="0.25">
      <c r="A25" s="50" t="s">
        <v>485</v>
      </c>
      <c r="B25" s="51">
        <v>5.2</v>
      </c>
      <c r="C25" s="51">
        <v>55.48</v>
      </c>
      <c r="D25" s="51">
        <v>31.47</v>
      </c>
      <c r="E25" s="51">
        <v>7.65</v>
      </c>
      <c r="F25" s="51">
        <v>9.82</v>
      </c>
      <c r="G25" s="51">
        <v>70.17</v>
      </c>
      <c r="H25" s="51">
        <v>21.76</v>
      </c>
      <c r="I25" s="51">
        <v>3.01</v>
      </c>
      <c r="J25" s="51">
        <v>0.61</v>
      </c>
      <c r="K25" s="51">
        <v>340.46</v>
      </c>
      <c r="L25" s="51">
        <v>22.97</v>
      </c>
      <c r="M25" s="51">
        <v>34.22</v>
      </c>
      <c r="N25" s="51">
        <v>62.3</v>
      </c>
      <c r="O25" s="51">
        <v>0</v>
      </c>
      <c r="P25" s="51">
        <v>0.71</v>
      </c>
      <c r="Q25" s="51">
        <v>9.64</v>
      </c>
      <c r="R25" s="43"/>
      <c r="S25" s="43"/>
      <c r="T25" s="43"/>
      <c r="U25" s="43"/>
    </row>
    <row r="26" spans="1:21" s="11" customFormat="1" x14ac:dyDescent="0.25">
      <c r="A26" s="50" t="s">
        <v>486</v>
      </c>
      <c r="B26" s="51">
        <v>10.5</v>
      </c>
      <c r="C26" s="51">
        <v>57.15</v>
      </c>
      <c r="D26" s="51">
        <v>36.799999999999997</v>
      </c>
      <c r="E26" s="51">
        <v>7.8</v>
      </c>
      <c r="F26" s="51">
        <v>6.28</v>
      </c>
      <c r="G26" s="51">
        <v>66.400000000000006</v>
      </c>
      <c r="H26" s="51">
        <v>14.26</v>
      </c>
      <c r="I26" s="51">
        <v>4.99</v>
      </c>
      <c r="J26" s="51">
        <v>0.9</v>
      </c>
      <c r="K26" s="51">
        <v>344.05</v>
      </c>
      <c r="L26" s="51">
        <v>21.41</v>
      </c>
      <c r="M26" s="51">
        <v>39.81</v>
      </c>
      <c r="N26" s="51">
        <v>31.8</v>
      </c>
      <c r="O26" s="51">
        <v>0</v>
      </c>
      <c r="P26" s="51">
        <v>0.83</v>
      </c>
      <c r="Q26" s="51">
        <v>9.64</v>
      </c>
      <c r="R26" s="43"/>
      <c r="S26" s="43"/>
      <c r="T26" s="43"/>
      <c r="U26" s="43"/>
    </row>
    <row r="27" spans="1:21" s="11" customFormat="1" x14ac:dyDescent="0.25">
      <c r="A27" s="50" t="s">
        <v>487</v>
      </c>
      <c r="B27" s="51">
        <v>18.25</v>
      </c>
      <c r="C27" s="51">
        <v>56.26</v>
      </c>
      <c r="D27" s="51">
        <v>42.51</v>
      </c>
      <c r="E27" s="51">
        <v>7.15</v>
      </c>
      <c r="F27" s="51">
        <v>4.1100000000000003</v>
      </c>
      <c r="G27" s="51">
        <v>88.15</v>
      </c>
      <c r="H27" s="51">
        <v>104.95</v>
      </c>
      <c r="I27" s="51">
        <v>5.44</v>
      </c>
      <c r="J27" s="51">
        <v>0.68</v>
      </c>
      <c r="K27" s="51">
        <v>350.3</v>
      </c>
      <c r="L27" s="51">
        <v>19.670000000000002</v>
      </c>
      <c r="M27" s="51">
        <v>46.18</v>
      </c>
      <c r="N27" s="51">
        <v>26</v>
      </c>
      <c r="O27" s="51">
        <v>0</v>
      </c>
      <c r="P27" s="51">
        <v>1.1100000000000001</v>
      </c>
      <c r="Q27" s="51">
        <v>9.64</v>
      </c>
      <c r="R27" s="43"/>
      <c r="S27" s="43"/>
      <c r="T27" s="43"/>
      <c r="U27" s="43"/>
    </row>
    <row r="28" spans="1:21" s="11" customFormat="1" x14ac:dyDescent="0.25">
      <c r="A28" s="50" t="s">
        <v>488</v>
      </c>
      <c r="B28" s="51">
        <v>22.16</v>
      </c>
      <c r="C28" s="51">
        <v>55.02</v>
      </c>
      <c r="D28" s="51">
        <v>43.74</v>
      </c>
      <c r="E28" s="51">
        <v>7.72</v>
      </c>
      <c r="F28" s="51">
        <v>3.94</v>
      </c>
      <c r="G28" s="51">
        <v>96.96</v>
      </c>
      <c r="H28" s="51">
        <v>96.8</v>
      </c>
      <c r="I28" s="51">
        <v>6.15</v>
      </c>
      <c r="J28" s="51">
        <v>0.41</v>
      </c>
      <c r="K28" s="51">
        <v>352.24</v>
      </c>
      <c r="L28" s="51">
        <v>18.64</v>
      </c>
      <c r="M28" s="51">
        <v>52.85</v>
      </c>
      <c r="N28" s="51">
        <v>26</v>
      </c>
      <c r="O28" s="51">
        <v>0</v>
      </c>
      <c r="P28" s="51">
        <v>1.35</v>
      </c>
      <c r="Q28" s="51">
        <v>9.65</v>
      </c>
      <c r="R28" s="43"/>
      <c r="S28" s="43"/>
      <c r="T28" s="43"/>
      <c r="U28" s="43"/>
    </row>
    <row r="29" spans="1:21" s="11" customFormat="1" x14ac:dyDescent="0.25">
      <c r="A29" s="50" t="s">
        <v>489</v>
      </c>
      <c r="B29" s="51">
        <v>25.51</v>
      </c>
      <c r="C29" s="51">
        <v>49.97</v>
      </c>
      <c r="D29" s="51">
        <v>44.6</v>
      </c>
      <c r="E29" s="51">
        <v>7.84</v>
      </c>
      <c r="F29" s="51">
        <v>3.78</v>
      </c>
      <c r="G29" s="51">
        <v>103.36</v>
      </c>
      <c r="H29" s="51">
        <v>52.7</v>
      </c>
      <c r="I29" s="51">
        <v>7.38</v>
      </c>
      <c r="J29" s="51">
        <v>0.98</v>
      </c>
      <c r="K29" s="51">
        <v>356.19</v>
      </c>
      <c r="L29" s="51">
        <v>18.28</v>
      </c>
      <c r="M29" s="51">
        <v>57.31</v>
      </c>
      <c r="N29" s="51">
        <v>25.9</v>
      </c>
      <c r="O29" s="51">
        <v>0</v>
      </c>
      <c r="P29" s="51">
        <v>1.74</v>
      </c>
      <c r="Q29" s="51">
        <v>9.65</v>
      </c>
      <c r="R29" s="43"/>
      <c r="S29" s="43"/>
      <c r="T29" s="43"/>
      <c r="U29" s="43"/>
    </row>
    <row r="30" spans="1:21" s="11" customFormat="1" x14ac:dyDescent="0.25">
      <c r="A30" s="50" t="s">
        <v>490</v>
      </c>
      <c r="B30" s="51">
        <v>23.95</v>
      </c>
      <c r="C30" s="51">
        <v>50.62</v>
      </c>
      <c r="D30" s="51">
        <v>43.07</v>
      </c>
      <c r="E30" s="51">
        <v>7.37</v>
      </c>
      <c r="F30" s="51">
        <v>4.3499999999999996</v>
      </c>
      <c r="G30" s="51">
        <v>102.81</v>
      </c>
      <c r="H30" s="51">
        <v>45.9</v>
      </c>
      <c r="I30" s="51">
        <v>7.28</v>
      </c>
      <c r="J30" s="51">
        <v>0.32</v>
      </c>
      <c r="K30" s="51">
        <v>334.84</v>
      </c>
      <c r="L30" s="51">
        <v>18.149999999999999</v>
      </c>
      <c r="M30" s="51">
        <v>54.22</v>
      </c>
      <c r="N30" s="51">
        <v>26.2</v>
      </c>
      <c r="O30" s="51">
        <v>0</v>
      </c>
      <c r="P30" s="51">
        <v>1.24</v>
      </c>
      <c r="Q30" s="51">
        <v>9.66</v>
      </c>
      <c r="R30" s="43"/>
      <c r="S30" s="43"/>
      <c r="T30" s="43"/>
      <c r="U30" s="43"/>
    </row>
    <row r="31" spans="1:21" s="11" customFormat="1" x14ac:dyDescent="0.25">
      <c r="A31" s="50" t="s">
        <v>491</v>
      </c>
      <c r="B31" s="51">
        <v>43.25</v>
      </c>
      <c r="C31" s="51">
        <v>54.03</v>
      </c>
      <c r="D31" s="51">
        <v>61.54</v>
      </c>
      <c r="E31" s="51">
        <v>7.6</v>
      </c>
      <c r="F31" s="51">
        <v>4.13</v>
      </c>
      <c r="G31" s="51">
        <v>98.64</v>
      </c>
      <c r="H31" s="51">
        <v>44.24</v>
      </c>
      <c r="I31" s="51">
        <v>7.28</v>
      </c>
      <c r="J31" s="51">
        <v>0.53</v>
      </c>
      <c r="K31" s="51">
        <v>326.18</v>
      </c>
      <c r="L31" s="51">
        <v>16.46</v>
      </c>
      <c r="M31" s="51">
        <v>71.33</v>
      </c>
      <c r="N31" s="51">
        <v>26.3</v>
      </c>
      <c r="O31" s="51">
        <v>0</v>
      </c>
      <c r="P31" s="51">
        <v>1.35</v>
      </c>
      <c r="Q31" s="51">
        <v>9.68</v>
      </c>
      <c r="R31" s="43"/>
      <c r="S31" s="43"/>
      <c r="T31" s="43"/>
      <c r="U31" s="43"/>
    </row>
    <row r="32" spans="1:21" s="11" customFormat="1" x14ac:dyDescent="0.25">
      <c r="A32" s="50" t="s">
        <v>492</v>
      </c>
      <c r="B32" s="51">
        <v>60.67</v>
      </c>
      <c r="C32" s="51">
        <v>54.38</v>
      </c>
      <c r="D32" s="51">
        <v>73.64</v>
      </c>
      <c r="E32" s="51">
        <v>7.55</v>
      </c>
      <c r="F32" s="51">
        <v>3.86</v>
      </c>
      <c r="G32" s="51">
        <v>106.83</v>
      </c>
      <c r="H32" s="51">
        <v>58.18</v>
      </c>
      <c r="I32" s="51">
        <v>6.78</v>
      </c>
      <c r="J32" s="51">
        <v>0.46</v>
      </c>
      <c r="K32" s="51">
        <v>304.58999999999997</v>
      </c>
      <c r="L32" s="51">
        <v>15.12</v>
      </c>
      <c r="M32" s="51">
        <v>75.48</v>
      </c>
      <c r="N32" s="51">
        <v>26</v>
      </c>
      <c r="O32" s="51">
        <v>0</v>
      </c>
      <c r="P32" s="51">
        <v>1.49</v>
      </c>
      <c r="Q32" s="51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3.23</v>
      </c>
      <c r="C34" s="28">
        <f t="shared" si="0"/>
        <v>35.369999999999997</v>
      </c>
      <c r="D34" s="28">
        <f t="shared" si="0"/>
        <v>25.71</v>
      </c>
      <c r="E34" s="28">
        <f t="shared" si="0"/>
        <v>5.84</v>
      </c>
      <c r="F34" s="28">
        <f t="shared" si="0"/>
        <v>3.73</v>
      </c>
      <c r="G34" s="28">
        <f t="shared" si="0"/>
        <v>51.29</v>
      </c>
      <c r="H34" s="28">
        <f t="shared" si="0"/>
        <v>14.26</v>
      </c>
      <c r="I34" s="28">
        <f t="shared" si="0"/>
        <v>3.01</v>
      </c>
      <c r="J34" s="28">
        <f t="shared" si="0"/>
        <v>0.24</v>
      </c>
      <c r="K34" s="28">
        <f t="shared" si="0"/>
        <v>111.39</v>
      </c>
      <c r="L34" s="28">
        <f t="shared" si="0"/>
        <v>13.27</v>
      </c>
      <c r="M34" s="28">
        <f t="shared" si="0"/>
        <v>28.14</v>
      </c>
      <c r="N34" s="28">
        <f t="shared" si="0"/>
        <v>25.6</v>
      </c>
      <c r="O34" s="28">
        <f t="shared" si="0"/>
        <v>0</v>
      </c>
      <c r="P34" s="28">
        <f t="shared" si="0"/>
        <v>0.59</v>
      </c>
      <c r="Q34" s="28">
        <f t="shared" si="0"/>
        <v>9.64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104.5</v>
      </c>
      <c r="C35" s="29">
        <f t="shared" si="1"/>
        <v>63.46</v>
      </c>
      <c r="D35" s="29">
        <f t="shared" si="1"/>
        <v>104.72</v>
      </c>
      <c r="E35" s="29">
        <f t="shared" si="1"/>
        <v>21.67</v>
      </c>
      <c r="F35" s="29">
        <f t="shared" si="1"/>
        <v>20.87</v>
      </c>
      <c r="G35" s="29">
        <f t="shared" si="1"/>
        <v>162.51</v>
      </c>
      <c r="H35" s="29">
        <f t="shared" si="1"/>
        <v>142.51</v>
      </c>
      <c r="I35" s="29">
        <f t="shared" si="1"/>
        <v>9.26</v>
      </c>
      <c r="J35" s="29">
        <f t="shared" si="1"/>
        <v>2.11</v>
      </c>
      <c r="K35" s="29">
        <f t="shared" si="1"/>
        <v>357.18</v>
      </c>
      <c r="L35" s="29">
        <f t="shared" si="1"/>
        <v>26.13</v>
      </c>
      <c r="M35" s="29">
        <f t="shared" si="1"/>
        <v>92.89</v>
      </c>
      <c r="N35" s="29">
        <f t="shared" si="1"/>
        <v>644.29999999999995</v>
      </c>
      <c r="O35" s="29">
        <f t="shared" si="1"/>
        <v>0</v>
      </c>
      <c r="P35" s="29">
        <f t="shared" si="1"/>
        <v>1.84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34.822083333333332</v>
      </c>
      <c r="C36" s="28">
        <f t="shared" si="2"/>
        <v>48.362916666666671</v>
      </c>
      <c r="D36" s="28">
        <f t="shared" si="2"/>
        <v>51.085833333333333</v>
      </c>
      <c r="E36" s="28">
        <f t="shared" si="2"/>
        <v>7.8108333333333348</v>
      </c>
      <c r="F36" s="28">
        <f t="shared" si="2"/>
        <v>6.0095833333333344</v>
      </c>
      <c r="G36" s="28">
        <f t="shared" si="2"/>
        <v>107.80363636363637</v>
      </c>
      <c r="H36" s="28">
        <f t="shared" si="2"/>
        <v>63.20863636363638</v>
      </c>
      <c r="I36" s="28">
        <f t="shared" si="2"/>
        <v>6.4612500000000006</v>
      </c>
      <c r="J36" s="28">
        <f t="shared" si="2"/>
        <v>0.85375000000000012</v>
      </c>
      <c r="K36" s="28">
        <f t="shared" si="2"/>
        <v>302.22666666666663</v>
      </c>
      <c r="L36" s="28">
        <f t="shared" si="2"/>
        <v>19.47625</v>
      </c>
      <c r="M36" s="28">
        <f t="shared" si="2"/>
        <v>58.969583333333325</v>
      </c>
      <c r="N36" s="28">
        <f t="shared" si="2"/>
        <v>175.4</v>
      </c>
      <c r="O36" s="28">
        <f t="shared" si="2"/>
        <v>0</v>
      </c>
      <c r="P36" s="28">
        <f t="shared" si="2"/>
        <v>1.1549999999999996</v>
      </c>
      <c r="Q36" s="28">
        <f t="shared" si="2"/>
        <v>9.6583333333333332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26.599514866312667</v>
      </c>
      <c r="C37" s="28">
        <f t="shared" ref="C37:Q37" si="3">STDEV(C9:C32)</f>
        <v>8.8018004478167846</v>
      </c>
      <c r="D37" s="28">
        <f t="shared" si="3"/>
        <v>18.643090319651051</v>
      </c>
      <c r="E37" s="28">
        <f t="shared" si="3"/>
        <v>3.0528317811595769</v>
      </c>
      <c r="F37" s="28">
        <f t="shared" si="3"/>
        <v>3.9463604356933475</v>
      </c>
      <c r="G37" s="28">
        <f t="shared" si="3"/>
        <v>30.754180752642881</v>
      </c>
      <c r="H37" s="28">
        <f t="shared" si="3"/>
        <v>32.886077716501177</v>
      </c>
      <c r="I37" s="28">
        <f t="shared" si="3"/>
        <v>1.5709158572102984</v>
      </c>
      <c r="J37" s="28">
        <f t="shared" si="3"/>
        <v>0.50575653620397554</v>
      </c>
      <c r="K37" s="28">
        <f t="shared" si="3"/>
        <v>86.036073256799</v>
      </c>
      <c r="L37" s="28">
        <f t="shared" si="3"/>
        <v>4.7588889939272345</v>
      </c>
      <c r="M37" s="28">
        <f t="shared" si="3"/>
        <v>22.858521287935847</v>
      </c>
      <c r="N37" s="28">
        <f t="shared" si="3"/>
        <v>228.46502919531773</v>
      </c>
      <c r="O37" s="28">
        <f t="shared" si="3"/>
        <v>0</v>
      </c>
      <c r="P37" s="28">
        <f t="shared" si="3"/>
        <v>0.35014282800023289</v>
      </c>
      <c r="Q37" s="28">
        <f t="shared" si="3"/>
        <v>1.9927404479142416E-2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26" sqref="H2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493</v>
      </c>
      <c r="B9" s="51">
        <v>70.569999999999993</v>
      </c>
      <c r="C9" s="51">
        <v>49.51</v>
      </c>
      <c r="D9" s="51">
        <v>79.31</v>
      </c>
      <c r="E9" s="51">
        <v>7.67</v>
      </c>
      <c r="F9" s="51">
        <v>4.21</v>
      </c>
      <c r="G9" s="51">
        <v>112.52</v>
      </c>
      <c r="H9" s="51">
        <v>57.39</v>
      </c>
      <c r="I9" s="51">
        <v>7.11</v>
      </c>
      <c r="J9" s="51">
        <v>0.86</v>
      </c>
      <c r="K9" s="51">
        <v>338.23</v>
      </c>
      <c r="L9" s="51">
        <v>14.74</v>
      </c>
      <c r="M9" s="51">
        <v>83.75</v>
      </c>
      <c r="N9" s="51">
        <v>25.9</v>
      </c>
      <c r="O9" s="51">
        <v>0</v>
      </c>
      <c r="P9" s="51">
        <v>1.51</v>
      </c>
      <c r="Q9" s="51">
        <v>9.68</v>
      </c>
      <c r="R9" s="43"/>
      <c r="S9" s="43"/>
      <c r="T9" s="43"/>
      <c r="U9" s="43"/>
    </row>
    <row r="10" spans="1:21" s="11" customFormat="1" x14ac:dyDescent="0.25">
      <c r="A10" s="50" t="s">
        <v>494</v>
      </c>
      <c r="B10" s="51">
        <v>68.8</v>
      </c>
      <c r="C10" s="51">
        <v>44.82</v>
      </c>
      <c r="D10" s="51">
        <v>77.22</v>
      </c>
      <c r="E10" s="51">
        <v>7.79</v>
      </c>
      <c r="F10" s="51">
        <v>4.45</v>
      </c>
      <c r="G10" s="51">
        <v>112.14</v>
      </c>
      <c r="H10" s="51">
        <v>54.98</v>
      </c>
      <c r="I10" s="51">
        <v>7.25</v>
      </c>
      <c r="J10" s="51">
        <v>0.72</v>
      </c>
      <c r="K10" s="51">
        <v>344.43</v>
      </c>
      <c r="L10" s="51">
        <v>14.46</v>
      </c>
      <c r="M10" s="51">
        <v>75.63</v>
      </c>
      <c r="N10" s="51">
        <v>25.9</v>
      </c>
      <c r="O10" s="51">
        <v>0</v>
      </c>
      <c r="P10" s="51">
        <v>1.36</v>
      </c>
      <c r="Q10" s="51">
        <v>9.7200000000000006</v>
      </c>
      <c r="R10" s="43"/>
      <c r="S10" s="43"/>
      <c r="T10" s="43"/>
      <c r="U10" s="43"/>
    </row>
    <row r="11" spans="1:21" s="11" customFormat="1" x14ac:dyDescent="0.25">
      <c r="A11" s="50" t="s">
        <v>495</v>
      </c>
      <c r="B11" s="51">
        <v>54.36</v>
      </c>
      <c r="C11" s="51">
        <v>43.73</v>
      </c>
      <c r="D11" s="51">
        <v>65.06</v>
      </c>
      <c r="E11" s="51">
        <v>7.44</v>
      </c>
      <c r="F11" s="51">
        <v>3.98</v>
      </c>
      <c r="G11" s="51">
        <v>114.92</v>
      </c>
      <c r="H11" s="51">
        <v>54.44</v>
      </c>
      <c r="I11" s="51">
        <v>7.05</v>
      </c>
      <c r="J11" s="51">
        <v>0.47</v>
      </c>
      <c r="K11" s="51">
        <v>244.61</v>
      </c>
      <c r="L11" s="51">
        <v>14.43</v>
      </c>
      <c r="M11" s="51">
        <v>69.67</v>
      </c>
      <c r="N11" s="51">
        <v>25.9</v>
      </c>
      <c r="O11" s="51">
        <v>0</v>
      </c>
      <c r="P11" s="51">
        <v>1.28</v>
      </c>
      <c r="Q11" s="51">
        <v>9.75</v>
      </c>
      <c r="R11" s="43"/>
      <c r="S11" s="43"/>
      <c r="T11" s="43"/>
      <c r="U11" s="43"/>
    </row>
    <row r="12" spans="1:21" s="11" customFormat="1" x14ac:dyDescent="0.25">
      <c r="A12" s="50" t="s">
        <v>496</v>
      </c>
      <c r="B12" s="51">
        <v>41.89</v>
      </c>
      <c r="C12" s="51">
        <v>42.69</v>
      </c>
      <c r="D12" s="51">
        <v>54.52</v>
      </c>
      <c r="E12" s="51">
        <v>7.11</v>
      </c>
      <c r="F12" s="51">
        <v>4.3899999999999997</v>
      </c>
      <c r="G12" s="51">
        <v>122.67</v>
      </c>
      <c r="H12" s="51">
        <v>62.53</v>
      </c>
      <c r="I12" s="51">
        <v>6.51</v>
      </c>
      <c r="J12" s="51">
        <v>0.53</v>
      </c>
      <c r="K12" s="51">
        <v>331.72</v>
      </c>
      <c r="L12" s="51">
        <v>14.15</v>
      </c>
      <c r="M12" s="51">
        <v>75.64</v>
      </c>
      <c r="N12" s="51">
        <v>26.1</v>
      </c>
      <c r="O12" s="51">
        <v>0</v>
      </c>
      <c r="P12" s="51">
        <v>1.22</v>
      </c>
      <c r="Q12" s="51">
        <v>9.68</v>
      </c>
      <c r="R12" s="43"/>
      <c r="S12" s="43"/>
      <c r="T12" s="43"/>
      <c r="U12" s="43"/>
    </row>
    <row r="13" spans="1:21" s="11" customFormat="1" x14ac:dyDescent="0.25">
      <c r="A13" s="50" t="s">
        <v>497</v>
      </c>
      <c r="B13" s="51">
        <v>33.31</v>
      </c>
      <c r="C13" s="51">
        <v>39.119999999999997</v>
      </c>
      <c r="D13" s="51">
        <v>45.78</v>
      </c>
      <c r="E13" s="51">
        <v>6.63</v>
      </c>
      <c r="F13" s="51">
        <v>3.84</v>
      </c>
      <c r="G13" s="51">
        <v>121.85</v>
      </c>
      <c r="H13" s="51">
        <v>61.11</v>
      </c>
      <c r="I13" s="51">
        <v>5.94</v>
      </c>
      <c r="J13" s="51">
        <v>0.43</v>
      </c>
      <c r="K13" s="51">
        <v>335.94</v>
      </c>
      <c r="L13" s="51">
        <v>13.31</v>
      </c>
      <c r="M13" s="51">
        <v>92.93</v>
      </c>
      <c r="N13" s="51">
        <v>26</v>
      </c>
      <c r="O13" s="51">
        <v>0</v>
      </c>
      <c r="P13" s="51">
        <v>1.1100000000000001</v>
      </c>
      <c r="Q13" s="51">
        <v>9.66</v>
      </c>
      <c r="R13" s="43"/>
      <c r="S13" s="43"/>
      <c r="T13" s="43"/>
      <c r="U13" s="43"/>
    </row>
    <row r="14" spans="1:21" s="11" customFormat="1" x14ac:dyDescent="0.25">
      <c r="A14" s="50" t="s">
        <v>498</v>
      </c>
      <c r="B14" s="51">
        <v>30.17</v>
      </c>
      <c r="C14" s="51">
        <v>35.89</v>
      </c>
      <c r="D14" s="51">
        <v>41.45</v>
      </c>
      <c r="E14" s="51">
        <v>6.81</v>
      </c>
      <c r="F14" s="51">
        <v>3.98</v>
      </c>
      <c r="G14" s="51">
        <v>119.46</v>
      </c>
      <c r="H14" s="51">
        <v>52.94</v>
      </c>
      <c r="I14" s="51">
        <v>5.74</v>
      </c>
      <c r="J14" s="51">
        <v>0.55000000000000004</v>
      </c>
      <c r="K14" s="51">
        <v>353.86</v>
      </c>
      <c r="L14" s="51">
        <v>12.29</v>
      </c>
      <c r="M14" s="51">
        <v>97.9</v>
      </c>
      <c r="N14" s="51">
        <v>26</v>
      </c>
      <c r="O14" s="51">
        <v>0</v>
      </c>
      <c r="P14" s="51">
        <v>1.03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499</v>
      </c>
      <c r="B15" s="51">
        <v>35.92</v>
      </c>
      <c r="C15" s="51">
        <v>35.26</v>
      </c>
      <c r="D15" s="51">
        <v>45.85</v>
      </c>
      <c r="E15" s="51">
        <v>7.05</v>
      </c>
      <c r="F15" s="51">
        <v>4.2300000000000004</v>
      </c>
      <c r="G15" s="51">
        <v>117.62</v>
      </c>
      <c r="H15" s="51">
        <v>46.75</v>
      </c>
      <c r="I15" s="51">
        <v>5.55</v>
      </c>
      <c r="J15" s="51">
        <v>0.42</v>
      </c>
      <c r="K15" s="51">
        <v>334.27</v>
      </c>
      <c r="L15" s="51">
        <v>12.3</v>
      </c>
      <c r="M15" s="51">
        <v>98.06</v>
      </c>
      <c r="N15" s="51">
        <v>57.3</v>
      </c>
      <c r="O15" s="51">
        <v>0</v>
      </c>
      <c r="P15" s="51">
        <v>0.98</v>
      </c>
      <c r="Q15" s="51">
        <v>9.66</v>
      </c>
      <c r="R15" s="43"/>
      <c r="S15" s="43"/>
      <c r="T15" s="43"/>
      <c r="U15" s="43"/>
    </row>
    <row r="16" spans="1:21" s="11" customFormat="1" x14ac:dyDescent="0.25">
      <c r="A16" s="50" t="s">
        <v>500</v>
      </c>
      <c r="B16" s="51">
        <v>49.94</v>
      </c>
      <c r="C16" s="51">
        <v>36.200000000000003</v>
      </c>
      <c r="D16" s="51">
        <v>57.1</v>
      </c>
      <c r="E16" s="51">
        <v>7.92</v>
      </c>
      <c r="F16" s="51">
        <v>4.24</v>
      </c>
      <c r="G16" s="51">
        <v>111.49</v>
      </c>
      <c r="H16" s="51">
        <v>54.04</v>
      </c>
      <c r="I16" s="51">
        <v>5.35</v>
      </c>
      <c r="J16" s="51">
        <v>0.94</v>
      </c>
      <c r="K16" s="51">
        <v>356.79</v>
      </c>
      <c r="L16" s="51">
        <v>17.809999999999999</v>
      </c>
      <c r="M16" s="51">
        <v>90.6</v>
      </c>
      <c r="N16" s="51">
        <v>195.3</v>
      </c>
      <c r="O16" s="51">
        <v>0</v>
      </c>
      <c r="P16" s="51">
        <v>1.1200000000000001</v>
      </c>
      <c r="Q16" s="51">
        <v>9.67</v>
      </c>
      <c r="R16" s="43"/>
      <c r="S16" s="43"/>
      <c r="T16" s="43"/>
      <c r="U16" s="43"/>
    </row>
    <row r="17" spans="1:21" s="11" customFormat="1" x14ac:dyDescent="0.25">
      <c r="A17" s="50" t="s">
        <v>501</v>
      </c>
      <c r="B17" s="51">
        <v>51.73</v>
      </c>
      <c r="C17" s="51">
        <v>41.19</v>
      </c>
      <c r="D17" s="51">
        <v>60.34</v>
      </c>
      <c r="E17" s="51">
        <v>6.57</v>
      </c>
      <c r="F17" s="51">
        <v>3.93</v>
      </c>
      <c r="G17" s="51">
        <v>133.43</v>
      </c>
      <c r="H17" s="51">
        <v>54.01</v>
      </c>
      <c r="I17" s="51">
        <v>5.73</v>
      </c>
      <c r="J17" s="51">
        <v>1.05</v>
      </c>
      <c r="K17" s="51">
        <v>346.12</v>
      </c>
      <c r="L17" s="51">
        <v>23.18</v>
      </c>
      <c r="M17" s="51">
        <v>55.76</v>
      </c>
      <c r="N17" s="51">
        <v>341</v>
      </c>
      <c r="O17" s="51">
        <v>0</v>
      </c>
      <c r="P17" s="51">
        <v>1.1399999999999999</v>
      </c>
      <c r="Q17" s="51">
        <v>9.66</v>
      </c>
      <c r="R17" s="43"/>
      <c r="S17" s="43"/>
      <c r="T17" s="43"/>
      <c r="U17" s="43"/>
    </row>
    <row r="18" spans="1:21" s="11" customFormat="1" x14ac:dyDescent="0.25">
      <c r="A18" s="50" t="s">
        <v>502</v>
      </c>
      <c r="B18" s="51">
        <v>47.53</v>
      </c>
      <c r="C18" s="51">
        <v>49.02</v>
      </c>
      <c r="D18" s="51">
        <v>59.19</v>
      </c>
      <c r="E18" s="51">
        <v>6.75</v>
      </c>
      <c r="F18" s="51">
        <v>4.41</v>
      </c>
      <c r="G18" s="51">
        <v>134.59</v>
      </c>
      <c r="H18" s="51">
        <v>71.94</v>
      </c>
      <c r="I18" s="51">
        <v>6.14</v>
      </c>
      <c r="J18" s="51">
        <v>1.24</v>
      </c>
      <c r="K18" s="51">
        <v>343.57</v>
      </c>
      <c r="L18" s="51">
        <v>25.06</v>
      </c>
      <c r="M18" s="51">
        <v>42.57</v>
      </c>
      <c r="N18" s="51">
        <v>467.8</v>
      </c>
      <c r="O18" s="51">
        <v>0</v>
      </c>
      <c r="P18" s="51">
        <v>1.1299999999999999</v>
      </c>
      <c r="Q18" s="51">
        <v>9.68</v>
      </c>
      <c r="R18" s="43"/>
      <c r="S18" s="43"/>
      <c r="T18" s="43"/>
      <c r="U18" s="43"/>
    </row>
    <row r="19" spans="1:21" s="11" customFormat="1" x14ac:dyDescent="0.25">
      <c r="A19" s="50" t="s">
        <v>503</v>
      </c>
      <c r="B19" s="51">
        <v>35.86</v>
      </c>
      <c r="C19" s="51">
        <v>52.31</v>
      </c>
      <c r="D19" s="51">
        <v>53.5</v>
      </c>
      <c r="E19" s="51">
        <v>5.89</v>
      </c>
      <c r="F19" s="51">
        <v>4.5199999999999996</v>
      </c>
      <c r="G19" s="51">
        <v>132.46</v>
      </c>
      <c r="H19" s="51">
        <v>74.489999999999995</v>
      </c>
      <c r="I19" s="51">
        <v>6.61</v>
      </c>
      <c r="J19" s="51">
        <v>1.1000000000000001</v>
      </c>
      <c r="K19" s="51">
        <v>121.31</v>
      </c>
      <c r="L19" s="51">
        <v>24.45</v>
      </c>
      <c r="M19" s="51">
        <v>42.58</v>
      </c>
      <c r="N19" s="51">
        <v>575.20000000000005</v>
      </c>
      <c r="O19" s="51">
        <v>0</v>
      </c>
      <c r="P19" s="51">
        <v>1.1100000000000001</v>
      </c>
      <c r="Q19" s="51">
        <v>9.68</v>
      </c>
      <c r="R19" s="43"/>
      <c r="S19" s="43"/>
      <c r="T19" s="43"/>
      <c r="U19" s="43"/>
    </row>
    <row r="20" spans="1:21" s="11" customFormat="1" x14ac:dyDescent="0.25">
      <c r="A20" s="50" t="s">
        <v>504</v>
      </c>
      <c r="B20" s="51">
        <v>21.21</v>
      </c>
      <c r="C20" s="51">
        <v>53.02</v>
      </c>
      <c r="D20" s="51">
        <v>43.34</v>
      </c>
      <c r="E20" s="51">
        <v>5.68</v>
      </c>
      <c r="F20" s="51">
        <v>4.6399999999999997</v>
      </c>
      <c r="G20" s="51">
        <v>116.84</v>
      </c>
      <c r="H20" s="51">
        <v>70.05</v>
      </c>
      <c r="I20" s="51">
        <v>7.73</v>
      </c>
      <c r="J20" s="51">
        <v>0.98</v>
      </c>
      <c r="K20" s="51">
        <v>351.39</v>
      </c>
      <c r="L20" s="51">
        <v>25.84</v>
      </c>
      <c r="M20" s="51">
        <v>38.299999999999997</v>
      </c>
      <c r="N20" s="51">
        <v>591.4</v>
      </c>
      <c r="O20" s="51">
        <v>0</v>
      </c>
      <c r="P20" s="51">
        <v>1</v>
      </c>
      <c r="Q20" s="51">
        <v>9.65</v>
      </c>
      <c r="R20" s="43"/>
      <c r="S20" s="43"/>
      <c r="T20" s="43"/>
      <c r="U20" s="43"/>
    </row>
    <row r="21" spans="1:21" s="11" customFormat="1" x14ac:dyDescent="0.25">
      <c r="A21" s="50" t="s">
        <v>505</v>
      </c>
      <c r="B21" s="51">
        <v>10.72</v>
      </c>
      <c r="C21" s="51">
        <v>50.26</v>
      </c>
      <c r="D21" s="51">
        <v>33.479999999999997</v>
      </c>
      <c r="E21" s="51">
        <v>5.04</v>
      </c>
      <c r="F21" s="51">
        <v>4.87</v>
      </c>
      <c r="G21" s="51">
        <v>102.26</v>
      </c>
      <c r="H21" s="51">
        <v>46.22</v>
      </c>
      <c r="I21" s="51">
        <v>7.64</v>
      </c>
      <c r="J21" s="51">
        <v>1.17</v>
      </c>
      <c r="K21" s="51">
        <v>345</v>
      </c>
      <c r="L21" s="51">
        <v>26.31</v>
      </c>
      <c r="M21" s="51">
        <v>35</v>
      </c>
      <c r="N21" s="51">
        <v>529.6</v>
      </c>
      <c r="O21" s="51">
        <v>0</v>
      </c>
      <c r="P21" s="51">
        <v>0.87</v>
      </c>
      <c r="Q21" s="51">
        <v>9.66</v>
      </c>
      <c r="R21" s="43"/>
      <c r="S21" s="43"/>
      <c r="T21" s="43"/>
      <c r="U21" s="43"/>
    </row>
    <row r="22" spans="1:21" s="11" customFormat="1" x14ac:dyDescent="0.25">
      <c r="A22" s="50" t="s">
        <v>506</v>
      </c>
      <c r="B22" s="51">
        <v>6.86</v>
      </c>
      <c r="C22" s="51">
        <v>45.89</v>
      </c>
      <c r="D22" s="51">
        <v>28.1</v>
      </c>
      <c r="E22" s="51">
        <v>5.23</v>
      </c>
      <c r="F22" s="51">
        <v>6.22</v>
      </c>
      <c r="G22" s="51">
        <v>82.92</v>
      </c>
      <c r="H22" s="51">
        <v>39.39</v>
      </c>
      <c r="I22" s="51">
        <v>5.6</v>
      </c>
      <c r="J22" s="51">
        <v>1.26</v>
      </c>
      <c r="K22" s="51">
        <v>358.87</v>
      </c>
      <c r="L22" s="51">
        <v>24.99</v>
      </c>
      <c r="M22" s="51">
        <v>34.26</v>
      </c>
      <c r="N22" s="51">
        <v>425.4</v>
      </c>
      <c r="O22" s="51">
        <v>0</v>
      </c>
      <c r="P22" s="51">
        <v>0.76</v>
      </c>
      <c r="Q22" s="51">
        <v>9.64</v>
      </c>
      <c r="R22" s="43"/>
      <c r="S22" s="43"/>
      <c r="T22" s="43"/>
      <c r="U22" s="43"/>
    </row>
    <row r="23" spans="1:21" s="11" customFormat="1" x14ac:dyDescent="0.25">
      <c r="A23" s="50" t="s">
        <v>507</v>
      </c>
      <c r="B23" s="51">
        <v>4.47</v>
      </c>
      <c r="C23" s="51">
        <v>45.89</v>
      </c>
      <c r="D23" s="51">
        <v>25.94</v>
      </c>
      <c r="E23" s="51">
        <v>5.54</v>
      </c>
      <c r="F23" s="51">
        <v>5.56</v>
      </c>
      <c r="G23" s="51">
        <v>75.05</v>
      </c>
      <c r="H23" s="51">
        <v>34.33</v>
      </c>
      <c r="I23" s="51">
        <v>6.8</v>
      </c>
      <c r="J23" s="51">
        <v>1.1000000000000001</v>
      </c>
      <c r="K23" s="51">
        <v>349.93</v>
      </c>
      <c r="L23" s="51">
        <v>24.56</v>
      </c>
      <c r="M23" s="51">
        <v>33.9</v>
      </c>
      <c r="N23" s="51">
        <v>147.80000000000001</v>
      </c>
      <c r="O23" s="51">
        <v>0</v>
      </c>
      <c r="P23" s="51">
        <v>0.75</v>
      </c>
      <c r="Q23" s="51">
        <v>9.64</v>
      </c>
      <c r="R23" s="43"/>
      <c r="S23" s="43"/>
      <c r="T23" s="43"/>
      <c r="U23" s="43"/>
    </row>
    <row r="24" spans="1:21" s="11" customFormat="1" x14ac:dyDescent="0.25">
      <c r="A24" s="50" t="s">
        <v>508</v>
      </c>
      <c r="B24" s="51">
        <v>4.03</v>
      </c>
      <c r="C24" s="51">
        <v>54.55</v>
      </c>
      <c r="D24" s="51">
        <v>29.39</v>
      </c>
      <c r="E24" s="51">
        <v>9.3800000000000008</v>
      </c>
      <c r="F24" s="51">
        <v>17.25</v>
      </c>
      <c r="G24" s="51">
        <v>67.489999999999995</v>
      </c>
      <c r="H24" s="51">
        <v>27.17</v>
      </c>
      <c r="I24" s="51">
        <v>6.11</v>
      </c>
      <c r="J24" s="51">
        <v>2.17</v>
      </c>
      <c r="K24" s="51">
        <v>343.69</v>
      </c>
      <c r="L24" s="51">
        <v>23.51</v>
      </c>
      <c r="M24" s="51">
        <v>35.96</v>
      </c>
      <c r="N24" s="51">
        <v>100.9</v>
      </c>
      <c r="O24" s="51">
        <v>0</v>
      </c>
      <c r="P24" s="51">
        <v>0.76</v>
      </c>
      <c r="Q24" s="51">
        <v>9.65</v>
      </c>
      <c r="R24" s="43"/>
      <c r="S24" s="43"/>
      <c r="T24" s="43"/>
      <c r="U24" s="43"/>
    </row>
    <row r="25" spans="1:21" s="11" customFormat="1" x14ac:dyDescent="0.25">
      <c r="A25" s="50" t="s">
        <v>509</v>
      </c>
      <c r="B25" s="51">
        <v>12.58</v>
      </c>
      <c r="C25" s="51">
        <v>52.12</v>
      </c>
      <c r="D25" s="51">
        <v>35.65</v>
      </c>
      <c r="E25" s="51">
        <v>45.65</v>
      </c>
      <c r="F25" s="51">
        <v>10.49</v>
      </c>
      <c r="G25" s="51">
        <v>26.54</v>
      </c>
      <c r="H25" s="51">
        <v>5.12</v>
      </c>
      <c r="I25" s="51">
        <v>4.83</v>
      </c>
      <c r="J25" s="51">
        <v>2.25</v>
      </c>
      <c r="K25" s="51">
        <v>344.19</v>
      </c>
      <c r="L25" s="51">
        <v>22.5</v>
      </c>
      <c r="M25" s="51">
        <v>37.14</v>
      </c>
      <c r="N25" s="51">
        <v>63.1</v>
      </c>
      <c r="O25" s="51">
        <v>0</v>
      </c>
      <c r="P25" s="51">
        <v>0.82</v>
      </c>
      <c r="Q25" s="51">
        <v>9.6300000000000008</v>
      </c>
      <c r="R25" s="43"/>
      <c r="S25" s="43"/>
      <c r="T25" s="43"/>
      <c r="U25" s="43"/>
    </row>
    <row r="26" spans="1:21" s="11" customFormat="1" x14ac:dyDescent="0.25">
      <c r="A26" s="50" t="s">
        <v>510</v>
      </c>
      <c r="B26" s="51">
        <v>15.03</v>
      </c>
      <c r="C26" s="51">
        <v>113.8</v>
      </c>
      <c r="D26" s="51">
        <v>66.819999999999993</v>
      </c>
      <c r="E26" s="51">
        <v>53.98</v>
      </c>
      <c r="F26" s="51">
        <v>15.43</v>
      </c>
      <c r="G26" s="51">
        <v>70.61</v>
      </c>
      <c r="H26" s="51">
        <v>27.8</v>
      </c>
      <c r="I26" s="51">
        <v>4.2</v>
      </c>
      <c r="J26" s="51">
        <v>1.61</v>
      </c>
      <c r="K26" s="51">
        <v>345.89</v>
      </c>
      <c r="L26" s="51">
        <v>21.18</v>
      </c>
      <c r="M26" s="51">
        <v>46.35</v>
      </c>
      <c r="N26" s="51">
        <v>36</v>
      </c>
      <c r="O26" s="51">
        <v>0</v>
      </c>
      <c r="P26" s="51">
        <v>1.31</v>
      </c>
      <c r="Q26" s="51">
        <v>9.92</v>
      </c>
      <c r="R26" s="43"/>
      <c r="S26" s="43"/>
      <c r="T26" s="43"/>
      <c r="U26" s="43"/>
    </row>
    <row r="27" spans="1:21" s="11" customFormat="1" x14ac:dyDescent="0.25">
      <c r="A27" s="50" t="s">
        <v>511</v>
      </c>
      <c r="B27" s="51">
        <v>13.76</v>
      </c>
      <c r="C27" s="51">
        <v>87.93</v>
      </c>
      <c r="D27" s="51">
        <v>51.5</v>
      </c>
      <c r="E27" s="51">
        <v>17.84</v>
      </c>
      <c r="F27" s="51">
        <v>5.9</v>
      </c>
      <c r="G27" s="51">
        <v>99.55</v>
      </c>
      <c r="H27" s="51">
        <v>35.39</v>
      </c>
      <c r="I27" s="51">
        <v>5.01</v>
      </c>
      <c r="J27" s="51">
        <v>1.1599999999999999</v>
      </c>
      <c r="K27" s="51">
        <v>355.81</v>
      </c>
      <c r="L27" s="51">
        <v>19.22</v>
      </c>
      <c r="M27" s="51">
        <v>50.27</v>
      </c>
      <c r="N27" s="51">
        <v>30.3</v>
      </c>
      <c r="O27" s="51">
        <v>0</v>
      </c>
      <c r="P27" s="51">
        <v>1.35</v>
      </c>
      <c r="Q27" s="51">
        <v>8.66</v>
      </c>
      <c r="R27" s="43"/>
      <c r="S27" s="43"/>
      <c r="T27" s="43"/>
      <c r="U27" s="43"/>
    </row>
    <row r="28" spans="1:21" s="11" customFormat="1" x14ac:dyDescent="0.25">
      <c r="A28" s="50" t="s">
        <v>512</v>
      </c>
      <c r="B28" s="51">
        <v>16.149999999999999</v>
      </c>
      <c r="C28" s="51">
        <v>66.63</v>
      </c>
      <c r="D28" s="51">
        <v>43.98</v>
      </c>
      <c r="E28" s="51">
        <v>10.28</v>
      </c>
      <c r="F28" s="51">
        <v>5.14</v>
      </c>
      <c r="G28" s="51">
        <v>104.11</v>
      </c>
      <c r="H28" s="51">
        <v>40.96</v>
      </c>
      <c r="I28" s="51">
        <v>5.16</v>
      </c>
      <c r="J28" s="51">
        <v>0.78</v>
      </c>
      <c r="K28" s="51">
        <v>320.64999999999998</v>
      </c>
      <c r="L28" s="51">
        <v>18.25</v>
      </c>
      <c r="M28" s="51">
        <v>63.74</v>
      </c>
      <c r="N28" s="51">
        <v>30.5</v>
      </c>
      <c r="O28" s="51">
        <v>0</v>
      </c>
      <c r="P28" s="51">
        <v>1.36</v>
      </c>
      <c r="Q28" s="51">
        <v>8.5500000000000007</v>
      </c>
      <c r="R28" s="43"/>
      <c r="S28" s="43"/>
      <c r="T28" s="43"/>
      <c r="U28" s="43"/>
    </row>
    <row r="29" spans="1:21" s="11" customFormat="1" x14ac:dyDescent="0.25">
      <c r="A29" s="50" t="s">
        <v>513</v>
      </c>
      <c r="B29" s="51">
        <v>22.54</v>
      </c>
      <c r="C29" s="51">
        <v>56.62</v>
      </c>
      <c r="D29" s="51">
        <v>43.01</v>
      </c>
      <c r="E29" s="51">
        <v>8.6300000000000008</v>
      </c>
      <c r="F29" s="51">
        <v>4.1399999999999997</v>
      </c>
      <c r="G29" s="51">
        <v>105.6</v>
      </c>
      <c r="H29" s="51">
        <v>42.43</v>
      </c>
      <c r="I29" s="51">
        <v>7.33</v>
      </c>
      <c r="J29" s="51">
        <v>1.08</v>
      </c>
      <c r="K29" s="51">
        <v>318.24</v>
      </c>
      <c r="L29" s="51">
        <v>17.14</v>
      </c>
      <c r="M29" s="51">
        <v>65.34</v>
      </c>
      <c r="N29" s="51">
        <v>30.3</v>
      </c>
      <c r="O29" s="51">
        <v>0</v>
      </c>
      <c r="P29" s="51">
        <v>1.83</v>
      </c>
      <c r="Q29" s="51">
        <v>8.64</v>
      </c>
      <c r="R29" s="43"/>
      <c r="S29" s="43"/>
      <c r="T29" s="43"/>
      <c r="U29" s="43"/>
    </row>
    <row r="30" spans="1:21" s="11" customFormat="1" x14ac:dyDescent="0.25">
      <c r="A30" s="50" t="s">
        <v>514</v>
      </c>
      <c r="B30" s="51">
        <v>25.97</v>
      </c>
      <c r="C30" s="51">
        <v>48.87</v>
      </c>
      <c r="D30" s="51">
        <v>43.42</v>
      </c>
      <c r="E30" s="51">
        <v>8.18</v>
      </c>
      <c r="F30" s="51">
        <v>4</v>
      </c>
      <c r="G30" s="51">
        <v>104</v>
      </c>
      <c r="H30" s="51">
        <v>42.77</v>
      </c>
      <c r="I30" s="51">
        <v>6.06</v>
      </c>
      <c r="J30" s="51">
        <v>0.65</v>
      </c>
      <c r="K30" s="51">
        <v>322.97000000000003</v>
      </c>
      <c r="L30" s="51">
        <v>17.25</v>
      </c>
      <c r="M30" s="51">
        <v>62.1</v>
      </c>
      <c r="N30" s="51">
        <v>30.4</v>
      </c>
      <c r="O30" s="51">
        <v>0</v>
      </c>
      <c r="P30" s="51">
        <v>1.52</v>
      </c>
      <c r="Q30" s="51">
        <v>8.93</v>
      </c>
      <c r="R30" s="43"/>
      <c r="S30" s="43"/>
      <c r="T30" s="43"/>
      <c r="U30" s="43"/>
    </row>
    <row r="31" spans="1:21" s="11" customFormat="1" x14ac:dyDescent="0.25">
      <c r="A31" s="50" t="s">
        <v>515</v>
      </c>
      <c r="B31" s="51">
        <v>27.76</v>
      </c>
      <c r="C31" s="51">
        <v>48.05</v>
      </c>
      <c r="D31" s="51">
        <v>45.99</v>
      </c>
      <c r="E31" s="51">
        <v>7.92</v>
      </c>
      <c r="F31" s="51">
        <v>4</v>
      </c>
      <c r="G31" s="51">
        <v>104.57</v>
      </c>
      <c r="H31" s="51">
        <v>47.29</v>
      </c>
      <c r="I31" s="51">
        <v>6.3</v>
      </c>
      <c r="J31" s="51">
        <v>1.01</v>
      </c>
      <c r="K31" s="51">
        <v>321.42</v>
      </c>
      <c r="L31" s="51">
        <v>16.73</v>
      </c>
      <c r="M31" s="51">
        <v>68.83</v>
      </c>
      <c r="N31" s="51">
        <v>30.7</v>
      </c>
      <c r="O31" s="51">
        <v>0</v>
      </c>
      <c r="P31" s="51">
        <v>1.48</v>
      </c>
      <c r="Q31" s="51">
        <v>8.9700000000000006</v>
      </c>
      <c r="R31" s="43"/>
      <c r="S31" s="43"/>
      <c r="T31" s="43"/>
      <c r="U31" s="43"/>
    </row>
    <row r="32" spans="1:21" s="11" customFormat="1" x14ac:dyDescent="0.25">
      <c r="A32" s="50" t="s">
        <v>516</v>
      </c>
      <c r="B32" s="51">
        <v>46.7</v>
      </c>
      <c r="C32" s="51">
        <v>50.85</v>
      </c>
      <c r="D32" s="51">
        <v>62.64</v>
      </c>
      <c r="E32" s="51">
        <v>7.82</v>
      </c>
      <c r="F32" s="51">
        <v>4.0199999999999996</v>
      </c>
      <c r="G32" s="51">
        <v>102.36</v>
      </c>
      <c r="H32" s="51">
        <v>48.12</v>
      </c>
      <c r="I32" s="51">
        <v>6.27</v>
      </c>
      <c r="J32" s="51">
        <v>1.1100000000000001</v>
      </c>
      <c r="K32" s="51">
        <v>342.68</v>
      </c>
      <c r="L32" s="51">
        <v>14.99</v>
      </c>
      <c r="M32" s="51">
        <v>83.08</v>
      </c>
      <c r="N32" s="51">
        <v>30.6</v>
      </c>
      <c r="O32" s="51">
        <v>0</v>
      </c>
      <c r="P32" s="51">
        <v>1.47</v>
      </c>
      <c r="Q32" s="51">
        <v>9.7799999999999994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4.03</v>
      </c>
      <c r="C34" s="28">
        <f t="shared" si="0"/>
        <v>35.26</v>
      </c>
      <c r="D34" s="28">
        <f t="shared" si="0"/>
        <v>25.94</v>
      </c>
      <c r="E34" s="28">
        <f t="shared" si="0"/>
        <v>5.04</v>
      </c>
      <c r="F34" s="28">
        <f t="shared" si="0"/>
        <v>3.84</v>
      </c>
      <c r="G34" s="28">
        <f t="shared" si="0"/>
        <v>26.54</v>
      </c>
      <c r="H34" s="28">
        <f t="shared" si="0"/>
        <v>5.12</v>
      </c>
      <c r="I34" s="28">
        <f t="shared" si="0"/>
        <v>4.2</v>
      </c>
      <c r="J34" s="28">
        <f t="shared" si="0"/>
        <v>0.42</v>
      </c>
      <c r="K34" s="28">
        <f t="shared" si="0"/>
        <v>121.31</v>
      </c>
      <c r="L34" s="28">
        <f t="shared" si="0"/>
        <v>12.29</v>
      </c>
      <c r="M34" s="28">
        <f t="shared" si="0"/>
        <v>33.9</v>
      </c>
      <c r="N34" s="28">
        <f t="shared" si="0"/>
        <v>25.9</v>
      </c>
      <c r="O34" s="28">
        <f t="shared" si="0"/>
        <v>0</v>
      </c>
      <c r="P34" s="28">
        <f t="shared" si="0"/>
        <v>0.75</v>
      </c>
      <c r="Q34" s="28">
        <f t="shared" si="0"/>
        <v>8.5500000000000007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70.569999999999993</v>
      </c>
      <c r="C35" s="29">
        <f t="shared" si="1"/>
        <v>113.8</v>
      </c>
      <c r="D35" s="29">
        <f t="shared" si="1"/>
        <v>79.31</v>
      </c>
      <c r="E35" s="29">
        <f t="shared" si="1"/>
        <v>53.98</v>
      </c>
      <c r="F35" s="29">
        <f t="shared" si="1"/>
        <v>17.25</v>
      </c>
      <c r="G35" s="29">
        <f t="shared" si="1"/>
        <v>134.59</v>
      </c>
      <c r="H35" s="29">
        <f t="shared" si="1"/>
        <v>74.489999999999995</v>
      </c>
      <c r="I35" s="29">
        <f t="shared" si="1"/>
        <v>7.73</v>
      </c>
      <c r="J35" s="29">
        <f t="shared" si="1"/>
        <v>2.25</v>
      </c>
      <c r="K35" s="29">
        <f t="shared" si="1"/>
        <v>358.87</v>
      </c>
      <c r="L35" s="29">
        <f t="shared" si="1"/>
        <v>26.31</v>
      </c>
      <c r="M35" s="29">
        <f t="shared" si="1"/>
        <v>98.06</v>
      </c>
      <c r="N35" s="29">
        <f t="shared" si="1"/>
        <v>591.4</v>
      </c>
      <c r="O35" s="29">
        <f t="shared" si="1"/>
        <v>0</v>
      </c>
      <c r="P35" s="29">
        <f t="shared" si="1"/>
        <v>1.83</v>
      </c>
      <c r="Q35" s="29">
        <f t="shared" si="1"/>
        <v>9.92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31.16083333333334</v>
      </c>
      <c r="C36" s="28">
        <f t="shared" si="2"/>
        <v>51.84249999999998</v>
      </c>
      <c r="D36" s="28">
        <f t="shared" si="2"/>
        <v>49.690833333333337</v>
      </c>
      <c r="E36" s="28">
        <f t="shared" si="2"/>
        <v>11.200000000000001</v>
      </c>
      <c r="F36" s="28">
        <f t="shared" si="2"/>
        <v>5.7433333333333332</v>
      </c>
      <c r="G36" s="28">
        <f t="shared" si="2"/>
        <v>103.96041666666667</v>
      </c>
      <c r="H36" s="28">
        <f t="shared" si="2"/>
        <v>47.985833333333325</v>
      </c>
      <c r="I36" s="28">
        <f t="shared" si="2"/>
        <v>6.1675000000000013</v>
      </c>
      <c r="J36" s="28">
        <f t="shared" si="2"/>
        <v>1.0266666666666668</v>
      </c>
      <c r="K36" s="28">
        <f t="shared" si="2"/>
        <v>327.98250000000002</v>
      </c>
      <c r="L36" s="28">
        <f t="shared" si="2"/>
        <v>19.110416666666666</v>
      </c>
      <c r="M36" s="28">
        <f t="shared" si="2"/>
        <v>61.639999999999986</v>
      </c>
      <c r="N36" s="28">
        <f t="shared" si="2"/>
        <v>161.22500000000002</v>
      </c>
      <c r="O36" s="28">
        <f t="shared" si="2"/>
        <v>0</v>
      </c>
      <c r="P36" s="28">
        <f t="shared" si="2"/>
        <v>1.1779166666666665</v>
      </c>
      <c r="Q36" s="28">
        <f t="shared" si="2"/>
        <v>9.4916666666666671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19.51683284994656</v>
      </c>
      <c r="C37" s="28">
        <f t="shared" ref="C37:Q37" si="3">STDEV(C9:C32)</f>
        <v>17.132362016396687</v>
      </c>
      <c r="D37" s="28">
        <f t="shared" si="3"/>
        <v>14.450775191081906</v>
      </c>
      <c r="E37" s="28">
        <f t="shared" si="3"/>
        <v>12.214937398618702</v>
      </c>
      <c r="F37" s="28">
        <f t="shared" si="3"/>
        <v>3.5497919922730383</v>
      </c>
      <c r="G37" s="28">
        <f t="shared" si="3"/>
        <v>24.620057125488493</v>
      </c>
      <c r="H37" s="28">
        <f t="shared" si="3"/>
        <v>15.650018729441969</v>
      </c>
      <c r="I37" s="28">
        <f t="shared" si="3"/>
        <v>0.91768257276021359</v>
      </c>
      <c r="J37" s="28">
        <f t="shared" si="3"/>
        <v>0.4729984526738788</v>
      </c>
      <c r="K37" s="28">
        <f t="shared" si="3"/>
        <v>49.580365437908384</v>
      </c>
      <c r="L37" s="28">
        <f t="shared" si="3"/>
        <v>4.7694804011654703</v>
      </c>
      <c r="M37" s="28">
        <f t="shared" si="3"/>
        <v>21.960040389604139</v>
      </c>
      <c r="N37" s="28">
        <f t="shared" si="3"/>
        <v>202.3414962061824</v>
      </c>
      <c r="O37" s="28">
        <f t="shared" si="3"/>
        <v>0</v>
      </c>
      <c r="P37" s="28">
        <f t="shared" si="3"/>
        <v>0.28122371052654754</v>
      </c>
      <c r="Q37" s="28">
        <f t="shared" si="3"/>
        <v>0.40103850695160298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517</v>
      </c>
      <c r="B9" s="51">
        <v>51.52</v>
      </c>
      <c r="C9" s="51">
        <v>50.89</v>
      </c>
      <c r="D9" s="51">
        <v>65.89</v>
      </c>
      <c r="E9" s="51">
        <v>6.5</v>
      </c>
      <c r="F9" s="51">
        <v>4</v>
      </c>
      <c r="G9" s="51">
        <v>111.89</v>
      </c>
      <c r="H9" s="51">
        <v>51.45</v>
      </c>
      <c r="I9" s="51">
        <v>6.16</v>
      </c>
      <c r="J9" s="51">
        <v>1.1399999999999999</v>
      </c>
      <c r="K9" s="51">
        <v>333.67</v>
      </c>
      <c r="L9" s="51">
        <v>14.22</v>
      </c>
      <c r="M9" s="51">
        <v>85.64</v>
      </c>
      <c r="N9" s="51">
        <v>30.6</v>
      </c>
      <c r="O9" s="51">
        <v>0</v>
      </c>
      <c r="P9" s="51">
        <v>1.46</v>
      </c>
      <c r="Q9" s="51">
        <v>9.8699999999999992</v>
      </c>
      <c r="R9" s="43"/>
      <c r="S9" s="43"/>
      <c r="T9" s="43"/>
      <c r="U9" s="43"/>
    </row>
    <row r="10" spans="1:21" s="11" customFormat="1" x14ac:dyDescent="0.25">
      <c r="A10" s="50" t="s">
        <v>518</v>
      </c>
      <c r="B10" s="51">
        <v>47.42</v>
      </c>
      <c r="C10" s="51">
        <v>44.38</v>
      </c>
      <c r="D10" s="51">
        <v>59.84</v>
      </c>
      <c r="E10" s="51">
        <v>7.03</v>
      </c>
      <c r="F10" s="51">
        <v>3.85</v>
      </c>
      <c r="G10" s="51">
        <v>107.61</v>
      </c>
      <c r="H10" s="51">
        <v>48.1</v>
      </c>
      <c r="I10" s="51">
        <v>6.15</v>
      </c>
      <c r="J10" s="51">
        <v>0.96</v>
      </c>
      <c r="K10" s="51">
        <v>339.62</v>
      </c>
      <c r="L10" s="51">
        <v>14.16</v>
      </c>
      <c r="M10" s="51">
        <v>87.08</v>
      </c>
      <c r="N10" s="51">
        <v>30.7</v>
      </c>
      <c r="O10" s="51">
        <v>0</v>
      </c>
      <c r="P10" s="51">
        <v>1.31</v>
      </c>
      <c r="Q10" s="51">
        <v>10.210000000000001</v>
      </c>
      <c r="R10" s="43"/>
      <c r="S10" s="43"/>
      <c r="T10" s="43"/>
      <c r="U10" s="43"/>
    </row>
    <row r="11" spans="1:21" s="11" customFormat="1" x14ac:dyDescent="0.25">
      <c r="A11" s="50" t="s">
        <v>519</v>
      </c>
      <c r="B11" s="51">
        <v>40.58</v>
      </c>
      <c r="C11" s="51">
        <v>41.28</v>
      </c>
      <c r="D11" s="51">
        <v>52.68</v>
      </c>
      <c r="E11" s="51">
        <v>6.84</v>
      </c>
      <c r="F11" s="51">
        <v>4.2300000000000004</v>
      </c>
      <c r="G11" s="51">
        <v>105</v>
      </c>
      <c r="H11" s="51">
        <v>51.75</v>
      </c>
      <c r="I11" s="51">
        <v>6.69</v>
      </c>
      <c r="J11" s="51">
        <v>1</v>
      </c>
      <c r="K11" s="51">
        <v>341</v>
      </c>
      <c r="L11" s="51">
        <v>14.04</v>
      </c>
      <c r="M11" s="51">
        <v>86.96</v>
      </c>
      <c r="N11" s="51">
        <v>31</v>
      </c>
      <c r="O11" s="51">
        <v>0</v>
      </c>
      <c r="P11" s="51">
        <v>1.29</v>
      </c>
      <c r="Q11" s="51">
        <v>10.51</v>
      </c>
      <c r="R11" s="43"/>
      <c r="S11" s="43"/>
      <c r="T11" s="43"/>
      <c r="U11" s="43"/>
    </row>
    <row r="12" spans="1:21" s="11" customFormat="1" x14ac:dyDescent="0.25">
      <c r="A12" s="50" t="s">
        <v>520</v>
      </c>
      <c r="B12" s="51">
        <v>32.909999999999997</v>
      </c>
      <c r="C12" s="51">
        <v>40.700000000000003</v>
      </c>
      <c r="D12" s="51">
        <v>46.28</v>
      </c>
      <c r="E12" s="51">
        <v>6.77</v>
      </c>
      <c r="F12" s="51">
        <v>4.2699999999999996</v>
      </c>
      <c r="G12" s="51">
        <v>113.34</v>
      </c>
      <c r="H12" s="51">
        <v>44.54</v>
      </c>
      <c r="I12" s="51">
        <v>6.66</v>
      </c>
      <c r="J12" s="51">
        <v>0.85</v>
      </c>
      <c r="K12" s="51">
        <v>333.22</v>
      </c>
      <c r="L12" s="51">
        <v>13.47</v>
      </c>
      <c r="M12" s="51">
        <v>82.56</v>
      </c>
      <c r="N12" s="51">
        <v>30.8</v>
      </c>
      <c r="O12" s="51">
        <v>0</v>
      </c>
      <c r="P12" s="51">
        <v>1.24</v>
      </c>
      <c r="Q12" s="51">
        <v>10.46</v>
      </c>
      <c r="R12" s="43"/>
      <c r="S12" s="43"/>
      <c r="T12" s="43"/>
      <c r="U12" s="43"/>
    </row>
    <row r="13" spans="1:21" s="11" customFormat="1" x14ac:dyDescent="0.25">
      <c r="A13" s="50" t="s">
        <v>521</v>
      </c>
      <c r="B13" s="51">
        <v>25.73</v>
      </c>
      <c r="C13" s="51">
        <v>40.619999999999997</v>
      </c>
      <c r="D13" s="51">
        <v>40.479999999999997</v>
      </c>
      <c r="E13" s="51">
        <v>6.67</v>
      </c>
      <c r="F13" s="51">
        <v>4.1100000000000003</v>
      </c>
      <c r="G13" s="51">
        <v>121.75</v>
      </c>
      <c r="H13" s="51">
        <v>63.9</v>
      </c>
      <c r="I13" s="51">
        <v>6.45</v>
      </c>
      <c r="J13" s="51">
        <v>0.75</v>
      </c>
      <c r="K13" s="51">
        <v>358.3</v>
      </c>
      <c r="L13" s="51">
        <v>13.19</v>
      </c>
      <c r="M13" s="51">
        <v>85.38</v>
      </c>
      <c r="N13" s="51">
        <v>30.7</v>
      </c>
      <c r="O13" s="51">
        <v>0</v>
      </c>
      <c r="P13" s="51">
        <v>1.3</v>
      </c>
      <c r="Q13" s="51">
        <v>10.36</v>
      </c>
      <c r="R13" s="43"/>
      <c r="S13" s="43"/>
      <c r="T13" s="43"/>
      <c r="U13" s="43"/>
    </row>
    <row r="14" spans="1:21" s="11" customFormat="1" x14ac:dyDescent="0.25">
      <c r="A14" s="50" t="s">
        <v>522</v>
      </c>
      <c r="B14" s="51">
        <v>24.73</v>
      </c>
      <c r="C14" s="51">
        <v>39.020000000000003</v>
      </c>
      <c r="D14" s="51">
        <v>38.840000000000003</v>
      </c>
      <c r="E14" s="51">
        <v>7.03</v>
      </c>
      <c r="F14" s="51">
        <v>4.12</v>
      </c>
      <c r="G14" s="51">
        <v>136.18</v>
      </c>
      <c r="H14" s="51">
        <v>85.96</v>
      </c>
      <c r="I14" s="51">
        <v>6.18</v>
      </c>
      <c r="J14" s="51">
        <v>1.64</v>
      </c>
      <c r="K14" s="51">
        <v>349.4</v>
      </c>
      <c r="L14" s="51">
        <v>13.03</v>
      </c>
      <c r="M14" s="51">
        <v>85.48</v>
      </c>
      <c r="N14" s="51">
        <v>30.5</v>
      </c>
      <c r="O14" s="51">
        <v>0</v>
      </c>
      <c r="P14" s="51">
        <v>1.29</v>
      </c>
      <c r="Q14" s="51">
        <v>10.31</v>
      </c>
      <c r="R14" s="43"/>
      <c r="S14" s="43"/>
      <c r="T14" s="43"/>
      <c r="U14" s="43"/>
    </row>
    <row r="15" spans="1:21" s="11" customFormat="1" x14ac:dyDescent="0.25">
      <c r="A15" s="50" t="s">
        <v>523</v>
      </c>
      <c r="B15" s="51">
        <v>23.33</v>
      </c>
      <c r="C15" s="51">
        <v>38.380000000000003</v>
      </c>
      <c r="D15" s="51">
        <v>37.380000000000003</v>
      </c>
      <c r="E15" s="51">
        <v>6.83</v>
      </c>
      <c r="F15" s="51">
        <v>4.3600000000000003</v>
      </c>
      <c r="G15" s="51">
        <v>133.38999999999999</v>
      </c>
      <c r="H15" s="51">
        <v>70.64</v>
      </c>
      <c r="I15" s="51">
        <v>5.83</v>
      </c>
      <c r="J15" s="51">
        <v>1.38</v>
      </c>
      <c r="K15" s="51">
        <v>351.35</v>
      </c>
      <c r="L15" s="51">
        <v>13.13</v>
      </c>
      <c r="M15" s="51">
        <v>87.36</v>
      </c>
      <c r="N15" s="51">
        <v>61.2</v>
      </c>
      <c r="O15" s="51">
        <v>0</v>
      </c>
      <c r="P15" s="51">
        <v>1.28</v>
      </c>
      <c r="Q15" s="51">
        <v>10.36</v>
      </c>
      <c r="R15" s="43"/>
      <c r="S15" s="43"/>
      <c r="T15" s="43"/>
      <c r="U15" s="43"/>
    </row>
    <row r="16" spans="1:21" s="11" customFormat="1" x14ac:dyDescent="0.25">
      <c r="A16" s="50" t="s">
        <v>524</v>
      </c>
      <c r="B16" s="51">
        <v>23.97</v>
      </c>
      <c r="C16" s="51">
        <v>39.79</v>
      </c>
      <c r="D16" s="51">
        <v>38.26</v>
      </c>
      <c r="E16" s="51">
        <v>7.05</v>
      </c>
      <c r="F16" s="51">
        <v>4.3600000000000003</v>
      </c>
      <c r="G16" s="51">
        <v>131.94</v>
      </c>
      <c r="H16" s="51">
        <v>62.48</v>
      </c>
      <c r="I16" s="51">
        <v>5.69</v>
      </c>
      <c r="J16" s="51">
        <v>1.59</v>
      </c>
      <c r="K16" s="51">
        <v>337.23</v>
      </c>
      <c r="L16" s="51">
        <v>15.84</v>
      </c>
      <c r="M16" s="51">
        <v>83.21</v>
      </c>
      <c r="N16" s="51">
        <v>190.2</v>
      </c>
      <c r="O16" s="51">
        <v>0</v>
      </c>
      <c r="P16" s="51">
        <v>1.33</v>
      </c>
      <c r="Q16" s="51">
        <v>10.35</v>
      </c>
      <c r="R16" s="43"/>
      <c r="S16" s="43"/>
      <c r="T16" s="43"/>
      <c r="U16" s="43"/>
    </row>
    <row r="17" spans="1:21" s="11" customFormat="1" x14ac:dyDescent="0.25">
      <c r="A17" s="50" t="s">
        <v>525</v>
      </c>
      <c r="B17" s="51">
        <v>23.56</v>
      </c>
      <c r="C17" s="51">
        <v>41.24</v>
      </c>
      <c r="D17" s="51">
        <v>38.979999999999997</v>
      </c>
      <c r="E17" s="51">
        <v>6.03</v>
      </c>
      <c r="F17" s="51">
        <v>4.32</v>
      </c>
      <c r="G17" s="51">
        <v>131.44</v>
      </c>
      <c r="H17" s="51">
        <v>59.25</v>
      </c>
      <c r="I17" s="51">
        <v>5.6</v>
      </c>
      <c r="J17" s="51">
        <v>1.47</v>
      </c>
      <c r="K17" s="51">
        <v>354.48</v>
      </c>
      <c r="L17" s="51">
        <v>19.09</v>
      </c>
      <c r="M17" s="51">
        <v>66.290000000000006</v>
      </c>
      <c r="N17" s="51">
        <v>345.2</v>
      </c>
      <c r="O17" s="51">
        <v>0</v>
      </c>
      <c r="P17" s="51">
        <v>1.32</v>
      </c>
      <c r="Q17" s="51">
        <v>10.35</v>
      </c>
      <c r="R17" s="43"/>
      <c r="S17" s="43"/>
      <c r="T17" s="43"/>
      <c r="U17" s="43"/>
    </row>
    <row r="18" spans="1:21" s="11" customFormat="1" x14ac:dyDescent="0.25">
      <c r="A18" s="50" t="s">
        <v>526</v>
      </c>
      <c r="B18" s="51">
        <v>20.63</v>
      </c>
      <c r="C18" s="51">
        <v>41.32</v>
      </c>
      <c r="D18" s="51">
        <v>36.61</v>
      </c>
      <c r="E18" s="51">
        <v>5.6</v>
      </c>
      <c r="F18" s="51">
        <v>4.03</v>
      </c>
      <c r="G18" s="51">
        <v>120.04</v>
      </c>
      <c r="H18" s="51">
        <v>46.67</v>
      </c>
      <c r="I18" s="51">
        <v>6.22</v>
      </c>
      <c r="J18" s="51">
        <v>3.08</v>
      </c>
      <c r="K18" s="51">
        <v>118.51</v>
      </c>
      <c r="L18" s="51">
        <v>20.18</v>
      </c>
      <c r="M18" s="51">
        <v>53.93</v>
      </c>
      <c r="N18" s="51">
        <v>471.4</v>
      </c>
      <c r="O18" s="51">
        <v>0</v>
      </c>
      <c r="P18" s="51">
        <v>1.22</v>
      </c>
      <c r="Q18" s="51">
        <v>10.27</v>
      </c>
      <c r="R18" s="43"/>
      <c r="S18" s="43"/>
      <c r="T18" s="43"/>
      <c r="U18" s="43"/>
    </row>
    <row r="19" spans="1:21" s="11" customFormat="1" x14ac:dyDescent="0.25">
      <c r="A19" s="50" t="s">
        <v>527</v>
      </c>
      <c r="B19" s="51">
        <v>15.69</v>
      </c>
      <c r="C19" s="51">
        <v>40.840000000000003</v>
      </c>
      <c r="D19" s="51">
        <v>32.520000000000003</v>
      </c>
      <c r="E19" s="51">
        <v>6.13</v>
      </c>
      <c r="F19" s="51">
        <v>4.24</v>
      </c>
      <c r="G19" s="51">
        <v>108.49</v>
      </c>
      <c r="H19" s="51">
        <v>56.14</v>
      </c>
      <c r="I19" s="51">
        <v>7.52</v>
      </c>
      <c r="J19" s="51">
        <v>2.92</v>
      </c>
      <c r="K19" s="51">
        <v>118.78</v>
      </c>
      <c r="L19" s="51">
        <v>21.72</v>
      </c>
      <c r="M19" s="51">
        <v>50.71</v>
      </c>
      <c r="N19" s="51">
        <v>558.70000000000005</v>
      </c>
      <c r="O19" s="51">
        <v>0</v>
      </c>
      <c r="P19" s="51">
        <v>1.1000000000000001</v>
      </c>
      <c r="Q19" s="51">
        <v>10.26</v>
      </c>
      <c r="R19" s="43"/>
      <c r="S19" s="43"/>
      <c r="T19" s="43"/>
      <c r="U19" s="43"/>
    </row>
    <row r="20" spans="1:21" s="11" customFormat="1" x14ac:dyDescent="0.25">
      <c r="A20" s="50" t="s">
        <v>528</v>
      </c>
      <c r="B20" s="51">
        <v>8.18</v>
      </c>
      <c r="C20" s="51">
        <v>42.5</v>
      </c>
      <c r="D20" s="51">
        <v>26.86</v>
      </c>
      <c r="E20" s="51">
        <v>5.96</v>
      </c>
      <c r="F20" s="51">
        <v>5.1100000000000003</v>
      </c>
      <c r="G20" s="51">
        <v>98.44</v>
      </c>
      <c r="H20" s="51">
        <v>44.95</v>
      </c>
      <c r="I20" s="51">
        <v>7.8</v>
      </c>
      <c r="J20" s="51">
        <v>1.31</v>
      </c>
      <c r="K20" s="51">
        <v>107.29</v>
      </c>
      <c r="L20" s="51">
        <v>23.08</v>
      </c>
      <c r="M20" s="51">
        <v>38.74</v>
      </c>
      <c r="N20" s="51">
        <v>579.20000000000005</v>
      </c>
      <c r="O20" s="51">
        <v>0</v>
      </c>
      <c r="P20" s="51">
        <v>0.96</v>
      </c>
      <c r="Q20" s="51">
        <v>10.17</v>
      </c>
      <c r="R20" s="43"/>
      <c r="S20" s="43"/>
      <c r="T20" s="43"/>
      <c r="U20" s="43"/>
    </row>
    <row r="21" spans="1:21" s="11" customFormat="1" x14ac:dyDescent="0.25">
      <c r="A21" s="50" t="s">
        <v>529</v>
      </c>
      <c r="B21" s="51">
        <v>4.1500000000000004</v>
      </c>
      <c r="C21" s="51">
        <v>43.42</v>
      </c>
      <c r="D21" s="51">
        <v>24.13</v>
      </c>
      <c r="E21" s="51">
        <v>6.65</v>
      </c>
      <c r="F21" s="51">
        <v>5.64</v>
      </c>
      <c r="G21" s="51">
        <v>88.94</v>
      </c>
      <c r="H21" s="51">
        <v>34.130000000000003</v>
      </c>
      <c r="I21" s="51">
        <v>7.64</v>
      </c>
      <c r="J21" s="51">
        <v>1.53</v>
      </c>
      <c r="K21" s="51">
        <v>351.49</v>
      </c>
      <c r="L21" s="51">
        <v>25.15</v>
      </c>
      <c r="M21" s="51">
        <v>32.9</v>
      </c>
      <c r="N21" s="51">
        <v>536.6</v>
      </c>
      <c r="O21" s="51">
        <v>0</v>
      </c>
      <c r="P21" s="51">
        <v>0.84</v>
      </c>
      <c r="Q21" s="51">
        <v>10.11</v>
      </c>
      <c r="R21" s="43"/>
      <c r="S21" s="43"/>
      <c r="T21" s="43"/>
      <c r="U21" s="43"/>
    </row>
    <row r="22" spans="1:21" s="11" customFormat="1" x14ac:dyDescent="0.25">
      <c r="A22" s="50" t="s">
        <v>530</v>
      </c>
      <c r="B22" s="51">
        <v>3.8</v>
      </c>
      <c r="C22" s="51">
        <v>42.44</v>
      </c>
      <c r="D22" s="51">
        <v>23.84</v>
      </c>
      <c r="E22" s="51">
        <v>6.59</v>
      </c>
      <c r="F22" s="51">
        <v>5.31</v>
      </c>
      <c r="G22" s="51">
        <v>81.209999999999994</v>
      </c>
      <c r="H22" s="51">
        <v>26.84</v>
      </c>
      <c r="I22" s="51">
        <v>7.32</v>
      </c>
      <c r="J22" s="51">
        <v>2.21</v>
      </c>
      <c r="K22" s="51">
        <v>356.56</v>
      </c>
      <c r="L22" s="51">
        <v>24.4</v>
      </c>
      <c r="M22" s="51">
        <v>32.479999999999997</v>
      </c>
      <c r="N22" s="51">
        <v>439.9</v>
      </c>
      <c r="O22" s="51">
        <v>0</v>
      </c>
      <c r="P22" s="51">
        <v>0.81</v>
      </c>
      <c r="Q22" s="51">
        <v>10.06</v>
      </c>
      <c r="R22" s="43"/>
      <c r="S22" s="43"/>
      <c r="T22" s="43"/>
      <c r="U22" s="43"/>
    </row>
    <row r="23" spans="1:21" s="11" customFormat="1" x14ac:dyDescent="0.25">
      <c r="A23" s="50" t="s">
        <v>531</v>
      </c>
      <c r="B23" s="51">
        <v>3.8</v>
      </c>
      <c r="C23" s="51">
        <v>42.68</v>
      </c>
      <c r="D23" s="51">
        <v>23.88</v>
      </c>
      <c r="E23" s="51">
        <v>6.66</v>
      </c>
      <c r="F23" s="51">
        <v>5.37</v>
      </c>
      <c r="G23" s="51">
        <v>82.84</v>
      </c>
      <c r="H23" s="51">
        <v>27.36</v>
      </c>
      <c r="I23" s="51">
        <v>5.66</v>
      </c>
      <c r="J23" s="51">
        <v>2.0299999999999998</v>
      </c>
      <c r="K23" s="51">
        <v>356.03</v>
      </c>
      <c r="L23" s="51">
        <v>23.44</v>
      </c>
      <c r="M23" s="51">
        <v>34.979999999999997</v>
      </c>
      <c r="N23" s="51">
        <v>165.3</v>
      </c>
      <c r="O23" s="51">
        <v>0</v>
      </c>
      <c r="P23" s="51">
        <v>0.78</v>
      </c>
      <c r="Q23" s="51">
        <v>10.119999999999999</v>
      </c>
      <c r="R23" s="43"/>
      <c r="S23" s="43"/>
      <c r="T23" s="43"/>
      <c r="U23" s="43"/>
    </row>
    <row r="24" spans="1:21" s="11" customFormat="1" x14ac:dyDescent="0.25">
      <c r="A24" s="50" t="s">
        <v>532</v>
      </c>
      <c r="B24" s="51">
        <v>3.44</v>
      </c>
      <c r="C24" s="51">
        <v>45.63</v>
      </c>
      <c r="D24" s="51">
        <v>25.1</v>
      </c>
      <c r="E24" s="51">
        <v>6.61</v>
      </c>
      <c r="F24" s="51">
        <v>6</v>
      </c>
      <c r="G24" s="51">
        <v>81.69</v>
      </c>
      <c r="H24" s="51">
        <v>27.33</v>
      </c>
      <c r="I24" s="51">
        <v>6.5</v>
      </c>
      <c r="J24" s="51">
        <v>3.82</v>
      </c>
      <c r="K24" s="51">
        <v>337.6</v>
      </c>
      <c r="L24" s="51">
        <v>22.47</v>
      </c>
      <c r="M24" s="51">
        <v>38.979999999999997</v>
      </c>
      <c r="N24" s="51">
        <v>110.2</v>
      </c>
      <c r="O24" s="51">
        <v>0</v>
      </c>
      <c r="P24" s="51">
        <v>0.8</v>
      </c>
      <c r="Q24" s="51">
        <v>10.15</v>
      </c>
      <c r="R24" s="43"/>
      <c r="S24" s="43"/>
      <c r="T24" s="43"/>
      <c r="U24" s="43"/>
    </row>
    <row r="25" spans="1:21" s="11" customFormat="1" x14ac:dyDescent="0.25">
      <c r="A25" s="50" t="s">
        <v>533</v>
      </c>
      <c r="B25" s="51">
        <v>3.83</v>
      </c>
      <c r="C25" s="51">
        <v>49.63</v>
      </c>
      <c r="D25" s="51">
        <v>27.62</v>
      </c>
      <c r="E25" s="51">
        <v>7.26</v>
      </c>
      <c r="F25" s="51">
        <v>5.76</v>
      </c>
      <c r="G25" s="51">
        <v>85.98</v>
      </c>
      <c r="H25" s="51">
        <v>46.63</v>
      </c>
      <c r="I25" s="51">
        <v>5.9</v>
      </c>
      <c r="J25" s="51">
        <v>3.37</v>
      </c>
      <c r="K25" s="51">
        <v>343.35</v>
      </c>
      <c r="L25" s="51">
        <v>21.27</v>
      </c>
      <c r="M25" s="51">
        <v>41.62</v>
      </c>
      <c r="N25" s="51">
        <v>70.2</v>
      </c>
      <c r="O25" s="51">
        <v>0</v>
      </c>
      <c r="P25" s="51">
        <v>0.88</v>
      </c>
      <c r="Q25" s="51">
        <v>10.19</v>
      </c>
      <c r="R25" s="43"/>
      <c r="S25" s="43"/>
      <c r="T25" s="43"/>
      <c r="U25" s="43"/>
    </row>
    <row r="26" spans="1:21" s="11" customFormat="1" x14ac:dyDescent="0.25">
      <c r="A26" s="50" t="s">
        <v>534</v>
      </c>
      <c r="B26" s="51">
        <v>7.85</v>
      </c>
      <c r="C26" s="51">
        <v>50.61</v>
      </c>
      <c r="D26" s="51">
        <v>31.36</v>
      </c>
      <c r="E26" s="51">
        <v>7.21</v>
      </c>
      <c r="F26" s="51">
        <v>4.9000000000000004</v>
      </c>
      <c r="G26" s="51">
        <v>85.52</v>
      </c>
      <c r="H26" s="51">
        <v>45.03</v>
      </c>
      <c r="I26" s="51">
        <v>5.72</v>
      </c>
      <c r="J26" s="51">
        <v>3.54</v>
      </c>
      <c r="K26" s="51">
        <v>346.11</v>
      </c>
      <c r="L26" s="51">
        <v>20.22</v>
      </c>
      <c r="M26" s="51">
        <v>46.43</v>
      </c>
      <c r="N26" s="51">
        <v>36.5</v>
      </c>
      <c r="O26" s="51">
        <v>0</v>
      </c>
      <c r="P26" s="51">
        <v>1.24</v>
      </c>
      <c r="Q26" s="51">
        <v>10.15</v>
      </c>
      <c r="R26" s="43"/>
      <c r="S26" s="43"/>
      <c r="T26" s="43"/>
      <c r="U26" s="43"/>
    </row>
    <row r="27" spans="1:21" s="11" customFormat="1" x14ac:dyDescent="0.25">
      <c r="A27" s="50" t="s">
        <v>535</v>
      </c>
      <c r="B27" s="51">
        <v>15.3</v>
      </c>
      <c r="C27" s="51">
        <v>51.41</v>
      </c>
      <c r="D27" s="51">
        <v>37.56</v>
      </c>
      <c r="E27" s="51">
        <v>7.79</v>
      </c>
      <c r="F27" s="51">
        <v>3.85</v>
      </c>
      <c r="G27" s="51">
        <v>92.55</v>
      </c>
      <c r="H27" s="51">
        <v>49.15</v>
      </c>
      <c r="I27" s="51">
        <v>6.83</v>
      </c>
      <c r="J27" s="51">
        <v>3.37</v>
      </c>
      <c r="K27" s="51">
        <v>345.32</v>
      </c>
      <c r="L27" s="51">
        <v>18.61</v>
      </c>
      <c r="M27" s="51">
        <v>50.17</v>
      </c>
      <c r="N27" s="51">
        <v>31.4</v>
      </c>
      <c r="O27" s="51">
        <v>0</v>
      </c>
      <c r="P27" s="51">
        <v>1.4</v>
      </c>
      <c r="Q27" s="51">
        <v>10.26</v>
      </c>
      <c r="R27" s="43"/>
      <c r="S27" s="43"/>
      <c r="T27" s="43"/>
      <c r="U27" s="43"/>
    </row>
    <row r="28" spans="1:21" s="11" customFormat="1" x14ac:dyDescent="0.25">
      <c r="A28" s="50" t="s">
        <v>536</v>
      </c>
      <c r="B28" s="51">
        <v>19.53</v>
      </c>
      <c r="C28" s="51">
        <v>53.52</v>
      </c>
      <c r="D28" s="51">
        <v>42.25</v>
      </c>
      <c r="E28" s="51">
        <v>8.1</v>
      </c>
      <c r="F28" s="51">
        <v>4.28</v>
      </c>
      <c r="G28" s="51">
        <v>116.86</v>
      </c>
      <c r="H28" s="51">
        <v>54.59</v>
      </c>
      <c r="I28" s="51">
        <v>7.81</v>
      </c>
      <c r="J28" s="51">
        <v>3.17</v>
      </c>
      <c r="K28" s="51">
        <v>330</v>
      </c>
      <c r="L28" s="51">
        <v>17.47</v>
      </c>
      <c r="M28" s="51">
        <v>62.7</v>
      </c>
      <c r="N28" s="51">
        <v>31.5</v>
      </c>
      <c r="O28" s="51">
        <v>0</v>
      </c>
      <c r="P28" s="51">
        <v>1.37</v>
      </c>
      <c r="Q28" s="51">
        <v>10.43</v>
      </c>
      <c r="R28" s="43"/>
      <c r="S28" s="43"/>
      <c r="T28" s="43"/>
      <c r="U28" s="43"/>
    </row>
    <row r="29" spans="1:21" s="11" customFormat="1" x14ac:dyDescent="0.25">
      <c r="A29" s="50" t="s">
        <v>537</v>
      </c>
      <c r="B29" s="51">
        <v>30.47</v>
      </c>
      <c r="C29" s="51">
        <v>54.23</v>
      </c>
      <c r="D29" s="51">
        <v>51.4</v>
      </c>
      <c r="E29" s="51">
        <v>7.17</v>
      </c>
      <c r="F29" s="51">
        <v>4.0999999999999996</v>
      </c>
      <c r="G29" s="51">
        <v>146.24</v>
      </c>
      <c r="H29" s="51">
        <v>59.78</v>
      </c>
      <c r="I29" s="51">
        <v>8.4499999999999993</v>
      </c>
      <c r="J29" s="51">
        <v>2.35</v>
      </c>
      <c r="K29" s="51">
        <v>337.56</v>
      </c>
      <c r="L29" s="51">
        <v>16.260000000000002</v>
      </c>
      <c r="M29" s="51">
        <v>65.319999999999993</v>
      </c>
      <c r="N29" s="51">
        <v>31.5</v>
      </c>
      <c r="O29" s="51">
        <v>0</v>
      </c>
      <c r="P29" s="51">
        <v>1.67</v>
      </c>
      <c r="Q29" s="51">
        <v>10.56</v>
      </c>
      <c r="R29" s="43"/>
      <c r="S29" s="43"/>
      <c r="T29" s="43"/>
      <c r="U29" s="43"/>
    </row>
    <row r="30" spans="1:21" s="11" customFormat="1" x14ac:dyDescent="0.25">
      <c r="A30" s="50" t="s">
        <v>538</v>
      </c>
      <c r="B30" s="51">
        <v>52.8</v>
      </c>
      <c r="C30" s="51">
        <v>53.55</v>
      </c>
      <c r="D30" s="51">
        <v>67.75</v>
      </c>
      <c r="E30" s="51">
        <v>7.38</v>
      </c>
      <c r="F30" s="51">
        <v>4.03</v>
      </c>
      <c r="G30" s="51">
        <v>141.71</v>
      </c>
      <c r="H30" s="51">
        <v>57.49</v>
      </c>
      <c r="I30" s="51">
        <v>9.2799999999999994</v>
      </c>
      <c r="J30" s="51">
        <v>2.72</v>
      </c>
      <c r="K30" s="51">
        <v>322.42</v>
      </c>
      <c r="L30" s="51">
        <v>15.52</v>
      </c>
      <c r="M30" s="51">
        <v>71.48</v>
      </c>
      <c r="N30" s="51">
        <v>31.4</v>
      </c>
      <c r="O30" s="51">
        <v>0</v>
      </c>
      <c r="P30" s="51">
        <v>2.15</v>
      </c>
      <c r="Q30" s="51">
        <v>10.63</v>
      </c>
      <c r="R30" s="43"/>
      <c r="S30" s="43"/>
      <c r="T30" s="43"/>
      <c r="U30" s="43"/>
    </row>
    <row r="31" spans="1:21" s="11" customFormat="1" x14ac:dyDescent="0.25">
      <c r="A31" s="50" t="s">
        <v>539</v>
      </c>
      <c r="B31" s="51">
        <v>60.92</v>
      </c>
      <c r="C31" s="51">
        <v>50.52</v>
      </c>
      <c r="D31" s="51">
        <v>73.040000000000006</v>
      </c>
      <c r="E31" s="51">
        <v>7.4</v>
      </c>
      <c r="F31" s="51">
        <v>3.79</v>
      </c>
      <c r="G31" s="51">
        <v>141.61000000000001</v>
      </c>
      <c r="H31" s="51">
        <v>61.2</v>
      </c>
      <c r="I31" s="51">
        <v>9.33</v>
      </c>
      <c r="J31" s="51">
        <v>2.58</v>
      </c>
      <c r="K31" s="51">
        <v>307.87</v>
      </c>
      <c r="L31" s="51">
        <v>15.47</v>
      </c>
      <c r="M31" s="51">
        <v>70.040000000000006</v>
      </c>
      <c r="N31" s="51">
        <v>31.4</v>
      </c>
      <c r="O31" s="51">
        <v>0</v>
      </c>
      <c r="P31" s="51">
        <v>1.96</v>
      </c>
      <c r="Q31" s="51">
        <v>10.88</v>
      </c>
      <c r="R31" s="43"/>
      <c r="S31" s="43"/>
      <c r="T31" s="43"/>
      <c r="U31" s="43"/>
    </row>
    <row r="32" spans="1:21" s="11" customFormat="1" x14ac:dyDescent="0.25">
      <c r="A32" s="50" t="s">
        <v>540</v>
      </c>
      <c r="B32" s="51">
        <v>61.69</v>
      </c>
      <c r="C32" s="51">
        <v>47.91</v>
      </c>
      <c r="D32" s="51">
        <v>72.790000000000006</v>
      </c>
      <c r="E32" s="51">
        <v>7.12</v>
      </c>
      <c r="F32" s="51">
        <v>4.3499999999999996</v>
      </c>
      <c r="G32" s="51">
        <v>135.66</v>
      </c>
      <c r="H32" s="51">
        <v>57.58</v>
      </c>
      <c r="I32" s="51">
        <v>8.76</v>
      </c>
      <c r="J32" s="51">
        <v>2.86</v>
      </c>
      <c r="K32" s="51">
        <v>309.52</v>
      </c>
      <c r="L32" s="51">
        <v>14.86</v>
      </c>
      <c r="M32" s="51">
        <v>70.34</v>
      </c>
      <c r="N32" s="51">
        <v>31.4</v>
      </c>
      <c r="O32" s="51">
        <v>0</v>
      </c>
      <c r="P32" s="51">
        <v>1.92</v>
      </c>
      <c r="Q32" s="51">
        <v>10.81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3.44</v>
      </c>
      <c r="C34" s="28">
        <f t="shared" si="0"/>
        <v>38.380000000000003</v>
      </c>
      <c r="D34" s="28">
        <f t="shared" si="0"/>
        <v>23.84</v>
      </c>
      <c r="E34" s="28">
        <f t="shared" si="0"/>
        <v>5.6</v>
      </c>
      <c r="F34" s="28">
        <f t="shared" si="0"/>
        <v>3.79</v>
      </c>
      <c r="G34" s="28">
        <f t="shared" si="0"/>
        <v>81.209999999999994</v>
      </c>
      <c r="H34" s="28">
        <f t="shared" si="0"/>
        <v>26.84</v>
      </c>
      <c r="I34" s="28">
        <f t="shared" si="0"/>
        <v>5.6</v>
      </c>
      <c r="J34" s="28">
        <f t="shared" si="0"/>
        <v>0.75</v>
      </c>
      <c r="K34" s="28">
        <f t="shared" si="0"/>
        <v>107.29</v>
      </c>
      <c r="L34" s="28">
        <f t="shared" si="0"/>
        <v>13.03</v>
      </c>
      <c r="M34" s="28">
        <f t="shared" si="0"/>
        <v>32.479999999999997</v>
      </c>
      <c r="N34" s="28">
        <f t="shared" si="0"/>
        <v>30.5</v>
      </c>
      <c r="O34" s="28">
        <f t="shared" si="0"/>
        <v>0</v>
      </c>
      <c r="P34" s="28">
        <f t="shared" si="0"/>
        <v>0.78</v>
      </c>
      <c r="Q34" s="28">
        <f t="shared" si="0"/>
        <v>9.8699999999999992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61.69</v>
      </c>
      <c r="C35" s="29">
        <f t="shared" si="1"/>
        <v>54.23</v>
      </c>
      <c r="D35" s="29">
        <f t="shared" si="1"/>
        <v>73.040000000000006</v>
      </c>
      <c r="E35" s="29">
        <f t="shared" si="1"/>
        <v>8.1</v>
      </c>
      <c r="F35" s="29">
        <f t="shared" si="1"/>
        <v>6</v>
      </c>
      <c r="G35" s="29">
        <f t="shared" si="1"/>
        <v>146.24</v>
      </c>
      <c r="H35" s="29">
        <f t="shared" si="1"/>
        <v>85.96</v>
      </c>
      <c r="I35" s="29">
        <f t="shared" si="1"/>
        <v>9.33</v>
      </c>
      <c r="J35" s="29">
        <f t="shared" si="1"/>
        <v>3.82</v>
      </c>
      <c r="K35" s="29">
        <f t="shared" si="1"/>
        <v>358.3</v>
      </c>
      <c r="L35" s="29">
        <f t="shared" si="1"/>
        <v>25.15</v>
      </c>
      <c r="M35" s="29">
        <f t="shared" si="1"/>
        <v>87.36</v>
      </c>
      <c r="N35" s="29">
        <f t="shared" si="1"/>
        <v>579.20000000000005</v>
      </c>
      <c r="O35" s="29">
        <f t="shared" si="1"/>
        <v>0</v>
      </c>
      <c r="P35" s="29">
        <f t="shared" si="1"/>
        <v>2.15</v>
      </c>
      <c r="Q35" s="29">
        <f t="shared" si="1"/>
        <v>10.88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25.242916666666662</v>
      </c>
      <c r="C36" s="28">
        <f t="shared" si="2"/>
        <v>45.271250000000002</v>
      </c>
      <c r="D36" s="28">
        <f t="shared" si="2"/>
        <v>42.305833333333332</v>
      </c>
      <c r="E36" s="28">
        <f t="shared" si="2"/>
        <v>6.8491666666666662</v>
      </c>
      <c r="F36" s="28">
        <f t="shared" si="2"/>
        <v>4.515833333333334</v>
      </c>
      <c r="G36" s="28">
        <f t="shared" si="2"/>
        <v>112.51333333333334</v>
      </c>
      <c r="H36" s="28">
        <f t="shared" si="2"/>
        <v>51.372500000000002</v>
      </c>
      <c r="I36" s="28">
        <f t="shared" si="2"/>
        <v>6.9229166666666657</v>
      </c>
      <c r="J36" s="28">
        <f t="shared" si="2"/>
        <v>2.1516666666666668</v>
      </c>
      <c r="K36" s="28">
        <f t="shared" si="2"/>
        <v>311.94499999999999</v>
      </c>
      <c r="L36" s="28">
        <f t="shared" si="2"/>
        <v>17.928750000000004</v>
      </c>
      <c r="M36" s="28">
        <f t="shared" si="2"/>
        <v>62.949166666666663</v>
      </c>
      <c r="N36" s="28">
        <f t="shared" si="2"/>
        <v>164.0625</v>
      </c>
      <c r="O36" s="28">
        <f t="shared" si="2"/>
        <v>0</v>
      </c>
      <c r="P36" s="28">
        <f t="shared" si="2"/>
        <v>1.2883333333333333</v>
      </c>
      <c r="Q36" s="28">
        <f t="shared" si="2"/>
        <v>10.32625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18.660550688357343</v>
      </c>
      <c r="C37" s="28">
        <f t="shared" ref="C37:Q37" si="3">STDEV(C9:C32)</f>
        <v>5.1979873299776873</v>
      </c>
      <c r="D37" s="28">
        <f t="shared" si="3"/>
        <v>15.728386665562654</v>
      </c>
      <c r="E37" s="28">
        <f t="shared" si="3"/>
        <v>0.5716407861636511</v>
      </c>
      <c r="F37" s="28">
        <f t="shared" si="3"/>
        <v>0.65639275534953712</v>
      </c>
      <c r="G37" s="28">
        <f t="shared" si="3"/>
        <v>21.627203816664114</v>
      </c>
      <c r="H37" s="28">
        <f t="shared" si="3"/>
        <v>13.876091183101227</v>
      </c>
      <c r="I37" s="28">
        <f t="shared" si="3"/>
        <v>1.1601029908052882</v>
      </c>
      <c r="J37" s="28">
        <f t="shared" si="3"/>
        <v>0.96448980280257202</v>
      </c>
      <c r="K37" s="28">
        <f t="shared" si="3"/>
        <v>77.245758684749902</v>
      </c>
      <c r="L37" s="28">
        <f t="shared" si="3"/>
        <v>4.0124223546598099</v>
      </c>
      <c r="M37" s="28">
        <f t="shared" si="3"/>
        <v>19.963485997901422</v>
      </c>
      <c r="N37" s="28">
        <f t="shared" si="3"/>
        <v>200.18407575225012</v>
      </c>
      <c r="O37" s="28">
        <f t="shared" si="3"/>
        <v>0</v>
      </c>
      <c r="P37" s="28">
        <f t="shared" si="3"/>
        <v>0.36333798694001584</v>
      </c>
      <c r="Q37" s="28">
        <f t="shared" si="3"/>
        <v>0.23336503407844739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541</v>
      </c>
      <c r="B9" s="51">
        <v>59.96</v>
      </c>
      <c r="C9" s="51">
        <v>47.78</v>
      </c>
      <c r="D9" s="51">
        <v>71.67</v>
      </c>
      <c r="E9" s="51">
        <v>8.07</v>
      </c>
      <c r="F9" s="51">
        <v>4.21</v>
      </c>
      <c r="G9" s="51">
        <v>127.5</v>
      </c>
      <c r="H9" s="51">
        <v>61.51</v>
      </c>
      <c r="I9" s="51">
        <v>8.64</v>
      </c>
      <c r="J9" s="51">
        <v>2.9</v>
      </c>
      <c r="K9" s="51">
        <v>325.51</v>
      </c>
      <c r="L9" s="51">
        <v>13.54</v>
      </c>
      <c r="M9" s="51">
        <v>79.87</v>
      </c>
      <c r="N9" s="51">
        <v>31.4</v>
      </c>
      <c r="O9" s="51">
        <v>0</v>
      </c>
      <c r="P9" s="51">
        <v>1.83</v>
      </c>
      <c r="Q9" s="51">
        <v>10.75</v>
      </c>
      <c r="R9" s="43"/>
      <c r="S9" s="43"/>
      <c r="T9" s="43"/>
      <c r="U9" s="43"/>
    </row>
    <row r="10" spans="1:21" s="11" customFormat="1" x14ac:dyDescent="0.25">
      <c r="A10" s="50" t="s">
        <v>542</v>
      </c>
      <c r="B10" s="51">
        <v>53.65</v>
      </c>
      <c r="C10" s="51">
        <v>46.59</v>
      </c>
      <c r="D10" s="51">
        <v>65.989999999999995</v>
      </c>
      <c r="E10" s="51">
        <v>7.64</v>
      </c>
      <c r="F10" s="51">
        <v>4.12</v>
      </c>
      <c r="G10" s="51">
        <v>131.99</v>
      </c>
      <c r="H10" s="51">
        <v>65.64</v>
      </c>
      <c r="I10" s="51">
        <v>8.0299999999999994</v>
      </c>
      <c r="J10" s="51">
        <v>2</v>
      </c>
      <c r="K10" s="51">
        <v>287.64999999999998</v>
      </c>
      <c r="L10" s="51">
        <v>13.06</v>
      </c>
      <c r="M10" s="51">
        <v>82.23</v>
      </c>
      <c r="N10" s="51">
        <v>31.4</v>
      </c>
      <c r="O10" s="51">
        <v>0</v>
      </c>
      <c r="P10" s="51">
        <v>1.57</v>
      </c>
      <c r="Q10" s="51">
        <v>10.71</v>
      </c>
      <c r="R10" s="43"/>
      <c r="S10" s="43"/>
      <c r="T10" s="43"/>
      <c r="U10" s="43"/>
    </row>
    <row r="11" spans="1:21" s="11" customFormat="1" x14ac:dyDescent="0.25">
      <c r="A11" s="50" t="s">
        <v>543</v>
      </c>
      <c r="B11" s="51">
        <v>47.19</v>
      </c>
      <c r="C11" s="51">
        <v>42.07</v>
      </c>
      <c r="D11" s="51">
        <v>58.44</v>
      </c>
      <c r="E11" s="51">
        <v>7.47</v>
      </c>
      <c r="F11" s="51">
        <v>4.17</v>
      </c>
      <c r="G11" s="51">
        <v>124.07</v>
      </c>
      <c r="H11" s="51">
        <v>61.24</v>
      </c>
      <c r="I11" s="51">
        <v>7.61</v>
      </c>
      <c r="J11" s="51">
        <v>2.12</v>
      </c>
      <c r="K11" s="51">
        <v>333.93</v>
      </c>
      <c r="L11" s="51">
        <v>12.71</v>
      </c>
      <c r="M11" s="51">
        <v>89.07</v>
      </c>
      <c r="N11" s="51">
        <v>31.3</v>
      </c>
      <c r="O11" s="51">
        <v>0</v>
      </c>
      <c r="P11" s="51">
        <v>1.48</v>
      </c>
      <c r="Q11" s="51">
        <v>10.56</v>
      </c>
      <c r="R11" s="43"/>
      <c r="S11" s="43"/>
      <c r="T11" s="43"/>
      <c r="U11" s="43"/>
    </row>
    <row r="12" spans="1:21" s="11" customFormat="1" x14ac:dyDescent="0.25">
      <c r="A12" s="50" t="s">
        <v>544</v>
      </c>
      <c r="B12" s="51">
        <v>42.35</v>
      </c>
      <c r="C12" s="51">
        <v>38.630000000000003</v>
      </c>
      <c r="D12" s="51">
        <v>52.77</v>
      </c>
      <c r="E12" s="51">
        <v>8.35</v>
      </c>
      <c r="F12" s="51">
        <v>4.5199999999999996</v>
      </c>
      <c r="G12" s="51">
        <v>133.63999999999999</v>
      </c>
      <c r="H12" s="51">
        <v>65.77</v>
      </c>
      <c r="I12" s="51">
        <v>7.31</v>
      </c>
      <c r="J12" s="51">
        <v>1.89</v>
      </c>
      <c r="K12" s="51">
        <v>356.87</v>
      </c>
      <c r="L12" s="51">
        <v>13.06</v>
      </c>
      <c r="M12" s="51">
        <v>79.39</v>
      </c>
      <c r="N12" s="51">
        <v>31.4</v>
      </c>
      <c r="O12" s="51">
        <v>0</v>
      </c>
      <c r="P12" s="51">
        <v>1.39</v>
      </c>
      <c r="Q12" s="51">
        <v>10.51</v>
      </c>
      <c r="R12" s="43"/>
      <c r="S12" s="43"/>
      <c r="T12" s="43"/>
      <c r="U12" s="43"/>
    </row>
    <row r="13" spans="1:21" s="11" customFormat="1" x14ac:dyDescent="0.25">
      <c r="A13" s="50" t="s">
        <v>545</v>
      </c>
      <c r="B13" s="51">
        <v>33.729999999999997</v>
      </c>
      <c r="C13" s="51">
        <v>38.54</v>
      </c>
      <c r="D13" s="51">
        <v>45.81</v>
      </c>
      <c r="E13" s="51">
        <v>7.52</v>
      </c>
      <c r="F13" s="51">
        <v>4.28</v>
      </c>
      <c r="G13" s="51">
        <v>137.15</v>
      </c>
      <c r="H13" s="51">
        <v>64.88</v>
      </c>
      <c r="I13" s="51">
        <v>6.99</v>
      </c>
      <c r="J13" s="51">
        <v>1.99</v>
      </c>
      <c r="K13" s="51">
        <v>333.56</v>
      </c>
      <c r="L13" s="51">
        <v>12.91</v>
      </c>
      <c r="M13" s="51">
        <v>86.56</v>
      </c>
      <c r="N13" s="51">
        <v>31.5</v>
      </c>
      <c r="O13" s="51">
        <v>0</v>
      </c>
      <c r="P13" s="51">
        <v>1.35</v>
      </c>
      <c r="Q13" s="51">
        <v>10.41</v>
      </c>
      <c r="R13" s="43"/>
      <c r="S13" s="43"/>
      <c r="T13" s="43"/>
      <c r="U13" s="43"/>
    </row>
    <row r="14" spans="1:21" s="11" customFormat="1" x14ac:dyDescent="0.25">
      <c r="A14" s="50" t="s">
        <v>546</v>
      </c>
      <c r="B14" s="51">
        <v>27.52</v>
      </c>
      <c r="C14" s="51">
        <v>38.5</v>
      </c>
      <c r="D14" s="51">
        <v>40.799999999999997</v>
      </c>
      <c r="E14" s="51">
        <v>7.16</v>
      </c>
      <c r="F14" s="51">
        <v>4.41</v>
      </c>
      <c r="G14" s="51">
        <v>130.56</v>
      </c>
      <c r="H14" s="51">
        <v>59.81</v>
      </c>
      <c r="I14" s="51">
        <v>6.38</v>
      </c>
      <c r="J14" s="51">
        <v>2</v>
      </c>
      <c r="K14" s="51">
        <v>332.26</v>
      </c>
      <c r="L14" s="51">
        <v>11.82</v>
      </c>
      <c r="M14" s="51">
        <v>87.58</v>
      </c>
      <c r="N14" s="51">
        <v>31.3</v>
      </c>
      <c r="O14" s="51">
        <v>0</v>
      </c>
      <c r="P14" s="51">
        <v>1.23</v>
      </c>
      <c r="Q14" s="51">
        <v>10.35</v>
      </c>
      <c r="R14" s="43"/>
      <c r="S14" s="43"/>
      <c r="T14" s="43"/>
      <c r="U14" s="43"/>
    </row>
    <row r="15" spans="1:21" s="11" customFormat="1" x14ac:dyDescent="0.25">
      <c r="A15" s="50" t="s">
        <v>547</v>
      </c>
      <c r="B15" s="51">
        <v>24.33</v>
      </c>
      <c r="C15" s="51">
        <v>37.75</v>
      </c>
      <c r="D15" s="51">
        <v>37.86</v>
      </c>
      <c r="E15" s="51">
        <v>7.41</v>
      </c>
      <c r="F15" s="51">
        <v>3.6</v>
      </c>
      <c r="G15" s="51">
        <v>116.91</v>
      </c>
      <c r="H15" s="51">
        <v>52.58</v>
      </c>
      <c r="I15" s="51">
        <v>5.89</v>
      </c>
      <c r="J15" s="51">
        <v>2.04</v>
      </c>
      <c r="K15" s="51">
        <v>333</v>
      </c>
      <c r="L15" s="51">
        <v>12.28</v>
      </c>
      <c r="M15" s="51">
        <v>86.05</v>
      </c>
      <c r="N15" s="51">
        <v>61.4</v>
      </c>
      <c r="O15" s="51">
        <v>0</v>
      </c>
      <c r="P15" s="51">
        <v>1.1200000000000001</v>
      </c>
      <c r="Q15" s="51">
        <v>10.47</v>
      </c>
      <c r="R15" s="43"/>
      <c r="S15" s="43"/>
      <c r="T15" s="43"/>
      <c r="U15" s="43"/>
    </row>
    <row r="16" spans="1:21" s="11" customFormat="1" x14ac:dyDescent="0.25">
      <c r="A16" s="50" t="s">
        <v>548</v>
      </c>
      <c r="B16" s="51">
        <v>26.33</v>
      </c>
      <c r="C16" s="51">
        <v>39.33</v>
      </c>
      <c r="D16" s="51">
        <v>40.28</v>
      </c>
      <c r="E16" s="51">
        <v>7.53</v>
      </c>
      <c r="F16" s="51">
        <v>4.3600000000000003</v>
      </c>
      <c r="G16" s="51">
        <v>108.6</v>
      </c>
      <c r="H16" s="51">
        <v>55.95</v>
      </c>
      <c r="I16" s="51">
        <v>5.66</v>
      </c>
      <c r="J16" s="51">
        <v>1.49</v>
      </c>
      <c r="K16" s="51">
        <v>351.51</v>
      </c>
      <c r="L16" s="51">
        <v>15.41</v>
      </c>
      <c r="M16" s="51">
        <v>82.43</v>
      </c>
      <c r="N16" s="51">
        <v>202.1</v>
      </c>
      <c r="O16" s="51">
        <v>0</v>
      </c>
      <c r="P16" s="51">
        <v>1.1000000000000001</v>
      </c>
      <c r="Q16" s="51">
        <v>10.59</v>
      </c>
      <c r="R16" s="43"/>
      <c r="S16" s="43"/>
      <c r="T16" s="43"/>
      <c r="U16" s="43"/>
    </row>
    <row r="17" spans="1:21" s="11" customFormat="1" x14ac:dyDescent="0.25">
      <c r="A17" s="50" t="s">
        <v>549</v>
      </c>
      <c r="B17" s="51">
        <v>25.68</v>
      </c>
      <c r="C17" s="51">
        <v>43.06</v>
      </c>
      <c r="D17" s="51">
        <v>40.35</v>
      </c>
      <c r="E17" s="51">
        <v>6.43</v>
      </c>
      <c r="F17" s="51">
        <v>4.0599999999999996</v>
      </c>
      <c r="G17" s="51">
        <v>107.78</v>
      </c>
      <c r="H17" s="51">
        <v>54.07</v>
      </c>
      <c r="I17" s="51">
        <v>5.88</v>
      </c>
      <c r="J17" s="51">
        <v>2.5299999999999998</v>
      </c>
      <c r="K17" s="51">
        <v>112.35</v>
      </c>
      <c r="L17" s="51">
        <v>18.79</v>
      </c>
      <c r="M17" s="51">
        <v>63.86</v>
      </c>
      <c r="N17" s="51">
        <v>344.1</v>
      </c>
      <c r="O17" s="51">
        <v>0</v>
      </c>
      <c r="P17" s="51">
        <v>1.08</v>
      </c>
      <c r="Q17" s="51">
        <v>10.55</v>
      </c>
      <c r="R17" s="43"/>
      <c r="S17" s="43"/>
      <c r="T17" s="43"/>
      <c r="U17" s="43"/>
    </row>
    <row r="18" spans="1:21" s="11" customFormat="1" x14ac:dyDescent="0.25">
      <c r="A18" s="50" t="s">
        <v>550</v>
      </c>
      <c r="B18" s="51">
        <v>21.38</v>
      </c>
      <c r="C18" s="51">
        <v>44.8</v>
      </c>
      <c r="D18" s="51">
        <v>38.700000000000003</v>
      </c>
      <c r="E18" s="51">
        <v>6.14</v>
      </c>
      <c r="F18" s="51">
        <v>4.18</v>
      </c>
      <c r="G18" s="51">
        <v>102.62</v>
      </c>
      <c r="H18" s="51">
        <v>50.31</v>
      </c>
      <c r="I18" s="51">
        <v>6.35</v>
      </c>
      <c r="J18" s="51">
        <v>3.24</v>
      </c>
      <c r="K18" s="51">
        <v>120.47</v>
      </c>
      <c r="L18" s="51">
        <v>20.84</v>
      </c>
      <c r="M18" s="51">
        <v>54.4</v>
      </c>
      <c r="N18" s="51">
        <v>432.4</v>
      </c>
      <c r="O18" s="51">
        <v>0</v>
      </c>
      <c r="P18" s="51">
        <v>1.03</v>
      </c>
      <c r="Q18" s="51">
        <v>10.52</v>
      </c>
      <c r="R18" s="43"/>
      <c r="S18" s="43"/>
      <c r="T18" s="43"/>
      <c r="U18" s="43"/>
    </row>
    <row r="19" spans="1:21" s="11" customFormat="1" x14ac:dyDescent="0.25">
      <c r="A19" s="50" t="s">
        <v>551</v>
      </c>
      <c r="B19" s="51">
        <v>14.87</v>
      </c>
      <c r="C19" s="51">
        <v>45.02</v>
      </c>
      <c r="D19" s="51">
        <v>33.590000000000003</v>
      </c>
      <c r="E19" s="51">
        <v>7.05</v>
      </c>
      <c r="F19" s="51">
        <v>5.12</v>
      </c>
      <c r="G19" s="51">
        <v>99.44</v>
      </c>
      <c r="H19" s="51">
        <v>49.03</v>
      </c>
      <c r="I19" s="51">
        <v>6.81</v>
      </c>
      <c r="J19" s="51">
        <v>1.78</v>
      </c>
      <c r="K19" s="51">
        <v>357.69</v>
      </c>
      <c r="L19" s="51">
        <v>22.75</v>
      </c>
      <c r="M19" s="51">
        <v>49.36</v>
      </c>
      <c r="N19" s="51">
        <v>523.6</v>
      </c>
      <c r="O19" s="51">
        <v>0</v>
      </c>
      <c r="P19" s="51">
        <v>1</v>
      </c>
      <c r="Q19" s="51">
        <v>10.18</v>
      </c>
      <c r="R19" s="43"/>
      <c r="S19" s="43"/>
      <c r="T19" s="43"/>
      <c r="U19" s="43"/>
    </row>
    <row r="20" spans="1:21" s="11" customFormat="1" x14ac:dyDescent="0.25">
      <c r="A20" s="50" t="s">
        <v>552</v>
      </c>
      <c r="B20" s="51">
        <v>7.1</v>
      </c>
      <c r="C20" s="51">
        <v>61.39</v>
      </c>
      <c r="D20" s="51">
        <v>33.869999999999997</v>
      </c>
      <c r="E20" s="51">
        <v>7.36</v>
      </c>
      <c r="F20" s="51">
        <v>6.43</v>
      </c>
      <c r="G20" s="51">
        <v>89.13</v>
      </c>
      <c r="H20" s="51">
        <v>47.29</v>
      </c>
      <c r="I20" s="51">
        <v>7.06</v>
      </c>
      <c r="J20" s="51">
        <v>1.59</v>
      </c>
      <c r="K20" s="51">
        <v>127.05</v>
      </c>
      <c r="L20" s="51">
        <v>24.14</v>
      </c>
      <c r="M20" s="51">
        <v>41.63</v>
      </c>
      <c r="N20" s="51">
        <v>541.9</v>
      </c>
      <c r="O20" s="51">
        <v>0</v>
      </c>
      <c r="P20" s="51">
        <v>0.92</v>
      </c>
      <c r="Q20" s="51">
        <v>10.23</v>
      </c>
      <c r="R20" s="43"/>
      <c r="S20" s="43"/>
      <c r="T20" s="43"/>
      <c r="U20" s="43"/>
    </row>
    <row r="21" spans="1:21" s="11" customFormat="1" x14ac:dyDescent="0.25">
      <c r="A21" s="50" t="s">
        <v>553</v>
      </c>
      <c r="B21" s="51">
        <v>2.4300000000000002</v>
      </c>
      <c r="C21" s="51">
        <v>52.67</v>
      </c>
      <c r="D21" s="51">
        <v>27.96</v>
      </c>
      <c r="E21" s="51">
        <v>7.39</v>
      </c>
      <c r="F21" s="51">
        <v>11.92</v>
      </c>
      <c r="G21" s="51">
        <v>99.89</v>
      </c>
      <c r="H21" s="51">
        <v>48.27</v>
      </c>
      <c r="I21" s="51">
        <v>7.3</v>
      </c>
      <c r="J21" s="51">
        <v>1.37</v>
      </c>
      <c r="K21" s="51">
        <v>357.86</v>
      </c>
      <c r="L21" s="51">
        <v>24.94</v>
      </c>
      <c r="M21" s="51">
        <v>38.53</v>
      </c>
      <c r="N21" s="51">
        <v>508.9</v>
      </c>
      <c r="O21" s="51">
        <v>0</v>
      </c>
      <c r="P21" s="51">
        <v>0.82</v>
      </c>
      <c r="Q21" s="51">
        <v>10.5</v>
      </c>
      <c r="R21" s="43"/>
      <c r="S21" s="43"/>
      <c r="T21" s="43"/>
      <c r="U21" s="43"/>
    </row>
    <row r="22" spans="1:21" s="11" customFormat="1" x14ac:dyDescent="0.25">
      <c r="A22" s="50" t="s">
        <v>554</v>
      </c>
      <c r="B22" s="51">
        <v>2.72</v>
      </c>
      <c r="C22" s="51">
        <v>48.74</v>
      </c>
      <c r="D22" s="51">
        <v>26.25</v>
      </c>
      <c r="E22" s="51">
        <v>6.93</v>
      </c>
      <c r="F22" s="51">
        <v>8.3800000000000008</v>
      </c>
      <c r="G22" s="51">
        <v>93.8</v>
      </c>
      <c r="H22" s="51">
        <v>46.06</v>
      </c>
      <c r="I22" s="51">
        <v>6.52</v>
      </c>
      <c r="J22" s="51">
        <v>2.74</v>
      </c>
      <c r="K22" s="51">
        <v>117.92</v>
      </c>
      <c r="L22" s="51">
        <v>22.9</v>
      </c>
      <c r="M22" s="51">
        <v>40.68</v>
      </c>
      <c r="N22" s="51">
        <v>393.1</v>
      </c>
      <c r="O22" s="51">
        <v>0</v>
      </c>
      <c r="P22" s="51">
        <v>0.83</v>
      </c>
      <c r="Q22" s="51">
        <v>10.3</v>
      </c>
      <c r="R22" s="43"/>
      <c r="S22" s="43"/>
      <c r="T22" s="43"/>
      <c r="U22" s="43"/>
    </row>
    <row r="23" spans="1:21" s="11" customFormat="1" x14ac:dyDescent="0.25">
      <c r="A23" s="50" t="s">
        <v>555</v>
      </c>
      <c r="B23" s="51">
        <v>2.5</v>
      </c>
      <c r="C23" s="51">
        <v>46.04</v>
      </c>
      <c r="D23" s="51">
        <v>24.45</v>
      </c>
      <c r="E23" s="51">
        <v>6.98</v>
      </c>
      <c r="F23" s="51">
        <v>8.8699999999999992</v>
      </c>
      <c r="G23" s="51">
        <v>90.11</v>
      </c>
      <c r="H23" s="51">
        <v>46.64</v>
      </c>
      <c r="I23" s="51">
        <v>6.45</v>
      </c>
      <c r="J23" s="51">
        <v>2.4900000000000002</v>
      </c>
      <c r="K23" s="51">
        <v>344.86</v>
      </c>
      <c r="L23" s="51">
        <v>22.97</v>
      </c>
      <c r="M23" s="51">
        <v>40.270000000000003</v>
      </c>
      <c r="N23" s="51">
        <v>176.7</v>
      </c>
      <c r="O23" s="51">
        <v>0</v>
      </c>
      <c r="P23" s="51">
        <v>0.77</v>
      </c>
      <c r="Q23" s="51">
        <v>10.26</v>
      </c>
      <c r="R23" s="43"/>
      <c r="S23" s="43"/>
      <c r="T23" s="43"/>
      <c r="U23" s="43"/>
    </row>
    <row r="24" spans="1:21" s="11" customFormat="1" x14ac:dyDescent="0.25">
      <c r="A24" s="50" t="s">
        <v>556</v>
      </c>
      <c r="B24" s="51">
        <v>2.93</v>
      </c>
      <c r="C24" s="51">
        <v>47.68</v>
      </c>
      <c r="D24" s="51">
        <v>25.76</v>
      </c>
      <c r="E24" s="51">
        <v>7.56</v>
      </c>
      <c r="F24" s="51">
        <v>6.84</v>
      </c>
      <c r="G24" s="51">
        <v>89.76</v>
      </c>
      <c r="H24" s="51">
        <v>45.29</v>
      </c>
      <c r="I24" s="51">
        <v>4.9400000000000004</v>
      </c>
      <c r="J24" s="51">
        <v>1.56</v>
      </c>
      <c r="K24" s="51">
        <v>101.8</v>
      </c>
      <c r="L24" s="51">
        <v>22.15</v>
      </c>
      <c r="M24" s="51">
        <v>40.93</v>
      </c>
      <c r="N24" s="51">
        <v>119.8</v>
      </c>
      <c r="O24" s="51">
        <v>0</v>
      </c>
      <c r="P24" s="51">
        <v>0.81</v>
      </c>
      <c r="Q24" s="51">
        <v>10.53</v>
      </c>
      <c r="R24" s="43"/>
      <c r="S24" s="43"/>
      <c r="T24" s="43"/>
      <c r="U24" s="43"/>
    </row>
    <row r="25" spans="1:21" s="11" customFormat="1" x14ac:dyDescent="0.25">
      <c r="A25" s="50" t="s">
        <v>557</v>
      </c>
      <c r="B25" s="51">
        <v>3.6</v>
      </c>
      <c r="C25" s="51">
        <v>52.92</v>
      </c>
      <c r="D25" s="51">
        <v>29.16</v>
      </c>
      <c r="E25" s="51">
        <v>7.54</v>
      </c>
      <c r="F25" s="51">
        <v>6.52</v>
      </c>
      <c r="G25" s="51">
        <v>88.13</v>
      </c>
      <c r="H25" s="51">
        <v>48.04</v>
      </c>
      <c r="I25" s="51">
        <v>5.91</v>
      </c>
      <c r="J25" s="51">
        <v>3.05</v>
      </c>
      <c r="K25" s="51">
        <v>347.15</v>
      </c>
      <c r="L25" s="51">
        <v>21.54</v>
      </c>
      <c r="M25" s="51">
        <v>44.42</v>
      </c>
      <c r="N25" s="51">
        <v>72.7</v>
      </c>
      <c r="O25" s="51">
        <v>0</v>
      </c>
      <c r="P25" s="51">
        <v>0.86</v>
      </c>
      <c r="Q25" s="51">
        <v>10.61</v>
      </c>
      <c r="R25" s="43"/>
      <c r="S25" s="43"/>
      <c r="T25" s="43"/>
      <c r="U25" s="43"/>
    </row>
    <row r="26" spans="1:21" s="11" customFormat="1" x14ac:dyDescent="0.25">
      <c r="A26" s="50" t="s">
        <v>558</v>
      </c>
      <c r="B26" s="51">
        <v>6.1</v>
      </c>
      <c r="C26" s="51">
        <v>61.1</v>
      </c>
      <c r="D26" s="51">
        <v>35.44</v>
      </c>
      <c r="E26" s="51">
        <v>7.48</v>
      </c>
      <c r="F26" s="51">
        <v>4.75</v>
      </c>
      <c r="G26" s="51">
        <v>84.8</v>
      </c>
      <c r="H26" s="51">
        <v>45.25</v>
      </c>
      <c r="I26" s="51">
        <v>6.4</v>
      </c>
      <c r="J26" s="51">
        <v>2.8</v>
      </c>
      <c r="K26" s="51">
        <v>345.96</v>
      </c>
      <c r="L26" s="51">
        <v>20.18</v>
      </c>
      <c r="M26" s="51">
        <v>50.3</v>
      </c>
      <c r="N26" s="51">
        <v>38.700000000000003</v>
      </c>
      <c r="O26" s="51">
        <v>0</v>
      </c>
      <c r="P26" s="51">
        <v>1.05</v>
      </c>
      <c r="Q26" s="51">
        <v>10.67</v>
      </c>
      <c r="R26" s="43"/>
      <c r="S26" s="43"/>
      <c r="T26" s="43"/>
      <c r="U26" s="43"/>
    </row>
    <row r="27" spans="1:21" s="11" customFormat="1" x14ac:dyDescent="0.25">
      <c r="A27" s="50" t="s">
        <v>559</v>
      </c>
      <c r="B27" s="51">
        <v>7.44</v>
      </c>
      <c r="C27" s="51">
        <v>59.43</v>
      </c>
      <c r="D27" s="51">
        <v>34.96</v>
      </c>
      <c r="E27" s="51">
        <v>7.08</v>
      </c>
      <c r="F27" s="51">
        <v>4.1399999999999997</v>
      </c>
      <c r="G27" s="51">
        <v>101.37</v>
      </c>
      <c r="H27" s="51">
        <v>51.84</v>
      </c>
      <c r="I27" s="51">
        <v>6.55</v>
      </c>
      <c r="J27" s="51">
        <v>2.16</v>
      </c>
      <c r="K27" s="51">
        <v>67.430000000000007</v>
      </c>
      <c r="L27" s="51">
        <v>18.559999999999999</v>
      </c>
      <c r="M27" s="51">
        <v>55.91</v>
      </c>
      <c r="N27" s="51">
        <v>33.6</v>
      </c>
      <c r="O27" s="51">
        <v>0</v>
      </c>
      <c r="P27" s="51">
        <v>1.45</v>
      </c>
      <c r="Q27" s="51">
        <v>10.46</v>
      </c>
      <c r="R27" s="43"/>
      <c r="S27" s="43"/>
      <c r="T27" s="43"/>
      <c r="U27" s="43"/>
    </row>
    <row r="28" spans="1:21" s="11" customFormat="1" x14ac:dyDescent="0.25">
      <c r="A28" s="50" t="s">
        <v>560</v>
      </c>
      <c r="B28" s="51">
        <v>7.67</v>
      </c>
      <c r="C28" s="51">
        <v>56.95</v>
      </c>
      <c r="D28" s="51">
        <v>34.53</v>
      </c>
      <c r="E28" s="51">
        <v>6.66</v>
      </c>
      <c r="F28" s="51">
        <v>4.0599999999999996</v>
      </c>
      <c r="G28" s="51">
        <v>120.84</v>
      </c>
      <c r="H28" s="51">
        <v>63.45</v>
      </c>
      <c r="I28" s="51">
        <v>6.73</v>
      </c>
      <c r="J28" s="51">
        <v>1.78</v>
      </c>
      <c r="K28" s="51">
        <v>271.95999999999998</v>
      </c>
      <c r="L28" s="51">
        <v>17.59</v>
      </c>
      <c r="M28" s="51">
        <v>65.34</v>
      </c>
      <c r="N28" s="51">
        <v>33.299999999999997</v>
      </c>
      <c r="O28" s="51">
        <v>0</v>
      </c>
      <c r="P28" s="51">
        <v>1.26</v>
      </c>
      <c r="Q28" s="51">
        <v>10.56</v>
      </c>
      <c r="R28" s="43"/>
      <c r="S28" s="43"/>
      <c r="T28" s="43"/>
      <c r="U28" s="43"/>
    </row>
    <row r="29" spans="1:21" s="11" customFormat="1" x14ac:dyDescent="0.25">
      <c r="A29" s="50" t="s">
        <v>561</v>
      </c>
      <c r="B29" s="51">
        <v>17.45</v>
      </c>
      <c r="C29" s="51">
        <v>59.4</v>
      </c>
      <c r="D29" s="51">
        <v>43.65</v>
      </c>
      <c r="E29" s="51">
        <v>7.71</v>
      </c>
      <c r="F29" s="51">
        <v>4.2699999999999996</v>
      </c>
      <c r="G29" s="51">
        <v>121.07</v>
      </c>
      <c r="H29" s="51">
        <v>64.44</v>
      </c>
      <c r="I29" s="51">
        <v>8.07</v>
      </c>
      <c r="J29" s="51">
        <v>1.75</v>
      </c>
      <c r="K29" s="51">
        <v>332.34</v>
      </c>
      <c r="L29" s="51">
        <v>16.63</v>
      </c>
      <c r="M29" s="51">
        <v>67.37</v>
      </c>
      <c r="N29" s="51">
        <v>33.299999999999997</v>
      </c>
      <c r="O29" s="51">
        <v>0</v>
      </c>
      <c r="P29" s="51">
        <v>1.45</v>
      </c>
      <c r="Q29" s="51">
        <v>10.8</v>
      </c>
      <c r="R29" s="43"/>
      <c r="S29" s="43"/>
      <c r="T29" s="43"/>
      <c r="U29" s="43"/>
    </row>
    <row r="30" spans="1:21" s="11" customFormat="1" x14ac:dyDescent="0.25">
      <c r="A30" s="50" t="s">
        <v>562</v>
      </c>
      <c r="B30" s="51">
        <v>35.43</v>
      </c>
      <c r="C30" s="51">
        <v>63.89</v>
      </c>
      <c r="D30" s="51">
        <v>60.4</v>
      </c>
      <c r="E30" s="51">
        <v>8.1</v>
      </c>
      <c r="F30" s="51">
        <v>4.2300000000000004</v>
      </c>
      <c r="G30" s="51">
        <v>132.38999999999999</v>
      </c>
      <c r="H30" s="51">
        <v>67.55</v>
      </c>
      <c r="I30" s="51">
        <v>8.1300000000000008</v>
      </c>
      <c r="J30" s="51">
        <v>2.37</v>
      </c>
      <c r="K30" s="51">
        <v>346.31</v>
      </c>
      <c r="L30" s="51">
        <v>16.149999999999999</v>
      </c>
      <c r="M30" s="51">
        <v>70.8</v>
      </c>
      <c r="N30" s="51">
        <v>33.5</v>
      </c>
      <c r="O30" s="51">
        <v>0</v>
      </c>
      <c r="P30" s="51">
        <v>1.67</v>
      </c>
      <c r="Q30" s="51">
        <v>11.03</v>
      </c>
      <c r="R30" s="43"/>
      <c r="S30" s="43"/>
      <c r="T30" s="43"/>
      <c r="U30" s="43"/>
    </row>
    <row r="31" spans="1:21" s="11" customFormat="1" x14ac:dyDescent="0.25">
      <c r="A31" s="50" t="s">
        <v>563</v>
      </c>
      <c r="B31" s="51">
        <v>46.28</v>
      </c>
      <c r="C31" s="51">
        <v>64.16</v>
      </c>
      <c r="D31" s="51">
        <v>66.900000000000006</v>
      </c>
      <c r="E31" s="51">
        <v>8.5299999999999994</v>
      </c>
      <c r="F31" s="51">
        <v>4.2699999999999996</v>
      </c>
      <c r="G31" s="51">
        <v>133.66</v>
      </c>
      <c r="H31" s="51">
        <v>69.19</v>
      </c>
      <c r="I31" s="51">
        <v>7.92</v>
      </c>
      <c r="J31" s="51">
        <v>2.34</v>
      </c>
      <c r="K31" s="51">
        <v>325.22000000000003</v>
      </c>
      <c r="L31" s="51">
        <v>15.12</v>
      </c>
      <c r="M31" s="51">
        <v>80</v>
      </c>
      <c r="N31" s="51">
        <v>33.6</v>
      </c>
      <c r="O31" s="51">
        <v>0</v>
      </c>
      <c r="P31" s="51">
        <v>1.78</v>
      </c>
      <c r="Q31" s="51">
        <v>11.04</v>
      </c>
      <c r="R31" s="43"/>
      <c r="S31" s="43"/>
      <c r="T31" s="43"/>
      <c r="U31" s="43"/>
    </row>
    <row r="32" spans="1:21" s="11" customFormat="1" x14ac:dyDescent="0.25">
      <c r="A32" s="50" t="s">
        <v>564</v>
      </c>
      <c r="B32" s="51">
        <v>47.79</v>
      </c>
      <c r="C32" s="51">
        <v>57.79</v>
      </c>
      <c r="D32" s="51">
        <v>66.430000000000007</v>
      </c>
      <c r="E32" s="51">
        <v>7.91</v>
      </c>
      <c r="F32" s="51">
        <v>3.93</v>
      </c>
      <c r="G32" s="51">
        <v>142.56</v>
      </c>
      <c r="H32" s="51">
        <v>72.489999999999995</v>
      </c>
      <c r="I32" s="51">
        <v>7.98</v>
      </c>
      <c r="J32" s="51">
        <v>1.78</v>
      </c>
      <c r="K32" s="51">
        <v>270.77</v>
      </c>
      <c r="L32" s="51">
        <v>14.38</v>
      </c>
      <c r="M32" s="51">
        <v>87</v>
      </c>
      <c r="N32" s="51">
        <v>33.299999999999997</v>
      </c>
      <c r="O32" s="51">
        <v>0</v>
      </c>
      <c r="P32" s="51">
        <v>1.78</v>
      </c>
      <c r="Q32" s="51">
        <v>11.02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2.4300000000000002</v>
      </c>
      <c r="C34" s="28">
        <f t="shared" si="0"/>
        <v>37.75</v>
      </c>
      <c r="D34" s="28">
        <f t="shared" si="0"/>
        <v>24.45</v>
      </c>
      <c r="E34" s="28">
        <f t="shared" si="0"/>
        <v>6.14</v>
      </c>
      <c r="F34" s="28">
        <f t="shared" si="0"/>
        <v>3.6</v>
      </c>
      <c r="G34" s="28">
        <f t="shared" si="0"/>
        <v>84.8</v>
      </c>
      <c r="H34" s="28">
        <f t="shared" si="0"/>
        <v>45.25</v>
      </c>
      <c r="I34" s="28">
        <f t="shared" si="0"/>
        <v>4.9400000000000004</v>
      </c>
      <c r="J34" s="28">
        <f t="shared" si="0"/>
        <v>1.37</v>
      </c>
      <c r="K34" s="28">
        <f t="shared" si="0"/>
        <v>67.430000000000007</v>
      </c>
      <c r="L34" s="28">
        <f t="shared" si="0"/>
        <v>11.82</v>
      </c>
      <c r="M34" s="28">
        <f t="shared" si="0"/>
        <v>38.53</v>
      </c>
      <c r="N34" s="28">
        <f t="shared" si="0"/>
        <v>31.3</v>
      </c>
      <c r="O34" s="28">
        <f t="shared" si="0"/>
        <v>0</v>
      </c>
      <c r="P34" s="28">
        <f t="shared" si="0"/>
        <v>0.77</v>
      </c>
      <c r="Q34" s="28">
        <f t="shared" si="0"/>
        <v>10.18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59.96</v>
      </c>
      <c r="C35" s="29">
        <f t="shared" si="1"/>
        <v>64.16</v>
      </c>
      <c r="D35" s="29">
        <f t="shared" si="1"/>
        <v>71.67</v>
      </c>
      <c r="E35" s="29">
        <f t="shared" si="1"/>
        <v>8.5299999999999994</v>
      </c>
      <c r="F35" s="29">
        <f t="shared" si="1"/>
        <v>11.92</v>
      </c>
      <c r="G35" s="29">
        <f t="shared" si="1"/>
        <v>142.56</v>
      </c>
      <c r="H35" s="29">
        <f t="shared" si="1"/>
        <v>72.489999999999995</v>
      </c>
      <c r="I35" s="29">
        <f t="shared" si="1"/>
        <v>8.64</v>
      </c>
      <c r="J35" s="29">
        <f t="shared" si="1"/>
        <v>3.24</v>
      </c>
      <c r="K35" s="29">
        <f t="shared" si="1"/>
        <v>357.86</v>
      </c>
      <c r="L35" s="29">
        <f t="shared" si="1"/>
        <v>24.94</v>
      </c>
      <c r="M35" s="29">
        <f t="shared" si="1"/>
        <v>89.07</v>
      </c>
      <c r="N35" s="29">
        <f t="shared" si="1"/>
        <v>541.9</v>
      </c>
      <c r="O35" s="29">
        <f t="shared" si="1"/>
        <v>0</v>
      </c>
      <c r="P35" s="29">
        <f t="shared" si="1"/>
        <v>1.83</v>
      </c>
      <c r="Q35" s="29">
        <f t="shared" si="1"/>
        <v>11.04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23.601250000000004</v>
      </c>
      <c r="C36" s="28">
        <f t="shared" si="2"/>
        <v>49.759583333333332</v>
      </c>
      <c r="D36" s="28">
        <f t="shared" si="2"/>
        <v>43.167499999999997</v>
      </c>
      <c r="E36" s="28">
        <f t="shared" si="2"/>
        <v>7.416666666666667</v>
      </c>
      <c r="F36" s="28">
        <f t="shared" si="2"/>
        <v>5.2350000000000003</v>
      </c>
      <c r="G36" s="28">
        <f t="shared" si="2"/>
        <v>112.82375000000002</v>
      </c>
      <c r="H36" s="28">
        <f t="shared" si="2"/>
        <v>56.524583333333332</v>
      </c>
      <c r="I36" s="28">
        <f t="shared" si="2"/>
        <v>6.8962499999999984</v>
      </c>
      <c r="J36" s="28">
        <f t="shared" si="2"/>
        <v>2.1566666666666667</v>
      </c>
      <c r="K36" s="28">
        <f t="shared" si="2"/>
        <v>275.05958333333336</v>
      </c>
      <c r="L36" s="28">
        <f t="shared" si="2"/>
        <v>17.684166666666666</v>
      </c>
      <c r="M36" s="28">
        <f t="shared" si="2"/>
        <v>65.165833333333325</v>
      </c>
      <c r="N36" s="28">
        <f t="shared" si="2"/>
        <v>158.51250000000002</v>
      </c>
      <c r="O36" s="28">
        <f t="shared" si="2"/>
        <v>0</v>
      </c>
      <c r="P36" s="28">
        <f t="shared" si="2"/>
        <v>1.2345833333333334</v>
      </c>
      <c r="Q36" s="28">
        <f t="shared" si="2"/>
        <v>10.567083333333333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18.500131682845083</v>
      </c>
      <c r="C37" s="28">
        <f t="shared" ref="C37:Q37" si="3">STDEV(C9:C32)</f>
        <v>8.8607250067320678</v>
      </c>
      <c r="D37" s="28">
        <f t="shared" si="3"/>
        <v>14.572423405633122</v>
      </c>
      <c r="E37" s="28">
        <f t="shared" si="3"/>
        <v>0.56610543392449475</v>
      </c>
      <c r="F37" s="28">
        <f t="shared" si="3"/>
        <v>2.0034405189681763</v>
      </c>
      <c r="G37" s="28">
        <f t="shared" si="3"/>
        <v>18.521801445980991</v>
      </c>
      <c r="H37" s="28">
        <f t="shared" si="3"/>
        <v>8.7683863862652132</v>
      </c>
      <c r="I37" s="28">
        <f t="shared" si="3"/>
        <v>0.93268575489889394</v>
      </c>
      <c r="J37" s="28">
        <f t="shared" si="3"/>
        <v>0.51509109930158004</v>
      </c>
      <c r="K37" s="28">
        <f t="shared" si="3"/>
        <v>101.8397658079535</v>
      </c>
      <c r="L37" s="28">
        <f t="shared" si="3"/>
        <v>4.3002961643879063</v>
      </c>
      <c r="M37" s="28">
        <f t="shared" si="3"/>
        <v>18.513776754356368</v>
      </c>
      <c r="N37" s="28">
        <f t="shared" si="3"/>
        <v>185.71290211202222</v>
      </c>
      <c r="O37" s="28">
        <f t="shared" si="3"/>
        <v>0</v>
      </c>
      <c r="P37" s="28">
        <f t="shared" si="3"/>
        <v>0.33620618889198778</v>
      </c>
      <c r="Q37" s="28">
        <f t="shared" si="3"/>
        <v>0.2375322251211705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565</v>
      </c>
      <c r="B9" s="51">
        <v>48.98</v>
      </c>
      <c r="C9" s="51">
        <v>52.48</v>
      </c>
      <c r="D9" s="51">
        <v>65.19</v>
      </c>
      <c r="E9" s="51">
        <v>6.34</v>
      </c>
      <c r="F9" s="51">
        <v>4.26</v>
      </c>
      <c r="G9" s="51">
        <v>145.83000000000001</v>
      </c>
      <c r="H9" s="51">
        <v>76.400000000000006</v>
      </c>
      <c r="I9" s="51">
        <v>7.93</v>
      </c>
      <c r="J9" s="51">
        <v>2.2999999999999998</v>
      </c>
      <c r="K9" s="51">
        <v>311.41000000000003</v>
      </c>
      <c r="L9" s="51">
        <v>13.92</v>
      </c>
      <c r="M9" s="51">
        <v>93.4</v>
      </c>
      <c r="N9" s="51">
        <v>33.200000000000003</v>
      </c>
      <c r="O9" s="51">
        <v>0</v>
      </c>
      <c r="P9" s="51">
        <v>1.73</v>
      </c>
      <c r="Q9" s="51">
        <v>11.14</v>
      </c>
      <c r="R9" s="43"/>
      <c r="S9" s="43"/>
      <c r="T9" s="43"/>
      <c r="U9" s="43"/>
    </row>
    <row r="10" spans="1:21" s="11" customFormat="1" x14ac:dyDescent="0.25">
      <c r="A10" s="50" t="s">
        <v>566</v>
      </c>
      <c r="B10" s="51">
        <v>46.01</v>
      </c>
      <c r="C10" s="51">
        <v>50.53</v>
      </c>
      <c r="D10" s="51">
        <v>61.92</v>
      </c>
      <c r="E10" s="51">
        <v>6.02</v>
      </c>
      <c r="F10" s="51">
        <v>4.07</v>
      </c>
      <c r="G10" s="51">
        <v>143.03</v>
      </c>
      <c r="H10" s="51">
        <v>72.44</v>
      </c>
      <c r="I10" s="51">
        <v>7.82</v>
      </c>
      <c r="J10" s="51">
        <v>2.7</v>
      </c>
      <c r="K10" s="51">
        <v>314.70999999999998</v>
      </c>
      <c r="L10" s="51">
        <v>13.29</v>
      </c>
      <c r="M10" s="51">
        <v>92.57</v>
      </c>
      <c r="N10" s="51">
        <v>33.200000000000003</v>
      </c>
      <c r="O10" s="51">
        <v>0</v>
      </c>
      <c r="P10" s="51">
        <v>1.58</v>
      </c>
      <c r="Q10" s="51">
        <v>11.01</v>
      </c>
      <c r="R10" s="43"/>
      <c r="S10" s="43"/>
      <c r="T10" s="43"/>
      <c r="U10" s="43"/>
    </row>
    <row r="11" spans="1:21" s="11" customFormat="1" x14ac:dyDescent="0.25">
      <c r="A11" s="50" t="s">
        <v>567</v>
      </c>
      <c r="B11" s="51">
        <v>39.1</v>
      </c>
      <c r="C11" s="51">
        <v>49.65</v>
      </c>
      <c r="D11" s="51">
        <v>55.92</v>
      </c>
      <c r="E11" s="51">
        <v>6.13</v>
      </c>
      <c r="F11" s="51">
        <v>4.57</v>
      </c>
      <c r="G11" s="51">
        <v>140.86000000000001</v>
      </c>
      <c r="H11" s="51">
        <v>76.37</v>
      </c>
      <c r="I11" s="51">
        <v>7.52</v>
      </c>
      <c r="J11" s="51">
        <v>2.42</v>
      </c>
      <c r="K11" s="51">
        <v>309.17</v>
      </c>
      <c r="L11" s="51">
        <v>12.78</v>
      </c>
      <c r="M11" s="51">
        <v>95.83</v>
      </c>
      <c r="N11" s="51">
        <v>33.299999999999997</v>
      </c>
      <c r="O11" s="51">
        <v>0</v>
      </c>
      <c r="P11" s="51">
        <v>1.51</v>
      </c>
      <c r="Q11" s="51">
        <v>10.9</v>
      </c>
      <c r="R11" s="43"/>
      <c r="S11" s="43"/>
      <c r="T11" s="43"/>
      <c r="U11" s="43"/>
    </row>
    <row r="12" spans="1:21" s="11" customFormat="1" x14ac:dyDescent="0.25">
      <c r="A12" s="50" t="s">
        <v>568</v>
      </c>
      <c r="B12" s="51">
        <v>34.15</v>
      </c>
      <c r="C12" s="51">
        <v>45.09</v>
      </c>
      <c r="D12" s="51">
        <v>49.57</v>
      </c>
      <c r="E12" s="51">
        <v>6.17</v>
      </c>
      <c r="F12" s="51">
        <v>3.96</v>
      </c>
      <c r="G12" s="51">
        <v>142.88999999999999</v>
      </c>
      <c r="H12" s="51">
        <v>73.59</v>
      </c>
      <c r="I12" s="51">
        <v>7.41</v>
      </c>
      <c r="J12" s="51">
        <v>2.71</v>
      </c>
      <c r="K12" s="51">
        <v>316.37</v>
      </c>
      <c r="L12" s="51">
        <v>12.84</v>
      </c>
      <c r="M12" s="51">
        <v>90.95</v>
      </c>
      <c r="N12" s="51">
        <v>33.1</v>
      </c>
      <c r="O12" s="51">
        <v>0</v>
      </c>
      <c r="P12" s="51">
        <v>1.37</v>
      </c>
      <c r="Q12" s="51">
        <v>10.81</v>
      </c>
      <c r="R12" s="43"/>
      <c r="S12" s="43"/>
      <c r="T12" s="43"/>
      <c r="U12" s="43"/>
    </row>
    <row r="13" spans="1:21" s="11" customFormat="1" x14ac:dyDescent="0.25">
      <c r="A13" s="50" t="s">
        <v>569</v>
      </c>
      <c r="B13" s="51">
        <v>29.78</v>
      </c>
      <c r="C13" s="51">
        <v>44.17</v>
      </c>
      <c r="D13" s="51">
        <v>44.96</v>
      </c>
      <c r="E13" s="51">
        <v>7.34</v>
      </c>
      <c r="F13" s="51">
        <v>4.26</v>
      </c>
      <c r="G13" s="51">
        <v>164.83</v>
      </c>
      <c r="H13" s="51">
        <v>90.75</v>
      </c>
      <c r="I13" s="51">
        <v>7.2</v>
      </c>
      <c r="J13" s="51">
        <v>2.79</v>
      </c>
      <c r="K13" s="51">
        <v>345.72</v>
      </c>
      <c r="L13" s="51">
        <v>12.91</v>
      </c>
      <c r="M13" s="51">
        <v>86.37</v>
      </c>
      <c r="N13" s="51">
        <v>33.1</v>
      </c>
      <c r="O13" s="51">
        <v>0</v>
      </c>
      <c r="P13" s="51">
        <v>1.37</v>
      </c>
      <c r="Q13" s="51">
        <v>10.81</v>
      </c>
      <c r="R13" s="43"/>
      <c r="S13" s="43"/>
      <c r="T13" s="43"/>
      <c r="U13" s="43"/>
    </row>
    <row r="14" spans="1:21" s="11" customFormat="1" x14ac:dyDescent="0.25">
      <c r="A14" s="50" t="s">
        <v>570</v>
      </c>
      <c r="B14" s="51">
        <v>26.24</v>
      </c>
      <c r="C14" s="51">
        <v>44.75</v>
      </c>
      <c r="D14" s="51">
        <v>42.91</v>
      </c>
      <c r="E14" s="51">
        <v>7.07</v>
      </c>
      <c r="F14" s="51">
        <v>4.47</v>
      </c>
      <c r="G14" s="51">
        <v>198.46</v>
      </c>
      <c r="H14" s="51">
        <v>102.43</v>
      </c>
      <c r="I14" s="51">
        <v>7.16</v>
      </c>
      <c r="J14" s="51">
        <v>2.87</v>
      </c>
      <c r="K14" s="51">
        <v>346.04</v>
      </c>
      <c r="L14" s="51">
        <v>12.91</v>
      </c>
      <c r="M14" s="51">
        <v>84.07</v>
      </c>
      <c r="N14" s="51">
        <v>33.1</v>
      </c>
      <c r="O14" s="51">
        <v>0</v>
      </c>
      <c r="P14" s="51">
        <v>1.49</v>
      </c>
      <c r="Q14" s="51">
        <v>10.69</v>
      </c>
      <c r="R14" s="43"/>
      <c r="S14" s="43"/>
      <c r="T14" s="43"/>
      <c r="U14" s="43"/>
    </row>
    <row r="15" spans="1:21" s="11" customFormat="1" x14ac:dyDescent="0.25">
      <c r="A15" s="50" t="s">
        <v>571</v>
      </c>
      <c r="B15" s="51">
        <v>21.16</v>
      </c>
      <c r="C15" s="51">
        <v>45.27</v>
      </c>
      <c r="D15" s="51">
        <v>38.97</v>
      </c>
      <c r="E15" s="51">
        <v>6.15</v>
      </c>
      <c r="F15" s="51">
        <v>4.41</v>
      </c>
      <c r="G15" s="51">
        <v>183.88</v>
      </c>
      <c r="H15" s="51">
        <v>89.61</v>
      </c>
      <c r="I15" s="51">
        <v>6.63</v>
      </c>
      <c r="J15" s="51">
        <v>2.4300000000000002</v>
      </c>
      <c r="K15" s="51">
        <v>333.16</v>
      </c>
      <c r="L15" s="51">
        <v>12.85</v>
      </c>
      <c r="M15" s="51">
        <v>79.39</v>
      </c>
      <c r="N15" s="51">
        <v>60.1</v>
      </c>
      <c r="O15" s="51">
        <v>0</v>
      </c>
      <c r="P15" s="51">
        <v>1.4</v>
      </c>
      <c r="Q15" s="51">
        <v>10.6</v>
      </c>
      <c r="R15" s="43"/>
      <c r="S15" s="43"/>
      <c r="T15" s="43"/>
      <c r="U15" s="43"/>
    </row>
    <row r="16" spans="1:21" s="11" customFormat="1" x14ac:dyDescent="0.25">
      <c r="A16" s="50" t="s">
        <v>572</v>
      </c>
      <c r="B16" s="51">
        <v>18.12</v>
      </c>
      <c r="C16" s="51">
        <v>43.05</v>
      </c>
      <c r="D16" s="51">
        <v>35.65</v>
      </c>
      <c r="E16" s="51">
        <v>7.43</v>
      </c>
      <c r="F16" s="51">
        <v>3.9</v>
      </c>
      <c r="G16" s="51">
        <v>157.07</v>
      </c>
      <c r="H16" s="51">
        <v>78.239999999999995</v>
      </c>
      <c r="I16" s="51">
        <v>6.13</v>
      </c>
      <c r="J16" s="51">
        <v>1.63</v>
      </c>
      <c r="K16" s="51">
        <v>312.27999999999997</v>
      </c>
      <c r="L16" s="51">
        <v>15.36</v>
      </c>
      <c r="M16" s="51">
        <v>78.010000000000005</v>
      </c>
      <c r="N16" s="51">
        <v>171</v>
      </c>
      <c r="O16" s="51">
        <v>0</v>
      </c>
      <c r="P16" s="51">
        <v>1.25</v>
      </c>
      <c r="Q16" s="51">
        <v>10.53</v>
      </c>
      <c r="R16" s="43"/>
      <c r="S16" s="43"/>
      <c r="T16" s="43"/>
      <c r="U16" s="43"/>
    </row>
    <row r="17" spans="1:21" s="11" customFormat="1" x14ac:dyDescent="0.25">
      <c r="A17" s="50" t="s">
        <v>573</v>
      </c>
      <c r="B17" s="51">
        <v>17.89</v>
      </c>
      <c r="C17" s="51">
        <v>44.84</v>
      </c>
      <c r="D17" s="51">
        <v>36.020000000000003</v>
      </c>
      <c r="E17" s="51">
        <v>6.85</v>
      </c>
      <c r="F17" s="51">
        <v>4.16</v>
      </c>
      <c r="G17" s="51">
        <v>138.66</v>
      </c>
      <c r="H17" s="51">
        <v>67.87</v>
      </c>
      <c r="I17" s="51">
        <v>6.3</v>
      </c>
      <c r="J17" s="51">
        <v>3.37</v>
      </c>
      <c r="K17" s="51">
        <v>333.18</v>
      </c>
      <c r="L17" s="51">
        <v>17.239999999999998</v>
      </c>
      <c r="M17" s="51">
        <v>66.14</v>
      </c>
      <c r="N17" s="51">
        <v>304.89999999999998</v>
      </c>
      <c r="O17" s="51">
        <v>0</v>
      </c>
      <c r="P17" s="51">
        <v>1.21</v>
      </c>
      <c r="Q17" s="51">
        <v>10.65</v>
      </c>
      <c r="R17" s="43"/>
      <c r="S17" s="43"/>
      <c r="T17" s="43"/>
      <c r="U17" s="43"/>
    </row>
    <row r="18" spans="1:21" s="11" customFormat="1" x14ac:dyDescent="0.25">
      <c r="A18" s="50" t="s">
        <v>574</v>
      </c>
      <c r="B18" s="51">
        <v>14.8</v>
      </c>
      <c r="C18" s="51">
        <v>46.81</v>
      </c>
      <c r="D18" s="51">
        <v>34.090000000000003</v>
      </c>
      <c r="E18" s="51">
        <v>6.48</v>
      </c>
      <c r="F18" s="51">
        <v>4.46</v>
      </c>
      <c r="G18" s="51">
        <v>122.04</v>
      </c>
      <c r="H18" s="51">
        <v>52.21</v>
      </c>
      <c r="I18" s="51">
        <v>7.02</v>
      </c>
      <c r="J18" s="51">
        <v>3.3</v>
      </c>
      <c r="K18" s="51">
        <v>119.55</v>
      </c>
      <c r="L18" s="51">
        <v>18.87</v>
      </c>
      <c r="M18" s="51">
        <v>58.82</v>
      </c>
      <c r="N18" s="51">
        <v>419.4</v>
      </c>
      <c r="O18" s="51">
        <v>0</v>
      </c>
      <c r="P18" s="51">
        <v>1.1200000000000001</v>
      </c>
      <c r="Q18" s="51">
        <v>10.51</v>
      </c>
      <c r="R18" s="43"/>
      <c r="S18" s="43"/>
      <c r="T18" s="43"/>
      <c r="U18" s="43"/>
    </row>
    <row r="19" spans="1:21" s="11" customFormat="1" x14ac:dyDescent="0.25">
      <c r="A19" s="50" t="s">
        <v>575</v>
      </c>
      <c r="B19" s="51">
        <v>7.86</v>
      </c>
      <c r="C19" s="51">
        <v>49.83</v>
      </c>
      <c r="D19" s="51">
        <v>29.53</v>
      </c>
      <c r="E19" s="51">
        <v>7.26</v>
      </c>
      <c r="F19" s="51">
        <v>6.19</v>
      </c>
      <c r="G19" s="51">
        <v>112.16</v>
      </c>
      <c r="H19" s="51">
        <v>49.39</v>
      </c>
      <c r="I19" s="51">
        <v>7.41</v>
      </c>
      <c r="J19" s="51">
        <v>2.99</v>
      </c>
      <c r="K19" s="51">
        <v>332.79</v>
      </c>
      <c r="L19" s="51">
        <v>24.15</v>
      </c>
      <c r="M19" s="51">
        <v>50.54</v>
      </c>
      <c r="N19" s="51">
        <v>490.9</v>
      </c>
      <c r="O19" s="51">
        <v>0</v>
      </c>
      <c r="P19" s="51">
        <v>1.01</v>
      </c>
      <c r="Q19" s="51">
        <v>10.46</v>
      </c>
      <c r="R19" s="43"/>
      <c r="S19" s="43"/>
      <c r="T19" s="43"/>
      <c r="U19" s="43"/>
    </row>
    <row r="20" spans="1:21" s="11" customFormat="1" x14ac:dyDescent="0.25">
      <c r="A20" s="50" t="s">
        <v>576</v>
      </c>
      <c r="B20" s="51">
        <v>3.46</v>
      </c>
      <c r="C20" s="51">
        <v>52.05</v>
      </c>
      <c r="D20" s="51">
        <v>28.59</v>
      </c>
      <c r="E20" s="51">
        <v>7.87</v>
      </c>
      <c r="F20" s="51">
        <v>8.3000000000000007</v>
      </c>
      <c r="G20" s="51">
        <v>97.62</v>
      </c>
      <c r="H20" s="51">
        <v>55.85</v>
      </c>
      <c r="I20" s="51">
        <v>7.21</v>
      </c>
      <c r="J20" s="51">
        <v>2.4900000000000002</v>
      </c>
      <c r="K20" s="51">
        <v>319.25</v>
      </c>
      <c r="L20" s="51">
        <v>25.03</v>
      </c>
      <c r="M20" s="51">
        <v>42.51</v>
      </c>
      <c r="N20" s="51">
        <v>517.6</v>
      </c>
      <c r="O20" s="51">
        <v>0</v>
      </c>
      <c r="P20" s="51">
        <v>0.94</v>
      </c>
      <c r="Q20" s="51">
        <v>10.53</v>
      </c>
      <c r="R20" s="43"/>
      <c r="S20" s="43"/>
      <c r="T20" s="43"/>
      <c r="U20" s="43"/>
    </row>
    <row r="21" spans="1:21" s="11" customFormat="1" x14ac:dyDescent="0.25">
      <c r="A21" s="50" t="s">
        <v>577</v>
      </c>
      <c r="B21" s="51">
        <v>2.42</v>
      </c>
      <c r="C21" s="51">
        <v>50.29</v>
      </c>
      <c r="D21" s="51">
        <v>26.47</v>
      </c>
      <c r="E21" s="51">
        <v>8.1199999999999992</v>
      </c>
      <c r="F21" s="51">
        <v>8.7799999999999994</v>
      </c>
      <c r="G21" s="51">
        <v>115.78</v>
      </c>
      <c r="H21" s="51">
        <v>64.64</v>
      </c>
      <c r="I21" s="51">
        <v>6.75</v>
      </c>
      <c r="J21" s="51">
        <v>3.08</v>
      </c>
      <c r="K21" s="51">
        <v>342.48</v>
      </c>
      <c r="L21" s="51">
        <v>25.81</v>
      </c>
      <c r="M21" s="51">
        <v>37.1</v>
      </c>
      <c r="N21" s="51">
        <v>475.8</v>
      </c>
      <c r="O21" s="51">
        <v>0</v>
      </c>
      <c r="P21" s="51">
        <v>0.85</v>
      </c>
      <c r="Q21" s="51">
        <v>10.58</v>
      </c>
      <c r="R21" s="43"/>
      <c r="S21" s="43"/>
      <c r="T21" s="43"/>
      <c r="U21" s="43"/>
    </row>
    <row r="22" spans="1:21" s="11" customFormat="1" x14ac:dyDescent="0.25">
      <c r="A22" s="50" t="s">
        <v>578</v>
      </c>
      <c r="B22" s="51">
        <v>2.21</v>
      </c>
      <c r="C22" s="51">
        <v>52.8</v>
      </c>
      <c r="D22" s="51">
        <v>27.98</v>
      </c>
      <c r="E22" s="51">
        <v>7.81</v>
      </c>
      <c r="F22" s="51">
        <v>7.09</v>
      </c>
      <c r="G22" s="51">
        <v>113.92</v>
      </c>
      <c r="H22" s="51">
        <v>55.89</v>
      </c>
      <c r="I22" s="51">
        <v>6.15</v>
      </c>
      <c r="J22" s="51">
        <v>3.12</v>
      </c>
      <c r="K22" s="51">
        <v>330.68</v>
      </c>
      <c r="L22" s="51">
        <v>25.62</v>
      </c>
      <c r="M22" s="51">
        <v>40.67</v>
      </c>
      <c r="N22" s="51">
        <v>352.8</v>
      </c>
      <c r="O22" s="51">
        <v>0</v>
      </c>
      <c r="P22" s="51">
        <v>0.84</v>
      </c>
      <c r="Q22" s="51">
        <v>10.55</v>
      </c>
      <c r="R22" s="43"/>
      <c r="S22" s="43"/>
      <c r="T22" s="43"/>
      <c r="U22" s="43"/>
    </row>
    <row r="23" spans="1:21" s="11" customFormat="1" x14ac:dyDescent="0.25">
      <c r="A23" s="50" t="s">
        <v>579</v>
      </c>
      <c r="B23" s="51">
        <v>2.3199999999999998</v>
      </c>
      <c r="C23" s="51">
        <v>51.82</v>
      </c>
      <c r="D23" s="51">
        <v>27.56</v>
      </c>
      <c r="E23" s="51">
        <v>7.29</v>
      </c>
      <c r="F23" s="51">
        <v>7</v>
      </c>
      <c r="G23" s="51">
        <v>116.13</v>
      </c>
      <c r="H23" s="51">
        <v>57.84</v>
      </c>
      <c r="I23" s="51">
        <v>5.75</v>
      </c>
      <c r="J23" s="51">
        <v>3.25</v>
      </c>
      <c r="K23" s="51">
        <v>339.56</v>
      </c>
      <c r="L23" s="51">
        <v>24.11</v>
      </c>
      <c r="M23" s="51">
        <v>37.950000000000003</v>
      </c>
      <c r="N23" s="51">
        <v>186.1</v>
      </c>
      <c r="O23" s="51">
        <v>0</v>
      </c>
      <c r="P23" s="51">
        <v>0.82</v>
      </c>
      <c r="Q23" s="51">
        <v>10.48</v>
      </c>
      <c r="R23" s="43"/>
      <c r="S23" s="43"/>
      <c r="T23" s="43"/>
      <c r="U23" s="43"/>
    </row>
    <row r="24" spans="1:21" s="11" customFormat="1" x14ac:dyDescent="0.25">
      <c r="A24" s="50" t="s">
        <v>580</v>
      </c>
      <c r="B24" s="51">
        <v>3.48</v>
      </c>
      <c r="C24" s="51">
        <v>53.09</v>
      </c>
      <c r="D24" s="51">
        <v>29.16</v>
      </c>
      <c r="E24" s="51">
        <v>6.8</v>
      </c>
      <c r="F24" s="51">
        <v>5.37</v>
      </c>
      <c r="G24" s="51">
        <v>109.14</v>
      </c>
      <c r="H24" s="51">
        <v>54.13</v>
      </c>
      <c r="I24" s="51">
        <v>5.66</v>
      </c>
      <c r="J24" s="51">
        <v>3.85</v>
      </c>
      <c r="K24" s="51">
        <v>346.13</v>
      </c>
      <c r="L24" s="51">
        <v>23.21</v>
      </c>
      <c r="M24" s="51">
        <v>37.14</v>
      </c>
      <c r="N24" s="51">
        <v>116.5</v>
      </c>
      <c r="O24" s="51">
        <v>0</v>
      </c>
      <c r="P24" s="51">
        <v>0.84</v>
      </c>
      <c r="Q24" s="51">
        <v>10.41</v>
      </c>
      <c r="R24" s="43"/>
      <c r="S24" s="43"/>
      <c r="T24" s="43"/>
      <c r="U24" s="43"/>
    </row>
    <row r="25" spans="1:21" s="11" customFormat="1" x14ac:dyDescent="0.25">
      <c r="A25" s="50" t="s">
        <v>581</v>
      </c>
      <c r="B25" s="51">
        <v>4.1900000000000004</v>
      </c>
      <c r="C25" s="51">
        <v>53.87</v>
      </c>
      <c r="D25" s="51">
        <v>30.13</v>
      </c>
      <c r="E25" s="51">
        <v>8.06</v>
      </c>
      <c r="F25" s="51">
        <v>5.05</v>
      </c>
      <c r="G25" s="51">
        <v>102.75</v>
      </c>
      <c r="H25" s="51">
        <v>53.7</v>
      </c>
      <c r="I25" s="51">
        <v>4.76</v>
      </c>
      <c r="J25" s="51">
        <v>2.82</v>
      </c>
      <c r="K25" s="51">
        <v>353.12</v>
      </c>
      <c r="L25" s="51">
        <v>21.95</v>
      </c>
      <c r="M25" s="51">
        <v>41.5</v>
      </c>
      <c r="N25" s="51">
        <v>73.2</v>
      </c>
      <c r="O25" s="51">
        <v>0</v>
      </c>
      <c r="P25" s="51">
        <v>0.94</v>
      </c>
      <c r="Q25" s="51">
        <v>10.48</v>
      </c>
      <c r="R25" s="43"/>
      <c r="S25" s="43"/>
      <c r="T25" s="43"/>
      <c r="U25" s="43"/>
    </row>
    <row r="26" spans="1:21" s="11" customFormat="1" x14ac:dyDescent="0.25">
      <c r="A26" s="50" t="s">
        <v>582</v>
      </c>
      <c r="B26" s="51">
        <v>9.68</v>
      </c>
      <c r="C26" s="51">
        <v>62.99</v>
      </c>
      <c r="D26" s="51">
        <v>39.29</v>
      </c>
      <c r="E26" s="51">
        <v>8.2200000000000006</v>
      </c>
      <c r="F26" s="51">
        <v>4.67</v>
      </c>
      <c r="G26" s="51">
        <v>101.12</v>
      </c>
      <c r="H26" s="51">
        <v>51.46</v>
      </c>
      <c r="I26" s="51">
        <v>6.91</v>
      </c>
      <c r="J26" s="51">
        <v>2.56</v>
      </c>
      <c r="K26" s="51">
        <v>357.7</v>
      </c>
      <c r="L26" s="51">
        <v>19.899999999999999</v>
      </c>
      <c r="M26" s="51">
        <v>49.11</v>
      </c>
      <c r="N26" s="51">
        <v>39.6</v>
      </c>
      <c r="O26" s="51">
        <v>0</v>
      </c>
      <c r="P26" s="51">
        <v>1.07</v>
      </c>
      <c r="Q26" s="51">
        <v>10.69</v>
      </c>
      <c r="R26" s="43"/>
      <c r="S26" s="43"/>
      <c r="T26" s="43"/>
      <c r="U26" s="43"/>
    </row>
    <row r="27" spans="1:21" s="11" customFormat="1" x14ac:dyDescent="0.25">
      <c r="A27" s="50" t="s">
        <v>583</v>
      </c>
      <c r="B27" s="51">
        <v>12.09</v>
      </c>
      <c r="C27" s="51">
        <v>66.19</v>
      </c>
      <c r="D27" s="51">
        <v>42.6</v>
      </c>
      <c r="E27" s="51">
        <v>8.58</v>
      </c>
      <c r="F27" s="51">
        <v>4.41</v>
      </c>
      <c r="G27" s="51">
        <v>104.23</v>
      </c>
      <c r="H27" s="51">
        <v>52.8</v>
      </c>
      <c r="I27" s="51">
        <v>7.41</v>
      </c>
      <c r="J27" s="51">
        <v>2.88</v>
      </c>
      <c r="K27" s="51">
        <v>354.13</v>
      </c>
      <c r="L27" s="51">
        <v>18.34</v>
      </c>
      <c r="M27" s="51">
        <v>54.55</v>
      </c>
      <c r="N27" s="51">
        <v>34</v>
      </c>
      <c r="O27" s="51">
        <v>0</v>
      </c>
      <c r="P27" s="51">
        <v>1.24</v>
      </c>
      <c r="Q27" s="51">
        <v>10.71</v>
      </c>
      <c r="R27" s="43"/>
      <c r="S27" s="43"/>
      <c r="T27" s="43"/>
      <c r="U27" s="43"/>
    </row>
    <row r="28" spans="1:21" s="11" customFormat="1" x14ac:dyDescent="0.25">
      <c r="A28" s="50" t="s">
        <v>584</v>
      </c>
      <c r="B28" s="51">
        <v>13.24</v>
      </c>
      <c r="C28" s="51">
        <v>63.92</v>
      </c>
      <c r="D28" s="51">
        <v>40.520000000000003</v>
      </c>
      <c r="E28" s="51">
        <v>8.31</v>
      </c>
      <c r="F28" s="51">
        <v>5.45</v>
      </c>
      <c r="G28" s="51">
        <v>109.9</v>
      </c>
      <c r="H28" s="51">
        <v>44.27</v>
      </c>
      <c r="I28" s="51">
        <v>7.53</v>
      </c>
      <c r="J28" s="51">
        <v>2.7</v>
      </c>
      <c r="K28" s="51">
        <v>291.94</v>
      </c>
      <c r="L28" s="51">
        <v>17.36</v>
      </c>
      <c r="M28" s="51">
        <v>68.58</v>
      </c>
      <c r="N28" s="51">
        <v>34.5</v>
      </c>
      <c r="O28" s="51">
        <v>0</v>
      </c>
      <c r="P28" s="51">
        <v>1.62</v>
      </c>
      <c r="Q28" s="51">
        <v>10.61</v>
      </c>
      <c r="R28" s="43"/>
      <c r="S28" s="43"/>
      <c r="T28" s="43"/>
      <c r="U28" s="43"/>
    </row>
    <row r="29" spans="1:21" s="11" customFormat="1" x14ac:dyDescent="0.25">
      <c r="A29" s="50" t="s">
        <v>585</v>
      </c>
      <c r="B29" s="51">
        <v>30.75</v>
      </c>
      <c r="C29" s="51">
        <v>58.87</v>
      </c>
      <c r="D29" s="51">
        <v>53.34</v>
      </c>
      <c r="E29" s="51">
        <v>7.91</v>
      </c>
      <c r="F29" s="51">
        <v>3.83</v>
      </c>
      <c r="G29" s="51">
        <v>128.83000000000001</v>
      </c>
      <c r="H29" s="51">
        <v>73.69</v>
      </c>
      <c r="I29" s="51">
        <v>9.16</v>
      </c>
      <c r="J29" s="51">
        <v>2.82</v>
      </c>
      <c r="K29" s="51">
        <v>327.66000000000003</v>
      </c>
      <c r="L29" s="51">
        <v>15.57</v>
      </c>
      <c r="M29" s="51">
        <v>74.75</v>
      </c>
      <c r="N29" s="51">
        <v>33.9</v>
      </c>
      <c r="O29" s="51">
        <v>0</v>
      </c>
      <c r="P29" s="51">
        <v>2.1</v>
      </c>
      <c r="Q29" s="51">
        <v>10.81</v>
      </c>
      <c r="R29" s="43"/>
      <c r="S29" s="43"/>
      <c r="T29" s="43"/>
      <c r="U29" s="43"/>
    </row>
    <row r="30" spans="1:21" s="11" customFormat="1" x14ac:dyDescent="0.25">
      <c r="A30" s="50" t="s">
        <v>586</v>
      </c>
      <c r="B30" s="51">
        <v>54.98</v>
      </c>
      <c r="C30" s="51">
        <v>59.54</v>
      </c>
      <c r="D30" s="51">
        <v>73.819999999999993</v>
      </c>
      <c r="E30" s="51">
        <v>9.6</v>
      </c>
      <c r="F30" s="51">
        <v>4.63</v>
      </c>
      <c r="G30" s="51">
        <v>156.12</v>
      </c>
      <c r="H30" s="51">
        <v>70.22</v>
      </c>
      <c r="I30" s="51">
        <v>9.73</v>
      </c>
      <c r="J30" s="51">
        <v>2.87</v>
      </c>
      <c r="K30" s="51">
        <v>332.99</v>
      </c>
      <c r="L30" s="51">
        <v>15.03</v>
      </c>
      <c r="M30" s="51">
        <v>76.44</v>
      </c>
      <c r="N30" s="51">
        <v>34.1</v>
      </c>
      <c r="O30" s="51">
        <v>0</v>
      </c>
      <c r="P30" s="51">
        <v>2</v>
      </c>
      <c r="Q30" s="51">
        <v>11.24</v>
      </c>
      <c r="R30" s="43"/>
      <c r="S30" s="43"/>
      <c r="T30" s="43"/>
      <c r="U30" s="43"/>
    </row>
    <row r="31" spans="1:21" s="11" customFormat="1" x14ac:dyDescent="0.25">
      <c r="A31" s="50" t="s">
        <v>587</v>
      </c>
      <c r="B31" s="51">
        <v>56.12</v>
      </c>
      <c r="C31" s="51">
        <v>59.74</v>
      </c>
      <c r="D31" s="51">
        <v>74.84</v>
      </c>
      <c r="E31" s="51">
        <v>8.9</v>
      </c>
      <c r="F31" s="51">
        <v>4.24</v>
      </c>
      <c r="G31" s="51">
        <v>159.44</v>
      </c>
      <c r="H31" s="51">
        <v>80.27</v>
      </c>
      <c r="I31" s="51">
        <v>8.99</v>
      </c>
      <c r="J31" s="51">
        <v>2.44</v>
      </c>
      <c r="K31" s="51">
        <v>297.95999999999998</v>
      </c>
      <c r="L31" s="51">
        <v>15.55</v>
      </c>
      <c r="M31" s="51">
        <v>64.95</v>
      </c>
      <c r="N31" s="51">
        <v>33.799999999999997</v>
      </c>
      <c r="O31" s="51">
        <v>0</v>
      </c>
      <c r="P31" s="51">
        <v>2</v>
      </c>
      <c r="Q31" s="51">
        <v>11.2</v>
      </c>
      <c r="R31" s="43"/>
      <c r="S31" s="43"/>
      <c r="T31" s="43"/>
      <c r="U31" s="43"/>
    </row>
    <row r="32" spans="1:21" s="11" customFormat="1" x14ac:dyDescent="0.25">
      <c r="A32" s="50" t="s">
        <v>588</v>
      </c>
      <c r="B32" s="51">
        <v>54.88</v>
      </c>
      <c r="C32" s="51">
        <v>58.95</v>
      </c>
      <c r="D32" s="51">
        <v>73.430000000000007</v>
      </c>
      <c r="E32" s="51">
        <v>7.3</v>
      </c>
      <c r="F32" s="51">
        <v>4.42</v>
      </c>
      <c r="G32" s="51">
        <v>148.41</v>
      </c>
      <c r="H32" s="51">
        <v>68.05</v>
      </c>
      <c r="I32" s="51">
        <v>8.5500000000000007</v>
      </c>
      <c r="J32" s="51">
        <v>2</v>
      </c>
      <c r="K32" s="51">
        <v>337.67</v>
      </c>
      <c r="L32" s="51">
        <v>14.67</v>
      </c>
      <c r="M32" s="51">
        <v>81.59</v>
      </c>
      <c r="N32" s="51">
        <v>34.299999999999997</v>
      </c>
      <c r="O32" s="51">
        <v>0</v>
      </c>
      <c r="P32" s="51">
        <v>1.85</v>
      </c>
      <c r="Q32" s="51">
        <v>11.15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2.21</v>
      </c>
      <c r="C34" s="28">
        <f t="shared" si="0"/>
        <v>43.05</v>
      </c>
      <c r="D34" s="28">
        <f t="shared" si="0"/>
        <v>26.47</v>
      </c>
      <c r="E34" s="28">
        <f t="shared" si="0"/>
        <v>6.02</v>
      </c>
      <c r="F34" s="28">
        <f t="shared" si="0"/>
        <v>3.83</v>
      </c>
      <c r="G34" s="28">
        <f t="shared" si="0"/>
        <v>97.62</v>
      </c>
      <c r="H34" s="28">
        <f t="shared" si="0"/>
        <v>44.27</v>
      </c>
      <c r="I34" s="28">
        <f t="shared" si="0"/>
        <v>4.76</v>
      </c>
      <c r="J34" s="28">
        <f t="shared" si="0"/>
        <v>1.63</v>
      </c>
      <c r="K34" s="28">
        <f t="shared" si="0"/>
        <v>119.55</v>
      </c>
      <c r="L34" s="28">
        <f t="shared" si="0"/>
        <v>12.78</v>
      </c>
      <c r="M34" s="28">
        <f t="shared" si="0"/>
        <v>37.1</v>
      </c>
      <c r="N34" s="28">
        <f t="shared" si="0"/>
        <v>33.1</v>
      </c>
      <c r="O34" s="28">
        <f t="shared" si="0"/>
        <v>0</v>
      </c>
      <c r="P34" s="28">
        <f t="shared" si="0"/>
        <v>0.82</v>
      </c>
      <c r="Q34" s="28">
        <f t="shared" si="0"/>
        <v>10.41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56.12</v>
      </c>
      <c r="C35" s="29">
        <f t="shared" si="1"/>
        <v>66.19</v>
      </c>
      <c r="D35" s="29">
        <f t="shared" si="1"/>
        <v>74.84</v>
      </c>
      <c r="E35" s="29">
        <f t="shared" si="1"/>
        <v>9.6</v>
      </c>
      <c r="F35" s="29">
        <f t="shared" si="1"/>
        <v>8.7799999999999994</v>
      </c>
      <c r="G35" s="29">
        <f t="shared" si="1"/>
        <v>198.46</v>
      </c>
      <c r="H35" s="29">
        <f t="shared" si="1"/>
        <v>102.43</v>
      </c>
      <c r="I35" s="29">
        <f t="shared" si="1"/>
        <v>9.73</v>
      </c>
      <c r="J35" s="29">
        <f t="shared" si="1"/>
        <v>3.85</v>
      </c>
      <c r="K35" s="29">
        <f t="shared" si="1"/>
        <v>357.7</v>
      </c>
      <c r="L35" s="29">
        <f t="shared" si="1"/>
        <v>25.81</v>
      </c>
      <c r="M35" s="29">
        <f t="shared" si="1"/>
        <v>95.83</v>
      </c>
      <c r="N35" s="29">
        <f t="shared" si="1"/>
        <v>517.6</v>
      </c>
      <c r="O35" s="29">
        <f t="shared" si="1"/>
        <v>0</v>
      </c>
      <c r="P35" s="29">
        <f t="shared" si="1"/>
        <v>2.1</v>
      </c>
      <c r="Q35" s="29">
        <f t="shared" si="1"/>
        <v>11.24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23.079583333333336</v>
      </c>
      <c r="C36" s="28">
        <f t="shared" si="2"/>
        <v>52.524583333333332</v>
      </c>
      <c r="D36" s="28">
        <f t="shared" si="2"/>
        <v>44.269166666666671</v>
      </c>
      <c r="E36" s="28">
        <f t="shared" si="2"/>
        <v>7.4170833333333341</v>
      </c>
      <c r="F36" s="28">
        <f t="shared" si="2"/>
        <v>5.0812499999999998</v>
      </c>
      <c r="G36" s="28">
        <f t="shared" si="2"/>
        <v>133.87916666666666</v>
      </c>
      <c r="H36" s="28">
        <f t="shared" si="2"/>
        <v>67.171250000000001</v>
      </c>
      <c r="I36" s="28">
        <f t="shared" si="2"/>
        <v>7.2120833333333332</v>
      </c>
      <c r="J36" s="28">
        <f t="shared" si="2"/>
        <v>2.7662499999999999</v>
      </c>
      <c r="K36" s="28">
        <f t="shared" si="2"/>
        <v>321.06874999999997</v>
      </c>
      <c r="L36" s="28">
        <f t="shared" si="2"/>
        <v>17.886249999999997</v>
      </c>
      <c r="M36" s="28">
        <f t="shared" si="2"/>
        <v>65.955416666666665</v>
      </c>
      <c r="N36" s="28">
        <f t="shared" si="2"/>
        <v>150.47916666666669</v>
      </c>
      <c r="O36" s="28">
        <f t="shared" si="2"/>
        <v>0</v>
      </c>
      <c r="P36" s="28">
        <f t="shared" si="2"/>
        <v>1.3395833333333336</v>
      </c>
      <c r="Q36" s="28">
        <f t="shared" si="2"/>
        <v>10.731250000000001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18.628962369098161</v>
      </c>
      <c r="C37" s="28">
        <f t="shared" ref="C37:Q37" si="3">STDEV(C9:C32)</f>
        <v>6.7759164175114757</v>
      </c>
      <c r="D37" s="28">
        <f t="shared" si="3"/>
        <v>15.775815259486565</v>
      </c>
      <c r="E37" s="28">
        <f t="shared" si="3"/>
        <v>0.95460658487360406</v>
      </c>
      <c r="F37" s="28">
        <f t="shared" si="3"/>
        <v>1.3844738837488428</v>
      </c>
      <c r="G37" s="28">
        <f t="shared" si="3"/>
        <v>27.192081794501153</v>
      </c>
      <c r="H37" s="28">
        <f t="shared" si="3"/>
        <v>14.900898809336493</v>
      </c>
      <c r="I37" s="28">
        <f t="shared" si="3"/>
        <v>1.1545222206484407</v>
      </c>
      <c r="J37" s="28">
        <f t="shared" si="3"/>
        <v>0.46336024580374235</v>
      </c>
      <c r="K37" s="28">
        <f t="shared" si="3"/>
        <v>46.380235887479714</v>
      </c>
      <c r="L37" s="28">
        <f t="shared" si="3"/>
        <v>4.6689155360328263</v>
      </c>
      <c r="M37" s="28">
        <f t="shared" si="3"/>
        <v>20.244027563524895</v>
      </c>
      <c r="N37" s="28">
        <f t="shared" si="3"/>
        <v>172.79205642764003</v>
      </c>
      <c r="O37" s="28">
        <f t="shared" si="3"/>
        <v>0</v>
      </c>
      <c r="P37" s="28">
        <f t="shared" si="3"/>
        <v>0.39833871502034213</v>
      </c>
      <c r="Q37" s="28">
        <f t="shared" si="3"/>
        <v>0.2533997100303752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589</v>
      </c>
      <c r="B9" s="51">
        <v>50.56</v>
      </c>
      <c r="C9" s="51">
        <v>54.84</v>
      </c>
      <c r="D9" s="51">
        <v>67.819999999999993</v>
      </c>
      <c r="E9" s="51">
        <v>7.34</v>
      </c>
      <c r="F9" s="51">
        <v>3.89</v>
      </c>
      <c r="G9" s="51">
        <v>131.35</v>
      </c>
      <c r="H9" s="51">
        <v>66.42</v>
      </c>
      <c r="I9" s="51">
        <v>7.92</v>
      </c>
      <c r="J9" s="51">
        <v>1.62</v>
      </c>
      <c r="K9" s="51">
        <v>293.27</v>
      </c>
      <c r="L9" s="51">
        <v>13.15</v>
      </c>
      <c r="M9" s="51">
        <v>85.16</v>
      </c>
      <c r="N9" s="51">
        <v>34.1</v>
      </c>
      <c r="O9" s="51">
        <v>0</v>
      </c>
      <c r="P9" s="51">
        <v>1.73</v>
      </c>
      <c r="Q9" s="51">
        <v>11.06</v>
      </c>
      <c r="R9" s="43"/>
      <c r="S9" s="43"/>
      <c r="T9" s="43"/>
      <c r="U9" s="43"/>
    </row>
    <row r="10" spans="1:21" s="11" customFormat="1" x14ac:dyDescent="0.25">
      <c r="A10" s="50" t="s">
        <v>590</v>
      </c>
      <c r="B10" s="51">
        <v>41.28</v>
      </c>
      <c r="C10" s="51">
        <v>50.84</v>
      </c>
      <c r="D10" s="51">
        <v>58.28</v>
      </c>
      <c r="E10" s="51">
        <v>6.43</v>
      </c>
      <c r="F10" s="51">
        <v>4.32</v>
      </c>
      <c r="G10" s="51">
        <v>124.68</v>
      </c>
      <c r="H10" s="51">
        <v>68.23</v>
      </c>
      <c r="I10" s="51">
        <v>7.35</v>
      </c>
      <c r="J10" s="51">
        <v>1.23</v>
      </c>
      <c r="K10" s="51">
        <v>339.48</v>
      </c>
      <c r="L10" s="51">
        <v>12.93</v>
      </c>
      <c r="M10" s="51">
        <v>86.59</v>
      </c>
      <c r="N10" s="51">
        <v>34.200000000000003</v>
      </c>
      <c r="O10" s="51">
        <v>0</v>
      </c>
      <c r="P10" s="51">
        <v>1.53</v>
      </c>
      <c r="Q10" s="51">
        <v>11.02</v>
      </c>
      <c r="R10" s="43"/>
      <c r="S10" s="43"/>
      <c r="T10" s="43"/>
      <c r="U10" s="43"/>
    </row>
    <row r="11" spans="1:21" s="11" customFormat="1" x14ac:dyDescent="0.25">
      <c r="A11" s="50" t="s">
        <v>591</v>
      </c>
      <c r="B11" s="51">
        <v>34.56</v>
      </c>
      <c r="C11" s="51">
        <v>49.61</v>
      </c>
      <c r="D11" s="51">
        <v>52.25</v>
      </c>
      <c r="E11" s="51">
        <v>6.99</v>
      </c>
      <c r="F11" s="51">
        <v>4.62</v>
      </c>
      <c r="G11" s="51">
        <v>142.15</v>
      </c>
      <c r="H11" s="51">
        <v>73.069999999999993</v>
      </c>
      <c r="I11" s="51">
        <v>7.03</v>
      </c>
      <c r="J11" s="51">
        <v>1.76</v>
      </c>
      <c r="K11" s="51">
        <v>327.17</v>
      </c>
      <c r="L11" s="51">
        <v>12.38</v>
      </c>
      <c r="M11" s="51">
        <v>94.29</v>
      </c>
      <c r="N11" s="51">
        <v>34.1</v>
      </c>
      <c r="O11" s="51">
        <v>0</v>
      </c>
      <c r="P11" s="51">
        <v>1.51</v>
      </c>
      <c r="Q11" s="51">
        <v>10.83</v>
      </c>
      <c r="R11" s="43"/>
      <c r="S11" s="43"/>
      <c r="T11" s="43"/>
      <c r="U11" s="43"/>
    </row>
    <row r="12" spans="1:21" s="11" customFormat="1" x14ac:dyDescent="0.25">
      <c r="A12" s="50" t="s">
        <v>592</v>
      </c>
      <c r="B12" s="51">
        <v>37.020000000000003</v>
      </c>
      <c r="C12" s="51">
        <v>47.72</v>
      </c>
      <c r="D12" s="51">
        <v>51.3</v>
      </c>
      <c r="E12" s="51">
        <v>7.79</v>
      </c>
      <c r="F12" s="51">
        <v>4.51</v>
      </c>
      <c r="G12" s="51">
        <v>157.27000000000001</v>
      </c>
      <c r="H12" s="51">
        <v>78.53</v>
      </c>
      <c r="I12" s="51">
        <v>7</v>
      </c>
      <c r="J12" s="51">
        <v>1.67</v>
      </c>
      <c r="K12" s="51">
        <v>311.32</v>
      </c>
      <c r="L12" s="51">
        <v>11.57</v>
      </c>
      <c r="M12" s="51">
        <v>99.92</v>
      </c>
      <c r="N12" s="51">
        <v>34</v>
      </c>
      <c r="O12" s="51">
        <v>0</v>
      </c>
      <c r="P12" s="51">
        <v>1.51</v>
      </c>
      <c r="Q12" s="51">
        <v>10.76</v>
      </c>
      <c r="R12" s="43"/>
      <c r="S12" s="43"/>
      <c r="T12" s="43"/>
      <c r="U12" s="43"/>
    </row>
    <row r="13" spans="1:21" s="11" customFormat="1" x14ac:dyDescent="0.25">
      <c r="A13" s="50" t="s">
        <v>593</v>
      </c>
      <c r="B13" s="51">
        <v>39.380000000000003</v>
      </c>
      <c r="C13" s="51">
        <v>43.73</v>
      </c>
      <c r="D13" s="51">
        <v>52.91</v>
      </c>
      <c r="E13" s="51">
        <v>8.93</v>
      </c>
      <c r="F13" s="51">
        <v>4.43</v>
      </c>
      <c r="G13" s="51">
        <v>167.85</v>
      </c>
      <c r="H13" s="51">
        <v>84.39</v>
      </c>
      <c r="I13" s="51">
        <v>7.18</v>
      </c>
      <c r="J13" s="51">
        <v>1.5</v>
      </c>
      <c r="K13" s="51">
        <v>296.38</v>
      </c>
      <c r="L13" s="51">
        <v>12.06</v>
      </c>
      <c r="M13" s="51">
        <v>90.95</v>
      </c>
      <c r="N13" s="51">
        <v>34</v>
      </c>
      <c r="O13" s="51">
        <v>0</v>
      </c>
      <c r="P13" s="51">
        <v>1.5</v>
      </c>
      <c r="Q13" s="51">
        <v>10.89</v>
      </c>
      <c r="R13" s="43"/>
      <c r="S13" s="43"/>
      <c r="T13" s="43"/>
      <c r="U13" s="43"/>
    </row>
    <row r="14" spans="1:21" s="11" customFormat="1" x14ac:dyDescent="0.25">
      <c r="A14" s="50" t="s">
        <v>594</v>
      </c>
      <c r="B14" s="51">
        <v>36.46</v>
      </c>
      <c r="C14" s="51">
        <v>41.57</v>
      </c>
      <c r="D14" s="51">
        <v>49.47</v>
      </c>
      <c r="E14" s="51">
        <v>8.77</v>
      </c>
      <c r="F14" s="51">
        <v>4.7300000000000004</v>
      </c>
      <c r="G14" s="51">
        <v>169.92</v>
      </c>
      <c r="H14" s="51">
        <v>86.87</v>
      </c>
      <c r="I14" s="51">
        <v>7.18</v>
      </c>
      <c r="J14" s="51">
        <v>1.69</v>
      </c>
      <c r="K14" s="51">
        <v>291.56</v>
      </c>
      <c r="L14" s="51">
        <v>11.67</v>
      </c>
      <c r="M14" s="51">
        <v>93.95</v>
      </c>
      <c r="N14" s="51">
        <v>34.299999999999997</v>
      </c>
      <c r="O14" s="51">
        <v>0</v>
      </c>
      <c r="P14" s="51">
        <v>1.44</v>
      </c>
      <c r="Q14" s="51">
        <v>10.87</v>
      </c>
      <c r="R14" s="43"/>
      <c r="S14" s="43"/>
      <c r="T14" s="43"/>
      <c r="U14" s="43"/>
    </row>
    <row r="15" spans="1:21" s="11" customFormat="1" x14ac:dyDescent="0.25">
      <c r="A15" s="50" t="s">
        <v>595</v>
      </c>
      <c r="B15" s="51">
        <v>45.44</v>
      </c>
      <c r="C15" s="51">
        <v>44.83</v>
      </c>
      <c r="D15" s="51">
        <v>58.49</v>
      </c>
      <c r="E15" s="51">
        <v>8.3800000000000008</v>
      </c>
      <c r="F15" s="51">
        <v>4.53</v>
      </c>
      <c r="G15" s="51">
        <v>165.17</v>
      </c>
      <c r="H15" s="51">
        <v>84.52</v>
      </c>
      <c r="I15" s="51">
        <v>6.76</v>
      </c>
      <c r="J15" s="51">
        <v>1.3</v>
      </c>
      <c r="K15" s="51">
        <v>309.02</v>
      </c>
      <c r="L15" s="51">
        <v>11.57</v>
      </c>
      <c r="M15" s="51">
        <v>99.5</v>
      </c>
      <c r="N15" s="51">
        <v>60.2</v>
      </c>
      <c r="O15" s="51">
        <v>0</v>
      </c>
      <c r="P15" s="51">
        <v>1.42</v>
      </c>
      <c r="Q15" s="51">
        <v>11</v>
      </c>
      <c r="R15" s="43"/>
      <c r="S15" s="43"/>
      <c r="T15" s="43"/>
      <c r="U15" s="43"/>
    </row>
    <row r="16" spans="1:21" s="11" customFormat="1" x14ac:dyDescent="0.25">
      <c r="A16" s="50" t="s">
        <v>596</v>
      </c>
      <c r="B16" s="51">
        <v>54.23</v>
      </c>
      <c r="C16" s="51">
        <v>46.15</v>
      </c>
      <c r="D16" s="51">
        <v>65.87</v>
      </c>
      <c r="E16" s="51">
        <v>8.6300000000000008</v>
      </c>
      <c r="F16" s="51">
        <v>4.54</v>
      </c>
      <c r="G16" s="51">
        <v>163.95</v>
      </c>
      <c r="H16" s="51">
        <v>81.11</v>
      </c>
      <c r="I16" s="51">
        <v>6.44</v>
      </c>
      <c r="J16" s="51">
        <v>1.83</v>
      </c>
      <c r="K16" s="51">
        <v>348.76</v>
      </c>
      <c r="L16" s="51">
        <v>15.69</v>
      </c>
      <c r="M16" s="51">
        <v>92.54</v>
      </c>
      <c r="N16" s="51">
        <v>181.3</v>
      </c>
      <c r="O16" s="51">
        <v>0</v>
      </c>
      <c r="P16" s="51">
        <v>1.42</v>
      </c>
      <c r="Q16" s="51">
        <v>11.08</v>
      </c>
      <c r="R16" s="43"/>
      <c r="S16" s="43"/>
      <c r="T16" s="43"/>
      <c r="U16" s="43"/>
    </row>
    <row r="17" spans="1:21" s="11" customFormat="1" x14ac:dyDescent="0.25">
      <c r="A17" s="50" t="s">
        <v>597</v>
      </c>
      <c r="B17" s="51">
        <v>50.84</v>
      </c>
      <c r="C17" s="51">
        <v>50.25</v>
      </c>
      <c r="D17" s="51">
        <v>64.150000000000006</v>
      </c>
      <c r="E17" s="51">
        <v>7.74</v>
      </c>
      <c r="F17" s="51">
        <v>4.01</v>
      </c>
      <c r="G17" s="51">
        <v>158.57</v>
      </c>
      <c r="H17" s="51">
        <v>79.150000000000006</v>
      </c>
      <c r="I17" s="51">
        <v>6.31</v>
      </c>
      <c r="J17" s="51">
        <v>2.02</v>
      </c>
      <c r="K17" s="51">
        <v>343.04</v>
      </c>
      <c r="L17" s="51">
        <v>19.8</v>
      </c>
      <c r="M17" s="51">
        <v>65.34</v>
      </c>
      <c r="N17" s="51">
        <v>321</v>
      </c>
      <c r="O17" s="51">
        <v>0</v>
      </c>
      <c r="P17" s="51">
        <v>1.34</v>
      </c>
      <c r="Q17" s="51">
        <v>11.03</v>
      </c>
      <c r="R17" s="43"/>
      <c r="S17" s="43"/>
      <c r="T17" s="43"/>
      <c r="U17" s="43"/>
    </row>
    <row r="18" spans="1:21" s="11" customFormat="1" x14ac:dyDescent="0.25">
      <c r="A18" s="50" t="s">
        <v>598</v>
      </c>
      <c r="B18" s="51">
        <v>44.42</v>
      </c>
      <c r="C18" s="51">
        <v>53.38</v>
      </c>
      <c r="D18" s="51">
        <v>61.03</v>
      </c>
      <c r="E18" s="51">
        <v>7.9</v>
      </c>
      <c r="F18" s="51">
        <v>4.22</v>
      </c>
      <c r="G18" s="51">
        <v>160.52000000000001</v>
      </c>
      <c r="H18" s="51">
        <v>76.08</v>
      </c>
      <c r="I18" s="51">
        <v>6.78</v>
      </c>
      <c r="J18" s="51">
        <v>2.4</v>
      </c>
      <c r="K18" s="51">
        <v>115.27</v>
      </c>
      <c r="L18" s="51">
        <v>20.170000000000002</v>
      </c>
      <c r="M18" s="51">
        <v>55.02</v>
      </c>
      <c r="N18" s="51">
        <v>460.3</v>
      </c>
      <c r="O18" s="51">
        <v>0</v>
      </c>
      <c r="P18" s="51">
        <v>1.31</v>
      </c>
      <c r="Q18" s="51">
        <v>11.04</v>
      </c>
      <c r="R18" s="43"/>
      <c r="S18" s="43"/>
      <c r="T18" s="43"/>
      <c r="U18" s="43"/>
    </row>
    <row r="19" spans="1:21" s="11" customFormat="1" x14ac:dyDescent="0.25">
      <c r="A19" s="50" t="s">
        <v>599</v>
      </c>
      <c r="B19" s="51">
        <v>30.15</v>
      </c>
      <c r="C19" s="51">
        <v>57.34</v>
      </c>
      <c r="D19" s="51">
        <v>51.35</v>
      </c>
      <c r="E19" s="51">
        <v>6.76</v>
      </c>
      <c r="F19" s="51">
        <v>4.5999999999999996</v>
      </c>
      <c r="G19" s="51">
        <v>150.04</v>
      </c>
      <c r="H19" s="51">
        <v>73.760000000000005</v>
      </c>
      <c r="I19" s="51">
        <v>7.91</v>
      </c>
      <c r="J19" s="51">
        <v>2.38</v>
      </c>
      <c r="K19" s="51">
        <v>127.29</v>
      </c>
      <c r="L19" s="51">
        <v>21.84</v>
      </c>
      <c r="M19" s="51">
        <v>49.17</v>
      </c>
      <c r="N19" s="51">
        <v>557.6</v>
      </c>
      <c r="O19" s="51">
        <v>0</v>
      </c>
      <c r="P19" s="51">
        <v>1.2</v>
      </c>
      <c r="Q19" s="51">
        <v>10.9</v>
      </c>
      <c r="R19" s="43"/>
      <c r="S19" s="43"/>
      <c r="T19" s="43"/>
      <c r="U19" s="43"/>
    </row>
    <row r="20" spans="1:21" s="11" customFormat="1" x14ac:dyDescent="0.25">
      <c r="A20" s="50" t="s">
        <v>600</v>
      </c>
      <c r="B20" s="51">
        <v>14.49</v>
      </c>
      <c r="C20" s="51">
        <v>61.08</v>
      </c>
      <c r="D20" s="51">
        <v>40.64</v>
      </c>
      <c r="E20" s="51">
        <v>6.73</v>
      </c>
      <c r="F20" s="51">
        <v>4.83</v>
      </c>
      <c r="G20" s="51">
        <v>140.38</v>
      </c>
      <c r="H20" s="51">
        <v>69.989999999999995</v>
      </c>
      <c r="I20" s="51">
        <v>8.0500000000000007</v>
      </c>
      <c r="J20" s="51">
        <v>1.9</v>
      </c>
      <c r="K20" s="51">
        <v>339.22</v>
      </c>
      <c r="L20" s="51">
        <v>26.43</v>
      </c>
      <c r="M20" s="51">
        <v>40.799999999999997</v>
      </c>
      <c r="N20" s="51">
        <v>564.79999999999995</v>
      </c>
      <c r="O20" s="51">
        <v>0</v>
      </c>
      <c r="P20" s="51">
        <v>1.0900000000000001</v>
      </c>
      <c r="Q20" s="51">
        <v>10.68</v>
      </c>
      <c r="R20" s="43"/>
      <c r="S20" s="43"/>
      <c r="T20" s="43"/>
      <c r="U20" s="43"/>
    </row>
    <row r="21" spans="1:21" s="11" customFormat="1" x14ac:dyDescent="0.25">
      <c r="A21" s="50" t="s">
        <v>601</v>
      </c>
      <c r="B21" s="51">
        <v>5.98</v>
      </c>
      <c r="C21" s="51">
        <v>59.29</v>
      </c>
      <c r="D21" s="51">
        <v>34.39</v>
      </c>
      <c r="E21" s="51">
        <v>6.83</v>
      </c>
      <c r="F21" s="51">
        <v>4.97</v>
      </c>
      <c r="G21" s="51">
        <v>129.24</v>
      </c>
      <c r="H21" s="51">
        <v>65.94</v>
      </c>
      <c r="I21" s="51">
        <v>7.53</v>
      </c>
      <c r="J21" s="51">
        <v>2.0099999999999998</v>
      </c>
      <c r="K21" s="51">
        <v>333.55</v>
      </c>
      <c r="L21" s="51">
        <v>26.58</v>
      </c>
      <c r="M21" s="51">
        <v>38.01</v>
      </c>
      <c r="N21" s="51">
        <v>524.6</v>
      </c>
      <c r="O21" s="51">
        <v>0</v>
      </c>
      <c r="P21" s="51">
        <v>1.03</v>
      </c>
      <c r="Q21" s="51">
        <v>10.51</v>
      </c>
      <c r="R21" s="43"/>
      <c r="S21" s="43"/>
      <c r="T21" s="43"/>
      <c r="U21" s="43"/>
    </row>
    <row r="22" spans="1:21" s="11" customFormat="1" x14ac:dyDescent="0.25">
      <c r="A22" s="50" t="s">
        <v>602</v>
      </c>
      <c r="B22" s="51">
        <v>3.39</v>
      </c>
      <c r="C22" s="51">
        <v>53.51</v>
      </c>
      <c r="D22" s="51">
        <v>29.3</v>
      </c>
      <c r="E22" s="51">
        <v>7.74</v>
      </c>
      <c r="F22" s="51">
        <v>6.01</v>
      </c>
      <c r="G22" s="51">
        <v>114.89</v>
      </c>
      <c r="H22" s="51">
        <v>60.37</v>
      </c>
      <c r="I22" s="51">
        <v>6.58</v>
      </c>
      <c r="J22" s="51">
        <v>2.33</v>
      </c>
      <c r="K22" s="51">
        <v>335.03</v>
      </c>
      <c r="L22" s="51">
        <v>25.03</v>
      </c>
      <c r="M22" s="51">
        <v>36.96</v>
      </c>
      <c r="N22" s="51">
        <v>382</v>
      </c>
      <c r="O22" s="51">
        <v>0</v>
      </c>
      <c r="P22" s="51">
        <v>1.04</v>
      </c>
      <c r="Q22" s="51">
        <v>10.49</v>
      </c>
      <c r="R22" s="43"/>
      <c r="S22" s="43"/>
      <c r="T22" s="43"/>
      <c r="U22" s="43"/>
    </row>
    <row r="23" spans="1:21" s="11" customFormat="1" x14ac:dyDescent="0.25">
      <c r="A23" s="50" t="s">
        <v>603</v>
      </c>
      <c r="B23" s="51">
        <v>2.58</v>
      </c>
      <c r="C23" s="51">
        <v>55.33</v>
      </c>
      <c r="D23" s="51">
        <v>29.42</v>
      </c>
      <c r="E23" s="51">
        <v>7.49</v>
      </c>
      <c r="F23" s="51">
        <v>6.74</v>
      </c>
      <c r="G23" s="51">
        <v>115.5</v>
      </c>
      <c r="H23" s="51">
        <v>60</v>
      </c>
      <c r="I23" s="51">
        <v>7.35</v>
      </c>
      <c r="J23" s="51">
        <v>2.64</v>
      </c>
      <c r="K23" s="51">
        <v>340.26</v>
      </c>
      <c r="L23" s="51">
        <v>24.48</v>
      </c>
      <c r="M23" s="51">
        <v>33.28</v>
      </c>
      <c r="N23" s="51">
        <v>188.6</v>
      </c>
      <c r="O23" s="51">
        <v>0</v>
      </c>
      <c r="P23" s="51">
        <v>1.02</v>
      </c>
      <c r="Q23" s="51">
        <v>10.49</v>
      </c>
      <c r="R23" s="43"/>
      <c r="S23" s="43"/>
      <c r="T23" s="43"/>
      <c r="U23" s="43"/>
    </row>
    <row r="24" spans="1:21" s="11" customFormat="1" x14ac:dyDescent="0.25">
      <c r="A24" s="50" t="s">
        <v>604</v>
      </c>
      <c r="B24" s="51">
        <v>3.03</v>
      </c>
      <c r="C24" s="51">
        <v>58.12</v>
      </c>
      <c r="D24" s="51">
        <v>31.42</v>
      </c>
      <c r="E24" s="51">
        <v>7.95</v>
      </c>
      <c r="F24" s="51">
        <v>6.02</v>
      </c>
      <c r="G24" s="51">
        <v>112.51</v>
      </c>
      <c r="H24" s="51">
        <v>57.62</v>
      </c>
      <c r="I24" s="51">
        <v>6.58</v>
      </c>
      <c r="J24" s="51">
        <v>2.4500000000000002</v>
      </c>
      <c r="K24" s="51">
        <v>342.8</v>
      </c>
      <c r="L24" s="51">
        <v>23.54</v>
      </c>
      <c r="M24" s="51">
        <v>41.79</v>
      </c>
      <c r="N24" s="51">
        <v>115.9</v>
      </c>
      <c r="O24" s="51">
        <v>0</v>
      </c>
      <c r="P24" s="51">
        <v>1.01</v>
      </c>
      <c r="Q24" s="51">
        <v>10.47</v>
      </c>
      <c r="R24" s="43"/>
      <c r="S24" s="43"/>
      <c r="T24" s="43"/>
      <c r="U24" s="43"/>
    </row>
    <row r="25" spans="1:21" s="11" customFormat="1" x14ac:dyDescent="0.25">
      <c r="A25" s="50" t="s">
        <v>605</v>
      </c>
      <c r="B25" s="51">
        <v>5.43</v>
      </c>
      <c r="C25" s="51">
        <v>58.06</v>
      </c>
      <c r="D25" s="51">
        <v>33.31</v>
      </c>
      <c r="E25" s="51">
        <v>7.67</v>
      </c>
      <c r="F25" s="51">
        <v>5.0599999999999996</v>
      </c>
      <c r="G25" s="51">
        <v>112.49</v>
      </c>
      <c r="H25" s="51">
        <v>59.01</v>
      </c>
      <c r="I25" s="51">
        <v>5.95</v>
      </c>
      <c r="J25" s="51">
        <v>2.21</v>
      </c>
      <c r="K25" s="51">
        <v>346.27</v>
      </c>
      <c r="L25" s="51">
        <v>22.09</v>
      </c>
      <c r="M25" s="51">
        <v>41.66</v>
      </c>
      <c r="N25" s="51">
        <v>73.7</v>
      </c>
      <c r="O25" s="51">
        <v>0</v>
      </c>
      <c r="P25" s="51">
        <v>1.31</v>
      </c>
      <c r="Q25" s="51">
        <v>10.44</v>
      </c>
      <c r="R25" s="43"/>
      <c r="S25" s="43"/>
      <c r="T25" s="43"/>
      <c r="U25" s="43"/>
    </row>
    <row r="26" spans="1:21" s="11" customFormat="1" x14ac:dyDescent="0.25">
      <c r="A26" s="50" t="s">
        <v>606</v>
      </c>
      <c r="B26" s="51">
        <v>8.85</v>
      </c>
      <c r="C26" s="51">
        <v>59.59</v>
      </c>
      <c r="D26" s="51">
        <v>36.86</v>
      </c>
      <c r="E26" s="51">
        <v>7.32</v>
      </c>
      <c r="F26" s="51">
        <v>4.2699999999999996</v>
      </c>
      <c r="G26" s="51">
        <v>120.13</v>
      </c>
      <c r="H26" s="51">
        <v>60.2</v>
      </c>
      <c r="I26" s="51">
        <v>6.64</v>
      </c>
      <c r="J26" s="51">
        <v>1.56</v>
      </c>
      <c r="K26" s="51">
        <v>334.09</v>
      </c>
      <c r="L26" s="51">
        <v>19.95</v>
      </c>
      <c r="M26" s="51">
        <v>52.46</v>
      </c>
      <c r="N26" s="51">
        <v>39.700000000000003</v>
      </c>
      <c r="O26" s="51">
        <v>0</v>
      </c>
      <c r="P26" s="51">
        <v>1.4</v>
      </c>
      <c r="Q26" s="51">
        <v>10.62</v>
      </c>
      <c r="R26" s="43"/>
      <c r="S26" s="43"/>
      <c r="T26" s="43"/>
      <c r="U26" s="43"/>
    </row>
    <row r="27" spans="1:21" s="11" customFormat="1" x14ac:dyDescent="0.25">
      <c r="A27" s="50" t="s">
        <v>607</v>
      </c>
      <c r="B27" s="51">
        <v>17.04</v>
      </c>
      <c r="C27" s="51">
        <v>64.819999999999993</v>
      </c>
      <c r="D27" s="51">
        <v>46.16</v>
      </c>
      <c r="E27" s="51">
        <v>7.62</v>
      </c>
      <c r="F27" s="51">
        <v>4.28</v>
      </c>
      <c r="G27" s="51">
        <v>123.27</v>
      </c>
      <c r="H27" s="51">
        <v>60.49</v>
      </c>
      <c r="I27" s="51">
        <v>7.81</v>
      </c>
      <c r="J27" s="51">
        <v>1.55</v>
      </c>
      <c r="K27" s="51">
        <v>329.66</v>
      </c>
      <c r="L27" s="51">
        <v>17.39</v>
      </c>
      <c r="M27" s="51">
        <v>64.63</v>
      </c>
      <c r="N27" s="51">
        <v>34.4</v>
      </c>
      <c r="O27" s="51">
        <v>0</v>
      </c>
      <c r="P27" s="51">
        <v>1.41</v>
      </c>
      <c r="Q27" s="51">
        <v>10.74</v>
      </c>
      <c r="R27" s="43"/>
      <c r="S27" s="43"/>
      <c r="T27" s="43"/>
      <c r="U27" s="43"/>
    </row>
    <row r="28" spans="1:21" s="11" customFormat="1" x14ac:dyDescent="0.25">
      <c r="A28" s="50" t="s">
        <v>608</v>
      </c>
      <c r="B28" s="51">
        <v>41.61</v>
      </c>
      <c r="C28" s="51">
        <v>67.739999999999995</v>
      </c>
      <c r="D28" s="51">
        <v>67.39</v>
      </c>
      <c r="E28" s="51">
        <v>8.4</v>
      </c>
      <c r="F28" s="51">
        <v>4.7300000000000004</v>
      </c>
      <c r="G28" s="51">
        <v>143.54</v>
      </c>
      <c r="H28" s="51">
        <v>67.849999999999994</v>
      </c>
      <c r="I28" s="51">
        <v>8.1199999999999992</v>
      </c>
      <c r="J28" s="51">
        <v>1.58</v>
      </c>
      <c r="K28" s="51">
        <v>315</v>
      </c>
      <c r="L28" s="51">
        <v>16.47</v>
      </c>
      <c r="M28" s="51">
        <v>69.13</v>
      </c>
      <c r="N28" s="51">
        <v>34.4</v>
      </c>
      <c r="O28" s="51">
        <v>0</v>
      </c>
      <c r="P28" s="51">
        <v>1.74</v>
      </c>
      <c r="Q28" s="51">
        <v>11.11</v>
      </c>
      <c r="R28" s="43"/>
      <c r="S28" s="43"/>
      <c r="T28" s="43"/>
      <c r="U28" s="43"/>
    </row>
    <row r="29" spans="1:21" s="11" customFormat="1" x14ac:dyDescent="0.25">
      <c r="A29" s="50" t="s">
        <v>609</v>
      </c>
      <c r="B29" s="51">
        <v>60.1</v>
      </c>
      <c r="C29" s="51">
        <v>66.540000000000006</v>
      </c>
      <c r="D29" s="51">
        <v>80.239999999999995</v>
      </c>
      <c r="E29" s="51">
        <v>9.15</v>
      </c>
      <c r="F29" s="51">
        <v>4.1399999999999997</v>
      </c>
      <c r="G29" s="51">
        <v>152.71</v>
      </c>
      <c r="H29" s="51">
        <v>69.33</v>
      </c>
      <c r="I29" s="51">
        <v>9.8699999999999992</v>
      </c>
      <c r="J29" s="51">
        <v>1.59</v>
      </c>
      <c r="K29" s="51">
        <v>319.64999999999998</v>
      </c>
      <c r="L29" s="51">
        <v>15.36</v>
      </c>
      <c r="M29" s="51">
        <v>70.17</v>
      </c>
      <c r="N29" s="51">
        <v>34.1</v>
      </c>
      <c r="O29" s="51">
        <v>0</v>
      </c>
      <c r="P29" s="51">
        <v>2.4300000000000002</v>
      </c>
      <c r="Q29" s="51">
        <v>11.1</v>
      </c>
      <c r="R29" s="43"/>
      <c r="S29" s="43"/>
      <c r="T29" s="43"/>
      <c r="U29" s="43"/>
    </row>
    <row r="30" spans="1:21" s="11" customFormat="1" x14ac:dyDescent="0.25">
      <c r="A30" s="50" t="s">
        <v>610</v>
      </c>
      <c r="B30" s="51">
        <v>79.78</v>
      </c>
      <c r="C30" s="51">
        <v>63.32</v>
      </c>
      <c r="D30" s="51">
        <v>94.74</v>
      </c>
      <c r="E30" s="51">
        <v>9.16</v>
      </c>
      <c r="F30" s="51">
        <v>3.97</v>
      </c>
      <c r="G30" s="51">
        <v>170.85</v>
      </c>
      <c r="H30" s="51">
        <v>74.319999999999993</v>
      </c>
      <c r="I30" s="51">
        <v>9.81</v>
      </c>
      <c r="J30" s="51">
        <v>1.56</v>
      </c>
      <c r="K30" s="51">
        <v>328.93</v>
      </c>
      <c r="L30" s="51">
        <v>14.86</v>
      </c>
      <c r="M30" s="51">
        <v>77.61</v>
      </c>
      <c r="N30" s="51">
        <v>34.1</v>
      </c>
      <c r="O30" s="51">
        <v>0</v>
      </c>
      <c r="P30" s="51">
        <v>2.4300000000000002</v>
      </c>
      <c r="Q30" s="51">
        <v>11.38</v>
      </c>
      <c r="R30" s="43"/>
      <c r="S30" s="43"/>
      <c r="T30" s="43"/>
      <c r="U30" s="43"/>
    </row>
    <row r="31" spans="1:21" s="11" customFormat="1" x14ac:dyDescent="0.25">
      <c r="A31" s="50" t="s">
        <v>611</v>
      </c>
      <c r="B31" s="51">
        <v>101.56</v>
      </c>
      <c r="C31" s="51">
        <v>63.54</v>
      </c>
      <c r="D31" s="51">
        <v>113.27</v>
      </c>
      <c r="E31" s="51">
        <v>9.43</v>
      </c>
      <c r="F31" s="51">
        <v>4.55</v>
      </c>
      <c r="G31" s="51">
        <v>199.88</v>
      </c>
      <c r="H31" s="51">
        <v>80.37</v>
      </c>
      <c r="I31" s="51">
        <v>10.36</v>
      </c>
      <c r="J31" s="51">
        <v>1.67</v>
      </c>
      <c r="K31" s="51">
        <v>336.97</v>
      </c>
      <c r="L31" s="51">
        <v>14.41</v>
      </c>
      <c r="M31" s="51">
        <v>82.29</v>
      </c>
      <c r="N31" s="51">
        <v>34.299999999999997</v>
      </c>
      <c r="O31" s="51">
        <v>0</v>
      </c>
      <c r="P31" s="51">
        <v>2.37</v>
      </c>
      <c r="Q31" s="51">
        <v>11.82</v>
      </c>
      <c r="R31" s="43"/>
      <c r="S31" s="43"/>
      <c r="T31" s="43"/>
      <c r="U31" s="43"/>
    </row>
    <row r="32" spans="1:21" s="11" customFormat="1" x14ac:dyDescent="0.25">
      <c r="A32" s="50" t="s">
        <v>612</v>
      </c>
      <c r="B32" s="51">
        <v>114.96</v>
      </c>
      <c r="C32" s="51">
        <v>63.67</v>
      </c>
      <c r="D32" s="51">
        <v>123.66</v>
      </c>
      <c r="E32" s="51">
        <v>10.08</v>
      </c>
      <c r="F32" s="51">
        <v>4.58</v>
      </c>
      <c r="G32" s="51">
        <v>241.18</v>
      </c>
      <c r="H32" s="51">
        <v>80.41</v>
      </c>
      <c r="I32" s="51">
        <v>9.7200000000000006</v>
      </c>
      <c r="J32" s="51">
        <v>1.55</v>
      </c>
      <c r="K32" s="51">
        <v>321.91000000000003</v>
      </c>
      <c r="L32" s="51">
        <v>13.66</v>
      </c>
      <c r="M32" s="51">
        <v>88.26</v>
      </c>
      <c r="N32" s="51">
        <v>34.1</v>
      </c>
      <c r="O32" s="51">
        <v>0</v>
      </c>
      <c r="P32" s="51">
        <v>2.38</v>
      </c>
      <c r="Q32" s="51">
        <v>11.94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2.58</v>
      </c>
      <c r="C34" s="28">
        <f t="shared" si="0"/>
        <v>41.57</v>
      </c>
      <c r="D34" s="28">
        <f t="shared" si="0"/>
        <v>29.3</v>
      </c>
      <c r="E34" s="28">
        <f t="shared" si="0"/>
        <v>6.43</v>
      </c>
      <c r="F34" s="28">
        <f t="shared" si="0"/>
        <v>3.89</v>
      </c>
      <c r="G34" s="28">
        <f t="shared" si="0"/>
        <v>112.49</v>
      </c>
      <c r="H34" s="28">
        <f t="shared" si="0"/>
        <v>57.62</v>
      </c>
      <c r="I34" s="28">
        <f t="shared" si="0"/>
        <v>5.95</v>
      </c>
      <c r="J34" s="28">
        <f t="shared" si="0"/>
        <v>1.23</v>
      </c>
      <c r="K34" s="28">
        <f t="shared" si="0"/>
        <v>115.27</v>
      </c>
      <c r="L34" s="28">
        <f t="shared" si="0"/>
        <v>11.57</v>
      </c>
      <c r="M34" s="28">
        <f t="shared" si="0"/>
        <v>33.28</v>
      </c>
      <c r="N34" s="28">
        <f t="shared" si="0"/>
        <v>34</v>
      </c>
      <c r="O34" s="28">
        <f t="shared" si="0"/>
        <v>0</v>
      </c>
      <c r="P34" s="28">
        <f t="shared" si="0"/>
        <v>1.01</v>
      </c>
      <c r="Q34" s="28">
        <f t="shared" si="0"/>
        <v>10.44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114.96</v>
      </c>
      <c r="C35" s="29">
        <f t="shared" si="1"/>
        <v>67.739999999999995</v>
      </c>
      <c r="D35" s="29">
        <f t="shared" si="1"/>
        <v>123.66</v>
      </c>
      <c r="E35" s="29">
        <f t="shared" si="1"/>
        <v>10.08</v>
      </c>
      <c r="F35" s="29">
        <f t="shared" si="1"/>
        <v>6.74</v>
      </c>
      <c r="G35" s="29">
        <f t="shared" si="1"/>
        <v>241.18</v>
      </c>
      <c r="H35" s="29">
        <f t="shared" si="1"/>
        <v>86.87</v>
      </c>
      <c r="I35" s="29">
        <f t="shared" si="1"/>
        <v>10.36</v>
      </c>
      <c r="J35" s="29">
        <f t="shared" si="1"/>
        <v>2.64</v>
      </c>
      <c r="K35" s="29">
        <f t="shared" si="1"/>
        <v>348.76</v>
      </c>
      <c r="L35" s="29">
        <f t="shared" si="1"/>
        <v>26.58</v>
      </c>
      <c r="M35" s="29">
        <f t="shared" si="1"/>
        <v>99.92</v>
      </c>
      <c r="N35" s="29">
        <f t="shared" si="1"/>
        <v>564.79999999999995</v>
      </c>
      <c r="O35" s="29">
        <f t="shared" si="1"/>
        <v>0</v>
      </c>
      <c r="P35" s="29">
        <f t="shared" si="1"/>
        <v>2.4300000000000002</v>
      </c>
      <c r="Q35" s="29">
        <f t="shared" si="1"/>
        <v>11.94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38.464166666666671</v>
      </c>
      <c r="C36" s="28">
        <f t="shared" si="2"/>
        <v>55.619583333333338</v>
      </c>
      <c r="D36" s="28">
        <f t="shared" si="2"/>
        <v>58.071666666666658</v>
      </c>
      <c r="E36" s="28">
        <f t="shared" si="2"/>
        <v>7.9679166666666674</v>
      </c>
      <c r="F36" s="28">
        <f t="shared" si="2"/>
        <v>4.6895833333333332</v>
      </c>
      <c r="G36" s="28">
        <f t="shared" si="2"/>
        <v>148.66833333333332</v>
      </c>
      <c r="H36" s="28">
        <f t="shared" si="2"/>
        <v>71.584583333333313</v>
      </c>
      <c r="I36" s="28">
        <f t="shared" si="2"/>
        <v>7.5929166666666665</v>
      </c>
      <c r="J36" s="28">
        <f t="shared" si="2"/>
        <v>1.833333333333333</v>
      </c>
      <c r="K36" s="28">
        <f t="shared" si="2"/>
        <v>309.41250000000002</v>
      </c>
      <c r="L36" s="28">
        <f t="shared" si="2"/>
        <v>17.628333333333334</v>
      </c>
      <c r="M36" s="28">
        <f t="shared" si="2"/>
        <v>68.728333333333339</v>
      </c>
      <c r="N36" s="28">
        <f t="shared" si="2"/>
        <v>161.6583333333333</v>
      </c>
      <c r="O36" s="28">
        <f t="shared" si="2"/>
        <v>0</v>
      </c>
      <c r="P36" s="28">
        <f t="shared" si="2"/>
        <v>1.5237499999999999</v>
      </c>
      <c r="Q36" s="28">
        <f t="shared" si="2"/>
        <v>10.927916666666668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29.912762132671677</v>
      </c>
      <c r="C37" s="28">
        <f t="shared" ref="C37:Q37" si="3">STDEV(C9:C32)</f>
        <v>7.5672644412091472</v>
      </c>
      <c r="D37" s="28">
        <f t="shared" si="3"/>
        <v>24.783868818713312</v>
      </c>
      <c r="E37" s="28">
        <f t="shared" si="3"/>
        <v>0.95054665812644035</v>
      </c>
      <c r="F37" s="28">
        <f t="shared" si="3"/>
        <v>0.68430529143362384</v>
      </c>
      <c r="G37" s="28">
        <f t="shared" si="3"/>
        <v>30.242797585492941</v>
      </c>
      <c r="H37" s="28">
        <f t="shared" si="3"/>
        <v>9.1080838337814622</v>
      </c>
      <c r="I37" s="28">
        <f t="shared" si="3"/>
        <v>1.2184005165956651</v>
      </c>
      <c r="J37" s="28">
        <f t="shared" si="3"/>
        <v>0.38604647914204804</v>
      </c>
      <c r="K37" s="28">
        <f t="shared" si="3"/>
        <v>60.25846426202218</v>
      </c>
      <c r="L37" s="28">
        <f t="shared" si="3"/>
        <v>5.1166825756255463</v>
      </c>
      <c r="M37" s="28">
        <f t="shared" si="3"/>
        <v>22.66666037936826</v>
      </c>
      <c r="N37" s="28">
        <f t="shared" si="3"/>
        <v>191.70637855770522</v>
      </c>
      <c r="O37" s="28">
        <f t="shared" si="3"/>
        <v>0</v>
      </c>
      <c r="P37" s="28">
        <f t="shared" si="3"/>
        <v>0.44976141017983812</v>
      </c>
      <c r="Q37" s="28">
        <f t="shared" si="3"/>
        <v>0.38478654914874183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39" sqref="G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613</v>
      </c>
      <c r="B9" s="51">
        <v>114.24</v>
      </c>
      <c r="C9" s="51">
        <v>62.45</v>
      </c>
      <c r="D9" s="51">
        <v>122.86</v>
      </c>
      <c r="E9" s="51">
        <v>9.7799999999999994</v>
      </c>
      <c r="F9" s="51">
        <v>4.2300000000000004</v>
      </c>
      <c r="G9" s="51">
        <v>184.15</v>
      </c>
      <c r="H9" s="51">
        <v>76.73</v>
      </c>
      <c r="I9" s="51">
        <v>9.64</v>
      </c>
      <c r="J9" s="51">
        <v>1.56</v>
      </c>
      <c r="K9" s="51">
        <v>328.74</v>
      </c>
      <c r="L9" s="51">
        <v>12.85</v>
      </c>
      <c r="M9" s="51">
        <v>86.35</v>
      </c>
      <c r="N9" s="51">
        <v>34.1</v>
      </c>
      <c r="O9" s="51">
        <v>0</v>
      </c>
      <c r="P9" s="51">
        <v>2.3199999999999998</v>
      </c>
      <c r="Q9" s="51">
        <v>11.89</v>
      </c>
      <c r="R9" s="43"/>
      <c r="S9" s="43"/>
      <c r="T9" s="43"/>
      <c r="U9" s="43"/>
    </row>
    <row r="10" spans="1:21" s="11" customFormat="1" x14ac:dyDescent="0.25">
      <c r="A10" s="50" t="s">
        <v>614</v>
      </c>
      <c r="B10" s="51">
        <v>98.46</v>
      </c>
      <c r="C10" s="51">
        <v>56.64</v>
      </c>
      <c r="D10" s="51">
        <v>107.18</v>
      </c>
      <c r="E10" s="51">
        <v>9.33</v>
      </c>
      <c r="F10" s="51">
        <v>4.1500000000000004</v>
      </c>
      <c r="G10" s="52" t="s">
        <v>14</v>
      </c>
      <c r="H10" s="51">
        <v>74.959999999999994</v>
      </c>
      <c r="I10" s="51">
        <v>9.3000000000000007</v>
      </c>
      <c r="J10" s="51">
        <v>2.14</v>
      </c>
      <c r="K10" s="51">
        <v>327.66000000000003</v>
      </c>
      <c r="L10" s="51">
        <v>12.62</v>
      </c>
      <c r="M10" s="51">
        <v>88.98</v>
      </c>
      <c r="N10" s="51">
        <v>34.1</v>
      </c>
      <c r="O10" s="51">
        <v>0</v>
      </c>
      <c r="P10" s="51">
        <v>2.02</v>
      </c>
      <c r="Q10" s="51">
        <v>11.66</v>
      </c>
      <c r="R10" s="43"/>
      <c r="S10" s="43"/>
      <c r="T10" s="43"/>
      <c r="U10" s="43"/>
    </row>
    <row r="11" spans="1:21" s="11" customFormat="1" x14ac:dyDescent="0.25">
      <c r="A11" s="50" t="s">
        <v>615</v>
      </c>
      <c r="B11" s="51">
        <v>82.47</v>
      </c>
      <c r="C11" s="51">
        <v>51.58</v>
      </c>
      <c r="D11" s="51">
        <v>91.71</v>
      </c>
      <c r="E11" s="51">
        <v>9.8699999999999992</v>
      </c>
      <c r="F11" s="51">
        <v>4.8600000000000003</v>
      </c>
      <c r="G11" s="52" t="s">
        <v>14</v>
      </c>
      <c r="H11" s="51">
        <v>80.14</v>
      </c>
      <c r="I11" s="51">
        <v>9.3000000000000007</v>
      </c>
      <c r="J11" s="51">
        <v>1.71</v>
      </c>
      <c r="K11" s="51">
        <v>352.03</v>
      </c>
      <c r="L11" s="51">
        <v>12.68</v>
      </c>
      <c r="M11" s="51">
        <v>87.17</v>
      </c>
      <c r="N11" s="51">
        <v>34.200000000000003</v>
      </c>
      <c r="O11" s="51">
        <v>0</v>
      </c>
      <c r="P11" s="51">
        <v>1.95</v>
      </c>
      <c r="Q11" s="51">
        <v>11.5</v>
      </c>
      <c r="R11" s="43"/>
      <c r="S11" s="43"/>
      <c r="T11" s="43"/>
      <c r="U11" s="43"/>
    </row>
    <row r="12" spans="1:21" s="11" customFormat="1" x14ac:dyDescent="0.25">
      <c r="A12" s="50" t="s">
        <v>616</v>
      </c>
      <c r="B12" s="51">
        <v>65.510000000000005</v>
      </c>
      <c r="C12" s="51">
        <v>50.86</v>
      </c>
      <c r="D12" s="51">
        <v>77.47</v>
      </c>
      <c r="E12" s="51">
        <v>9.7899999999999991</v>
      </c>
      <c r="F12" s="51">
        <v>4.4800000000000004</v>
      </c>
      <c r="G12" s="52" t="s">
        <v>14</v>
      </c>
      <c r="H12" s="51">
        <v>95.28</v>
      </c>
      <c r="I12" s="51">
        <v>8.86</v>
      </c>
      <c r="J12" s="51">
        <v>1.46</v>
      </c>
      <c r="K12" s="51">
        <v>327.64</v>
      </c>
      <c r="L12" s="51">
        <v>12.64</v>
      </c>
      <c r="M12" s="51">
        <v>82.41</v>
      </c>
      <c r="N12" s="51">
        <v>34.299999999999997</v>
      </c>
      <c r="O12" s="51">
        <v>0</v>
      </c>
      <c r="P12" s="51">
        <v>1.86</v>
      </c>
      <c r="Q12" s="51">
        <v>11.19</v>
      </c>
      <c r="R12" s="43"/>
      <c r="S12" s="43"/>
      <c r="T12" s="43"/>
      <c r="U12" s="43"/>
    </row>
    <row r="13" spans="1:21" s="11" customFormat="1" x14ac:dyDescent="0.25">
      <c r="A13" s="50" t="s">
        <v>617</v>
      </c>
      <c r="B13" s="51">
        <v>50.28</v>
      </c>
      <c r="C13" s="51">
        <v>50.34</v>
      </c>
      <c r="D13" s="51">
        <v>65.239999999999995</v>
      </c>
      <c r="E13" s="51">
        <v>9.42</v>
      </c>
      <c r="F13" s="51">
        <v>4.45</v>
      </c>
      <c r="G13" s="52" t="s">
        <v>14</v>
      </c>
      <c r="H13" s="51">
        <v>99</v>
      </c>
      <c r="I13" s="51">
        <v>8.6300000000000008</v>
      </c>
      <c r="J13" s="51">
        <v>1.27</v>
      </c>
      <c r="K13" s="51">
        <v>358.7</v>
      </c>
      <c r="L13" s="51">
        <v>12.65</v>
      </c>
      <c r="M13" s="51">
        <v>82.2</v>
      </c>
      <c r="N13" s="51">
        <v>34</v>
      </c>
      <c r="O13" s="51">
        <v>0</v>
      </c>
      <c r="P13" s="51">
        <v>1.74</v>
      </c>
      <c r="Q13" s="51">
        <v>11.02</v>
      </c>
      <c r="R13" s="43"/>
      <c r="S13" s="43"/>
      <c r="T13" s="43"/>
      <c r="U13" s="43"/>
    </row>
    <row r="14" spans="1:21" s="11" customFormat="1" x14ac:dyDescent="0.25">
      <c r="A14" s="50" t="s">
        <v>618</v>
      </c>
      <c r="B14" s="51">
        <v>39.43</v>
      </c>
      <c r="C14" s="51">
        <v>49.31</v>
      </c>
      <c r="D14" s="51">
        <v>56.01</v>
      </c>
      <c r="E14" s="51">
        <v>7.88</v>
      </c>
      <c r="F14" s="51">
        <v>4.05</v>
      </c>
      <c r="G14" s="52" t="s">
        <v>14</v>
      </c>
      <c r="H14" s="51">
        <v>87.25</v>
      </c>
      <c r="I14" s="51">
        <v>8.2799999999999994</v>
      </c>
      <c r="J14" s="51">
        <v>2.27</v>
      </c>
      <c r="K14" s="51">
        <v>345.83</v>
      </c>
      <c r="L14" s="51">
        <v>12.61</v>
      </c>
      <c r="M14" s="51">
        <v>75.91</v>
      </c>
      <c r="N14" s="51">
        <v>34.299999999999997</v>
      </c>
      <c r="O14" s="51">
        <v>0</v>
      </c>
      <c r="P14" s="51">
        <v>1.49</v>
      </c>
      <c r="Q14" s="51">
        <v>10.89</v>
      </c>
      <c r="R14" s="43"/>
      <c r="S14" s="43"/>
      <c r="T14" s="43"/>
      <c r="U14" s="43"/>
    </row>
    <row r="15" spans="1:21" s="11" customFormat="1" x14ac:dyDescent="0.25">
      <c r="A15" s="50" t="s">
        <v>619</v>
      </c>
      <c r="B15" s="51">
        <v>31.1</v>
      </c>
      <c r="C15" s="51">
        <v>48.27</v>
      </c>
      <c r="D15" s="51">
        <v>48.79</v>
      </c>
      <c r="E15" s="51">
        <v>7.38</v>
      </c>
      <c r="F15" s="51">
        <v>4.33</v>
      </c>
      <c r="G15" s="52" t="s">
        <v>14</v>
      </c>
      <c r="H15" s="51">
        <v>77.87</v>
      </c>
      <c r="I15" s="51">
        <v>7.35</v>
      </c>
      <c r="J15" s="51">
        <v>1.51</v>
      </c>
      <c r="K15" s="51">
        <v>107.7</v>
      </c>
      <c r="L15" s="51">
        <v>11.91</v>
      </c>
      <c r="M15" s="51">
        <v>81.760000000000005</v>
      </c>
      <c r="N15" s="51">
        <v>56.1</v>
      </c>
      <c r="O15" s="51">
        <v>0</v>
      </c>
      <c r="P15" s="51">
        <v>1.31</v>
      </c>
      <c r="Q15" s="51">
        <v>10.84</v>
      </c>
      <c r="R15" s="43"/>
      <c r="S15" s="43"/>
      <c r="T15" s="43"/>
      <c r="U15" s="43"/>
    </row>
    <row r="16" spans="1:21" s="11" customFormat="1" x14ac:dyDescent="0.25">
      <c r="A16" s="50" t="s">
        <v>620</v>
      </c>
      <c r="B16" s="51">
        <v>28.71</v>
      </c>
      <c r="C16" s="51">
        <v>51.2</v>
      </c>
      <c r="D16" s="51">
        <v>48.37</v>
      </c>
      <c r="E16" s="51">
        <v>7.93</v>
      </c>
      <c r="F16" s="51">
        <v>4.54</v>
      </c>
      <c r="G16" s="52" t="s">
        <v>14</v>
      </c>
      <c r="H16" s="51">
        <v>75.17</v>
      </c>
      <c r="I16" s="51">
        <v>6.86</v>
      </c>
      <c r="J16" s="51">
        <v>1.67</v>
      </c>
      <c r="K16" s="51">
        <v>339.59</v>
      </c>
      <c r="L16" s="51">
        <v>16.13</v>
      </c>
      <c r="M16" s="51">
        <v>79.89</v>
      </c>
      <c r="N16" s="51">
        <v>207.2</v>
      </c>
      <c r="O16" s="51">
        <v>0</v>
      </c>
      <c r="P16" s="51">
        <v>1.36</v>
      </c>
      <c r="Q16" s="51">
        <v>10.75</v>
      </c>
      <c r="R16" s="43"/>
      <c r="S16" s="43"/>
      <c r="T16" s="43"/>
      <c r="U16" s="43"/>
    </row>
    <row r="17" spans="1:21" s="11" customFormat="1" x14ac:dyDescent="0.25">
      <c r="A17" s="50" t="s">
        <v>621</v>
      </c>
      <c r="B17" s="51">
        <v>29.03</v>
      </c>
      <c r="C17" s="51">
        <v>53.76</v>
      </c>
      <c r="D17" s="51">
        <v>49.84</v>
      </c>
      <c r="E17" s="51">
        <v>8</v>
      </c>
      <c r="F17" s="51">
        <v>4.3499999999999996</v>
      </c>
      <c r="G17" s="52" t="s">
        <v>14</v>
      </c>
      <c r="H17" s="51">
        <v>74.59</v>
      </c>
      <c r="I17" s="51">
        <v>6.57</v>
      </c>
      <c r="J17" s="51">
        <v>2.02</v>
      </c>
      <c r="K17" s="51">
        <v>354.37</v>
      </c>
      <c r="L17" s="51">
        <v>19.420000000000002</v>
      </c>
      <c r="M17" s="51">
        <v>57.16</v>
      </c>
      <c r="N17" s="51">
        <v>358.5</v>
      </c>
      <c r="O17" s="51">
        <v>0</v>
      </c>
      <c r="P17" s="51">
        <v>1.35</v>
      </c>
      <c r="Q17" s="51">
        <v>10.76</v>
      </c>
      <c r="R17" s="43"/>
      <c r="S17" s="43"/>
      <c r="T17" s="43"/>
      <c r="U17" s="43"/>
    </row>
    <row r="18" spans="1:21" s="11" customFormat="1" x14ac:dyDescent="0.25">
      <c r="A18" s="50" t="s">
        <v>622</v>
      </c>
      <c r="B18" s="51">
        <v>25.68</v>
      </c>
      <c r="C18" s="51">
        <v>52.71</v>
      </c>
      <c r="D18" s="51">
        <v>46.73</v>
      </c>
      <c r="E18" s="51">
        <v>7.14</v>
      </c>
      <c r="F18" s="51">
        <v>4.18</v>
      </c>
      <c r="G18" s="52" t="s">
        <v>14</v>
      </c>
      <c r="H18" s="51">
        <v>71.48</v>
      </c>
      <c r="I18" s="51">
        <v>7.06</v>
      </c>
      <c r="J18" s="51">
        <v>2.33</v>
      </c>
      <c r="K18" s="51">
        <v>325.77999999999997</v>
      </c>
      <c r="L18" s="51">
        <v>22.72</v>
      </c>
      <c r="M18" s="51">
        <v>55.35</v>
      </c>
      <c r="N18" s="51">
        <v>469.7</v>
      </c>
      <c r="O18" s="51">
        <v>0</v>
      </c>
      <c r="P18" s="51">
        <v>1.29</v>
      </c>
      <c r="Q18" s="51">
        <v>10.71</v>
      </c>
      <c r="R18" s="43"/>
      <c r="S18" s="43"/>
      <c r="T18" s="43"/>
      <c r="U18" s="43"/>
    </row>
    <row r="19" spans="1:21" s="11" customFormat="1" x14ac:dyDescent="0.25">
      <c r="A19" s="50" t="s">
        <v>623</v>
      </c>
      <c r="B19" s="51">
        <v>21.68</v>
      </c>
      <c r="C19" s="51">
        <v>55.3</v>
      </c>
      <c r="D19" s="51">
        <v>43.7</v>
      </c>
      <c r="E19" s="51">
        <v>7.15</v>
      </c>
      <c r="F19" s="51">
        <v>4.1900000000000004</v>
      </c>
      <c r="G19" s="52" t="s">
        <v>14</v>
      </c>
      <c r="H19" s="51">
        <v>64.92</v>
      </c>
      <c r="I19" s="51">
        <v>7.37</v>
      </c>
      <c r="J19" s="51">
        <v>1.65</v>
      </c>
      <c r="K19" s="51">
        <v>345.11</v>
      </c>
      <c r="L19" s="51">
        <v>23.37</v>
      </c>
      <c r="M19" s="51">
        <v>45.26</v>
      </c>
      <c r="N19" s="51">
        <v>569</v>
      </c>
      <c r="O19" s="51">
        <v>0</v>
      </c>
      <c r="P19" s="51">
        <v>1.2</v>
      </c>
      <c r="Q19" s="51">
        <v>10.73</v>
      </c>
      <c r="R19" s="43"/>
      <c r="S19" s="43"/>
      <c r="T19" s="43"/>
      <c r="U19" s="43"/>
    </row>
    <row r="20" spans="1:21" s="11" customFormat="1" x14ac:dyDescent="0.25">
      <c r="A20" s="50" t="s">
        <v>624</v>
      </c>
      <c r="B20" s="51">
        <v>13.9</v>
      </c>
      <c r="C20" s="51">
        <v>58.53</v>
      </c>
      <c r="D20" s="51">
        <v>39.35</v>
      </c>
      <c r="E20" s="51">
        <v>6.92</v>
      </c>
      <c r="F20" s="51">
        <v>4.7300000000000004</v>
      </c>
      <c r="G20" s="52" t="s">
        <v>14</v>
      </c>
      <c r="H20" s="51">
        <v>59.78</v>
      </c>
      <c r="I20" s="51">
        <v>7.7</v>
      </c>
      <c r="J20" s="51">
        <v>2.93</v>
      </c>
      <c r="K20" s="51">
        <v>339.82</v>
      </c>
      <c r="L20" s="51">
        <v>25.77</v>
      </c>
      <c r="M20" s="51">
        <v>43.27</v>
      </c>
      <c r="N20" s="51">
        <v>585</v>
      </c>
      <c r="O20" s="51">
        <v>0</v>
      </c>
      <c r="P20" s="51">
        <v>1.1000000000000001</v>
      </c>
      <c r="Q20" s="51">
        <v>10.65</v>
      </c>
      <c r="R20" s="43"/>
      <c r="S20" s="43"/>
      <c r="T20" s="43"/>
      <c r="U20" s="43"/>
    </row>
    <row r="21" spans="1:21" s="11" customFormat="1" x14ac:dyDescent="0.25">
      <c r="A21" s="50" t="s">
        <v>625</v>
      </c>
      <c r="B21" s="51">
        <v>6.54</v>
      </c>
      <c r="C21" s="51">
        <v>60.63</v>
      </c>
      <c r="D21" s="51">
        <v>35.090000000000003</v>
      </c>
      <c r="E21" s="51">
        <v>7.17</v>
      </c>
      <c r="F21" s="51">
        <v>5.33</v>
      </c>
      <c r="G21" s="52" t="s">
        <v>14</v>
      </c>
      <c r="H21" s="51">
        <v>55.91</v>
      </c>
      <c r="I21" s="51">
        <v>7.81</v>
      </c>
      <c r="J21" s="51">
        <v>1.76</v>
      </c>
      <c r="K21" s="51">
        <v>348.31</v>
      </c>
      <c r="L21" s="51">
        <v>24.96</v>
      </c>
      <c r="M21" s="51">
        <v>36.799999999999997</v>
      </c>
      <c r="N21" s="51">
        <v>524.79999999999995</v>
      </c>
      <c r="O21" s="51">
        <v>0</v>
      </c>
      <c r="P21" s="51">
        <v>0.98</v>
      </c>
      <c r="Q21" s="51">
        <v>10.56</v>
      </c>
      <c r="R21" s="43"/>
      <c r="S21" s="43"/>
      <c r="T21" s="43"/>
      <c r="U21" s="43"/>
    </row>
    <row r="22" spans="1:21" s="11" customFormat="1" x14ac:dyDescent="0.25">
      <c r="A22" s="50" t="s">
        <v>626</v>
      </c>
      <c r="B22" s="51">
        <v>3.98</v>
      </c>
      <c r="C22" s="51">
        <v>56.79</v>
      </c>
      <c r="D22" s="51">
        <v>31.49</v>
      </c>
      <c r="E22" s="51">
        <v>6.41</v>
      </c>
      <c r="F22" s="51">
        <v>6.43</v>
      </c>
      <c r="G22" s="52" t="s">
        <v>14</v>
      </c>
      <c r="H22" s="51">
        <v>48.56</v>
      </c>
      <c r="I22" s="51">
        <v>6.65</v>
      </c>
      <c r="J22" s="51">
        <v>1.49</v>
      </c>
      <c r="K22" s="51">
        <v>348.66</v>
      </c>
      <c r="L22" s="51">
        <v>23.59</v>
      </c>
      <c r="M22" s="51">
        <v>37.340000000000003</v>
      </c>
      <c r="N22" s="51">
        <v>408.8</v>
      </c>
      <c r="O22" s="51">
        <v>0</v>
      </c>
      <c r="P22" s="51">
        <v>0.93</v>
      </c>
      <c r="Q22" s="51">
        <v>10.44</v>
      </c>
      <c r="R22" s="43"/>
      <c r="S22" s="43"/>
      <c r="T22" s="43"/>
      <c r="U22" s="43"/>
    </row>
    <row r="23" spans="1:21" s="11" customFormat="1" x14ac:dyDescent="0.25">
      <c r="A23" s="50" t="s">
        <v>627</v>
      </c>
      <c r="B23" s="51">
        <v>3.89</v>
      </c>
      <c r="C23" s="51">
        <v>53.02</v>
      </c>
      <c r="D23" s="51">
        <v>29.27</v>
      </c>
      <c r="E23" s="51">
        <v>7.03</v>
      </c>
      <c r="F23" s="51">
        <v>5.34</v>
      </c>
      <c r="G23" s="52" t="s">
        <v>14</v>
      </c>
      <c r="H23" s="51">
        <v>46.6</v>
      </c>
      <c r="I23" s="51">
        <v>5.78</v>
      </c>
      <c r="J23" s="51">
        <v>2.93</v>
      </c>
      <c r="K23" s="51">
        <v>340.49</v>
      </c>
      <c r="L23" s="51">
        <v>24.1</v>
      </c>
      <c r="M23" s="51">
        <v>33.4</v>
      </c>
      <c r="N23" s="51">
        <v>186.4</v>
      </c>
      <c r="O23" s="51">
        <v>0</v>
      </c>
      <c r="P23" s="51">
        <v>0.93</v>
      </c>
      <c r="Q23" s="51">
        <v>10.49</v>
      </c>
      <c r="R23" s="43"/>
      <c r="S23" s="43"/>
      <c r="T23" s="43"/>
      <c r="U23" s="43"/>
    </row>
    <row r="24" spans="1:21" s="11" customFormat="1" x14ac:dyDescent="0.25">
      <c r="A24" s="50" t="s">
        <v>628</v>
      </c>
      <c r="B24" s="51">
        <v>4.79</v>
      </c>
      <c r="C24" s="51">
        <v>57.8</v>
      </c>
      <c r="D24" s="51">
        <v>32.659999999999997</v>
      </c>
      <c r="E24" s="51">
        <v>6.91</v>
      </c>
      <c r="F24" s="51">
        <v>5.29</v>
      </c>
      <c r="G24" s="52" t="s">
        <v>14</v>
      </c>
      <c r="H24" s="51">
        <v>45.38</v>
      </c>
      <c r="I24" s="51">
        <v>6.76</v>
      </c>
      <c r="J24" s="51">
        <v>2.77</v>
      </c>
      <c r="K24" s="51">
        <v>345.62</v>
      </c>
      <c r="L24" s="51">
        <v>23.11</v>
      </c>
      <c r="M24" s="51">
        <v>33.659999999999997</v>
      </c>
      <c r="N24" s="51">
        <v>105.3</v>
      </c>
      <c r="O24" s="51">
        <v>0</v>
      </c>
      <c r="P24" s="51">
        <v>0.94</v>
      </c>
      <c r="Q24" s="51">
        <v>10.46</v>
      </c>
      <c r="R24" s="43"/>
      <c r="S24" s="43"/>
      <c r="T24" s="43"/>
      <c r="U24" s="43"/>
    </row>
    <row r="25" spans="1:21" s="11" customFormat="1" x14ac:dyDescent="0.25">
      <c r="A25" s="50" t="s">
        <v>629</v>
      </c>
      <c r="B25" s="51">
        <v>5.03</v>
      </c>
      <c r="C25" s="51">
        <v>59.72</v>
      </c>
      <c r="D25" s="51">
        <v>33.86</v>
      </c>
      <c r="E25" s="51">
        <v>7.08</v>
      </c>
      <c r="F25" s="51">
        <v>5.01</v>
      </c>
      <c r="G25" s="52" t="s">
        <v>14</v>
      </c>
      <c r="H25" s="51">
        <v>47.08</v>
      </c>
      <c r="I25" s="51">
        <v>6.23</v>
      </c>
      <c r="J25" s="51">
        <v>2.71</v>
      </c>
      <c r="K25" s="51">
        <v>350.81</v>
      </c>
      <c r="L25" s="51">
        <v>21.82</v>
      </c>
      <c r="M25" s="51">
        <v>37.35</v>
      </c>
      <c r="N25" s="51">
        <v>69</v>
      </c>
      <c r="O25" s="51">
        <v>0</v>
      </c>
      <c r="P25" s="51">
        <v>1.03</v>
      </c>
      <c r="Q25" s="51">
        <v>10.45</v>
      </c>
      <c r="R25" s="43"/>
      <c r="S25" s="43"/>
      <c r="T25" s="43"/>
      <c r="U25" s="43"/>
    </row>
    <row r="26" spans="1:21" s="11" customFormat="1" x14ac:dyDescent="0.25">
      <c r="A26" s="50" t="s">
        <v>630</v>
      </c>
      <c r="B26" s="51">
        <v>10.68</v>
      </c>
      <c r="C26" s="51">
        <v>58.42</v>
      </c>
      <c r="D26" s="51">
        <v>37.67</v>
      </c>
      <c r="E26" s="51">
        <v>6.38</v>
      </c>
      <c r="F26" s="51">
        <v>4.43</v>
      </c>
      <c r="G26" s="52" t="s">
        <v>14</v>
      </c>
      <c r="H26" s="51">
        <v>44.42</v>
      </c>
      <c r="I26" s="51">
        <v>5.78</v>
      </c>
      <c r="J26" s="51">
        <v>1.68</v>
      </c>
      <c r="K26" s="51">
        <v>342.74</v>
      </c>
      <c r="L26" s="51">
        <v>19.84</v>
      </c>
      <c r="M26" s="51">
        <v>45.37</v>
      </c>
      <c r="N26" s="51">
        <v>39.700000000000003</v>
      </c>
      <c r="O26" s="51">
        <v>0</v>
      </c>
      <c r="P26" s="51">
        <v>1.29</v>
      </c>
      <c r="Q26" s="51">
        <v>10.41</v>
      </c>
      <c r="R26" s="43"/>
      <c r="S26" s="43"/>
      <c r="T26" s="43"/>
      <c r="U26" s="43"/>
    </row>
    <row r="27" spans="1:21" s="11" customFormat="1" x14ac:dyDescent="0.25">
      <c r="A27" s="50" t="s">
        <v>631</v>
      </c>
      <c r="B27" s="51">
        <v>13.89</v>
      </c>
      <c r="C27" s="51">
        <v>57.47</v>
      </c>
      <c r="D27" s="51">
        <v>38.89</v>
      </c>
      <c r="E27" s="51">
        <v>6.73</v>
      </c>
      <c r="F27" s="51">
        <v>3.63</v>
      </c>
      <c r="G27" s="52" t="s">
        <v>14</v>
      </c>
      <c r="H27" s="51">
        <v>44.78</v>
      </c>
      <c r="I27" s="51">
        <v>7</v>
      </c>
      <c r="J27" s="51">
        <v>1.56</v>
      </c>
      <c r="K27" s="51">
        <v>351.79</v>
      </c>
      <c r="L27" s="51">
        <v>17.5</v>
      </c>
      <c r="M27" s="51">
        <v>58.59</v>
      </c>
      <c r="N27" s="51">
        <v>34.6</v>
      </c>
      <c r="O27" s="51">
        <v>0</v>
      </c>
      <c r="P27" s="51">
        <v>1.49</v>
      </c>
      <c r="Q27" s="51">
        <v>10.53</v>
      </c>
      <c r="R27" s="43"/>
      <c r="S27" s="43"/>
      <c r="T27" s="43"/>
      <c r="U27" s="43"/>
    </row>
    <row r="28" spans="1:21" s="11" customFormat="1" x14ac:dyDescent="0.25">
      <c r="A28" s="50" t="s">
        <v>632</v>
      </c>
      <c r="B28" s="51">
        <v>34.549999999999997</v>
      </c>
      <c r="C28" s="51">
        <v>59.44</v>
      </c>
      <c r="D28" s="51">
        <v>57.39</v>
      </c>
      <c r="E28" s="51">
        <v>7.85</v>
      </c>
      <c r="F28" s="51">
        <v>4.43</v>
      </c>
      <c r="G28" s="52" t="s">
        <v>14</v>
      </c>
      <c r="H28" s="51">
        <v>44.68</v>
      </c>
      <c r="I28" s="51">
        <v>8.19</v>
      </c>
      <c r="J28" s="51">
        <v>1.65</v>
      </c>
      <c r="K28" s="51">
        <v>310.14</v>
      </c>
      <c r="L28" s="51">
        <v>15.59</v>
      </c>
      <c r="M28" s="51">
        <v>73.77</v>
      </c>
      <c r="N28" s="51">
        <v>34.4</v>
      </c>
      <c r="O28" s="51">
        <v>0</v>
      </c>
      <c r="P28" s="51">
        <v>1.51</v>
      </c>
      <c r="Q28" s="51">
        <v>10.86</v>
      </c>
      <c r="R28" s="43"/>
      <c r="S28" s="43"/>
      <c r="T28" s="43"/>
      <c r="U28" s="43"/>
    </row>
    <row r="29" spans="1:21" s="11" customFormat="1" x14ac:dyDescent="0.25">
      <c r="A29" s="50" t="s">
        <v>633</v>
      </c>
      <c r="B29" s="51">
        <v>46.62</v>
      </c>
      <c r="C29" s="51">
        <v>61.85</v>
      </c>
      <c r="D29" s="51">
        <v>68.319999999999993</v>
      </c>
      <c r="E29" s="51">
        <v>9.57</v>
      </c>
      <c r="F29" s="51">
        <v>4.29</v>
      </c>
      <c r="G29" s="52" t="s">
        <v>14</v>
      </c>
      <c r="H29" s="51">
        <v>61.35</v>
      </c>
      <c r="I29" s="51">
        <v>8.43</v>
      </c>
      <c r="J29" s="51">
        <v>1.63</v>
      </c>
      <c r="K29" s="51">
        <v>312.10000000000002</v>
      </c>
      <c r="L29" s="51">
        <v>15.06</v>
      </c>
      <c r="M29" s="51">
        <v>68.819999999999993</v>
      </c>
      <c r="N29" s="51">
        <v>34.299999999999997</v>
      </c>
      <c r="O29" s="51">
        <v>0</v>
      </c>
      <c r="P29" s="51">
        <v>1.7</v>
      </c>
      <c r="Q29" s="51">
        <v>11.01</v>
      </c>
      <c r="R29" s="43"/>
      <c r="S29" s="43"/>
      <c r="T29" s="43"/>
      <c r="U29" s="43"/>
    </row>
    <row r="30" spans="1:21" s="11" customFormat="1" x14ac:dyDescent="0.25">
      <c r="A30" s="50" t="s">
        <v>634</v>
      </c>
      <c r="B30" s="51">
        <v>60.48</v>
      </c>
      <c r="C30" s="51">
        <v>61.06</v>
      </c>
      <c r="D30" s="51">
        <v>78.290000000000006</v>
      </c>
      <c r="E30" s="51">
        <v>9.4600000000000009</v>
      </c>
      <c r="F30" s="51">
        <v>4.55</v>
      </c>
      <c r="G30" s="52" t="s">
        <v>14</v>
      </c>
      <c r="H30" s="51">
        <v>60.55</v>
      </c>
      <c r="I30" s="51">
        <v>8.44</v>
      </c>
      <c r="J30" s="51">
        <v>1.52</v>
      </c>
      <c r="K30" s="51">
        <v>310.08999999999997</v>
      </c>
      <c r="L30" s="51">
        <v>14.59</v>
      </c>
      <c r="M30" s="51">
        <v>68.92</v>
      </c>
      <c r="N30" s="51">
        <v>34.299999999999997</v>
      </c>
      <c r="O30" s="51">
        <v>0</v>
      </c>
      <c r="P30" s="51">
        <v>1.99</v>
      </c>
      <c r="Q30" s="51">
        <v>11.03</v>
      </c>
      <c r="R30" s="43"/>
      <c r="S30" s="43"/>
      <c r="T30" s="43"/>
      <c r="U30" s="43"/>
    </row>
    <row r="31" spans="1:21" s="11" customFormat="1" x14ac:dyDescent="0.25">
      <c r="A31" s="50" t="s">
        <v>635</v>
      </c>
      <c r="B31" s="51">
        <v>75.489999999999995</v>
      </c>
      <c r="C31" s="51">
        <v>59.21</v>
      </c>
      <c r="D31" s="51">
        <v>89.06</v>
      </c>
      <c r="E31" s="51">
        <v>9.42</v>
      </c>
      <c r="F31" s="51">
        <v>3.89</v>
      </c>
      <c r="G31" s="52" t="s">
        <v>14</v>
      </c>
      <c r="H31" s="51">
        <v>61.44</v>
      </c>
      <c r="I31" s="51">
        <v>8.48</v>
      </c>
      <c r="J31" s="51">
        <v>1.68</v>
      </c>
      <c r="K31" s="51">
        <v>309.99</v>
      </c>
      <c r="L31" s="51">
        <v>13.91</v>
      </c>
      <c r="M31" s="51">
        <v>69.84</v>
      </c>
      <c r="N31" s="51">
        <v>34.4</v>
      </c>
      <c r="O31" s="51">
        <v>0</v>
      </c>
      <c r="P31" s="51">
        <v>2.11</v>
      </c>
      <c r="Q31" s="51">
        <v>11.28</v>
      </c>
      <c r="R31" s="43"/>
      <c r="S31" s="43"/>
      <c r="T31" s="43"/>
      <c r="U31" s="43"/>
    </row>
    <row r="32" spans="1:21" s="11" customFormat="1" x14ac:dyDescent="0.25">
      <c r="A32" s="50" t="s">
        <v>636</v>
      </c>
      <c r="B32" s="51">
        <v>97.86</v>
      </c>
      <c r="C32" s="51">
        <v>60.17</v>
      </c>
      <c r="D32" s="51">
        <v>108.54</v>
      </c>
      <c r="E32" s="51">
        <v>9.14</v>
      </c>
      <c r="F32" s="51">
        <v>4.62</v>
      </c>
      <c r="G32" s="52" t="s">
        <v>14</v>
      </c>
      <c r="H32" s="51">
        <v>60.98</v>
      </c>
      <c r="I32" s="51">
        <v>8.4</v>
      </c>
      <c r="J32" s="51">
        <v>1.73</v>
      </c>
      <c r="K32" s="51">
        <v>301.23</v>
      </c>
      <c r="L32" s="51">
        <v>12.95</v>
      </c>
      <c r="M32" s="51">
        <v>78.56</v>
      </c>
      <c r="N32" s="51">
        <v>34.4</v>
      </c>
      <c r="O32" s="51">
        <v>0</v>
      </c>
      <c r="P32" s="51">
        <v>1.93</v>
      </c>
      <c r="Q32" s="51">
        <v>11.63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3.89</v>
      </c>
      <c r="C34" s="28">
        <f t="shared" si="0"/>
        <v>48.27</v>
      </c>
      <c r="D34" s="28">
        <f t="shared" si="0"/>
        <v>29.27</v>
      </c>
      <c r="E34" s="28">
        <f t="shared" si="0"/>
        <v>6.38</v>
      </c>
      <c r="F34" s="28">
        <f t="shared" si="0"/>
        <v>3.63</v>
      </c>
      <c r="G34" s="28">
        <f t="shared" si="0"/>
        <v>184.15</v>
      </c>
      <c r="H34" s="28">
        <f t="shared" si="0"/>
        <v>44.42</v>
      </c>
      <c r="I34" s="28">
        <f t="shared" si="0"/>
        <v>5.78</v>
      </c>
      <c r="J34" s="28">
        <f t="shared" si="0"/>
        <v>1.27</v>
      </c>
      <c r="K34" s="28">
        <f t="shared" si="0"/>
        <v>107.7</v>
      </c>
      <c r="L34" s="28">
        <f t="shared" si="0"/>
        <v>11.91</v>
      </c>
      <c r="M34" s="28">
        <f t="shared" si="0"/>
        <v>33.4</v>
      </c>
      <c r="N34" s="28">
        <f t="shared" si="0"/>
        <v>34</v>
      </c>
      <c r="O34" s="28">
        <f t="shared" si="0"/>
        <v>0</v>
      </c>
      <c r="P34" s="28">
        <f t="shared" si="0"/>
        <v>0.93</v>
      </c>
      <c r="Q34" s="28">
        <f t="shared" si="0"/>
        <v>10.41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114.24</v>
      </c>
      <c r="C35" s="29">
        <f t="shared" si="1"/>
        <v>62.45</v>
      </c>
      <c r="D35" s="29">
        <f t="shared" si="1"/>
        <v>122.86</v>
      </c>
      <c r="E35" s="29">
        <f t="shared" si="1"/>
        <v>9.8699999999999992</v>
      </c>
      <c r="F35" s="29">
        <f t="shared" si="1"/>
        <v>6.43</v>
      </c>
      <c r="G35" s="29">
        <f t="shared" si="1"/>
        <v>184.15</v>
      </c>
      <c r="H35" s="29">
        <f t="shared" si="1"/>
        <v>99</v>
      </c>
      <c r="I35" s="29">
        <f t="shared" si="1"/>
        <v>9.64</v>
      </c>
      <c r="J35" s="29">
        <f t="shared" si="1"/>
        <v>2.93</v>
      </c>
      <c r="K35" s="29">
        <f t="shared" si="1"/>
        <v>358.7</v>
      </c>
      <c r="L35" s="29">
        <f t="shared" si="1"/>
        <v>25.77</v>
      </c>
      <c r="M35" s="29">
        <f t="shared" si="1"/>
        <v>88.98</v>
      </c>
      <c r="N35" s="29">
        <f t="shared" si="1"/>
        <v>585</v>
      </c>
      <c r="O35" s="29">
        <f t="shared" si="1"/>
        <v>0</v>
      </c>
      <c r="P35" s="29">
        <f t="shared" si="1"/>
        <v>2.3199999999999998</v>
      </c>
      <c r="Q35" s="29">
        <f t="shared" si="1"/>
        <v>11.89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40.178749999999987</v>
      </c>
      <c r="C36" s="28">
        <f t="shared" si="2"/>
        <v>56.105416666666656</v>
      </c>
      <c r="D36" s="28">
        <f t="shared" si="2"/>
        <v>59.907499999999999</v>
      </c>
      <c r="E36" s="28">
        <f t="shared" si="2"/>
        <v>8.0724999999999998</v>
      </c>
      <c r="F36" s="28">
        <f t="shared" si="2"/>
        <v>4.5741666666666685</v>
      </c>
      <c r="G36" s="28">
        <f t="shared" si="2"/>
        <v>184.15</v>
      </c>
      <c r="H36" s="28">
        <f t="shared" si="2"/>
        <v>64.954166666666666</v>
      </c>
      <c r="I36" s="28">
        <f t="shared" si="2"/>
        <v>7.7029166666666677</v>
      </c>
      <c r="J36" s="28">
        <f t="shared" si="2"/>
        <v>1.9012499999999999</v>
      </c>
      <c r="K36" s="28">
        <f t="shared" si="2"/>
        <v>326.03916666666669</v>
      </c>
      <c r="L36" s="28">
        <f t="shared" si="2"/>
        <v>17.599583333333332</v>
      </c>
      <c r="M36" s="28">
        <f t="shared" si="2"/>
        <v>62.838749999999976</v>
      </c>
      <c r="N36" s="28">
        <f t="shared" si="2"/>
        <v>166.28750000000005</v>
      </c>
      <c r="O36" s="28">
        <f t="shared" si="2"/>
        <v>0</v>
      </c>
      <c r="P36" s="28">
        <f t="shared" si="2"/>
        <v>1.4924999999999999</v>
      </c>
      <c r="Q36" s="28">
        <f t="shared" si="2"/>
        <v>10.905833333333334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33.533252194163829</v>
      </c>
      <c r="C37" s="28">
        <f t="shared" ref="C37:Q37" si="3">STDEV(C9:C32)</f>
        <v>4.3006996186835611</v>
      </c>
      <c r="D37" s="28">
        <f t="shared" si="3"/>
        <v>27.288676143268187</v>
      </c>
      <c r="E37" s="28">
        <f t="shared" si="3"/>
        <v>1.2322734380351443</v>
      </c>
      <c r="F37" s="28">
        <f t="shared" si="3"/>
        <v>0.58629949808033732</v>
      </c>
      <c r="G37" s="28" t="e">
        <f t="shared" si="3"/>
        <v>#DIV/0!</v>
      </c>
      <c r="H37" s="28">
        <f t="shared" si="3"/>
        <v>16.377293909468172</v>
      </c>
      <c r="I37" s="28">
        <f t="shared" si="3"/>
        <v>1.1130587670202128</v>
      </c>
      <c r="J37" s="28">
        <f t="shared" si="3"/>
        <v>0.49550424470607707</v>
      </c>
      <c r="K37" s="28">
        <f t="shared" si="3"/>
        <v>49.382455247100523</v>
      </c>
      <c r="L37" s="28">
        <f t="shared" si="3"/>
        <v>4.8899421879455103</v>
      </c>
      <c r="M37" s="28">
        <f t="shared" si="3"/>
        <v>19.441653917946912</v>
      </c>
      <c r="N37" s="28">
        <f t="shared" si="3"/>
        <v>198.51357266597336</v>
      </c>
      <c r="O37" s="28">
        <f t="shared" si="3"/>
        <v>0</v>
      </c>
      <c r="P37" s="28">
        <f t="shared" si="3"/>
        <v>0.41909063043897626</v>
      </c>
      <c r="Q37" s="28">
        <f t="shared" si="3"/>
        <v>0.42554227978434528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COUNT(G9:G32)+23</f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637</v>
      </c>
      <c r="B9" s="51">
        <v>101.27</v>
      </c>
      <c r="C9" s="51">
        <v>60.26</v>
      </c>
      <c r="D9" s="51">
        <v>111.19</v>
      </c>
      <c r="E9" s="51">
        <v>8.39</v>
      </c>
      <c r="F9" s="51">
        <v>4.33</v>
      </c>
      <c r="G9" s="52" t="s">
        <v>14</v>
      </c>
      <c r="H9" s="51">
        <v>55.66</v>
      </c>
      <c r="I9" s="51">
        <v>8.26</v>
      </c>
      <c r="J9" s="51">
        <v>1.71</v>
      </c>
      <c r="K9" s="51">
        <v>336.4</v>
      </c>
      <c r="L9" s="51">
        <v>12.47</v>
      </c>
      <c r="M9" s="51">
        <v>85.43</v>
      </c>
      <c r="N9" s="51">
        <v>34.4</v>
      </c>
      <c r="O9" s="51">
        <v>0</v>
      </c>
      <c r="P9" s="51">
        <v>1.91</v>
      </c>
      <c r="Q9" s="51">
        <v>11.65</v>
      </c>
      <c r="R9" s="43"/>
      <c r="S9" s="43"/>
      <c r="T9" s="43"/>
      <c r="U9" s="43"/>
    </row>
    <row r="10" spans="1:21" s="11" customFormat="1" x14ac:dyDescent="0.25">
      <c r="A10" s="50" t="s">
        <v>638</v>
      </c>
      <c r="B10" s="51">
        <v>99.22</v>
      </c>
      <c r="C10" s="51">
        <v>58.51</v>
      </c>
      <c r="D10" s="51">
        <v>108.76</v>
      </c>
      <c r="E10" s="51">
        <v>8.24</v>
      </c>
      <c r="F10" s="51">
        <v>4.3099999999999996</v>
      </c>
      <c r="G10" s="52" t="s">
        <v>14</v>
      </c>
      <c r="H10" s="51">
        <v>58.82</v>
      </c>
      <c r="I10" s="51">
        <v>7.86</v>
      </c>
      <c r="J10" s="51">
        <v>2.2599999999999998</v>
      </c>
      <c r="K10" s="51">
        <v>330.86</v>
      </c>
      <c r="L10" s="51">
        <v>11.98</v>
      </c>
      <c r="M10" s="51">
        <v>93.15</v>
      </c>
      <c r="N10" s="51">
        <v>34.4</v>
      </c>
      <c r="O10" s="51">
        <v>0</v>
      </c>
      <c r="P10" s="51">
        <v>1.68</v>
      </c>
      <c r="Q10" s="51">
        <v>11.6</v>
      </c>
      <c r="R10" s="43"/>
      <c r="S10" s="43"/>
      <c r="T10" s="43"/>
      <c r="U10" s="43"/>
    </row>
    <row r="11" spans="1:21" s="11" customFormat="1" x14ac:dyDescent="0.25">
      <c r="A11" s="50" t="s">
        <v>639</v>
      </c>
      <c r="B11" s="51">
        <v>88.21</v>
      </c>
      <c r="C11" s="51">
        <v>51.98</v>
      </c>
      <c r="D11" s="51">
        <v>96.52</v>
      </c>
      <c r="E11" s="51">
        <v>8.83</v>
      </c>
      <c r="F11" s="51">
        <v>4.17</v>
      </c>
      <c r="G11" s="52" t="s">
        <v>14</v>
      </c>
      <c r="H11" s="51">
        <v>63.09</v>
      </c>
      <c r="I11" s="51">
        <v>7.71</v>
      </c>
      <c r="J11" s="51">
        <v>1.79</v>
      </c>
      <c r="K11" s="51">
        <v>358.98</v>
      </c>
      <c r="L11" s="51">
        <v>11.85</v>
      </c>
      <c r="M11" s="51">
        <v>85.99</v>
      </c>
      <c r="N11" s="51">
        <v>34.4</v>
      </c>
      <c r="O11" s="51">
        <v>0</v>
      </c>
      <c r="P11" s="51">
        <v>1.64</v>
      </c>
      <c r="Q11" s="51">
        <v>11.48</v>
      </c>
      <c r="R11" s="43"/>
      <c r="S11" s="43"/>
      <c r="T11" s="43"/>
      <c r="U11" s="43"/>
    </row>
    <row r="12" spans="1:21" s="11" customFormat="1" x14ac:dyDescent="0.25">
      <c r="A12" s="50" t="s">
        <v>640</v>
      </c>
      <c r="B12" s="51">
        <v>73.819999999999993</v>
      </c>
      <c r="C12" s="51">
        <v>47.89</v>
      </c>
      <c r="D12" s="51">
        <v>82.85</v>
      </c>
      <c r="E12" s="51">
        <v>9.51</v>
      </c>
      <c r="F12" s="51">
        <v>5.52</v>
      </c>
      <c r="G12" s="52" t="s">
        <v>14</v>
      </c>
      <c r="H12" s="51">
        <v>80.849999999999994</v>
      </c>
      <c r="I12" s="51">
        <v>7.68</v>
      </c>
      <c r="J12" s="51">
        <v>2.04</v>
      </c>
      <c r="K12" s="51">
        <v>348.22</v>
      </c>
      <c r="L12" s="51">
        <v>12.24</v>
      </c>
      <c r="M12" s="51">
        <v>82.94</v>
      </c>
      <c r="N12" s="51">
        <v>34.4</v>
      </c>
      <c r="O12" s="51">
        <v>0</v>
      </c>
      <c r="P12" s="51">
        <v>1.59</v>
      </c>
      <c r="Q12" s="51">
        <v>11.33</v>
      </c>
      <c r="R12" s="43"/>
      <c r="S12" s="43"/>
      <c r="T12" s="43"/>
      <c r="U12" s="43"/>
    </row>
    <row r="13" spans="1:21" s="11" customFormat="1" x14ac:dyDescent="0.25">
      <c r="A13" s="50" t="s">
        <v>641</v>
      </c>
      <c r="B13" s="51">
        <v>59.32</v>
      </c>
      <c r="C13" s="51">
        <v>46.72</v>
      </c>
      <c r="D13" s="51">
        <v>70.599999999999994</v>
      </c>
      <c r="E13" s="51">
        <v>8.2899999999999991</v>
      </c>
      <c r="F13" s="51">
        <v>4.54</v>
      </c>
      <c r="G13" s="52" t="s">
        <v>14</v>
      </c>
      <c r="H13" s="51">
        <v>91.9</v>
      </c>
      <c r="I13" s="51">
        <v>7.29</v>
      </c>
      <c r="J13" s="51">
        <v>1.1399999999999999</v>
      </c>
      <c r="K13" s="51">
        <v>356.49</v>
      </c>
      <c r="L13" s="51">
        <v>11.72</v>
      </c>
      <c r="M13" s="51">
        <v>78.53</v>
      </c>
      <c r="N13" s="51">
        <v>34.4</v>
      </c>
      <c r="O13" s="51">
        <v>0</v>
      </c>
      <c r="P13" s="51">
        <v>1.57</v>
      </c>
      <c r="Q13" s="51">
        <v>11.06</v>
      </c>
      <c r="R13" s="43"/>
      <c r="S13" s="43"/>
      <c r="T13" s="43"/>
      <c r="U13" s="43"/>
    </row>
    <row r="14" spans="1:21" s="11" customFormat="1" x14ac:dyDescent="0.25">
      <c r="A14" s="50" t="s">
        <v>642</v>
      </c>
      <c r="B14" s="51">
        <v>47.04</v>
      </c>
      <c r="C14" s="51">
        <v>46.07</v>
      </c>
      <c r="D14" s="51">
        <v>60.41</v>
      </c>
      <c r="E14" s="51">
        <v>7.12</v>
      </c>
      <c r="F14" s="51">
        <v>4.3099999999999996</v>
      </c>
      <c r="G14" s="52" t="s">
        <v>14</v>
      </c>
      <c r="H14" s="51">
        <v>77.67</v>
      </c>
      <c r="I14" s="51">
        <v>6.6</v>
      </c>
      <c r="J14" s="51">
        <v>1.5</v>
      </c>
      <c r="K14" s="51">
        <v>102.23</v>
      </c>
      <c r="L14" s="51">
        <v>11.28</v>
      </c>
      <c r="M14" s="51">
        <v>80.790000000000006</v>
      </c>
      <c r="N14" s="51">
        <v>34.200000000000003</v>
      </c>
      <c r="O14" s="51">
        <v>0</v>
      </c>
      <c r="P14" s="51">
        <v>1.43</v>
      </c>
      <c r="Q14" s="51">
        <v>10.87</v>
      </c>
      <c r="R14" s="43"/>
      <c r="S14" s="43"/>
      <c r="T14" s="43"/>
      <c r="U14" s="43"/>
    </row>
    <row r="15" spans="1:21" s="11" customFormat="1" x14ac:dyDescent="0.25">
      <c r="A15" s="50" t="s">
        <v>643</v>
      </c>
      <c r="B15" s="51">
        <v>38.97</v>
      </c>
      <c r="C15" s="51">
        <v>44.4</v>
      </c>
      <c r="D15" s="51">
        <v>53.07</v>
      </c>
      <c r="E15" s="51">
        <v>6.57</v>
      </c>
      <c r="F15" s="51">
        <v>3.91</v>
      </c>
      <c r="G15" s="52" t="s">
        <v>14</v>
      </c>
      <c r="H15" s="51">
        <v>53.76</v>
      </c>
      <c r="I15" s="51">
        <v>6.02</v>
      </c>
      <c r="J15" s="51">
        <v>1.1599999999999999</v>
      </c>
      <c r="K15" s="51">
        <v>358.56</v>
      </c>
      <c r="L15" s="51">
        <v>11.68</v>
      </c>
      <c r="M15" s="51">
        <v>81.14</v>
      </c>
      <c r="N15" s="51">
        <v>69.599999999999994</v>
      </c>
      <c r="O15" s="51">
        <v>0</v>
      </c>
      <c r="P15" s="51">
        <v>1.25</v>
      </c>
      <c r="Q15" s="51">
        <v>10.81</v>
      </c>
      <c r="R15" s="43"/>
      <c r="S15" s="43"/>
      <c r="T15" s="43"/>
      <c r="U15" s="43"/>
    </row>
    <row r="16" spans="1:21" s="11" customFormat="1" x14ac:dyDescent="0.25">
      <c r="A16" s="50" t="s">
        <v>644</v>
      </c>
      <c r="B16" s="51">
        <v>38.32</v>
      </c>
      <c r="C16" s="51">
        <v>47.6</v>
      </c>
      <c r="D16" s="51">
        <v>53.63</v>
      </c>
      <c r="E16" s="51">
        <v>7.39</v>
      </c>
      <c r="F16" s="51">
        <v>4.25</v>
      </c>
      <c r="G16" s="52" t="s">
        <v>14</v>
      </c>
      <c r="H16" s="51">
        <v>43.59</v>
      </c>
      <c r="I16" s="51">
        <v>5.81</v>
      </c>
      <c r="J16" s="51">
        <v>1.44</v>
      </c>
      <c r="K16" s="51">
        <v>335.87</v>
      </c>
      <c r="L16" s="51">
        <v>15.96</v>
      </c>
      <c r="M16" s="51">
        <v>75.11</v>
      </c>
      <c r="N16" s="51">
        <v>226.9</v>
      </c>
      <c r="O16" s="51">
        <v>0</v>
      </c>
      <c r="P16" s="51">
        <v>1.2</v>
      </c>
      <c r="Q16" s="51">
        <v>10.86</v>
      </c>
      <c r="R16" s="43"/>
      <c r="S16" s="43"/>
      <c r="T16" s="43"/>
      <c r="U16" s="43"/>
    </row>
    <row r="17" spans="1:21" s="11" customFormat="1" x14ac:dyDescent="0.25">
      <c r="A17" s="50" t="s">
        <v>645</v>
      </c>
      <c r="B17" s="51">
        <v>35.56</v>
      </c>
      <c r="C17" s="51">
        <v>52.82</v>
      </c>
      <c r="D17" s="51">
        <v>54.28</v>
      </c>
      <c r="E17" s="51">
        <v>5.98</v>
      </c>
      <c r="F17" s="51">
        <v>4.1100000000000003</v>
      </c>
      <c r="G17" s="52" t="s">
        <v>14</v>
      </c>
      <c r="H17" s="51">
        <v>37.4</v>
      </c>
      <c r="I17" s="51">
        <v>5.62</v>
      </c>
      <c r="J17" s="51">
        <v>2.1800000000000002</v>
      </c>
      <c r="K17" s="51">
        <v>340.28</v>
      </c>
      <c r="L17" s="51">
        <v>19.329999999999998</v>
      </c>
      <c r="M17" s="51">
        <v>58.19</v>
      </c>
      <c r="N17" s="51">
        <v>383.1</v>
      </c>
      <c r="O17" s="51">
        <v>0</v>
      </c>
      <c r="P17" s="51">
        <v>1.1399999999999999</v>
      </c>
      <c r="Q17" s="51">
        <v>10.77</v>
      </c>
      <c r="R17" s="43"/>
      <c r="S17" s="43"/>
      <c r="T17" s="43"/>
      <c r="U17" s="43"/>
    </row>
    <row r="18" spans="1:21" s="11" customFormat="1" x14ac:dyDescent="0.25">
      <c r="A18" s="50" t="s">
        <v>646</v>
      </c>
      <c r="B18" s="51">
        <v>31.36</v>
      </c>
      <c r="C18" s="51">
        <v>54.77</v>
      </c>
      <c r="D18" s="51">
        <v>51.8</v>
      </c>
      <c r="E18" s="51">
        <v>5.35</v>
      </c>
      <c r="F18" s="51">
        <v>3.96</v>
      </c>
      <c r="G18" s="52" t="s">
        <v>14</v>
      </c>
      <c r="H18" s="51">
        <v>32.89</v>
      </c>
      <c r="I18" s="51">
        <v>6.32</v>
      </c>
      <c r="J18" s="51">
        <v>2.0499999999999998</v>
      </c>
      <c r="K18" s="51">
        <v>110.82</v>
      </c>
      <c r="L18" s="51">
        <v>20.71</v>
      </c>
      <c r="M18" s="51">
        <v>56.7</v>
      </c>
      <c r="N18" s="51">
        <v>502.8</v>
      </c>
      <c r="O18" s="51">
        <v>0</v>
      </c>
      <c r="P18" s="51">
        <v>1.05</v>
      </c>
      <c r="Q18" s="51">
        <v>10.77</v>
      </c>
      <c r="R18" s="43"/>
      <c r="S18" s="43"/>
      <c r="T18" s="43"/>
      <c r="U18" s="43"/>
    </row>
    <row r="19" spans="1:21" s="11" customFormat="1" x14ac:dyDescent="0.25">
      <c r="A19" s="50" t="s">
        <v>647</v>
      </c>
      <c r="B19" s="51">
        <v>21.05</v>
      </c>
      <c r="C19" s="51">
        <v>54.51</v>
      </c>
      <c r="D19" s="51">
        <v>43.99</v>
      </c>
      <c r="E19" s="51">
        <v>5.29</v>
      </c>
      <c r="F19" s="51">
        <v>3.86</v>
      </c>
      <c r="G19" s="52" t="s">
        <v>14</v>
      </c>
      <c r="H19" s="51">
        <v>36.07</v>
      </c>
      <c r="I19" s="51">
        <v>7.13</v>
      </c>
      <c r="J19" s="51">
        <v>2.52</v>
      </c>
      <c r="K19" s="51">
        <v>111.37</v>
      </c>
      <c r="L19" s="51">
        <v>21.74</v>
      </c>
      <c r="M19" s="51">
        <v>47.1</v>
      </c>
      <c r="N19" s="51">
        <v>600.6</v>
      </c>
      <c r="O19" s="51">
        <v>0</v>
      </c>
      <c r="P19" s="51">
        <v>0.96</v>
      </c>
      <c r="Q19" s="51">
        <v>10.64</v>
      </c>
      <c r="R19" s="43"/>
      <c r="S19" s="43"/>
      <c r="T19" s="43"/>
      <c r="U19" s="43"/>
    </row>
    <row r="20" spans="1:21" s="11" customFormat="1" x14ac:dyDescent="0.25">
      <c r="A20" s="50" t="s">
        <v>648</v>
      </c>
      <c r="B20" s="51">
        <v>12.02</v>
      </c>
      <c r="C20" s="51">
        <v>53.15</v>
      </c>
      <c r="D20" s="51">
        <v>36.04</v>
      </c>
      <c r="E20" s="51">
        <v>5.44</v>
      </c>
      <c r="F20" s="51">
        <v>4.92</v>
      </c>
      <c r="G20" s="52" t="s">
        <v>14</v>
      </c>
      <c r="H20" s="51">
        <v>41.82</v>
      </c>
      <c r="I20" s="51">
        <v>7.92</v>
      </c>
      <c r="J20" s="51">
        <v>2.25</v>
      </c>
      <c r="K20" s="51">
        <v>351.59</v>
      </c>
      <c r="L20" s="51">
        <v>24.19</v>
      </c>
      <c r="M20" s="51">
        <v>41.71</v>
      </c>
      <c r="N20" s="51">
        <v>606.1</v>
      </c>
      <c r="O20" s="51">
        <v>0</v>
      </c>
      <c r="P20" s="51">
        <v>0.84</v>
      </c>
      <c r="Q20" s="51">
        <v>10.6</v>
      </c>
      <c r="R20" s="43"/>
      <c r="S20" s="43"/>
      <c r="T20" s="43"/>
      <c r="U20" s="43"/>
    </row>
    <row r="21" spans="1:21" s="11" customFormat="1" x14ac:dyDescent="0.25">
      <c r="A21" s="50" t="s">
        <v>649</v>
      </c>
      <c r="B21" s="51">
        <v>5.5</v>
      </c>
      <c r="C21" s="51">
        <v>53.78</v>
      </c>
      <c r="D21" s="51">
        <v>30.83</v>
      </c>
      <c r="E21" s="51">
        <v>6.33</v>
      </c>
      <c r="F21" s="51">
        <v>5.35</v>
      </c>
      <c r="G21" s="52" t="s">
        <v>14</v>
      </c>
      <c r="H21" s="51">
        <v>39.22</v>
      </c>
      <c r="I21" s="51">
        <v>8.08</v>
      </c>
      <c r="J21" s="51">
        <v>1.89</v>
      </c>
      <c r="K21" s="51">
        <v>111.43</v>
      </c>
      <c r="L21" s="51">
        <v>23.47</v>
      </c>
      <c r="M21" s="51">
        <v>35.57</v>
      </c>
      <c r="N21" s="51">
        <v>567.1</v>
      </c>
      <c r="O21" s="51">
        <v>0</v>
      </c>
      <c r="P21" s="51">
        <v>0.76</v>
      </c>
      <c r="Q21" s="51">
        <v>10.48</v>
      </c>
      <c r="R21" s="43"/>
      <c r="S21" s="43"/>
      <c r="T21" s="43"/>
      <c r="U21" s="43"/>
    </row>
    <row r="22" spans="1:21" s="11" customFormat="1" x14ac:dyDescent="0.25">
      <c r="A22" s="50" t="s">
        <v>650</v>
      </c>
      <c r="B22" s="51">
        <v>3.51</v>
      </c>
      <c r="C22" s="51">
        <v>54.35</v>
      </c>
      <c r="D22" s="51">
        <v>29.66</v>
      </c>
      <c r="E22" s="51">
        <v>7.76</v>
      </c>
      <c r="F22" s="51">
        <v>5.83</v>
      </c>
      <c r="G22" s="53" t="s">
        <v>12</v>
      </c>
      <c r="H22" s="53" t="s">
        <v>12</v>
      </c>
      <c r="I22" s="51">
        <v>7.47</v>
      </c>
      <c r="J22" s="51">
        <v>1.88</v>
      </c>
      <c r="K22" s="51">
        <v>105.37</v>
      </c>
      <c r="L22" s="51">
        <v>23.39</v>
      </c>
      <c r="M22" s="51">
        <v>34.04</v>
      </c>
      <c r="N22" s="51">
        <v>492.9</v>
      </c>
      <c r="O22" s="51">
        <v>0</v>
      </c>
      <c r="P22" s="51">
        <v>0.65</v>
      </c>
      <c r="Q22" s="51">
        <v>10.48</v>
      </c>
      <c r="R22" s="43"/>
      <c r="S22" s="43"/>
      <c r="T22" s="43"/>
      <c r="U22" s="43"/>
    </row>
    <row r="23" spans="1:21" s="11" customFormat="1" x14ac:dyDescent="0.25">
      <c r="A23" s="50" t="s">
        <v>651</v>
      </c>
      <c r="B23" s="51">
        <v>3.2</v>
      </c>
      <c r="C23" s="51">
        <v>55.26</v>
      </c>
      <c r="D23" s="51">
        <v>30.06</v>
      </c>
      <c r="E23" s="51">
        <v>7.5</v>
      </c>
      <c r="F23" s="51">
        <v>8.48</v>
      </c>
      <c r="G23" s="51">
        <v>28.15</v>
      </c>
      <c r="H23" s="51">
        <v>13.42</v>
      </c>
      <c r="I23" s="51">
        <v>5.48</v>
      </c>
      <c r="J23" s="51">
        <v>2.16</v>
      </c>
      <c r="K23" s="51">
        <v>346.2</v>
      </c>
      <c r="L23" s="51">
        <v>23.34</v>
      </c>
      <c r="M23" s="51">
        <v>30.38</v>
      </c>
      <c r="N23" s="51">
        <v>185.8</v>
      </c>
      <c r="O23" s="51">
        <v>0</v>
      </c>
      <c r="P23" s="51">
        <v>0.56000000000000005</v>
      </c>
      <c r="Q23" s="51">
        <v>10.46</v>
      </c>
      <c r="R23" s="43"/>
      <c r="S23" s="43"/>
      <c r="T23" s="43"/>
      <c r="U23" s="43"/>
    </row>
    <row r="24" spans="1:21" s="11" customFormat="1" x14ac:dyDescent="0.25">
      <c r="A24" s="50" t="s">
        <v>652</v>
      </c>
      <c r="B24" s="51">
        <v>2.85</v>
      </c>
      <c r="C24" s="51">
        <v>56.94</v>
      </c>
      <c r="D24" s="51">
        <v>30.28</v>
      </c>
      <c r="E24" s="51">
        <v>8.9700000000000006</v>
      </c>
      <c r="F24" s="51">
        <v>14.48</v>
      </c>
      <c r="G24" s="51">
        <v>55.79</v>
      </c>
      <c r="H24" s="51">
        <v>19.52</v>
      </c>
      <c r="I24" s="51">
        <v>2.06</v>
      </c>
      <c r="J24" s="51">
        <v>1.36</v>
      </c>
      <c r="K24" s="51">
        <v>87.66</v>
      </c>
      <c r="L24" s="51">
        <v>22.36</v>
      </c>
      <c r="M24" s="51">
        <v>30.95</v>
      </c>
      <c r="N24" s="51">
        <v>97.4</v>
      </c>
      <c r="O24" s="51">
        <v>0</v>
      </c>
      <c r="P24" s="51">
        <v>0.54</v>
      </c>
      <c r="Q24" s="51">
        <v>10.48</v>
      </c>
      <c r="R24" s="43"/>
      <c r="S24" s="43"/>
      <c r="T24" s="43"/>
      <c r="U24" s="43"/>
    </row>
    <row r="25" spans="1:21" s="11" customFormat="1" x14ac:dyDescent="0.25">
      <c r="A25" s="50" t="s">
        <v>653</v>
      </c>
      <c r="B25" s="51">
        <v>2.58</v>
      </c>
      <c r="C25" s="51">
        <v>58.28</v>
      </c>
      <c r="D25" s="51">
        <v>30.86</v>
      </c>
      <c r="E25" s="51">
        <v>11.56</v>
      </c>
      <c r="F25" s="51">
        <v>24.52</v>
      </c>
      <c r="G25" s="51">
        <v>67.7</v>
      </c>
      <c r="H25" s="51">
        <v>22.72</v>
      </c>
      <c r="I25" s="51">
        <v>3.05</v>
      </c>
      <c r="J25" s="51">
        <v>0.88</v>
      </c>
      <c r="K25" s="51">
        <v>88.63</v>
      </c>
      <c r="L25" s="51">
        <v>21.68</v>
      </c>
      <c r="M25" s="51">
        <v>32.26</v>
      </c>
      <c r="N25" s="51">
        <v>67.400000000000006</v>
      </c>
      <c r="O25" s="51">
        <v>0</v>
      </c>
      <c r="P25" s="51">
        <v>0.53</v>
      </c>
      <c r="Q25" s="51">
        <v>10.37</v>
      </c>
      <c r="R25" s="43"/>
      <c r="S25" s="43"/>
      <c r="T25" s="43"/>
      <c r="U25" s="43"/>
    </row>
    <row r="26" spans="1:21" s="11" customFormat="1" x14ac:dyDescent="0.25">
      <c r="A26" s="50" t="s">
        <v>654</v>
      </c>
      <c r="B26" s="51">
        <v>5.42</v>
      </c>
      <c r="C26" s="51">
        <v>54.23</v>
      </c>
      <c r="D26" s="51">
        <v>31.31</v>
      </c>
      <c r="E26" s="51">
        <v>6.66</v>
      </c>
      <c r="F26" s="51">
        <v>6.01</v>
      </c>
      <c r="G26" s="51">
        <v>73.489999999999995</v>
      </c>
      <c r="H26" s="51">
        <v>25.42</v>
      </c>
      <c r="I26" s="51">
        <v>3.2</v>
      </c>
      <c r="J26" s="51">
        <v>1.89</v>
      </c>
      <c r="K26" s="51">
        <v>325.75</v>
      </c>
      <c r="L26" s="51">
        <v>20.12</v>
      </c>
      <c r="M26" s="51">
        <v>42.93</v>
      </c>
      <c r="N26" s="51">
        <v>40.6</v>
      </c>
      <c r="O26" s="51">
        <v>0</v>
      </c>
      <c r="P26" s="51">
        <v>0.8</v>
      </c>
      <c r="Q26" s="51">
        <v>10.31</v>
      </c>
      <c r="R26" s="43"/>
      <c r="S26" s="43"/>
      <c r="T26" s="43"/>
      <c r="U26" s="43"/>
    </row>
    <row r="27" spans="1:21" s="11" customFormat="1" x14ac:dyDescent="0.25">
      <c r="A27" s="50" t="s">
        <v>655</v>
      </c>
      <c r="B27" s="51">
        <v>19.23</v>
      </c>
      <c r="C27" s="51">
        <v>55.79</v>
      </c>
      <c r="D27" s="51">
        <v>43.19</v>
      </c>
      <c r="E27" s="51">
        <v>6.4</v>
      </c>
      <c r="F27" s="51">
        <v>4.0199999999999996</v>
      </c>
      <c r="G27" s="51">
        <v>80.150000000000006</v>
      </c>
      <c r="H27" s="51">
        <v>30.56</v>
      </c>
      <c r="I27" s="51">
        <v>7.16</v>
      </c>
      <c r="J27" s="51">
        <v>2.06</v>
      </c>
      <c r="K27" s="51">
        <v>314.97000000000003</v>
      </c>
      <c r="L27" s="51">
        <v>17.59</v>
      </c>
      <c r="M27" s="51">
        <v>54.27</v>
      </c>
      <c r="N27" s="51">
        <v>34.799999999999997</v>
      </c>
      <c r="O27" s="51">
        <v>0</v>
      </c>
      <c r="P27" s="51">
        <v>1.3</v>
      </c>
      <c r="Q27" s="51">
        <v>10.42</v>
      </c>
      <c r="R27" s="43"/>
      <c r="S27" s="43"/>
      <c r="T27" s="43"/>
      <c r="U27" s="43"/>
    </row>
    <row r="28" spans="1:21" s="11" customFormat="1" x14ac:dyDescent="0.25">
      <c r="A28" s="50" t="s">
        <v>656</v>
      </c>
      <c r="B28" s="51">
        <v>38.020000000000003</v>
      </c>
      <c r="C28" s="51">
        <v>56.59</v>
      </c>
      <c r="D28" s="51">
        <v>58.64</v>
      </c>
      <c r="E28" s="51">
        <v>7.84</v>
      </c>
      <c r="F28" s="51">
        <v>4.1100000000000003</v>
      </c>
      <c r="G28" s="51">
        <v>100.51</v>
      </c>
      <c r="H28" s="51">
        <v>42.02</v>
      </c>
      <c r="I28" s="51">
        <v>7.93</v>
      </c>
      <c r="J28" s="51">
        <v>1.93</v>
      </c>
      <c r="K28" s="51">
        <v>307.3</v>
      </c>
      <c r="L28" s="51">
        <v>16.190000000000001</v>
      </c>
      <c r="M28" s="51">
        <v>58.92</v>
      </c>
      <c r="N28" s="51">
        <v>34.299999999999997</v>
      </c>
      <c r="O28" s="51">
        <v>0</v>
      </c>
      <c r="P28" s="51">
        <v>1.52</v>
      </c>
      <c r="Q28" s="51">
        <v>10.72</v>
      </c>
      <c r="R28" s="43"/>
      <c r="S28" s="43"/>
      <c r="T28" s="43"/>
      <c r="U28" s="43"/>
    </row>
    <row r="29" spans="1:21" s="11" customFormat="1" x14ac:dyDescent="0.25">
      <c r="A29" s="50" t="s">
        <v>657</v>
      </c>
      <c r="B29" s="51">
        <v>48.82</v>
      </c>
      <c r="C29" s="51">
        <v>60.23</v>
      </c>
      <c r="D29" s="51">
        <v>69.239999999999995</v>
      </c>
      <c r="E29" s="51">
        <v>8.19</v>
      </c>
      <c r="F29" s="51">
        <v>4.68</v>
      </c>
      <c r="G29" s="51">
        <v>111.73</v>
      </c>
      <c r="H29" s="51">
        <v>45.45</v>
      </c>
      <c r="I29" s="51">
        <v>7.81</v>
      </c>
      <c r="J29" s="51">
        <v>1.68</v>
      </c>
      <c r="K29" s="51">
        <v>353.73</v>
      </c>
      <c r="L29" s="51">
        <v>16.61</v>
      </c>
      <c r="M29" s="51">
        <v>58.73</v>
      </c>
      <c r="N29" s="51">
        <v>34.4</v>
      </c>
      <c r="O29" s="51">
        <v>0</v>
      </c>
      <c r="P29" s="51">
        <v>1.36</v>
      </c>
      <c r="Q29" s="51">
        <v>10.95</v>
      </c>
      <c r="R29" s="43"/>
      <c r="S29" s="43"/>
      <c r="T29" s="43"/>
      <c r="U29" s="43"/>
    </row>
    <row r="30" spans="1:21" s="11" customFormat="1" x14ac:dyDescent="0.25">
      <c r="A30" s="50" t="s">
        <v>658</v>
      </c>
      <c r="B30" s="51">
        <v>71.900000000000006</v>
      </c>
      <c r="C30" s="51">
        <v>62.59</v>
      </c>
      <c r="D30" s="51">
        <v>88.99</v>
      </c>
      <c r="E30" s="51">
        <v>8.3699999999999992</v>
      </c>
      <c r="F30" s="51">
        <v>4.47</v>
      </c>
      <c r="G30" s="51">
        <v>105.09</v>
      </c>
      <c r="H30" s="51">
        <v>44.47</v>
      </c>
      <c r="I30" s="51">
        <v>7.17</v>
      </c>
      <c r="J30" s="51">
        <v>2</v>
      </c>
      <c r="K30" s="51">
        <v>307.89</v>
      </c>
      <c r="L30" s="51">
        <v>15.51</v>
      </c>
      <c r="M30" s="51">
        <v>68.709999999999994</v>
      </c>
      <c r="N30" s="51">
        <v>34.6</v>
      </c>
      <c r="O30" s="51">
        <v>0</v>
      </c>
      <c r="P30" s="51">
        <v>1.61</v>
      </c>
      <c r="Q30" s="51">
        <v>11.28</v>
      </c>
      <c r="R30" s="43"/>
      <c r="S30" s="43"/>
      <c r="T30" s="43"/>
      <c r="U30" s="43"/>
    </row>
    <row r="31" spans="1:21" s="11" customFormat="1" x14ac:dyDescent="0.25">
      <c r="A31" s="50" t="s">
        <v>659</v>
      </c>
      <c r="B31" s="51">
        <v>91.21</v>
      </c>
      <c r="C31" s="51">
        <v>62.32</v>
      </c>
      <c r="D31" s="51">
        <v>102.84</v>
      </c>
      <c r="E31" s="51">
        <v>8.14</v>
      </c>
      <c r="F31" s="51">
        <v>4.45</v>
      </c>
      <c r="G31" s="51">
        <v>109.59</v>
      </c>
      <c r="H31" s="51">
        <v>46.45</v>
      </c>
      <c r="I31" s="51">
        <v>7.69</v>
      </c>
      <c r="J31" s="51">
        <v>2.0299999999999998</v>
      </c>
      <c r="K31" s="51">
        <v>341.09</v>
      </c>
      <c r="L31" s="51">
        <v>14.08</v>
      </c>
      <c r="M31" s="51">
        <v>74.62</v>
      </c>
      <c r="N31" s="51">
        <v>34.4</v>
      </c>
      <c r="O31" s="51">
        <v>0</v>
      </c>
      <c r="P31" s="51">
        <v>1.82</v>
      </c>
      <c r="Q31" s="51">
        <v>11.3</v>
      </c>
      <c r="R31" s="43"/>
      <c r="S31" s="43"/>
      <c r="T31" s="43"/>
      <c r="U31" s="43"/>
    </row>
    <row r="32" spans="1:21" s="11" customFormat="1" x14ac:dyDescent="0.25">
      <c r="A32" s="50" t="s">
        <v>660</v>
      </c>
      <c r="B32" s="51">
        <v>108.49</v>
      </c>
      <c r="C32" s="51">
        <v>58.6</v>
      </c>
      <c r="D32" s="51">
        <v>115.04</v>
      </c>
      <c r="E32" s="51">
        <v>8.4499999999999993</v>
      </c>
      <c r="F32" s="51">
        <v>4.2300000000000004</v>
      </c>
      <c r="G32" s="51">
        <v>112.86</v>
      </c>
      <c r="H32" s="51">
        <v>90.19</v>
      </c>
      <c r="I32" s="51">
        <v>7.87</v>
      </c>
      <c r="J32" s="51">
        <v>1.92</v>
      </c>
      <c r="K32" s="51">
        <v>310.87</v>
      </c>
      <c r="L32" s="51">
        <v>13.36</v>
      </c>
      <c r="M32" s="51">
        <v>78.12</v>
      </c>
      <c r="N32" s="51">
        <v>34.299999999999997</v>
      </c>
      <c r="O32" s="51">
        <v>0</v>
      </c>
      <c r="P32" s="51">
        <v>1.82</v>
      </c>
      <c r="Q32" s="51">
        <v>11.53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2.58</v>
      </c>
      <c r="C34" s="28">
        <f t="shared" si="0"/>
        <v>44.4</v>
      </c>
      <c r="D34" s="28">
        <f t="shared" si="0"/>
        <v>29.66</v>
      </c>
      <c r="E34" s="28">
        <f t="shared" si="0"/>
        <v>5.29</v>
      </c>
      <c r="F34" s="28">
        <f t="shared" si="0"/>
        <v>3.86</v>
      </c>
      <c r="G34" s="28">
        <f t="shared" si="0"/>
        <v>28.15</v>
      </c>
      <c r="H34" s="28">
        <f t="shared" si="0"/>
        <v>13.42</v>
      </c>
      <c r="I34" s="28">
        <f t="shared" si="0"/>
        <v>2.06</v>
      </c>
      <c r="J34" s="28">
        <f t="shared" si="0"/>
        <v>0.88</v>
      </c>
      <c r="K34" s="28">
        <f t="shared" si="0"/>
        <v>87.66</v>
      </c>
      <c r="L34" s="28">
        <f t="shared" si="0"/>
        <v>11.28</v>
      </c>
      <c r="M34" s="28">
        <f t="shared" si="0"/>
        <v>30.38</v>
      </c>
      <c r="N34" s="28">
        <f t="shared" si="0"/>
        <v>34.200000000000003</v>
      </c>
      <c r="O34" s="28">
        <f t="shared" si="0"/>
        <v>0</v>
      </c>
      <c r="P34" s="28">
        <f t="shared" si="0"/>
        <v>0.53</v>
      </c>
      <c r="Q34" s="28">
        <f t="shared" si="0"/>
        <v>10.31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108.49</v>
      </c>
      <c r="C35" s="29">
        <f t="shared" si="1"/>
        <v>62.59</v>
      </c>
      <c r="D35" s="29">
        <f t="shared" si="1"/>
        <v>115.04</v>
      </c>
      <c r="E35" s="29">
        <f t="shared" si="1"/>
        <v>11.56</v>
      </c>
      <c r="F35" s="29">
        <f t="shared" si="1"/>
        <v>24.52</v>
      </c>
      <c r="G35" s="29">
        <f t="shared" si="1"/>
        <v>112.86</v>
      </c>
      <c r="H35" s="29">
        <f t="shared" si="1"/>
        <v>91.9</v>
      </c>
      <c r="I35" s="29">
        <f t="shared" si="1"/>
        <v>8.26</v>
      </c>
      <c r="J35" s="29">
        <f t="shared" si="1"/>
        <v>2.52</v>
      </c>
      <c r="K35" s="29">
        <f t="shared" si="1"/>
        <v>358.98</v>
      </c>
      <c r="L35" s="29">
        <f t="shared" si="1"/>
        <v>24.19</v>
      </c>
      <c r="M35" s="29">
        <f t="shared" si="1"/>
        <v>93.15</v>
      </c>
      <c r="N35" s="29">
        <f t="shared" si="1"/>
        <v>606.1</v>
      </c>
      <c r="O35" s="29">
        <f t="shared" si="1"/>
        <v>0</v>
      </c>
      <c r="P35" s="29">
        <f t="shared" si="1"/>
        <v>1.91</v>
      </c>
      <c r="Q35" s="29">
        <f t="shared" si="1"/>
        <v>11.65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43.620416666666671</v>
      </c>
      <c r="C36" s="28">
        <f t="shared" si="2"/>
        <v>54.484999999999985</v>
      </c>
      <c r="D36" s="28">
        <f t="shared" si="2"/>
        <v>61.836666666666652</v>
      </c>
      <c r="E36" s="28">
        <f t="shared" si="2"/>
        <v>7.6070833333333328</v>
      </c>
      <c r="F36" s="28">
        <f t="shared" si="2"/>
        <v>5.9508333333333319</v>
      </c>
      <c r="G36" s="28">
        <f t="shared" si="2"/>
        <v>84.506</v>
      </c>
      <c r="H36" s="28">
        <f t="shared" si="2"/>
        <v>47.52</v>
      </c>
      <c r="I36" s="28">
        <f t="shared" si="2"/>
        <v>6.6329166666666666</v>
      </c>
      <c r="J36" s="28">
        <f t="shared" si="2"/>
        <v>1.8216666666666665</v>
      </c>
      <c r="K36" s="28">
        <f t="shared" si="2"/>
        <v>268.44000000000005</v>
      </c>
      <c r="L36" s="28">
        <f t="shared" si="2"/>
        <v>17.202083333333331</v>
      </c>
      <c r="M36" s="28">
        <f t="shared" si="2"/>
        <v>61.095000000000006</v>
      </c>
      <c r="N36" s="28">
        <f t="shared" si="2"/>
        <v>177.22083333333333</v>
      </c>
      <c r="O36" s="28">
        <f t="shared" si="2"/>
        <v>0</v>
      </c>
      <c r="P36" s="28">
        <f t="shared" si="2"/>
        <v>1.2304166666666665</v>
      </c>
      <c r="Q36" s="28">
        <f t="shared" si="2"/>
        <v>10.884166666666665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35.369919973747102</v>
      </c>
      <c r="C37" s="28">
        <f t="shared" ref="C37:Q37" si="3">STDEV(C9:C32)</f>
        <v>5.0602242603680514</v>
      </c>
      <c r="D37" s="28">
        <f t="shared" si="3"/>
        <v>28.894522674370499</v>
      </c>
      <c r="E37" s="28">
        <f t="shared" si="3"/>
        <v>1.4631249438955265</v>
      </c>
      <c r="F37" s="28">
        <f t="shared" si="3"/>
        <v>4.5381387840378391</v>
      </c>
      <c r="G37" s="28">
        <f t="shared" si="3"/>
        <v>28.436103108548465</v>
      </c>
      <c r="H37" s="28">
        <f t="shared" si="3"/>
        <v>21.566808884360839</v>
      </c>
      <c r="I37" s="28">
        <f t="shared" si="3"/>
        <v>1.7050142908151977</v>
      </c>
      <c r="J37" s="28">
        <f t="shared" si="3"/>
        <v>0.39875530980972523</v>
      </c>
      <c r="K37" s="28">
        <f t="shared" si="3"/>
        <v>109.91821445768295</v>
      </c>
      <c r="L37" s="28">
        <f t="shared" si="3"/>
        <v>4.5952063672887489</v>
      </c>
      <c r="M37" s="28">
        <f t="shared" si="3"/>
        <v>20.420463308630627</v>
      </c>
      <c r="N37" s="28">
        <f t="shared" si="3"/>
        <v>214.59487610716451</v>
      </c>
      <c r="O37" s="28">
        <f t="shared" si="3"/>
        <v>0</v>
      </c>
      <c r="P37" s="28">
        <f t="shared" si="3"/>
        <v>0.44176994964098409</v>
      </c>
      <c r="Q37" s="28">
        <f t="shared" si="3"/>
        <v>0.42291860319396707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COUNT(G9:G32)+14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9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661</v>
      </c>
      <c r="B9" s="51">
        <v>109.71</v>
      </c>
      <c r="C9" s="51">
        <v>55.67</v>
      </c>
      <c r="D9" s="51">
        <v>115.69</v>
      </c>
      <c r="E9" s="51">
        <v>7.48</v>
      </c>
      <c r="F9" s="51">
        <v>4.42</v>
      </c>
      <c r="G9" s="51">
        <v>112.24</v>
      </c>
      <c r="H9" s="51">
        <v>110.74</v>
      </c>
      <c r="I9" s="51">
        <v>7.64</v>
      </c>
      <c r="J9" s="51">
        <v>2.02</v>
      </c>
      <c r="K9" s="51">
        <v>338.47</v>
      </c>
      <c r="L9" s="51">
        <v>12.58</v>
      </c>
      <c r="M9" s="51">
        <v>84.93</v>
      </c>
      <c r="N9" s="51">
        <v>34.4</v>
      </c>
      <c r="O9" s="51">
        <v>0</v>
      </c>
      <c r="P9" s="51">
        <v>1.77</v>
      </c>
      <c r="Q9" s="51">
        <v>11.67</v>
      </c>
      <c r="R9" s="43"/>
      <c r="S9" s="43"/>
      <c r="T9" s="43"/>
      <c r="U9" s="43"/>
    </row>
    <row r="10" spans="1:21" s="11" customFormat="1" x14ac:dyDescent="0.25">
      <c r="A10" s="50" t="s">
        <v>662</v>
      </c>
      <c r="B10" s="51">
        <v>98.94</v>
      </c>
      <c r="C10" s="51">
        <v>55.32</v>
      </c>
      <c r="D10" s="51">
        <v>106.87</v>
      </c>
      <c r="E10" s="51">
        <v>7.19</v>
      </c>
      <c r="F10" s="51">
        <v>4.24</v>
      </c>
      <c r="G10" s="51">
        <v>113.76</v>
      </c>
      <c r="H10" s="51">
        <v>48.26</v>
      </c>
      <c r="I10" s="51">
        <v>7.36</v>
      </c>
      <c r="J10" s="51">
        <v>2.08</v>
      </c>
      <c r="K10" s="51">
        <v>328.92</v>
      </c>
      <c r="L10" s="51">
        <v>11.95</v>
      </c>
      <c r="M10" s="51">
        <v>91.01</v>
      </c>
      <c r="N10" s="51">
        <v>34.4</v>
      </c>
      <c r="O10" s="51">
        <v>0</v>
      </c>
      <c r="P10" s="51">
        <v>1.48</v>
      </c>
      <c r="Q10" s="51">
        <v>11.51</v>
      </c>
      <c r="R10" s="43"/>
      <c r="S10" s="43"/>
      <c r="T10" s="43"/>
      <c r="U10" s="43"/>
    </row>
    <row r="11" spans="1:21" s="11" customFormat="1" x14ac:dyDescent="0.25">
      <c r="A11" s="50" t="s">
        <v>663</v>
      </c>
      <c r="B11" s="51">
        <v>83.35</v>
      </c>
      <c r="C11" s="51">
        <v>54.03</v>
      </c>
      <c r="D11" s="51">
        <v>93.69</v>
      </c>
      <c r="E11" s="51">
        <v>8.1199999999999992</v>
      </c>
      <c r="F11" s="51">
        <v>4.1900000000000004</v>
      </c>
      <c r="G11" s="51">
        <v>128.27000000000001</v>
      </c>
      <c r="H11" s="51">
        <v>80.760000000000005</v>
      </c>
      <c r="I11" s="51">
        <v>6.78</v>
      </c>
      <c r="J11" s="51">
        <v>2.4700000000000002</v>
      </c>
      <c r="K11" s="51">
        <v>324.24</v>
      </c>
      <c r="L11" s="51">
        <v>11.92</v>
      </c>
      <c r="M11" s="51">
        <v>90.93</v>
      </c>
      <c r="N11" s="51">
        <v>34.200000000000003</v>
      </c>
      <c r="O11" s="51">
        <v>0</v>
      </c>
      <c r="P11" s="51">
        <v>1.39</v>
      </c>
      <c r="Q11" s="51">
        <v>11.34</v>
      </c>
      <c r="R11" s="43"/>
      <c r="S11" s="43"/>
      <c r="T11" s="43"/>
      <c r="U11" s="43"/>
    </row>
    <row r="12" spans="1:21" s="11" customFormat="1" x14ac:dyDescent="0.25">
      <c r="A12" s="50" t="s">
        <v>664</v>
      </c>
      <c r="B12" s="51">
        <v>71.510000000000005</v>
      </c>
      <c r="C12" s="51">
        <v>49.72</v>
      </c>
      <c r="D12" s="51">
        <v>81.95</v>
      </c>
      <c r="E12" s="51">
        <v>8.42</v>
      </c>
      <c r="F12" s="51">
        <v>4.67</v>
      </c>
      <c r="G12" s="51">
        <v>153.88</v>
      </c>
      <c r="H12" s="51">
        <v>102.23</v>
      </c>
      <c r="I12" s="51">
        <v>6.61</v>
      </c>
      <c r="J12" s="51">
        <v>2.06</v>
      </c>
      <c r="K12" s="51">
        <v>356.64</v>
      </c>
      <c r="L12" s="51">
        <v>12.06</v>
      </c>
      <c r="M12" s="51">
        <v>90.22</v>
      </c>
      <c r="N12" s="51">
        <v>34.5</v>
      </c>
      <c r="O12" s="51">
        <v>0</v>
      </c>
      <c r="P12" s="51">
        <v>1.4</v>
      </c>
      <c r="Q12" s="51">
        <v>11.21</v>
      </c>
      <c r="R12" s="43"/>
      <c r="S12" s="43"/>
      <c r="T12" s="43"/>
      <c r="U12" s="43"/>
    </row>
    <row r="13" spans="1:21" s="11" customFormat="1" x14ac:dyDescent="0.25">
      <c r="A13" s="50" t="s">
        <v>665</v>
      </c>
      <c r="B13" s="51">
        <v>64.430000000000007</v>
      </c>
      <c r="C13" s="51">
        <v>46.12</v>
      </c>
      <c r="D13" s="51">
        <v>74.39</v>
      </c>
      <c r="E13" s="51">
        <v>8.69</v>
      </c>
      <c r="F13" s="51">
        <v>4.66</v>
      </c>
      <c r="G13" s="51">
        <v>165.38</v>
      </c>
      <c r="H13" s="51">
        <v>105.42</v>
      </c>
      <c r="I13" s="51">
        <v>6.57</v>
      </c>
      <c r="J13" s="51">
        <v>1.57</v>
      </c>
      <c r="K13" s="51">
        <v>201.9</v>
      </c>
      <c r="L13" s="51">
        <v>11.88</v>
      </c>
      <c r="M13" s="51">
        <v>82.24</v>
      </c>
      <c r="N13" s="51">
        <v>34.4</v>
      </c>
      <c r="O13" s="51">
        <v>0</v>
      </c>
      <c r="P13" s="51">
        <v>1.37</v>
      </c>
      <c r="Q13" s="51">
        <v>11.11</v>
      </c>
      <c r="R13" s="43"/>
      <c r="S13" s="43"/>
      <c r="T13" s="43"/>
      <c r="U13" s="43"/>
    </row>
    <row r="14" spans="1:21" s="11" customFormat="1" x14ac:dyDescent="0.25">
      <c r="A14" s="50" t="s">
        <v>666</v>
      </c>
      <c r="B14" s="51">
        <v>56.38</v>
      </c>
      <c r="C14" s="51">
        <v>48.12</v>
      </c>
      <c r="D14" s="51">
        <v>68.98</v>
      </c>
      <c r="E14" s="51">
        <v>7.85</v>
      </c>
      <c r="F14" s="51">
        <v>4.9000000000000004</v>
      </c>
      <c r="G14" s="51">
        <v>164.46</v>
      </c>
      <c r="H14" s="51">
        <v>70.59</v>
      </c>
      <c r="I14" s="51">
        <v>6.35</v>
      </c>
      <c r="J14" s="51">
        <v>2.06</v>
      </c>
      <c r="K14" s="51">
        <v>343.59</v>
      </c>
      <c r="L14" s="51">
        <v>11.71</v>
      </c>
      <c r="M14" s="51">
        <v>90.89</v>
      </c>
      <c r="N14" s="51">
        <v>34.6</v>
      </c>
      <c r="O14" s="51">
        <v>0</v>
      </c>
      <c r="P14" s="51">
        <v>1.37</v>
      </c>
      <c r="Q14" s="51">
        <v>10.99</v>
      </c>
      <c r="R14" s="43"/>
      <c r="S14" s="43"/>
      <c r="T14" s="43"/>
      <c r="U14" s="43"/>
    </row>
    <row r="15" spans="1:21" s="11" customFormat="1" x14ac:dyDescent="0.25">
      <c r="A15" s="50" t="s">
        <v>667</v>
      </c>
      <c r="B15" s="51">
        <v>62.77</v>
      </c>
      <c r="C15" s="51">
        <v>48.87</v>
      </c>
      <c r="D15" s="51">
        <v>74.37</v>
      </c>
      <c r="E15" s="51">
        <v>7.58</v>
      </c>
      <c r="F15" s="51">
        <v>4.6500000000000004</v>
      </c>
      <c r="G15" s="51">
        <v>154.5</v>
      </c>
      <c r="H15" s="51">
        <v>66.55</v>
      </c>
      <c r="I15" s="51">
        <v>5.95</v>
      </c>
      <c r="J15" s="51">
        <v>2.11</v>
      </c>
      <c r="K15" s="51">
        <v>306.69</v>
      </c>
      <c r="L15" s="51">
        <v>10.79</v>
      </c>
      <c r="M15" s="51">
        <v>93.3</v>
      </c>
      <c r="N15" s="51">
        <v>58.3</v>
      </c>
      <c r="O15" s="51">
        <v>0</v>
      </c>
      <c r="P15" s="51">
        <v>1.34</v>
      </c>
      <c r="Q15" s="51">
        <v>10.99</v>
      </c>
      <c r="R15" s="43"/>
      <c r="S15" s="43"/>
      <c r="T15" s="43"/>
      <c r="U15" s="43"/>
    </row>
    <row r="16" spans="1:21" s="11" customFormat="1" x14ac:dyDescent="0.25">
      <c r="A16" s="50" t="s">
        <v>668</v>
      </c>
      <c r="B16" s="51">
        <v>74.87</v>
      </c>
      <c r="C16" s="51">
        <v>50.03</v>
      </c>
      <c r="D16" s="51">
        <v>84.77</v>
      </c>
      <c r="E16" s="51">
        <v>8.39</v>
      </c>
      <c r="F16" s="51">
        <v>4.5199999999999996</v>
      </c>
      <c r="G16" s="51">
        <v>146.61000000000001</v>
      </c>
      <c r="H16" s="51">
        <v>59.06</v>
      </c>
      <c r="I16" s="51">
        <v>5.96</v>
      </c>
      <c r="J16" s="51">
        <v>2.59</v>
      </c>
      <c r="K16" s="51">
        <v>344.85</v>
      </c>
      <c r="L16" s="51">
        <v>14.83</v>
      </c>
      <c r="M16" s="51">
        <v>89.86</v>
      </c>
      <c r="N16" s="51">
        <v>194.4</v>
      </c>
      <c r="O16" s="51">
        <v>0</v>
      </c>
      <c r="P16" s="51">
        <v>1.39</v>
      </c>
      <c r="Q16" s="51">
        <v>11.18</v>
      </c>
      <c r="R16" s="43"/>
      <c r="S16" s="43"/>
      <c r="T16" s="43"/>
      <c r="U16" s="43"/>
    </row>
    <row r="17" spans="1:21" s="11" customFormat="1" x14ac:dyDescent="0.25">
      <c r="A17" s="50" t="s">
        <v>669</v>
      </c>
      <c r="B17" s="51">
        <v>70.849999999999994</v>
      </c>
      <c r="C17" s="51">
        <v>51.52</v>
      </c>
      <c r="D17" s="51">
        <v>81.430000000000007</v>
      </c>
      <c r="E17" s="51">
        <v>7.59</v>
      </c>
      <c r="F17" s="51">
        <v>4.54</v>
      </c>
      <c r="G17" s="51">
        <v>141.72</v>
      </c>
      <c r="H17" s="51">
        <v>65.77</v>
      </c>
      <c r="I17" s="51">
        <v>6.18</v>
      </c>
      <c r="J17" s="51">
        <v>2.71</v>
      </c>
      <c r="K17" s="51">
        <v>119.55</v>
      </c>
      <c r="L17" s="51">
        <v>19.02</v>
      </c>
      <c r="M17" s="51">
        <v>63.2</v>
      </c>
      <c r="N17" s="51">
        <v>404.8</v>
      </c>
      <c r="O17" s="51">
        <v>0</v>
      </c>
      <c r="P17" s="51">
        <v>1.33</v>
      </c>
      <c r="Q17" s="51">
        <v>11.2</v>
      </c>
      <c r="R17" s="43"/>
      <c r="S17" s="43"/>
      <c r="T17" s="43"/>
      <c r="U17" s="43"/>
    </row>
    <row r="18" spans="1:21" s="11" customFormat="1" x14ac:dyDescent="0.25">
      <c r="A18" s="50" t="s">
        <v>670</v>
      </c>
      <c r="B18" s="51">
        <v>54.31</v>
      </c>
      <c r="C18" s="51">
        <v>58.65</v>
      </c>
      <c r="D18" s="51">
        <v>70.239999999999995</v>
      </c>
      <c r="E18" s="51">
        <v>6.59</v>
      </c>
      <c r="F18" s="51">
        <v>4.43</v>
      </c>
      <c r="G18" s="51">
        <v>120.75</v>
      </c>
      <c r="H18" s="51">
        <v>48.53</v>
      </c>
      <c r="I18" s="51">
        <v>7.13</v>
      </c>
      <c r="J18" s="51">
        <v>3.48</v>
      </c>
      <c r="K18" s="51">
        <v>345.16</v>
      </c>
      <c r="L18" s="51">
        <v>23.26</v>
      </c>
      <c r="M18" s="51">
        <v>52.86</v>
      </c>
      <c r="N18" s="51">
        <v>507.3</v>
      </c>
      <c r="O18" s="51">
        <v>0</v>
      </c>
      <c r="P18" s="51">
        <v>1.21</v>
      </c>
      <c r="Q18" s="51">
        <v>10.97</v>
      </c>
      <c r="R18" s="43"/>
      <c r="S18" s="43"/>
      <c r="T18" s="43"/>
      <c r="U18" s="43"/>
    </row>
    <row r="19" spans="1:21" s="11" customFormat="1" x14ac:dyDescent="0.25">
      <c r="A19" s="50" t="s">
        <v>671</v>
      </c>
      <c r="B19" s="51">
        <v>36.369999999999997</v>
      </c>
      <c r="C19" s="51">
        <v>64.010000000000005</v>
      </c>
      <c r="D19" s="51">
        <v>59.58</v>
      </c>
      <c r="E19" s="51">
        <v>6.39</v>
      </c>
      <c r="F19" s="51">
        <v>4.4400000000000004</v>
      </c>
      <c r="G19" s="51">
        <v>103.07</v>
      </c>
      <c r="H19" s="51">
        <v>51.24</v>
      </c>
      <c r="I19" s="51">
        <v>7.46</v>
      </c>
      <c r="J19" s="51">
        <v>3.02</v>
      </c>
      <c r="K19" s="51">
        <v>340.11</v>
      </c>
      <c r="L19" s="51">
        <v>25.42</v>
      </c>
      <c r="M19" s="51">
        <v>39.94</v>
      </c>
      <c r="N19" s="51">
        <v>625.6</v>
      </c>
      <c r="O19" s="51">
        <v>0</v>
      </c>
      <c r="P19" s="51">
        <v>1.1000000000000001</v>
      </c>
      <c r="Q19" s="51">
        <v>10.82</v>
      </c>
      <c r="R19" s="43"/>
      <c r="S19" s="43"/>
      <c r="T19" s="43"/>
      <c r="U19" s="43"/>
    </row>
    <row r="20" spans="1:21" s="11" customFormat="1" x14ac:dyDescent="0.25">
      <c r="A20" s="50" t="s">
        <v>672</v>
      </c>
      <c r="B20" s="51">
        <v>22.04</v>
      </c>
      <c r="C20" s="51">
        <v>62.43</v>
      </c>
      <c r="D20" s="51">
        <v>48.92</v>
      </c>
      <c r="E20" s="51">
        <v>5.94</v>
      </c>
      <c r="F20" s="51">
        <v>4.0199999999999996</v>
      </c>
      <c r="G20" s="51">
        <v>88.73</v>
      </c>
      <c r="H20" s="51">
        <v>40.14</v>
      </c>
      <c r="I20" s="51">
        <v>8.26</v>
      </c>
      <c r="J20" s="51">
        <v>2.56</v>
      </c>
      <c r="K20" s="51">
        <v>124.98</v>
      </c>
      <c r="L20" s="51">
        <v>24.38</v>
      </c>
      <c r="M20" s="51">
        <v>38.520000000000003</v>
      </c>
      <c r="N20" s="51">
        <v>618</v>
      </c>
      <c r="O20" s="51">
        <v>0</v>
      </c>
      <c r="P20" s="51">
        <v>1</v>
      </c>
      <c r="Q20" s="51">
        <v>10.6</v>
      </c>
      <c r="R20" s="43"/>
      <c r="S20" s="43"/>
      <c r="T20" s="43"/>
      <c r="U20" s="43"/>
    </row>
    <row r="21" spans="1:21" s="11" customFormat="1" x14ac:dyDescent="0.25">
      <c r="A21" s="50" t="s">
        <v>673</v>
      </c>
      <c r="B21" s="51">
        <v>13.64</v>
      </c>
      <c r="C21" s="51">
        <v>58.07</v>
      </c>
      <c r="D21" s="51">
        <v>39.9</v>
      </c>
      <c r="E21" s="51">
        <v>6.18</v>
      </c>
      <c r="F21" s="51">
        <v>4.7300000000000004</v>
      </c>
      <c r="G21" s="51">
        <v>91.08</v>
      </c>
      <c r="H21" s="51">
        <v>26.95</v>
      </c>
      <c r="I21" s="51">
        <v>8.3000000000000007</v>
      </c>
      <c r="J21" s="51">
        <v>3.94</v>
      </c>
      <c r="K21" s="51">
        <v>113.48</v>
      </c>
      <c r="L21" s="51">
        <v>24.31</v>
      </c>
      <c r="M21" s="51">
        <v>33.39</v>
      </c>
      <c r="N21" s="51">
        <v>601.9</v>
      </c>
      <c r="O21" s="51">
        <v>0</v>
      </c>
      <c r="P21" s="51">
        <v>0.88</v>
      </c>
      <c r="Q21" s="51">
        <v>10.54</v>
      </c>
      <c r="R21" s="43"/>
      <c r="S21" s="43"/>
      <c r="T21" s="43"/>
      <c r="U21" s="43"/>
    </row>
    <row r="22" spans="1:21" s="11" customFormat="1" x14ac:dyDescent="0.25">
      <c r="A22" s="50" t="s">
        <v>674</v>
      </c>
      <c r="B22" s="51">
        <v>6.53</v>
      </c>
      <c r="C22" s="51">
        <v>54.49</v>
      </c>
      <c r="D22" s="51">
        <v>32.340000000000003</v>
      </c>
      <c r="E22" s="51">
        <v>5.73</v>
      </c>
      <c r="F22" s="51">
        <v>6.49</v>
      </c>
      <c r="G22" s="51">
        <v>68.819999999999993</v>
      </c>
      <c r="H22" s="51">
        <v>27.36</v>
      </c>
      <c r="I22" s="51">
        <v>8.34</v>
      </c>
      <c r="J22" s="51">
        <v>1.79</v>
      </c>
      <c r="K22" s="51">
        <v>357.51</v>
      </c>
      <c r="L22" s="51">
        <v>25.21</v>
      </c>
      <c r="M22" s="51">
        <v>30.76</v>
      </c>
      <c r="N22" s="51">
        <v>498</v>
      </c>
      <c r="O22" s="51">
        <v>0</v>
      </c>
      <c r="P22" s="51">
        <v>0.83</v>
      </c>
      <c r="Q22" s="51">
        <v>10.37</v>
      </c>
      <c r="R22" s="43"/>
      <c r="S22" s="43"/>
      <c r="T22" s="43"/>
      <c r="U22" s="43"/>
    </row>
    <row r="23" spans="1:21" s="11" customFormat="1" x14ac:dyDescent="0.25">
      <c r="A23" s="50" t="s">
        <v>675</v>
      </c>
      <c r="B23" s="51">
        <v>4.24</v>
      </c>
      <c r="C23" s="51">
        <v>53.38</v>
      </c>
      <c r="D23" s="51">
        <v>29.89</v>
      </c>
      <c r="E23" s="51">
        <v>5.38</v>
      </c>
      <c r="F23" s="51">
        <v>5.65</v>
      </c>
      <c r="G23" s="51">
        <v>61.35</v>
      </c>
      <c r="H23" s="51">
        <v>25.56</v>
      </c>
      <c r="I23" s="51">
        <v>7.59</v>
      </c>
      <c r="J23" s="51">
        <v>2.65</v>
      </c>
      <c r="K23" s="51">
        <v>343.72</v>
      </c>
      <c r="L23" s="51">
        <v>23.78</v>
      </c>
      <c r="M23" s="51">
        <v>28.38</v>
      </c>
      <c r="N23" s="51">
        <v>190.7</v>
      </c>
      <c r="O23" s="51">
        <v>0</v>
      </c>
      <c r="P23" s="51">
        <v>0.79</v>
      </c>
      <c r="Q23" s="51">
        <v>10.3</v>
      </c>
      <c r="R23" s="43"/>
      <c r="S23" s="43"/>
      <c r="T23" s="43"/>
      <c r="U23" s="43"/>
    </row>
    <row r="24" spans="1:21" s="11" customFormat="1" x14ac:dyDescent="0.25">
      <c r="A24" s="50" t="s">
        <v>676</v>
      </c>
      <c r="B24" s="51">
        <v>4.6100000000000003</v>
      </c>
      <c r="C24" s="51">
        <v>52.74</v>
      </c>
      <c r="D24" s="51">
        <v>29.61</v>
      </c>
      <c r="E24" s="51">
        <v>5.46</v>
      </c>
      <c r="F24" s="51">
        <v>4.93</v>
      </c>
      <c r="G24" s="51">
        <v>61.26</v>
      </c>
      <c r="H24" s="51">
        <v>26.68</v>
      </c>
      <c r="I24" s="51">
        <v>5.72</v>
      </c>
      <c r="J24" s="51">
        <v>2.15</v>
      </c>
      <c r="K24" s="51">
        <v>111.23</v>
      </c>
      <c r="L24" s="51">
        <v>22.71</v>
      </c>
      <c r="M24" s="51">
        <v>30.55</v>
      </c>
      <c r="N24" s="51">
        <v>99.9</v>
      </c>
      <c r="O24" s="51">
        <v>0</v>
      </c>
      <c r="P24" s="51">
        <v>0.69</v>
      </c>
      <c r="Q24" s="51">
        <v>10.24</v>
      </c>
      <c r="R24" s="43"/>
      <c r="S24" s="43"/>
      <c r="T24" s="43"/>
      <c r="U24" s="43"/>
    </row>
    <row r="25" spans="1:21" s="11" customFormat="1" x14ac:dyDescent="0.25">
      <c r="A25" s="50" t="s">
        <v>677</v>
      </c>
      <c r="B25" s="51">
        <v>4.57</v>
      </c>
      <c r="C25" s="51">
        <v>51.06</v>
      </c>
      <c r="D25" s="51">
        <v>28.94</v>
      </c>
      <c r="E25" s="51">
        <v>5.26</v>
      </c>
      <c r="F25" s="51">
        <v>5</v>
      </c>
      <c r="G25" s="51">
        <v>56.12</v>
      </c>
      <c r="H25" s="51">
        <v>21.74</v>
      </c>
      <c r="I25" s="51">
        <v>4.6500000000000004</v>
      </c>
      <c r="J25" s="51">
        <v>2.0099999999999998</v>
      </c>
      <c r="K25" s="51">
        <v>107.15</v>
      </c>
      <c r="L25" s="51">
        <v>21.76</v>
      </c>
      <c r="M25" s="51">
        <v>31.73</v>
      </c>
      <c r="N25" s="51">
        <v>68.7</v>
      </c>
      <c r="O25" s="51">
        <v>0</v>
      </c>
      <c r="P25" s="51">
        <v>0.72</v>
      </c>
      <c r="Q25" s="51">
        <v>10.27</v>
      </c>
      <c r="R25" s="43"/>
      <c r="S25" s="43"/>
      <c r="T25" s="43"/>
      <c r="U25" s="43"/>
    </row>
    <row r="26" spans="1:21" s="11" customFormat="1" x14ac:dyDescent="0.25">
      <c r="A26" s="50" t="s">
        <v>678</v>
      </c>
      <c r="B26" s="51">
        <v>14.01</v>
      </c>
      <c r="C26" s="51">
        <v>57.58</v>
      </c>
      <c r="D26" s="51">
        <v>39.94</v>
      </c>
      <c r="E26" s="51">
        <v>5.94</v>
      </c>
      <c r="F26" s="51">
        <v>4.18</v>
      </c>
      <c r="G26" s="51">
        <v>65.25</v>
      </c>
      <c r="H26" s="51">
        <v>37.299999999999997</v>
      </c>
      <c r="I26" s="51">
        <v>6.93</v>
      </c>
      <c r="J26" s="51">
        <v>2.4500000000000002</v>
      </c>
      <c r="K26" s="51">
        <v>341.49</v>
      </c>
      <c r="L26" s="51">
        <v>20.05</v>
      </c>
      <c r="M26" s="51">
        <v>44.7</v>
      </c>
      <c r="N26" s="51">
        <v>39.9</v>
      </c>
      <c r="O26" s="51">
        <v>0</v>
      </c>
      <c r="P26" s="51">
        <v>0.89</v>
      </c>
      <c r="Q26" s="51">
        <v>10.35</v>
      </c>
      <c r="R26" s="43"/>
      <c r="S26" s="43"/>
      <c r="T26" s="43"/>
      <c r="U26" s="43"/>
    </row>
    <row r="27" spans="1:21" s="11" customFormat="1" x14ac:dyDescent="0.25">
      <c r="A27" s="50" t="s">
        <v>679</v>
      </c>
      <c r="B27" s="51">
        <v>34.61</v>
      </c>
      <c r="C27" s="51">
        <v>65.05</v>
      </c>
      <c r="D27" s="51">
        <v>60.36</v>
      </c>
      <c r="E27" s="51">
        <v>6.38</v>
      </c>
      <c r="F27" s="51">
        <v>4.42</v>
      </c>
      <c r="G27" s="51">
        <v>84.22</v>
      </c>
      <c r="H27" s="51">
        <v>45.27</v>
      </c>
      <c r="I27" s="51">
        <v>7.71</v>
      </c>
      <c r="J27" s="51">
        <v>2.5099999999999998</v>
      </c>
      <c r="K27" s="51">
        <v>291.54000000000002</v>
      </c>
      <c r="L27" s="51">
        <v>17.170000000000002</v>
      </c>
      <c r="M27" s="51">
        <v>55.44</v>
      </c>
      <c r="N27" s="51">
        <v>34.799999999999997</v>
      </c>
      <c r="O27" s="51">
        <v>0</v>
      </c>
      <c r="P27" s="51">
        <v>1.23</v>
      </c>
      <c r="Q27" s="51">
        <v>10.62</v>
      </c>
      <c r="R27" s="43"/>
      <c r="S27" s="43"/>
      <c r="T27" s="43"/>
      <c r="U27" s="43"/>
    </row>
    <row r="28" spans="1:21" s="11" customFormat="1" x14ac:dyDescent="0.25">
      <c r="A28" s="50" t="s">
        <v>680</v>
      </c>
      <c r="B28" s="51">
        <v>53.95</v>
      </c>
      <c r="C28" s="51">
        <v>64.11</v>
      </c>
      <c r="D28" s="51">
        <v>74.959999999999994</v>
      </c>
      <c r="E28" s="51">
        <v>7.25</v>
      </c>
      <c r="F28" s="51">
        <v>4.42</v>
      </c>
      <c r="G28" s="51">
        <v>105.03</v>
      </c>
      <c r="H28" s="51">
        <v>50.53</v>
      </c>
      <c r="I28" s="51">
        <v>8.7100000000000009</v>
      </c>
      <c r="J28" s="51">
        <v>2.5299999999999998</v>
      </c>
      <c r="K28" s="51">
        <v>312.06</v>
      </c>
      <c r="L28" s="51">
        <v>16.14</v>
      </c>
      <c r="M28" s="51">
        <v>58.64</v>
      </c>
      <c r="N28" s="51">
        <v>34.299999999999997</v>
      </c>
      <c r="O28" s="51">
        <v>0</v>
      </c>
      <c r="P28" s="51">
        <v>1.7</v>
      </c>
      <c r="Q28" s="51">
        <v>10.74</v>
      </c>
      <c r="R28" s="43"/>
      <c r="S28" s="43"/>
      <c r="T28" s="43"/>
      <c r="U28" s="43"/>
    </row>
    <row r="29" spans="1:21" s="11" customFormat="1" x14ac:dyDescent="0.25">
      <c r="A29" s="50" t="s">
        <v>681</v>
      </c>
      <c r="B29" s="51">
        <v>54.23</v>
      </c>
      <c r="C29" s="51">
        <v>62.37</v>
      </c>
      <c r="D29" s="51">
        <v>74.7</v>
      </c>
      <c r="E29" s="51">
        <v>7.53</v>
      </c>
      <c r="F29" s="51">
        <v>4.4000000000000004</v>
      </c>
      <c r="G29" s="51">
        <v>113.92</v>
      </c>
      <c r="H29" s="51">
        <v>53.44</v>
      </c>
      <c r="I29" s="51">
        <v>8.19</v>
      </c>
      <c r="J29" s="51">
        <v>2.02</v>
      </c>
      <c r="K29" s="51">
        <v>193.18</v>
      </c>
      <c r="L29" s="51">
        <v>17.46</v>
      </c>
      <c r="M29" s="51">
        <v>45.68</v>
      </c>
      <c r="N29" s="51">
        <v>34.299999999999997</v>
      </c>
      <c r="O29" s="51">
        <v>0</v>
      </c>
      <c r="P29" s="51">
        <v>1.27</v>
      </c>
      <c r="Q29" s="51">
        <v>10.86</v>
      </c>
      <c r="R29" s="43"/>
      <c r="S29" s="43"/>
      <c r="T29" s="43"/>
      <c r="U29" s="43"/>
    </row>
    <row r="30" spans="1:21" s="11" customFormat="1" x14ac:dyDescent="0.25">
      <c r="A30" s="50" t="s">
        <v>682</v>
      </c>
      <c r="B30" s="51">
        <v>66.3</v>
      </c>
      <c r="C30" s="51">
        <v>62.65</v>
      </c>
      <c r="D30" s="51">
        <v>84.52</v>
      </c>
      <c r="E30" s="51">
        <v>7.23</v>
      </c>
      <c r="F30" s="51">
        <v>4.3600000000000003</v>
      </c>
      <c r="G30" s="51">
        <v>104.43</v>
      </c>
      <c r="H30" s="51">
        <v>44.58</v>
      </c>
      <c r="I30" s="51">
        <v>8.6199999999999992</v>
      </c>
      <c r="J30" s="51">
        <v>2.56</v>
      </c>
      <c r="K30" s="51">
        <v>338.62</v>
      </c>
      <c r="L30" s="51">
        <v>16.36</v>
      </c>
      <c r="M30" s="51">
        <v>61.63</v>
      </c>
      <c r="N30" s="51">
        <v>34.9</v>
      </c>
      <c r="O30" s="51">
        <v>0</v>
      </c>
      <c r="P30" s="51">
        <v>1.47</v>
      </c>
      <c r="Q30" s="51">
        <v>11.07</v>
      </c>
      <c r="R30" s="43"/>
      <c r="S30" s="43"/>
      <c r="T30" s="43"/>
      <c r="U30" s="43"/>
    </row>
    <row r="31" spans="1:21" s="11" customFormat="1" x14ac:dyDescent="0.25">
      <c r="A31" s="50" t="s">
        <v>683</v>
      </c>
      <c r="B31" s="51">
        <v>84.06</v>
      </c>
      <c r="C31" s="51">
        <v>64.37</v>
      </c>
      <c r="D31" s="51">
        <v>99.67</v>
      </c>
      <c r="E31" s="51">
        <v>7.25</v>
      </c>
      <c r="F31" s="51">
        <v>4.0199999999999996</v>
      </c>
      <c r="G31" s="51">
        <v>112.51</v>
      </c>
      <c r="H31" s="51">
        <v>31.56</v>
      </c>
      <c r="I31" s="51">
        <v>8.57</v>
      </c>
      <c r="J31" s="51">
        <v>2.2400000000000002</v>
      </c>
      <c r="K31" s="51">
        <v>356.98</v>
      </c>
      <c r="L31" s="51">
        <v>14.29</v>
      </c>
      <c r="M31" s="51">
        <v>63.52</v>
      </c>
      <c r="N31" s="51">
        <v>34.6</v>
      </c>
      <c r="O31" s="51">
        <v>0</v>
      </c>
      <c r="P31" s="51">
        <v>1.61</v>
      </c>
      <c r="Q31" s="51">
        <v>11.3</v>
      </c>
      <c r="R31" s="43"/>
      <c r="S31" s="43"/>
      <c r="T31" s="43"/>
      <c r="U31" s="43"/>
    </row>
    <row r="32" spans="1:21" s="11" customFormat="1" x14ac:dyDescent="0.25">
      <c r="A32" s="50" t="s">
        <v>684</v>
      </c>
      <c r="B32" s="51">
        <v>86.76</v>
      </c>
      <c r="C32" s="51">
        <v>63.62</v>
      </c>
      <c r="D32" s="51">
        <v>101.1</v>
      </c>
      <c r="E32" s="51">
        <v>7.05</v>
      </c>
      <c r="F32" s="51">
        <v>3.86</v>
      </c>
      <c r="G32" s="51">
        <v>112.49</v>
      </c>
      <c r="H32" s="51">
        <v>47.42</v>
      </c>
      <c r="I32" s="51">
        <v>7.88</v>
      </c>
      <c r="J32" s="51">
        <v>2.58</v>
      </c>
      <c r="K32" s="51">
        <v>320.77</v>
      </c>
      <c r="L32" s="51">
        <v>13.8</v>
      </c>
      <c r="M32" s="51">
        <v>73.17</v>
      </c>
      <c r="N32" s="51">
        <v>34.700000000000003</v>
      </c>
      <c r="O32" s="51">
        <v>0</v>
      </c>
      <c r="P32" s="51">
        <v>1.61</v>
      </c>
      <c r="Q32" s="51">
        <v>11.29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4.24</v>
      </c>
      <c r="C34" s="28">
        <f t="shared" si="0"/>
        <v>46.12</v>
      </c>
      <c r="D34" s="28">
        <f t="shared" si="0"/>
        <v>28.94</v>
      </c>
      <c r="E34" s="28">
        <f t="shared" si="0"/>
        <v>5.26</v>
      </c>
      <c r="F34" s="28">
        <f t="shared" si="0"/>
        <v>3.86</v>
      </c>
      <c r="G34" s="28">
        <f t="shared" si="0"/>
        <v>56.12</v>
      </c>
      <c r="H34" s="28">
        <f t="shared" si="0"/>
        <v>21.74</v>
      </c>
      <c r="I34" s="28">
        <f t="shared" si="0"/>
        <v>4.6500000000000004</v>
      </c>
      <c r="J34" s="28">
        <f t="shared" si="0"/>
        <v>1.57</v>
      </c>
      <c r="K34" s="28">
        <f t="shared" si="0"/>
        <v>107.15</v>
      </c>
      <c r="L34" s="28">
        <f t="shared" si="0"/>
        <v>10.79</v>
      </c>
      <c r="M34" s="28">
        <f t="shared" si="0"/>
        <v>28.38</v>
      </c>
      <c r="N34" s="28">
        <f t="shared" si="0"/>
        <v>34.200000000000003</v>
      </c>
      <c r="O34" s="28">
        <f t="shared" si="0"/>
        <v>0</v>
      </c>
      <c r="P34" s="28">
        <f t="shared" si="0"/>
        <v>0.69</v>
      </c>
      <c r="Q34" s="28">
        <f t="shared" si="0"/>
        <v>10.24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109.71</v>
      </c>
      <c r="C35" s="29">
        <f t="shared" si="1"/>
        <v>65.05</v>
      </c>
      <c r="D35" s="29">
        <f t="shared" si="1"/>
        <v>115.69</v>
      </c>
      <c r="E35" s="29">
        <f t="shared" si="1"/>
        <v>8.69</v>
      </c>
      <c r="F35" s="29">
        <f t="shared" si="1"/>
        <v>6.49</v>
      </c>
      <c r="G35" s="29">
        <f t="shared" si="1"/>
        <v>165.38</v>
      </c>
      <c r="H35" s="29">
        <f t="shared" si="1"/>
        <v>110.74</v>
      </c>
      <c r="I35" s="29">
        <f t="shared" si="1"/>
        <v>8.7100000000000009</v>
      </c>
      <c r="J35" s="29">
        <f t="shared" si="1"/>
        <v>3.94</v>
      </c>
      <c r="K35" s="29">
        <f t="shared" si="1"/>
        <v>357.51</v>
      </c>
      <c r="L35" s="29">
        <f t="shared" si="1"/>
        <v>25.42</v>
      </c>
      <c r="M35" s="29">
        <f t="shared" si="1"/>
        <v>93.3</v>
      </c>
      <c r="N35" s="29">
        <f t="shared" si="1"/>
        <v>625.6</v>
      </c>
      <c r="O35" s="29">
        <f t="shared" si="1"/>
        <v>0</v>
      </c>
      <c r="P35" s="29">
        <f t="shared" si="1"/>
        <v>1.77</v>
      </c>
      <c r="Q35" s="29">
        <f t="shared" si="1"/>
        <v>11.67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51.376666666666672</v>
      </c>
      <c r="C36" s="28">
        <f t="shared" si="2"/>
        <v>56.415833333333332</v>
      </c>
      <c r="D36" s="28">
        <f t="shared" si="2"/>
        <v>69.033749999999998</v>
      </c>
      <c r="E36" s="28">
        <f t="shared" si="2"/>
        <v>6.9529166666666669</v>
      </c>
      <c r="F36" s="28">
        <f t="shared" si="2"/>
        <v>4.5891666666666664</v>
      </c>
      <c r="G36" s="28">
        <f t="shared" si="2"/>
        <v>109.57708333333331</v>
      </c>
      <c r="H36" s="28">
        <f t="shared" si="2"/>
        <v>53.653333333333329</v>
      </c>
      <c r="I36" s="28">
        <f t="shared" si="2"/>
        <v>7.2275</v>
      </c>
      <c r="J36" s="28">
        <f t="shared" si="2"/>
        <v>2.4233333333333333</v>
      </c>
      <c r="K36" s="28">
        <f t="shared" si="2"/>
        <v>277.61791666666664</v>
      </c>
      <c r="L36" s="28">
        <f t="shared" si="2"/>
        <v>17.618333333333336</v>
      </c>
      <c r="M36" s="28">
        <f t="shared" si="2"/>
        <v>61.062083333333355</v>
      </c>
      <c r="N36" s="28">
        <f t="shared" si="2"/>
        <v>180.06666666666669</v>
      </c>
      <c r="O36" s="28">
        <f t="shared" si="2"/>
        <v>0</v>
      </c>
      <c r="P36" s="28">
        <f t="shared" si="2"/>
        <v>1.243333333333333</v>
      </c>
      <c r="Q36" s="28">
        <f t="shared" si="2"/>
        <v>10.897500000000003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32.109652709137919</v>
      </c>
      <c r="C37" s="28">
        <f t="shared" ref="C37:Q37" si="3">STDEV(C9:C32)</f>
        <v>6.0075220361221238</v>
      </c>
      <c r="D37" s="28">
        <f t="shared" si="3"/>
        <v>25.894215706702102</v>
      </c>
      <c r="E37" s="28">
        <f t="shared" si="3"/>
        <v>1.0134164308510296</v>
      </c>
      <c r="F37" s="28">
        <f t="shared" si="3"/>
        <v>0.55216504043995573</v>
      </c>
      <c r="G37" s="28">
        <f t="shared" si="3"/>
        <v>33.427165011236177</v>
      </c>
      <c r="H37" s="28">
        <f t="shared" si="3"/>
        <v>25.369103541370052</v>
      </c>
      <c r="I37" s="28">
        <f t="shared" si="3"/>
        <v>1.0730908223647606</v>
      </c>
      <c r="J37" s="28">
        <f t="shared" si="3"/>
        <v>0.52052370506657064</v>
      </c>
      <c r="K37" s="28">
        <f t="shared" si="3"/>
        <v>94.607600989752669</v>
      </c>
      <c r="L37" s="28">
        <f t="shared" si="3"/>
        <v>5.1182526456719026</v>
      </c>
      <c r="M37" s="28">
        <f t="shared" si="3"/>
        <v>23.479852599190387</v>
      </c>
      <c r="N37" s="28">
        <f t="shared" si="3"/>
        <v>222.12081058008414</v>
      </c>
      <c r="O37" s="28">
        <f t="shared" si="3"/>
        <v>0</v>
      </c>
      <c r="P37" s="28">
        <f t="shared" si="3"/>
        <v>0.31441687457020123</v>
      </c>
      <c r="Q37" s="28">
        <f t="shared" si="3"/>
        <v>0.41371330127538075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685</v>
      </c>
      <c r="B9" s="51">
        <v>86.37</v>
      </c>
      <c r="C9" s="51">
        <v>57.59</v>
      </c>
      <c r="D9" s="51">
        <v>97.97</v>
      </c>
      <c r="E9" s="51">
        <v>7.62</v>
      </c>
      <c r="F9" s="51">
        <v>4.12</v>
      </c>
      <c r="G9" s="51">
        <v>133.63</v>
      </c>
      <c r="H9" s="51">
        <v>64.56</v>
      </c>
      <c r="I9" s="51">
        <v>8.0399999999999991</v>
      </c>
      <c r="J9" s="51">
        <v>2.61</v>
      </c>
      <c r="K9" s="51">
        <v>330.38</v>
      </c>
      <c r="L9" s="51">
        <v>12.87</v>
      </c>
      <c r="M9" s="51">
        <v>82.25</v>
      </c>
      <c r="N9" s="51">
        <v>34.5</v>
      </c>
      <c r="O9" s="51">
        <v>0</v>
      </c>
      <c r="P9" s="51">
        <v>1.58</v>
      </c>
      <c r="Q9" s="51">
        <v>11.26</v>
      </c>
      <c r="R9" s="43"/>
      <c r="S9" s="43"/>
      <c r="T9" s="43"/>
      <c r="U9" s="43"/>
    </row>
    <row r="10" spans="1:21" s="11" customFormat="1" x14ac:dyDescent="0.25">
      <c r="A10" s="50" t="s">
        <v>686</v>
      </c>
      <c r="B10" s="51">
        <v>82.89</v>
      </c>
      <c r="C10" s="51">
        <v>53.12</v>
      </c>
      <c r="D10" s="51">
        <v>92.26</v>
      </c>
      <c r="E10" s="51">
        <v>8.11</v>
      </c>
      <c r="F10" s="51">
        <v>4.67</v>
      </c>
      <c r="G10" s="51">
        <v>144.41</v>
      </c>
      <c r="H10" s="51">
        <v>73.8</v>
      </c>
      <c r="I10" s="51">
        <v>8.07</v>
      </c>
      <c r="J10" s="51">
        <v>2.42</v>
      </c>
      <c r="K10" s="51">
        <v>357.6</v>
      </c>
      <c r="L10" s="51">
        <v>12.69</v>
      </c>
      <c r="M10" s="51">
        <v>77.03</v>
      </c>
      <c r="N10" s="51">
        <v>34.5</v>
      </c>
      <c r="O10" s="51">
        <v>0</v>
      </c>
      <c r="P10" s="51">
        <v>1.55</v>
      </c>
      <c r="Q10" s="51">
        <v>11.18</v>
      </c>
      <c r="R10" s="43"/>
      <c r="S10" s="43"/>
      <c r="T10" s="43"/>
      <c r="U10" s="43"/>
    </row>
    <row r="11" spans="1:21" s="11" customFormat="1" x14ac:dyDescent="0.25">
      <c r="A11" s="50" t="s">
        <v>687</v>
      </c>
      <c r="B11" s="51">
        <v>72.319999999999993</v>
      </c>
      <c r="C11" s="51">
        <v>52.76</v>
      </c>
      <c r="D11" s="51">
        <v>84.18</v>
      </c>
      <c r="E11" s="51">
        <v>7.91</v>
      </c>
      <c r="F11" s="51">
        <v>4.68</v>
      </c>
      <c r="G11" s="51">
        <v>190.64</v>
      </c>
      <c r="H11" s="51">
        <v>75.13</v>
      </c>
      <c r="I11" s="51">
        <v>7.97</v>
      </c>
      <c r="J11" s="51">
        <v>2.33</v>
      </c>
      <c r="K11" s="51">
        <v>323.56</v>
      </c>
      <c r="L11" s="51">
        <v>12.84</v>
      </c>
      <c r="M11" s="51">
        <v>71.61</v>
      </c>
      <c r="N11" s="51">
        <v>34.5</v>
      </c>
      <c r="O11" s="51">
        <v>0</v>
      </c>
      <c r="P11" s="51">
        <v>1.53</v>
      </c>
      <c r="Q11" s="51">
        <v>11.09</v>
      </c>
      <c r="R11" s="43"/>
      <c r="S11" s="43"/>
      <c r="T11" s="43"/>
      <c r="U11" s="43"/>
    </row>
    <row r="12" spans="1:21" s="11" customFormat="1" x14ac:dyDescent="0.25">
      <c r="A12" s="50" t="s">
        <v>688</v>
      </c>
      <c r="B12" s="51">
        <v>61.78</v>
      </c>
      <c r="C12" s="51">
        <v>49.64</v>
      </c>
      <c r="D12" s="51">
        <v>74.11</v>
      </c>
      <c r="E12" s="51">
        <v>7.28</v>
      </c>
      <c r="F12" s="51">
        <v>4.66</v>
      </c>
      <c r="G12" s="51">
        <v>194.87</v>
      </c>
      <c r="H12" s="51">
        <v>75.13</v>
      </c>
      <c r="I12" s="51">
        <v>7.67</v>
      </c>
      <c r="J12" s="51">
        <v>2.48</v>
      </c>
      <c r="K12" s="51">
        <v>324.68</v>
      </c>
      <c r="L12" s="51">
        <v>12.14</v>
      </c>
      <c r="M12" s="51">
        <v>79.489999999999995</v>
      </c>
      <c r="N12" s="51">
        <v>34.700000000000003</v>
      </c>
      <c r="O12" s="51">
        <v>0</v>
      </c>
      <c r="P12" s="51">
        <v>1.53</v>
      </c>
      <c r="Q12" s="51">
        <v>10.96</v>
      </c>
      <c r="R12" s="43"/>
      <c r="S12" s="43"/>
      <c r="T12" s="43"/>
      <c r="U12" s="43"/>
    </row>
    <row r="13" spans="1:21" s="11" customFormat="1" x14ac:dyDescent="0.25">
      <c r="A13" s="50" t="s">
        <v>689</v>
      </c>
      <c r="B13" s="51">
        <v>54.68</v>
      </c>
      <c r="C13" s="51">
        <v>47.36</v>
      </c>
      <c r="D13" s="51">
        <v>67.209999999999994</v>
      </c>
      <c r="E13" s="51">
        <v>7.28</v>
      </c>
      <c r="F13" s="51">
        <v>4.26</v>
      </c>
      <c r="G13" s="51">
        <v>194.87</v>
      </c>
      <c r="H13" s="51">
        <v>93.83</v>
      </c>
      <c r="I13" s="51">
        <v>7.43</v>
      </c>
      <c r="J13" s="51">
        <v>2.33</v>
      </c>
      <c r="K13" s="51">
        <v>327.85</v>
      </c>
      <c r="L13" s="51">
        <v>11.74</v>
      </c>
      <c r="M13" s="51">
        <v>80.22</v>
      </c>
      <c r="N13" s="51">
        <v>34.5</v>
      </c>
      <c r="O13" s="51">
        <v>0</v>
      </c>
      <c r="P13" s="51">
        <v>1.47</v>
      </c>
      <c r="Q13" s="51">
        <v>10.84</v>
      </c>
      <c r="R13" s="43"/>
      <c r="S13" s="43"/>
      <c r="T13" s="43"/>
      <c r="U13" s="43"/>
    </row>
    <row r="14" spans="1:21" s="11" customFormat="1" x14ac:dyDescent="0.25">
      <c r="A14" s="50" t="s">
        <v>690</v>
      </c>
      <c r="B14" s="51">
        <v>53.26</v>
      </c>
      <c r="C14" s="51">
        <v>48.41</v>
      </c>
      <c r="D14" s="51">
        <v>66.62</v>
      </c>
      <c r="E14" s="51">
        <v>6.7</v>
      </c>
      <c r="F14" s="51">
        <v>4.41</v>
      </c>
      <c r="G14" s="51">
        <v>168.32</v>
      </c>
      <c r="H14" s="51">
        <v>93.83</v>
      </c>
      <c r="I14" s="51">
        <v>6.91</v>
      </c>
      <c r="J14" s="51">
        <v>2.5499999999999998</v>
      </c>
      <c r="K14" s="51">
        <v>332.82</v>
      </c>
      <c r="L14" s="51">
        <v>11.03</v>
      </c>
      <c r="M14" s="51">
        <v>81.760000000000005</v>
      </c>
      <c r="N14" s="51">
        <v>34.5</v>
      </c>
      <c r="O14" s="51">
        <v>0</v>
      </c>
      <c r="P14" s="51">
        <v>1.36</v>
      </c>
      <c r="Q14" s="51">
        <v>10.91</v>
      </c>
      <c r="R14" s="43"/>
      <c r="S14" s="43"/>
      <c r="T14" s="43"/>
      <c r="U14" s="43"/>
    </row>
    <row r="15" spans="1:21" s="11" customFormat="1" x14ac:dyDescent="0.25">
      <c r="A15" s="50" t="s">
        <v>691</v>
      </c>
      <c r="B15" s="51">
        <v>81.39</v>
      </c>
      <c r="C15" s="51">
        <v>50.91</v>
      </c>
      <c r="D15" s="51">
        <v>90.49</v>
      </c>
      <c r="E15" s="51">
        <v>7.95</v>
      </c>
      <c r="F15" s="51">
        <v>4.5599999999999996</v>
      </c>
      <c r="G15" s="51">
        <v>172.78</v>
      </c>
      <c r="H15" s="51">
        <v>76.09</v>
      </c>
      <c r="I15" s="51">
        <v>6.33</v>
      </c>
      <c r="J15" s="51">
        <v>2.63</v>
      </c>
      <c r="K15" s="51">
        <v>355.89</v>
      </c>
      <c r="L15" s="51">
        <v>11.7</v>
      </c>
      <c r="M15" s="51">
        <v>86.97</v>
      </c>
      <c r="N15" s="51">
        <v>73.5</v>
      </c>
      <c r="O15" s="51">
        <v>0</v>
      </c>
      <c r="P15" s="51">
        <v>1.36</v>
      </c>
      <c r="Q15" s="51">
        <v>11.24</v>
      </c>
      <c r="R15" s="43"/>
      <c r="S15" s="43"/>
      <c r="T15" s="43"/>
      <c r="U15" s="43"/>
    </row>
    <row r="16" spans="1:21" s="11" customFormat="1" x14ac:dyDescent="0.25">
      <c r="A16" s="50" t="s">
        <v>692</v>
      </c>
      <c r="B16" s="51">
        <v>88.22</v>
      </c>
      <c r="C16" s="51">
        <v>52.72</v>
      </c>
      <c r="D16" s="51">
        <v>95.78</v>
      </c>
      <c r="E16" s="51">
        <v>8.81</v>
      </c>
      <c r="F16" s="51">
        <v>4.68</v>
      </c>
      <c r="G16" s="51">
        <v>194.95</v>
      </c>
      <c r="H16" s="51">
        <v>76.09</v>
      </c>
      <c r="I16" s="51">
        <v>6.76</v>
      </c>
      <c r="J16" s="51">
        <v>3.49</v>
      </c>
      <c r="K16" s="51">
        <v>346.37</v>
      </c>
      <c r="L16" s="51">
        <v>18.3</v>
      </c>
      <c r="M16" s="51">
        <v>76.59</v>
      </c>
      <c r="N16" s="51">
        <v>257.8</v>
      </c>
      <c r="O16" s="51">
        <v>0</v>
      </c>
      <c r="P16" s="51">
        <v>1.48</v>
      </c>
      <c r="Q16" s="51">
        <v>11.3</v>
      </c>
      <c r="R16" s="43"/>
      <c r="S16" s="43"/>
      <c r="T16" s="43"/>
      <c r="U16" s="43"/>
    </row>
    <row r="17" spans="1:21" s="11" customFormat="1" x14ac:dyDescent="0.25">
      <c r="A17" s="50" t="s">
        <v>693</v>
      </c>
      <c r="B17" s="51">
        <v>79.27</v>
      </c>
      <c r="C17" s="51">
        <v>55.15</v>
      </c>
      <c r="D17" s="51">
        <v>90.31</v>
      </c>
      <c r="E17" s="51">
        <v>8.3800000000000008</v>
      </c>
      <c r="F17" s="51">
        <v>4.3899999999999997</v>
      </c>
      <c r="G17" s="51">
        <v>194.95</v>
      </c>
      <c r="H17" s="51">
        <v>79.760000000000005</v>
      </c>
      <c r="I17" s="51">
        <v>6.74</v>
      </c>
      <c r="J17" s="51">
        <v>2.88</v>
      </c>
      <c r="K17" s="51">
        <v>358.63</v>
      </c>
      <c r="L17" s="51">
        <v>21.31</v>
      </c>
      <c r="M17" s="51">
        <v>46.25</v>
      </c>
      <c r="N17" s="51">
        <v>410.6</v>
      </c>
      <c r="O17" s="51">
        <v>0</v>
      </c>
      <c r="P17" s="51">
        <v>1.41</v>
      </c>
      <c r="Q17" s="51">
        <v>11.19</v>
      </c>
      <c r="R17" s="43"/>
      <c r="S17" s="43"/>
      <c r="T17" s="43"/>
      <c r="U17" s="43"/>
    </row>
    <row r="18" spans="1:21" s="11" customFormat="1" x14ac:dyDescent="0.25">
      <c r="A18" s="50" t="s">
        <v>694</v>
      </c>
      <c r="B18" s="51">
        <v>63.79</v>
      </c>
      <c r="C18" s="51">
        <v>59.05</v>
      </c>
      <c r="D18" s="51">
        <v>78.760000000000005</v>
      </c>
      <c r="E18" s="51">
        <v>7.57</v>
      </c>
      <c r="F18" s="51">
        <v>4.58</v>
      </c>
      <c r="G18" s="51">
        <v>157.30000000000001</v>
      </c>
      <c r="H18" s="51">
        <v>79.760000000000005</v>
      </c>
      <c r="I18" s="51">
        <v>7.47</v>
      </c>
      <c r="J18" s="51">
        <v>2.96</v>
      </c>
      <c r="K18" s="51">
        <v>344.64</v>
      </c>
      <c r="L18" s="51">
        <v>21.53</v>
      </c>
      <c r="M18" s="51">
        <v>45.06</v>
      </c>
      <c r="N18" s="51">
        <v>511.8</v>
      </c>
      <c r="O18" s="51">
        <v>0</v>
      </c>
      <c r="P18" s="51">
        <v>1.32</v>
      </c>
      <c r="Q18" s="51">
        <v>11.1</v>
      </c>
      <c r="R18" s="43"/>
      <c r="S18" s="43"/>
      <c r="T18" s="43"/>
      <c r="U18" s="43"/>
    </row>
    <row r="19" spans="1:21" s="11" customFormat="1" x14ac:dyDescent="0.25">
      <c r="A19" s="50" t="s">
        <v>695</v>
      </c>
      <c r="B19" s="51">
        <v>45.97</v>
      </c>
      <c r="C19" s="51">
        <v>64.59</v>
      </c>
      <c r="D19" s="51">
        <v>67.13</v>
      </c>
      <c r="E19" s="51">
        <v>6.6</v>
      </c>
      <c r="F19" s="51">
        <v>4.5199999999999996</v>
      </c>
      <c r="G19" s="51">
        <v>115.29</v>
      </c>
      <c r="H19" s="51">
        <v>57</v>
      </c>
      <c r="I19" s="51">
        <v>8.35</v>
      </c>
      <c r="J19" s="51">
        <v>1.9</v>
      </c>
      <c r="K19" s="51">
        <v>345.97</v>
      </c>
      <c r="L19" s="51">
        <v>22.96</v>
      </c>
      <c r="M19" s="51">
        <v>42.13</v>
      </c>
      <c r="N19" s="51">
        <v>605.9</v>
      </c>
      <c r="O19" s="51">
        <v>0</v>
      </c>
      <c r="P19" s="51">
        <v>1.1599999999999999</v>
      </c>
      <c r="Q19" s="51">
        <v>10.86</v>
      </c>
      <c r="R19" s="43"/>
      <c r="S19" s="43"/>
      <c r="T19" s="43"/>
      <c r="U19" s="43"/>
    </row>
    <row r="20" spans="1:21" s="11" customFormat="1" x14ac:dyDescent="0.25">
      <c r="A20" s="50" t="s">
        <v>696</v>
      </c>
      <c r="B20" s="51">
        <v>27.12</v>
      </c>
      <c r="C20" s="51">
        <v>65.33</v>
      </c>
      <c r="D20" s="51">
        <v>54.5</v>
      </c>
      <c r="E20" s="51">
        <v>6</v>
      </c>
      <c r="F20" s="51">
        <v>4.57</v>
      </c>
      <c r="G20" s="51">
        <v>83.27</v>
      </c>
      <c r="H20" s="51">
        <v>48.09</v>
      </c>
      <c r="I20" s="51">
        <v>8.59</v>
      </c>
      <c r="J20" s="51">
        <v>2.31</v>
      </c>
      <c r="K20" s="51">
        <v>350.1</v>
      </c>
      <c r="L20" s="51">
        <v>23.76</v>
      </c>
      <c r="M20" s="51">
        <v>37.74</v>
      </c>
      <c r="N20" s="51">
        <v>610.70000000000005</v>
      </c>
      <c r="O20" s="51">
        <v>0</v>
      </c>
      <c r="P20" s="51">
        <v>1</v>
      </c>
      <c r="Q20" s="51">
        <v>10.72</v>
      </c>
      <c r="R20" s="43"/>
      <c r="S20" s="43"/>
      <c r="T20" s="43"/>
      <c r="U20" s="43"/>
    </row>
    <row r="21" spans="1:21" s="11" customFormat="1" x14ac:dyDescent="0.25">
      <c r="A21" s="50" t="s">
        <v>697</v>
      </c>
      <c r="B21" s="51">
        <v>13.59</v>
      </c>
      <c r="C21" s="51">
        <v>63.12</v>
      </c>
      <c r="D21" s="51">
        <v>42.49</v>
      </c>
      <c r="E21" s="51">
        <v>5.9</v>
      </c>
      <c r="F21" s="51">
        <v>4.3899999999999997</v>
      </c>
      <c r="G21" s="51">
        <v>83.27</v>
      </c>
      <c r="H21" s="51">
        <v>43.06</v>
      </c>
      <c r="I21" s="51">
        <v>8.48</v>
      </c>
      <c r="J21" s="51">
        <v>2.87</v>
      </c>
      <c r="K21" s="51">
        <v>-0.99</v>
      </c>
      <c r="L21" s="51">
        <v>23.41</v>
      </c>
      <c r="M21" s="51">
        <v>33.72</v>
      </c>
      <c r="N21" s="51">
        <v>539.4</v>
      </c>
      <c r="O21" s="51">
        <v>0</v>
      </c>
      <c r="P21" s="51">
        <v>0.82</v>
      </c>
      <c r="Q21" s="51">
        <v>10.52</v>
      </c>
      <c r="R21" s="43"/>
      <c r="S21" s="43"/>
      <c r="T21" s="43"/>
      <c r="U21" s="43"/>
    </row>
    <row r="22" spans="1:21" s="11" customFormat="1" x14ac:dyDescent="0.25">
      <c r="A22" s="50" t="s">
        <v>698</v>
      </c>
      <c r="B22" s="59" t="s">
        <v>4</v>
      </c>
      <c r="C22" s="59" t="s">
        <v>4</v>
      </c>
      <c r="D22" s="59" t="s">
        <v>4</v>
      </c>
      <c r="E22" s="59" t="s">
        <v>4</v>
      </c>
      <c r="F22" s="59" t="s">
        <v>4</v>
      </c>
      <c r="G22" s="59" t="s">
        <v>4</v>
      </c>
      <c r="H22" s="59" t="s">
        <v>4</v>
      </c>
      <c r="I22" s="59" t="s">
        <v>4</v>
      </c>
      <c r="J22" s="59" t="s">
        <v>4</v>
      </c>
      <c r="K22" s="59" t="s">
        <v>4</v>
      </c>
      <c r="L22" s="59" t="s">
        <v>4</v>
      </c>
      <c r="M22" s="59" t="s">
        <v>4</v>
      </c>
      <c r="N22" s="59" t="s">
        <v>4</v>
      </c>
      <c r="O22" s="59" t="s">
        <v>4</v>
      </c>
      <c r="P22" s="59" t="s">
        <v>4</v>
      </c>
      <c r="Q22" s="59" t="s">
        <v>4</v>
      </c>
      <c r="R22" s="43"/>
      <c r="S22" s="43"/>
      <c r="T22" s="43"/>
      <c r="U22" s="43"/>
    </row>
    <row r="23" spans="1:21" s="11" customFormat="1" x14ac:dyDescent="0.25">
      <c r="A23" s="50" t="s">
        <v>699</v>
      </c>
      <c r="B23" s="59" t="s">
        <v>4</v>
      </c>
      <c r="C23" s="59" t="s">
        <v>4</v>
      </c>
      <c r="D23" s="59" t="s">
        <v>4</v>
      </c>
      <c r="E23" s="59" t="s">
        <v>4</v>
      </c>
      <c r="F23" s="59" t="s">
        <v>4</v>
      </c>
      <c r="G23" s="59" t="s">
        <v>4</v>
      </c>
      <c r="H23" s="59" t="s">
        <v>4</v>
      </c>
      <c r="I23" s="59" t="s">
        <v>4</v>
      </c>
      <c r="J23" s="59" t="s">
        <v>4</v>
      </c>
      <c r="K23" s="59" t="s">
        <v>4</v>
      </c>
      <c r="L23" s="59" t="s">
        <v>4</v>
      </c>
      <c r="M23" s="59" t="s">
        <v>4</v>
      </c>
      <c r="N23" s="59" t="s">
        <v>4</v>
      </c>
      <c r="O23" s="59" t="s">
        <v>4</v>
      </c>
      <c r="P23" s="59" t="s">
        <v>4</v>
      </c>
      <c r="Q23" s="59" t="s">
        <v>4</v>
      </c>
      <c r="R23" s="43"/>
      <c r="S23" s="43"/>
      <c r="T23" s="43"/>
      <c r="U23" s="43"/>
    </row>
    <row r="24" spans="1:21" s="11" customFormat="1" x14ac:dyDescent="0.25">
      <c r="A24" s="50" t="s">
        <v>700</v>
      </c>
      <c r="B24" s="60" t="s">
        <v>8</v>
      </c>
      <c r="C24" s="60" t="s">
        <v>8</v>
      </c>
      <c r="D24" s="60" t="s">
        <v>8</v>
      </c>
      <c r="E24" s="51">
        <v>5.77</v>
      </c>
      <c r="F24" s="51">
        <v>7.83</v>
      </c>
      <c r="G24" s="51">
        <v>68.33</v>
      </c>
      <c r="H24" s="51">
        <v>48.7</v>
      </c>
      <c r="I24" s="6" t="s">
        <v>20</v>
      </c>
      <c r="J24" s="51">
        <v>0.95</v>
      </c>
      <c r="K24" s="51">
        <v>95.11</v>
      </c>
      <c r="L24" s="51">
        <v>21.6</v>
      </c>
      <c r="M24" s="51">
        <v>27.89</v>
      </c>
      <c r="N24" s="51">
        <v>100.2</v>
      </c>
      <c r="O24" s="51">
        <v>0</v>
      </c>
      <c r="P24" s="51">
        <v>0.64</v>
      </c>
      <c r="Q24" s="6" t="s">
        <v>20</v>
      </c>
      <c r="R24" s="43"/>
      <c r="S24" s="43"/>
      <c r="T24" s="43"/>
      <c r="U24" s="43"/>
    </row>
    <row r="25" spans="1:21" s="11" customFormat="1" x14ac:dyDescent="0.25">
      <c r="A25" s="50" t="s">
        <v>701</v>
      </c>
      <c r="B25" s="60" t="s">
        <v>8</v>
      </c>
      <c r="C25" s="60" t="s">
        <v>8</v>
      </c>
      <c r="D25" s="60" t="s">
        <v>8</v>
      </c>
      <c r="E25" s="51">
        <v>0.48</v>
      </c>
      <c r="F25" s="51">
        <v>5.75</v>
      </c>
      <c r="G25" s="51">
        <v>47.66</v>
      </c>
      <c r="H25" s="51">
        <v>12.11</v>
      </c>
      <c r="I25" s="51">
        <v>13.28</v>
      </c>
      <c r="J25" s="51">
        <v>1.47</v>
      </c>
      <c r="K25" s="51">
        <v>106</v>
      </c>
      <c r="L25" s="51">
        <v>21.25</v>
      </c>
      <c r="M25" s="51">
        <v>30.57</v>
      </c>
      <c r="N25" s="51">
        <v>80.7</v>
      </c>
      <c r="O25" s="51">
        <v>0</v>
      </c>
      <c r="P25" s="51">
        <v>0.57999999999999996</v>
      </c>
      <c r="Q25" s="51">
        <v>10.09</v>
      </c>
      <c r="R25" s="43"/>
      <c r="S25" s="43"/>
      <c r="T25" s="43"/>
      <c r="U25" s="43"/>
    </row>
    <row r="26" spans="1:21" s="11" customFormat="1" x14ac:dyDescent="0.25">
      <c r="A26" s="50" t="s">
        <v>702</v>
      </c>
      <c r="B26" s="60" t="s">
        <v>8</v>
      </c>
      <c r="C26" s="60" t="s">
        <v>8</v>
      </c>
      <c r="D26" s="60" t="s">
        <v>8</v>
      </c>
      <c r="E26" s="60" t="s">
        <v>8</v>
      </c>
      <c r="F26" s="51">
        <v>4.9800000000000004</v>
      </c>
      <c r="G26" s="51">
        <v>91.99</v>
      </c>
      <c r="H26" s="51">
        <v>31.91</v>
      </c>
      <c r="I26" s="51">
        <v>12.06</v>
      </c>
      <c r="J26" s="51">
        <v>1.61</v>
      </c>
      <c r="K26" s="51">
        <v>342</v>
      </c>
      <c r="L26" s="51">
        <v>19.53</v>
      </c>
      <c r="M26" s="51">
        <v>48.91</v>
      </c>
      <c r="N26" s="51">
        <v>40.6</v>
      </c>
      <c r="O26" s="51">
        <v>0</v>
      </c>
      <c r="P26" s="51">
        <v>0.73</v>
      </c>
      <c r="Q26" s="51">
        <v>9.69</v>
      </c>
      <c r="R26" s="43"/>
      <c r="S26" s="43"/>
      <c r="T26" s="43"/>
      <c r="U26" s="43"/>
    </row>
    <row r="27" spans="1:21" s="11" customFormat="1" x14ac:dyDescent="0.25">
      <c r="A27" s="50" t="s">
        <v>703</v>
      </c>
      <c r="B27" s="60" t="s">
        <v>8</v>
      </c>
      <c r="C27" s="60" t="s">
        <v>8</v>
      </c>
      <c r="D27" s="60" t="s">
        <v>8</v>
      </c>
      <c r="E27" s="60" t="s">
        <v>8</v>
      </c>
      <c r="F27" s="51">
        <v>3.85</v>
      </c>
      <c r="G27" s="51">
        <v>126.2</v>
      </c>
      <c r="H27" s="51">
        <v>121.66</v>
      </c>
      <c r="I27" s="51">
        <v>11.2</v>
      </c>
      <c r="J27" s="51">
        <v>1.48</v>
      </c>
      <c r="K27" s="51">
        <v>355.26</v>
      </c>
      <c r="L27" s="51">
        <v>16.55</v>
      </c>
      <c r="M27" s="51">
        <v>56.05</v>
      </c>
      <c r="N27" s="51">
        <v>34.799999999999997</v>
      </c>
      <c r="O27" s="51">
        <v>0</v>
      </c>
      <c r="P27" s="51">
        <v>1.1200000000000001</v>
      </c>
      <c r="Q27" s="51">
        <v>10.01</v>
      </c>
      <c r="R27" s="43"/>
      <c r="S27" s="43"/>
      <c r="T27" s="43"/>
      <c r="U27" s="43"/>
    </row>
    <row r="28" spans="1:21" s="11" customFormat="1" x14ac:dyDescent="0.25">
      <c r="A28" s="50" t="s">
        <v>704</v>
      </c>
      <c r="B28" s="60" t="s">
        <v>8</v>
      </c>
      <c r="C28" s="60" t="s">
        <v>8</v>
      </c>
      <c r="D28" s="60" t="s">
        <v>8</v>
      </c>
      <c r="E28" s="60" t="s">
        <v>8</v>
      </c>
      <c r="F28" s="51">
        <v>3.79</v>
      </c>
      <c r="G28" s="51">
        <v>148.76</v>
      </c>
      <c r="H28" s="51">
        <v>170.84</v>
      </c>
      <c r="I28" s="51">
        <v>11.33</v>
      </c>
      <c r="J28" s="51">
        <v>1.57</v>
      </c>
      <c r="K28" s="51">
        <v>309.39999999999998</v>
      </c>
      <c r="L28" s="51">
        <v>15.5</v>
      </c>
      <c r="M28" s="51">
        <v>62.63</v>
      </c>
      <c r="N28" s="51">
        <v>34.4</v>
      </c>
      <c r="O28" s="51">
        <v>0</v>
      </c>
      <c r="P28" s="51">
        <v>1.71</v>
      </c>
      <c r="Q28" s="51">
        <v>10.039999999999999</v>
      </c>
      <c r="R28" s="43"/>
      <c r="S28" s="43"/>
      <c r="T28" s="43"/>
      <c r="U28" s="43"/>
    </row>
    <row r="29" spans="1:21" s="11" customFormat="1" x14ac:dyDescent="0.25">
      <c r="A29" s="50" t="s">
        <v>705</v>
      </c>
      <c r="B29" s="60" t="s">
        <v>8</v>
      </c>
      <c r="C29" s="60" t="s">
        <v>8</v>
      </c>
      <c r="D29" s="60" t="s">
        <v>8</v>
      </c>
      <c r="E29" s="60" t="s">
        <v>8</v>
      </c>
      <c r="F29" s="51">
        <v>4.29</v>
      </c>
      <c r="G29" s="51">
        <v>149.53</v>
      </c>
      <c r="H29" s="51">
        <v>174.45</v>
      </c>
      <c r="I29" s="51">
        <v>11.85</v>
      </c>
      <c r="J29" s="51">
        <v>1.23</v>
      </c>
      <c r="K29" s="51">
        <v>357.9</v>
      </c>
      <c r="L29" s="51">
        <v>15.48</v>
      </c>
      <c r="M29" s="51">
        <v>50.3</v>
      </c>
      <c r="N29" s="51">
        <v>34.200000000000003</v>
      </c>
      <c r="O29" s="51">
        <v>0</v>
      </c>
      <c r="P29" s="51">
        <v>1.73</v>
      </c>
      <c r="Q29" s="51">
        <v>10.35</v>
      </c>
      <c r="R29" s="43"/>
      <c r="S29" s="43"/>
      <c r="T29" s="43"/>
      <c r="U29" s="43"/>
    </row>
    <row r="30" spans="1:21" s="11" customFormat="1" x14ac:dyDescent="0.25">
      <c r="A30" s="50" t="s">
        <v>706</v>
      </c>
      <c r="B30" s="60" t="s">
        <v>8</v>
      </c>
      <c r="C30" s="60" t="s">
        <v>8</v>
      </c>
      <c r="D30" s="60" t="s">
        <v>8</v>
      </c>
      <c r="E30" s="60" t="s">
        <v>8</v>
      </c>
      <c r="F30" s="51">
        <v>4.34</v>
      </c>
      <c r="G30" s="51">
        <v>139.57</v>
      </c>
      <c r="H30" s="51">
        <v>53.5</v>
      </c>
      <c r="I30" s="51">
        <v>11.54</v>
      </c>
      <c r="J30" s="51">
        <v>1.19</v>
      </c>
      <c r="K30" s="51">
        <v>351.6</v>
      </c>
      <c r="L30" s="51">
        <v>15.46</v>
      </c>
      <c r="M30" s="51">
        <v>45.84</v>
      </c>
      <c r="N30" s="51">
        <v>34.4</v>
      </c>
      <c r="O30" s="51">
        <v>0</v>
      </c>
      <c r="P30" s="51">
        <v>1.79</v>
      </c>
      <c r="Q30" s="51">
        <v>10.37</v>
      </c>
      <c r="R30" s="43"/>
      <c r="S30" s="43"/>
      <c r="T30" s="43"/>
      <c r="U30" s="43"/>
    </row>
    <row r="31" spans="1:21" s="11" customFormat="1" x14ac:dyDescent="0.25">
      <c r="A31" s="50" t="s">
        <v>707</v>
      </c>
      <c r="B31" s="60" t="s">
        <v>8</v>
      </c>
      <c r="C31" s="60" t="s">
        <v>8</v>
      </c>
      <c r="D31" s="60" t="s">
        <v>8</v>
      </c>
      <c r="E31" s="60" t="s">
        <v>8</v>
      </c>
      <c r="F31" s="51">
        <v>3.94</v>
      </c>
      <c r="G31" s="51">
        <v>128.94</v>
      </c>
      <c r="H31" s="51">
        <v>1.55</v>
      </c>
      <c r="I31" s="51">
        <v>10.92</v>
      </c>
      <c r="J31" s="51">
        <v>1.0900000000000001</v>
      </c>
      <c r="K31" s="51">
        <v>355.93</v>
      </c>
      <c r="L31" s="51">
        <v>15.29</v>
      </c>
      <c r="M31" s="51">
        <v>48.07</v>
      </c>
      <c r="N31" s="51">
        <v>34.4</v>
      </c>
      <c r="O31" s="51">
        <v>0</v>
      </c>
      <c r="P31" s="51">
        <v>1.69</v>
      </c>
      <c r="Q31" s="51">
        <v>10.28</v>
      </c>
      <c r="R31" s="43"/>
      <c r="S31" s="43"/>
      <c r="T31" s="43"/>
      <c r="U31" s="43"/>
    </row>
    <row r="32" spans="1:21" s="11" customFormat="1" x14ac:dyDescent="0.25">
      <c r="A32" s="50" t="s">
        <v>708</v>
      </c>
      <c r="B32" s="60" t="s">
        <v>8</v>
      </c>
      <c r="C32" s="60" t="s">
        <v>8</v>
      </c>
      <c r="D32" s="60" t="s">
        <v>8</v>
      </c>
      <c r="E32" s="51">
        <v>5.66</v>
      </c>
      <c r="F32" s="51">
        <v>3.9</v>
      </c>
      <c r="G32" s="51">
        <v>121.94</v>
      </c>
      <c r="H32" s="51">
        <v>70.05</v>
      </c>
      <c r="I32" s="51">
        <v>9.08</v>
      </c>
      <c r="J32" s="51">
        <v>1.28</v>
      </c>
      <c r="K32" s="51">
        <v>337.28</v>
      </c>
      <c r="L32" s="51">
        <v>14.2</v>
      </c>
      <c r="M32" s="51">
        <v>52.42</v>
      </c>
      <c r="N32" s="51">
        <v>34.4</v>
      </c>
      <c r="O32" s="51">
        <v>0</v>
      </c>
      <c r="P32" s="51">
        <v>1.53</v>
      </c>
      <c r="Q32" s="51">
        <v>10.11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13.59</v>
      </c>
      <c r="C34" s="28">
        <f t="shared" si="0"/>
        <v>47.36</v>
      </c>
      <c r="D34" s="28">
        <f t="shared" si="0"/>
        <v>42.49</v>
      </c>
      <c r="E34" s="28">
        <f t="shared" si="0"/>
        <v>0.48</v>
      </c>
      <c r="F34" s="28">
        <f t="shared" si="0"/>
        <v>3.79</v>
      </c>
      <c r="G34" s="28">
        <f t="shared" si="0"/>
        <v>47.66</v>
      </c>
      <c r="H34" s="28">
        <f t="shared" si="0"/>
        <v>1.55</v>
      </c>
      <c r="I34" s="28">
        <f t="shared" si="0"/>
        <v>6.33</v>
      </c>
      <c r="J34" s="28">
        <f t="shared" si="0"/>
        <v>0.95</v>
      </c>
      <c r="K34" s="28">
        <f t="shared" si="0"/>
        <v>-0.99</v>
      </c>
      <c r="L34" s="28">
        <f t="shared" si="0"/>
        <v>11.03</v>
      </c>
      <c r="M34" s="28">
        <f t="shared" si="0"/>
        <v>27.89</v>
      </c>
      <c r="N34" s="28">
        <f t="shared" si="0"/>
        <v>34.200000000000003</v>
      </c>
      <c r="O34" s="28">
        <f t="shared" si="0"/>
        <v>0</v>
      </c>
      <c r="P34" s="28">
        <f t="shared" si="0"/>
        <v>0.57999999999999996</v>
      </c>
      <c r="Q34" s="28">
        <f t="shared" si="0"/>
        <v>9.69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88.22</v>
      </c>
      <c r="C35" s="29">
        <f t="shared" si="1"/>
        <v>65.33</v>
      </c>
      <c r="D35" s="29">
        <f t="shared" si="1"/>
        <v>97.97</v>
      </c>
      <c r="E35" s="29">
        <f t="shared" si="1"/>
        <v>8.81</v>
      </c>
      <c r="F35" s="29">
        <f t="shared" si="1"/>
        <v>7.83</v>
      </c>
      <c r="G35" s="29">
        <f t="shared" si="1"/>
        <v>194.95</v>
      </c>
      <c r="H35" s="29">
        <f t="shared" si="1"/>
        <v>174.45</v>
      </c>
      <c r="I35" s="29">
        <f t="shared" si="1"/>
        <v>13.28</v>
      </c>
      <c r="J35" s="29">
        <f t="shared" si="1"/>
        <v>3.49</v>
      </c>
      <c r="K35" s="29">
        <f t="shared" si="1"/>
        <v>358.63</v>
      </c>
      <c r="L35" s="29">
        <f t="shared" si="1"/>
        <v>23.76</v>
      </c>
      <c r="M35" s="29">
        <f t="shared" si="1"/>
        <v>86.97</v>
      </c>
      <c r="N35" s="29">
        <f t="shared" si="1"/>
        <v>610.70000000000005</v>
      </c>
      <c r="O35" s="29">
        <f t="shared" si="1"/>
        <v>0</v>
      </c>
      <c r="P35" s="29">
        <f t="shared" si="1"/>
        <v>1.79</v>
      </c>
      <c r="Q35" s="29">
        <f t="shared" si="1"/>
        <v>11.3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62.357692307692304</v>
      </c>
      <c r="C36" s="28">
        <f t="shared" si="2"/>
        <v>55.365384615384613</v>
      </c>
      <c r="D36" s="28">
        <f t="shared" si="2"/>
        <v>77.062307692307698</v>
      </c>
      <c r="E36" s="28">
        <f t="shared" si="2"/>
        <v>6.7512500000000006</v>
      </c>
      <c r="F36" s="28">
        <f t="shared" si="2"/>
        <v>4.5981818181818195</v>
      </c>
      <c r="G36" s="28">
        <f t="shared" si="2"/>
        <v>138.70318181818183</v>
      </c>
      <c r="H36" s="28">
        <f t="shared" si="2"/>
        <v>73.677272727272737</v>
      </c>
      <c r="I36" s="28">
        <f t="shared" si="2"/>
        <v>9.0509523809523813</v>
      </c>
      <c r="J36" s="28">
        <f t="shared" si="2"/>
        <v>2.0740909090909088</v>
      </c>
      <c r="K36" s="28">
        <f t="shared" si="2"/>
        <v>304.90818181818184</v>
      </c>
      <c r="L36" s="28">
        <f t="shared" si="2"/>
        <v>16.87</v>
      </c>
      <c r="M36" s="28">
        <f t="shared" si="2"/>
        <v>57.43181818181818</v>
      </c>
      <c r="N36" s="28">
        <f t="shared" si="2"/>
        <v>165.68181818181819</v>
      </c>
      <c r="O36" s="28">
        <f t="shared" si="2"/>
        <v>0</v>
      </c>
      <c r="P36" s="28">
        <f t="shared" si="2"/>
        <v>1.3222727272727275</v>
      </c>
      <c r="Q36" s="28">
        <f t="shared" si="2"/>
        <v>10.671904761904759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23.178954949783716</v>
      </c>
      <c r="C37" s="28">
        <f t="shared" ref="C37:Q37" si="3">STDEV(C9:C32)</f>
        <v>6.1033783204940528</v>
      </c>
      <c r="D37" s="28">
        <f t="shared" si="3"/>
        <v>16.944960486747529</v>
      </c>
      <c r="E37" s="28">
        <f t="shared" si="3"/>
        <v>1.9373207443958937</v>
      </c>
      <c r="F37" s="28">
        <f t="shared" si="3"/>
        <v>0.83690265897895966</v>
      </c>
      <c r="G37" s="28">
        <f t="shared" si="3"/>
        <v>43.994469932390665</v>
      </c>
      <c r="H37" s="28">
        <f t="shared" si="3"/>
        <v>41.710525014313788</v>
      </c>
      <c r="I37" s="28">
        <f t="shared" si="3"/>
        <v>2.0984349043082164</v>
      </c>
      <c r="J37" s="28">
        <f t="shared" si="3"/>
        <v>0.72179445096040473</v>
      </c>
      <c r="K37" s="28">
        <f t="shared" si="3"/>
        <v>99.452034221641298</v>
      </c>
      <c r="L37" s="28">
        <f t="shared" si="3"/>
        <v>4.3326072651794476</v>
      </c>
      <c r="M37" s="28">
        <f t="shared" si="3"/>
        <v>18.891165392059055</v>
      </c>
      <c r="N37" s="28">
        <f t="shared" si="3"/>
        <v>214.02897809222816</v>
      </c>
      <c r="O37" s="28">
        <f t="shared" si="3"/>
        <v>0</v>
      </c>
      <c r="P37" s="28">
        <f t="shared" si="3"/>
        <v>0.36293685425037769</v>
      </c>
      <c r="Q37" s="28">
        <f t="shared" si="3"/>
        <v>0.49903525975244545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COUNT(B9:B32)+11</f>
        <v>24</v>
      </c>
      <c r="C38" s="32">
        <f t="shared" ref="C38:D38" si="4">COUNT(C9:C32)+11</f>
        <v>24</v>
      </c>
      <c r="D38" s="32">
        <f t="shared" si="4"/>
        <v>24</v>
      </c>
      <c r="E38" s="32">
        <f>COUNT(E9:E32)+8</f>
        <v>24</v>
      </c>
      <c r="F38" s="32">
        <f>COUNT(F9:F32)+2</f>
        <v>24</v>
      </c>
      <c r="G38" s="32">
        <f t="shared" ref="G38:H38" si="5">COUNT(G9:G32)+2</f>
        <v>24</v>
      </c>
      <c r="H38" s="32">
        <f t="shared" si="5"/>
        <v>24</v>
      </c>
      <c r="I38" s="32">
        <f>COUNT(I9:I32)+3</f>
        <v>24</v>
      </c>
      <c r="J38" s="32">
        <f>COUNT(J9:J32)+2</f>
        <v>24</v>
      </c>
      <c r="K38" s="32">
        <f t="shared" ref="K38:P38" si="6">COUNT(K9:K32)+2</f>
        <v>24</v>
      </c>
      <c r="L38" s="32">
        <f t="shared" si="6"/>
        <v>24</v>
      </c>
      <c r="M38" s="32">
        <f t="shared" si="6"/>
        <v>24</v>
      </c>
      <c r="N38" s="32">
        <f t="shared" si="6"/>
        <v>24</v>
      </c>
      <c r="O38" s="32">
        <f t="shared" si="6"/>
        <v>24</v>
      </c>
      <c r="P38" s="32">
        <f t="shared" si="6"/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7">IF(C38&gt;=22,"&gt;90%",IF(C38&lt;=22,"&lt;90%"))</f>
        <v>&gt;90%</v>
      </c>
      <c r="D39" s="29" t="str">
        <f t="shared" si="7"/>
        <v>&gt;90%</v>
      </c>
      <c r="E39" s="29" t="str">
        <f t="shared" si="7"/>
        <v>&gt;90%</v>
      </c>
      <c r="F39" s="29" t="str">
        <f t="shared" si="7"/>
        <v>&gt;90%</v>
      </c>
      <c r="G39" s="29" t="str">
        <f t="shared" si="7"/>
        <v>&gt;90%</v>
      </c>
      <c r="H39" s="29" t="str">
        <f t="shared" si="7"/>
        <v>&gt;90%</v>
      </c>
      <c r="I39" s="29" t="str">
        <f t="shared" si="7"/>
        <v>&gt;90%</v>
      </c>
      <c r="J39" s="29" t="str">
        <f t="shared" si="7"/>
        <v>&gt;90%</v>
      </c>
      <c r="K39" s="29" t="str">
        <f t="shared" si="7"/>
        <v>&gt;90%</v>
      </c>
      <c r="L39" s="29" t="str">
        <f t="shared" si="7"/>
        <v>&gt;90%</v>
      </c>
      <c r="M39" s="29" t="str">
        <f t="shared" si="7"/>
        <v>&gt;90%</v>
      </c>
      <c r="N39" s="29" t="str">
        <f t="shared" si="7"/>
        <v>&gt;90%</v>
      </c>
      <c r="O39" s="29" t="str">
        <f t="shared" si="7"/>
        <v>&gt;90%</v>
      </c>
      <c r="P39" s="29" t="str">
        <f t="shared" si="7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8">IF(C38&gt;=22,"OK",IF(C38&lt;=22,"LESS"))</f>
        <v>OK</v>
      </c>
      <c r="D40" s="29" t="str">
        <f t="shared" si="8"/>
        <v>OK</v>
      </c>
      <c r="E40" s="29" t="str">
        <f t="shared" si="8"/>
        <v>OK</v>
      </c>
      <c r="F40" s="29" t="str">
        <f t="shared" si="8"/>
        <v>OK</v>
      </c>
      <c r="G40" s="29" t="str">
        <f t="shared" si="8"/>
        <v>OK</v>
      </c>
      <c r="H40" s="29" t="str">
        <f t="shared" si="8"/>
        <v>OK</v>
      </c>
      <c r="I40" s="29" t="str">
        <f t="shared" si="8"/>
        <v>OK</v>
      </c>
      <c r="J40" s="29" t="str">
        <f t="shared" si="8"/>
        <v>OK</v>
      </c>
      <c r="K40" s="29" t="str">
        <f t="shared" si="8"/>
        <v>OK</v>
      </c>
      <c r="L40" s="29" t="str">
        <f t="shared" si="8"/>
        <v>OK</v>
      </c>
      <c r="M40" s="29" t="str">
        <f t="shared" si="8"/>
        <v>OK</v>
      </c>
      <c r="N40" s="29" t="str">
        <f t="shared" si="8"/>
        <v>OK</v>
      </c>
      <c r="O40" s="29" t="str">
        <f t="shared" si="8"/>
        <v>OK</v>
      </c>
      <c r="P40" s="29" t="str">
        <f t="shared" si="8"/>
        <v>OK</v>
      </c>
      <c r="Q40" s="29" t="str">
        <f t="shared" si="8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709</v>
      </c>
      <c r="B9" s="60" t="s">
        <v>8</v>
      </c>
      <c r="C9" s="60" t="s">
        <v>8</v>
      </c>
      <c r="D9" s="60" t="s">
        <v>8</v>
      </c>
      <c r="E9" s="51">
        <v>5.81</v>
      </c>
      <c r="F9" s="51">
        <v>4.34</v>
      </c>
      <c r="G9" s="51">
        <v>110.04</v>
      </c>
      <c r="H9" s="51">
        <v>94.26</v>
      </c>
      <c r="I9" s="51">
        <v>8.7100000000000009</v>
      </c>
      <c r="J9" s="51">
        <v>1.58</v>
      </c>
      <c r="K9" s="51">
        <v>359.21</v>
      </c>
      <c r="L9" s="51">
        <v>13.25</v>
      </c>
      <c r="M9" s="51">
        <v>57.04</v>
      </c>
      <c r="N9" s="51">
        <v>34.5</v>
      </c>
      <c r="O9" s="51">
        <v>0</v>
      </c>
      <c r="P9" s="51">
        <v>1.45</v>
      </c>
      <c r="Q9" s="51">
        <v>10.02</v>
      </c>
      <c r="R9" s="43"/>
      <c r="S9" s="43"/>
      <c r="T9" s="43"/>
      <c r="U9" s="43"/>
    </row>
    <row r="10" spans="1:21" s="11" customFormat="1" x14ac:dyDescent="0.25">
      <c r="A10" s="50" t="s">
        <v>710</v>
      </c>
      <c r="B10" s="60" t="s">
        <v>8</v>
      </c>
      <c r="C10" s="60" t="s">
        <v>8</v>
      </c>
      <c r="D10" s="60" t="s">
        <v>8</v>
      </c>
      <c r="E10" s="51">
        <v>5.43</v>
      </c>
      <c r="F10" s="51">
        <v>4.1100000000000003</v>
      </c>
      <c r="G10" s="51">
        <v>106.83</v>
      </c>
      <c r="H10" s="51">
        <v>58.09</v>
      </c>
      <c r="I10" s="51">
        <v>8.41</v>
      </c>
      <c r="J10" s="51">
        <v>1.78</v>
      </c>
      <c r="K10" s="51">
        <v>350.92</v>
      </c>
      <c r="L10" s="51">
        <v>12.55</v>
      </c>
      <c r="M10" s="51">
        <v>61.84</v>
      </c>
      <c r="N10" s="51">
        <v>34.4</v>
      </c>
      <c r="O10" s="51">
        <v>0</v>
      </c>
      <c r="P10" s="51">
        <v>1.27</v>
      </c>
      <c r="Q10" s="51">
        <v>10.029999999999999</v>
      </c>
      <c r="R10" s="43"/>
      <c r="S10" s="43"/>
      <c r="T10" s="43"/>
      <c r="U10" s="43"/>
    </row>
    <row r="11" spans="1:21" s="11" customFormat="1" x14ac:dyDescent="0.25">
      <c r="A11" s="50" t="s">
        <v>711</v>
      </c>
      <c r="B11" s="60" t="s">
        <v>8</v>
      </c>
      <c r="C11" s="60" t="s">
        <v>8</v>
      </c>
      <c r="D11" s="60" t="s">
        <v>8</v>
      </c>
      <c r="E11" s="51">
        <v>5.88</v>
      </c>
      <c r="F11" s="51">
        <v>4.08</v>
      </c>
      <c r="G11" s="51">
        <v>117.77</v>
      </c>
      <c r="H11" s="51">
        <v>51.24</v>
      </c>
      <c r="I11" s="51">
        <v>7.08</v>
      </c>
      <c r="J11" s="51">
        <v>2</v>
      </c>
      <c r="K11" s="51">
        <v>344.95</v>
      </c>
      <c r="L11" s="51">
        <v>12.43</v>
      </c>
      <c r="M11" s="51">
        <v>63.85</v>
      </c>
      <c r="N11" s="51">
        <v>34.299999999999997</v>
      </c>
      <c r="O11" s="51">
        <v>0</v>
      </c>
      <c r="P11" s="51">
        <v>1.2</v>
      </c>
      <c r="Q11" s="51">
        <v>9.92</v>
      </c>
      <c r="R11" s="43"/>
      <c r="S11" s="43"/>
      <c r="T11" s="43"/>
      <c r="U11" s="43"/>
    </row>
    <row r="12" spans="1:21" s="11" customFormat="1" x14ac:dyDescent="0.25">
      <c r="A12" s="50" t="s">
        <v>712</v>
      </c>
      <c r="B12" s="60" t="s">
        <v>8</v>
      </c>
      <c r="C12" s="60" t="s">
        <v>8</v>
      </c>
      <c r="D12" s="60" t="s">
        <v>8</v>
      </c>
      <c r="E12" s="51">
        <v>5.91</v>
      </c>
      <c r="F12" s="51">
        <v>4.33</v>
      </c>
      <c r="G12" s="51">
        <v>122.07</v>
      </c>
      <c r="H12" s="51">
        <v>38.880000000000003</v>
      </c>
      <c r="I12" s="51">
        <v>6.46</v>
      </c>
      <c r="J12" s="51">
        <v>1.7</v>
      </c>
      <c r="K12" s="51">
        <v>353.81</v>
      </c>
      <c r="L12" s="51">
        <v>12.17</v>
      </c>
      <c r="M12" s="51">
        <v>66.66</v>
      </c>
      <c r="N12" s="51">
        <v>34.200000000000003</v>
      </c>
      <c r="O12" s="51">
        <v>0</v>
      </c>
      <c r="P12" s="51">
        <v>1.08</v>
      </c>
      <c r="Q12" s="51">
        <v>8.9600000000000009</v>
      </c>
      <c r="R12" s="43"/>
      <c r="S12" s="43"/>
      <c r="T12" s="43"/>
      <c r="U12" s="43"/>
    </row>
    <row r="13" spans="1:21" s="11" customFormat="1" x14ac:dyDescent="0.25">
      <c r="A13" s="50" t="s">
        <v>713</v>
      </c>
      <c r="B13" s="60" t="s">
        <v>8</v>
      </c>
      <c r="C13" s="60" t="s">
        <v>8</v>
      </c>
      <c r="D13" s="60" t="s">
        <v>8</v>
      </c>
      <c r="E13" s="51">
        <v>6.2</v>
      </c>
      <c r="F13" s="51">
        <v>4.6900000000000004</v>
      </c>
      <c r="G13" s="51">
        <v>101.11</v>
      </c>
      <c r="H13" s="51">
        <v>57.71</v>
      </c>
      <c r="I13" s="51">
        <v>5.89</v>
      </c>
      <c r="J13" s="51">
        <v>1.42</v>
      </c>
      <c r="K13" s="51">
        <v>347.53</v>
      </c>
      <c r="L13" s="51">
        <v>11.76</v>
      </c>
      <c r="M13" s="51">
        <v>70.239999999999995</v>
      </c>
      <c r="N13" s="51">
        <v>34.4</v>
      </c>
      <c r="O13" s="51">
        <v>0</v>
      </c>
      <c r="P13" s="51">
        <v>0.94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714</v>
      </c>
      <c r="B14" s="60" t="s">
        <v>8</v>
      </c>
      <c r="C14" s="60" t="s">
        <v>8</v>
      </c>
      <c r="D14" s="60" t="s">
        <v>8</v>
      </c>
      <c r="E14" s="51">
        <v>5.49</v>
      </c>
      <c r="F14" s="51">
        <v>4.49</v>
      </c>
      <c r="G14" s="51">
        <v>89.17</v>
      </c>
      <c r="H14" s="51">
        <v>60.39</v>
      </c>
      <c r="I14" s="51">
        <v>5.46</v>
      </c>
      <c r="J14" s="51">
        <v>1.85</v>
      </c>
      <c r="K14" s="51">
        <v>351.35</v>
      </c>
      <c r="L14" s="51">
        <v>11.35</v>
      </c>
      <c r="M14" s="51">
        <v>70.180000000000007</v>
      </c>
      <c r="N14" s="51">
        <v>34.299999999999997</v>
      </c>
      <c r="O14" s="51">
        <v>0</v>
      </c>
      <c r="P14" s="51">
        <v>0.85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715</v>
      </c>
      <c r="B15" s="60" t="s">
        <v>8</v>
      </c>
      <c r="C15" s="60" t="s">
        <v>8</v>
      </c>
      <c r="D15" s="60" t="s">
        <v>8</v>
      </c>
      <c r="E15" s="51">
        <v>5.78</v>
      </c>
      <c r="F15" s="51">
        <v>4.1500000000000004</v>
      </c>
      <c r="G15" s="51">
        <v>92.45</v>
      </c>
      <c r="H15" s="51">
        <v>32.03</v>
      </c>
      <c r="I15" s="51">
        <v>4.67</v>
      </c>
      <c r="J15" s="51">
        <v>1.82</v>
      </c>
      <c r="K15" s="51">
        <v>349.45</v>
      </c>
      <c r="L15" s="51">
        <v>11.27</v>
      </c>
      <c r="M15" s="51">
        <v>72.78</v>
      </c>
      <c r="N15" s="51">
        <v>60.5</v>
      </c>
      <c r="O15" s="51">
        <v>0</v>
      </c>
      <c r="P15" s="51">
        <v>0.78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716</v>
      </c>
      <c r="B16" s="60" t="s">
        <v>8</v>
      </c>
      <c r="C16" s="60" t="s">
        <v>8</v>
      </c>
      <c r="D16" s="60" t="s">
        <v>8</v>
      </c>
      <c r="E16" s="51">
        <v>7.45</v>
      </c>
      <c r="F16" s="51">
        <v>3.96</v>
      </c>
      <c r="G16" s="51">
        <v>94.07</v>
      </c>
      <c r="H16" s="51">
        <v>50.99</v>
      </c>
      <c r="I16" s="51">
        <v>4.55</v>
      </c>
      <c r="J16" s="51">
        <v>2.0299999999999998</v>
      </c>
      <c r="K16" s="51">
        <v>346.27</v>
      </c>
      <c r="L16" s="51">
        <v>14.56</v>
      </c>
      <c r="M16" s="51">
        <v>70.16</v>
      </c>
      <c r="N16" s="51">
        <v>192.1</v>
      </c>
      <c r="O16" s="51">
        <v>0</v>
      </c>
      <c r="P16" s="51">
        <v>0.77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717</v>
      </c>
      <c r="B17" s="60" t="s">
        <v>8</v>
      </c>
      <c r="C17" s="60" t="s">
        <v>8</v>
      </c>
      <c r="D17" s="60" t="s">
        <v>8</v>
      </c>
      <c r="E17" s="51">
        <v>8.36</v>
      </c>
      <c r="F17" s="51">
        <v>4.33</v>
      </c>
      <c r="G17" s="51">
        <v>101.23</v>
      </c>
      <c r="H17" s="51">
        <v>54.59</v>
      </c>
      <c r="I17" s="51">
        <v>4.5999999999999996</v>
      </c>
      <c r="J17" s="51">
        <v>2.12</v>
      </c>
      <c r="K17" s="51">
        <v>347.04</v>
      </c>
      <c r="L17" s="51">
        <v>16.350000000000001</v>
      </c>
      <c r="M17" s="51">
        <v>55.8</v>
      </c>
      <c r="N17" s="51">
        <v>287.5</v>
      </c>
      <c r="O17" s="51">
        <v>0</v>
      </c>
      <c r="P17" s="51">
        <v>0.8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718</v>
      </c>
      <c r="B18" s="60" t="s">
        <v>8</v>
      </c>
      <c r="C18" s="60" t="s">
        <v>8</v>
      </c>
      <c r="D18" s="60" t="s">
        <v>8</v>
      </c>
      <c r="E18" s="51">
        <v>7.71</v>
      </c>
      <c r="F18" s="51">
        <v>4.4400000000000004</v>
      </c>
      <c r="G18" s="51">
        <v>107.75</v>
      </c>
      <c r="H18" s="51">
        <v>37.49</v>
      </c>
      <c r="I18" s="51">
        <v>5.07</v>
      </c>
      <c r="J18" s="51">
        <v>1.01</v>
      </c>
      <c r="K18" s="51">
        <v>354.18</v>
      </c>
      <c r="L18" s="51">
        <v>18.989999999999998</v>
      </c>
      <c r="M18" s="51">
        <v>53.95</v>
      </c>
      <c r="N18" s="51">
        <v>462.2</v>
      </c>
      <c r="O18" s="51">
        <v>0</v>
      </c>
      <c r="P18" s="51">
        <v>0.81</v>
      </c>
      <c r="Q18" s="51">
        <v>8.2200000000000006</v>
      </c>
      <c r="R18" s="43"/>
      <c r="S18" s="43"/>
      <c r="T18" s="43"/>
      <c r="U18" s="43"/>
    </row>
    <row r="19" spans="1:21" s="11" customFormat="1" x14ac:dyDescent="0.25">
      <c r="A19" s="50" t="s">
        <v>719</v>
      </c>
      <c r="B19" s="60" t="s">
        <v>8</v>
      </c>
      <c r="C19" s="60" t="s">
        <v>8</v>
      </c>
      <c r="D19" s="60" t="s">
        <v>8</v>
      </c>
      <c r="E19" s="51">
        <v>7.71</v>
      </c>
      <c r="F19" s="51">
        <v>4.66</v>
      </c>
      <c r="G19" s="51">
        <v>109.11</v>
      </c>
      <c r="H19" s="51">
        <v>53.91</v>
      </c>
      <c r="I19" s="51">
        <v>6.01</v>
      </c>
      <c r="J19" s="51">
        <v>1.38</v>
      </c>
      <c r="K19" s="51">
        <v>108.86</v>
      </c>
      <c r="L19" s="51">
        <v>19.72</v>
      </c>
      <c r="M19" s="51">
        <v>47.78</v>
      </c>
      <c r="N19" s="51">
        <v>483.1</v>
      </c>
      <c r="O19" s="51">
        <v>0</v>
      </c>
      <c r="P19" s="51">
        <v>0.8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720</v>
      </c>
      <c r="B20" s="60" t="s">
        <v>8</v>
      </c>
      <c r="C20" s="60" t="s">
        <v>8</v>
      </c>
      <c r="D20" s="60" t="s">
        <v>8</v>
      </c>
      <c r="E20" s="51">
        <v>7.5</v>
      </c>
      <c r="F20" s="51">
        <v>4.6900000000000004</v>
      </c>
      <c r="G20" s="51">
        <v>108.4</v>
      </c>
      <c r="H20" s="51">
        <v>60.48</v>
      </c>
      <c r="I20" s="51">
        <v>6.55</v>
      </c>
      <c r="J20" s="51">
        <v>1.31</v>
      </c>
      <c r="K20" s="51">
        <v>359.69</v>
      </c>
      <c r="L20" s="51">
        <v>22.19</v>
      </c>
      <c r="M20" s="51">
        <v>43.49</v>
      </c>
      <c r="N20" s="51">
        <v>481.5</v>
      </c>
      <c r="O20" s="51">
        <v>0</v>
      </c>
      <c r="P20" s="51">
        <v>0.8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721</v>
      </c>
      <c r="B21" s="60" t="s">
        <v>8</v>
      </c>
      <c r="C21" s="60" t="s">
        <v>8</v>
      </c>
      <c r="D21" s="60" t="s">
        <v>8</v>
      </c>
      <c r="E21" s="51">
        <v>7.99</v>
      </c>
      <c r="F21" s="51">
        <v>5.78</v>
      </c>
      <c r="G21" s="51">
        <v>104.44</v>
      </c>
      <c r="H21" s="51">
        <v>63.36</v>
      </c>
      <c r="I21" s="51">
        <v>6.92</v>
      </c>
      <c r="J21" s="51">
        <v>1.43</v>
      </c>
      <c r="K21" s="51">
        <v>90.96</v>
      </c>
      <c r="L21" s="51">
        <v>22.28</v>
      </c>
      <c r="M21" s="51">
        <v>42.72</v>
      </c>
      <c r="N21" s="51">
        <v>515.5</v>
      </c>
      <c r="O21" s="51">
        <v>0</v>
      </c>
      <c r="P21" s="51">
        <v>0.79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722</v>
      </c>
      <c r="B22" s="60" t="s">
        <v>8</v>
      </c>
      <c r="C22" s="60" t="s">
        <v>8</v>
      </c>
      <c r="D22" s="60" t="s">
        <v>8</v>
      </c>
      <c r="E22" s="51">
        <v>7.75</v>
      </c>
      <c r="F22" s="51">
        <v>6.54</v>
      </c>
      <c r="G22" s="51">
        <v>99.38</v>
      </c>
      <c r="H22" s="51">
        <v>55.76</v>
      </c>
      <c r="I22" s="51">
        <v>7.77</v>
      </c>
      <c r="J22" s="51">
        <v>1.74</v>
      </c>
      <c r="K22" s="51">
        <v>104.04</v>
      </c>
      <c r="L22" s="51">
        <v>21.88</v>
      </c>
      <c r="M22" s="51">
        <v>39.909999999999997</v>
      </c>
      <c r="N22" s="51">
        <v>414.7</v>
      </c>
      <c r="O22" s="51">
        <v>0</v>
      </c>
      <c r="P22" s="51">
        <v>0.74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723</v>
      </c>
      <c r="B23" s="60" t="s">
        <v>8</v>
      </c>
      <c r="C23" s="60" t="s">
        <v>8</v>
      </c>
      <c r="D23" s="60" t="s">
        <v>8</v>
      </c>
      <c r="E23" s="51">
        <v>7.37</v>
      </c>
      <c r="F23" s="51">
        <v>6.49</v>
      </c>
      <c r="G23" s="51">
        <v>91.85</v>
      </c>
      <c r="H23" s="51">
        <v>34.479999999999997</v>
      </c>
      <c r="I23" s="51">
        <v>7.61</v>
      </c>
      <c r="J23" s="51">
        <v>1.89</v>
      </c>
      <c r="K23" s="51">
        <v>343.63</v>
      </c>
      <c r="L23" s="51">
        <v>22.44</v>
      </c>
      <c r="M23" s="51">
        <v>37.36</v>
      </c>
      <c r="N23" s="51">
        <v>196</v>
      </c>
      <c r="O23" s="51">
        <v>0</v>
      </c>
      <c r="P23" s="51">
        <v>0.71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724</v>
      </c>
      <c r="B24" s="60" t="s">
        <v>8</v>
      </c>
      <c r="C24" s="60" t="s">
        <v>8</v>
      </c>
      <c r="D24" s="60" t="s">
        <v>8</v>
      </c>
      <c r="E24" s="51">
        <v>7.38</v>
      </c>
      <c r="F24" s="51">
        <v>5.48</v>
      </c>
      <c r="G24" s="51">
        <v>86.01</v>
      </c>
      <c r="H24" s="51">
        <v>35.090000000000003</v>
      </c>
      <c r="I24" s="51">
        <v>7.39</v>
      </c>
      <c r="J24" s="51">
        <v>1.03</v>
      </c>
      <c r="K24" s="51">
        <v>344.33</v>
      </c>
      <c r="L24" s="51">
        <v>21.17</v>
      </c>
      <c r="M24" s="51">
        <v>37.799999999999997</v>
      </c>
      <c r="N24" s="51">
        <v>101.4</v>
      </c>
      <c r="O24" s="51">
        <v>0</v>
      </c>
      <c r="P24" s="51">
        <v>0.69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725</v>
      </c>
      <c r="B25" s="60" t="s">
        <v>8</v>
      </c>
      <c r="C25" s="60" t="s">
        <v>8</v>
      </c>
      <c r="D25" s="60" t="s">
        <v>8</v>
      </c>
      <c r="E25" s="51">
        <v>7.06</v>
      </c>
      <c r="F25" s="51">
        <v>4.4800000000000004</v>
      </c>
      <c r="G25" s="51">
        <v>79.61</v>
      </c>
      <c r="H25" s="51">
        <v>78.400000000000006</v>
      </c>
      <c r="I25" s="51">
        <v>4.95</v>
      </c>
      <c r="J25" s="51">
        <v>0.67</v>
      </c>
      <c r="K25" s="51">
        <v>109.04</v>
      </c>
      <c r="L25" s="51">
        <v>20.350000000000001</v>
      </c>
      <c r="M25" s="51">
        <v>41</v>
      </c>
      <c r="N25" s="51">
        <v>81</v>
      </c>
      <c r="O25" s="51">
        <v>0</v>
      </c>
      <c r="P25" s="51">
        <v>0.7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726</v>
      </c>
      <c r="B26" s="60" t="s">
        <v>8</v>
      </c>
      <c r="C26" s="60" t="s">
        <v>8</v>
      </c>
      <c r="D26" s="60" t="s">
        <v>8</v>
      </c>
      <c r="E26" s="51">
        <v>7.09</v>
      </c>
      <c r="F26" s="51">
        <v>4.68</v>
      </c>
      <c r="G26" s="51">
        <v>79.48</v>
      </c>
      <c r="H26" s="51">
        <v>101.7</v>
      </c>
      <c r="I26" s="51">
        <v>7.09</v>
      </c>
      <c r="J26" s="51">
        <v>0.76</v>
      </c>
      <c r="K26" s="51">
        <v>323.45</v>
      </c>
      <c r="L26" s="51">
        <v>18.86</v>
      </c>
      <c r="M26" s="51">
        <v>47.91</v>
      </c>
      <c r="N26" s="51">
        <v>41</v>
      </c>
      <c r="O26" s="51">
        <v>0</v>
      </c>
      <c r="P26" s="51">
        <v>0.81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727</v>
      </c>
      <c r="B27" s="60" t="s">
        <v>8</v>
      </c>
      <c r="C27" s="60" t="s">
        <v>8</v>
      </c>
      <c r="D27" s="60" t="s">
        <v>8</v>
      </c>
      <c r="E27" s="51">
        <v>7</v>
      </c>
      <c r="F27" s="51">
        <v>4.24</v>
      </c>
      <c r="G27" s="51">
        <v>89.37</v>
      </c>
      <c r="H27" s="51">
        <v>48.87</v>
      </c>
      <c r="I27" s="51">
        <v>7.21</v>
      </c>
      <c r="J27" s="51">
        <v>1.19</v>
      </c>
      <c r="K27" s="51">
        <v>336.51</v>
      </c>
      <c r="L27" s="51">
        <v>17.170000000000002</v>
      </c>
      <c r="M27" s="51">
        <v>51.79</v>
      </c>
      <c r="N27" s="51">
        <v>34.5</v>
      </c>
      <c r="O27" s="51">
        <v>0</v>
      </c>
      <c r="P27" s="51">
        <v>0.93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728</v>
      </c>
      <c r="B28" s="60" t="s">
        <v>8</v>
      </c>
      <c r="C28" s="60" t="s">
        <v>8</v>
      </c>
      <c r="D28" s="60" t="s">
        <v>8</v>
      </c>
      <c r="E28" s="51">
        <v>7.49</v>
      </c>
      <c r="F28" s="51">
        <v>4.38</v>
      </c>
      <c r="G28" s="51">
        <v>106.14</v>
      </c>
      <c r="H28" s="51">
        <v>58.13</v>
      </c>
      <c r="I28" s="51">
        <v>7.1</v>
      </c>
      <c r="J28" s="51">
        <v>0.98</v>
      </c>
      <c r="K28" s="51">
        <v>358.87</v>
      </c>
      <c r="L28" s="51">
        <v>16.47</v>
      </c>
      <c r="M28" s="51">
        <v>54.57</v>
      </c>
      <c r="N28" s="51">
        <v>34.299999999999997</v>
      </c>
      <c r="O28" s="51">
        <v>0</v>
      </c>
      <c r="P28" s="51">
        <v>1.1200000000000001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729</v>
      </c>
      <c r="B29" s="60" t="s">
        <v>8</v>
      </c>
      <c r="C29" s="60" t="s">
        <v>8</v>
      </c>
      <c r="D29" s="60" t="s">
        <v>8</v>
      </c>
      <c r="E29" s="51">
        <v>7.46</v>
      </c>
      <c r="F29" s="51">
        <v>3.99</v>
      </c>
      <c r="G29" s="51">
        <v>114.9</v>
      </c>
      <c r="H29" s="51">
        <v>61.69</v>
      </c>
      <c r="I29" s="51">
        <v>6.7</v>
      </c>
      <c r="J29" s="51">
        <v>1.1100000000000001</v>
      </c>
      <c r="K29" s="51">
        <v>313.92</v>
      </c>
      <c r="L29" s="51">
        <v>15.97</v>
      </c>
      <c r="M29" s="51">
        <v>56.22</v>
      </c>
      <c r="N29" s="51">
        <v>34.299999999999997</v>
      </c>
      <c r="O29" s="51">
        <v>0</v>
      </c>
      <c r="P29" s="51">
        <v>1.21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730</v>
      </c>
      <c r="B30" s="60" t="s">
        <v>8</v>
      </c>
      <c r="C30" s="60" t="s">
        <v>8</v>
      </c>
      <c r="D30" s="60" t="s">
        <v>8</v>
      </c>
      <c r="E30" s="51">
        <v>7.81</v>
      </c>
      <c r="F30" s="51">
        <v>4.4400000000000004</v>
      </c>
      <c r="G30" s="51">
        <v>115.38</v>
      </c>
      <c r="H30" s="51">
        <v>54.85</v>
      </c>
      <c r="I30" s="51">
        <v>7.27</v>
      </c>
      <c r="J30" s="51">
        <v>0.39</v>
      </c>
      <c r="K30" s="51">
        <v>80.959999999999994</v>
      </c>
      <c r="L30" s="51">
        <v>15.35</v>
      </c>
      <c r="M30" s="51">
        <v>58.99</v>
      </c>
      <c r="N30" s="51">
        <v>34.4</v>
      </c>
      <c r="O30" s="51">
        <v>0</v>
      </c>
      <c r="P30" s="51">
        <v>1.17</v>
      </c>
      <c r="Q30" s="51">
        <v>8.2200000000000006</v>
      </c>
      <c r="R30" s="43"/>
      <c r="S30" s="43"/>
      <c r="T30" s="43"/>
      <c r="U30" s="43"/>
    </row>
    <row r="31" spans="1:21" s="11" customFormat="1" x14ac:dyDescent="0.25">
      <c r="A31" s="50" t="s">
        <v>731</v>
      </c>
      <c r="B31" s="60" t="s">
        <v>8</v>
      </c>
      <c r="C31" s="60" t="s">
        <v>8</v>
      </c>
      <c r="D31" s="60" t="s">
        <v>8</v>
      </c>
      <c r="E31" s="51">
        <v>7.25</v>
      </c>
      <c r="F31" s="51">
        <v>4.26</v>
      </c>
      <c r="G31" s="51">
        <v>109.75</v>
      </c>
      <c r="H31" s="51">
        <v>45.72</v>
      </c>
      <c r="I31" s="51">
        <v>7.03</v>
      </c>
      <c r="J31" s="51">
        <v>1.1399999999999999</v>
      </c>
      <c r="K31" s="51">
        <v>341.7</v>
      </c>
      <c r="L31" s="51">
        <v>14.86</v>
      </c>
      <c r="M31" s="51">
        <v>64.13</v>
      </c>
      <c r="N31" s="51">
        <v>34.4</v>
      </c>
      <c r="O31" s="51">
        <v>0</v>
      </c>
      <c r="P31" s="51">
        <v>1.1499999999999999</v>
      </c>
      <c r="Q31" s="51">
        <v>8.2899999999999991</v>
      </c>
      <c r="R31" s="43"/>
      <c r="S31" s="43"/>
      <c r="T31" s="43"/>
      <c r="U31" s="43"/>
    </row>
    <row r="32" spans="1:21" s="11" customFormat="1" x14ac:dyDescent="0.25">
      <c r="A32" s="50" t="s">
        <v>732</v>
      </c>
      <c r="B32" s="60" t="s">
        <v>8</v>
      </c>
      <c r="C32" s="60" t="s">
        <v>8</v>
      </c>
      <c r="D32" s="60" t="s">
        <v>8</v>
      </c>
      <c r="E32" s="51">
        <v>7.41</v>
      </c>
      <c r="F32" s="51">
        <v>4.03</v>
      </c>
      <c r="G32" s="51">
        <v>108.6</v>
      </c>
      <c r="H32" s="51">
        <v>61.4</v>
      </c>
      <c r="I32" s="51">
        <v>6.63</v>
      </c>
      <c r="J32" s="51">
        <v>0.6</v>
      </c>
      <c r="K32" s="51">
        <v>326.11</v>
      </c>
      <c r="L32" s="51">
        <v>14.07</v>
      </c>
      <c r="M32" s="51">
        <v>67.83</v>
      </c>
      <c r="N32" s="51">
        <v>34.4</v>
      </c>
      <c r="O32" s="51">
        <v>0</v>
      </c>
      <c r="P32" s="51">
        <v>1.1200000000000001</v>
      </c>
      <c r="Q32" s="51">
        <v>8.23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5.43</v>
      </c>
      <c r="F34" s="28">
        <f t="shared" si="0"/>
        <v>3.96</v>
      </c>
      <c r="G34" s="28">
        <f t="shared" si="0"/>
        <v>79.48</v>
      </c>
      <c r="H34" s="28">
        <f t="shared" si="0"/>
        <v>32.03</v>
      </c>
      <c r="I34" s="28">
        <f t="shared" si="0"/>
        <v>4.55</v>
      </c>
      <c r="J34" s="28">
        <f t="shared" si="0"/>
        <v>0.39</v>
      </c>
      <c r="K34" s="28">
        <f t="shared" si="0"/>
        <v>80.959999999999994</v>
      </c>
      <c r="L34" s="28">
        <f t="shared" si="0"/>
        <v>11.27</v>
      </c>
      <c r="M34" s="28">
        <f t="shared" si="0"/>
        <v>37.36</v>
      </c>
      <c r="N34" s="28">
        <f t="shared" si="0"/>
        <v>34.200000000000003</v>
      </c>
      <c r="O34" s="28">
        <f t="shared" si="0"/>
        <v>0</v>
      </c>
      <c r="P34" s="28">
        <f t="shared" si="0"/>
        <v>0.69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8.36</v>
      </c>
      <c r="F35" s="29">
        <f t="shared" si="1"/>
        <v>6.54</v>
      </c>
      <c r="G35" s="29">
        <f t="shared" si="1"/>
        <v>122.07</v>
      </c>
      <c r="H35" s="29">
        <f t="shared" si="1"/>
        <v>101.7</v>
      </c>
      <c r="I35" s="29">
        <f t="shared" si="1"/>
        <v>8.7100000000000009</v>
      </c>
      <c r="J35" s="29">
        <f t="shared" si="1"/>
        <v>2.12</v>
      </c>
      <c r="K35" s="29">
        <f t="shared" si="1"/>
        <v>359.69</v>
      </c>
      <c r="L35" s="29">
        <f t="shared" si="1"/>
        <v>22.44</v>
      </c>
      <c r="M35" s="29">
        <f t="shared" si="1"/>
        <v>72.78</v>
      </c>
      <c r="N35" s="29">
        <f t="shared" si="1"/>
        <v>515.5</v>
      </c>
      <c r="O35" s="29">
        <f t="shared" si="1"/>
        <v>0</v>
      </c>
      <c r="P35" s="29">
        <f t="shared" si="1"/>
        <v>1.45</v>
      </c>
      <c r="Q35" s="29">
        <f t="shared" si="1"/>
        <v>10.029999999999999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7.0120833333333339</v>
      </c>
      <c r="F36" s="28">
        <f t="shared" si="2"/>
        <v>4.6274999999999995</v>
      </c>
      <c r="G36" s="28">
        <f t="shared" si="2"/>
        <v>101.87124999999999</v>
      </c>
      <c r="H36" s="28">
        <f t="shared" si="2"/>
        <v>56.229583333333345</v>
      </c>
      <c r="I36" s="28">
        <f t="shared" si="2"/>
        <v>6.5470833333333331</v>
      </c>
      <c r="J36" s="28">
        <f t="shared" si="2"/>
        <v>1.3720833333333335</v>
      </c>
      <c r="K36" s="28">
        <f t="shared" si="2"/>
        <v>293.61583333333334</v>
      </c>
      <c r="L36" s="28">
        <f t="shared" si="2"/>
        <v>16.560833333333338</v>
      </c>
      <c r="M36" s="28">
        <f t="shared" si="2"/>
        <v>55.583333333333336</v>
      </c>
      <c r="N36" s="28">
        <f t="shared" si="2"/>
        <v>155.37083333333337</v>
      </c>
      <c r="O36" s="28">
        <f t="shared" si="2"/>
        <v>0</v>
      </c>
      <c r="P36" s="28">
        <f t="shared" si="2"/>
        <v>0.94541666666666668</v>
      </c>
      <c r="Q36" s="28">
        <f t="shared" si="2"/>
        <v>8.4687500000000036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0.86509099378980392</v>
      </c>
      <c r="F37" s="28">
        <f t="shared" si="3"/>
        <v>0.71974784231822408</v>
      </c>
      <c r="G37" s="28">
        <f t="shared" si="3"/>
        <v>11.775846434084141</v>
      </c>
      <c r="H37" s="28">
        <f t="shared" si="3"/>
        <v>16.865597987353269</v>
      </c>
      <c r="I37" s="28">
        <f t="shared" si="3"/>
        <v>1.1735952904630704</v>
      </c>
      <c r="J37" s="28">
        <f t="shared" si="3"/>
        <v>0.49041224155465896</v>
      </c>
      <c r="K37" s="28">
        <f t="shared" si="3"/>
        <v>102.8164755413919</v>
      </c>
      <c r="L37" s="28">
        <f t="shared" si="3"/>
        <v>3.8501766381462779</v>
      </c>
      <c r="M37" s="28">
        <f t="shared" si="3"/>
        <v>11.343837885434274</v>
      </c>
      <c r="N37" s="28">
        <f t="shared" si="3"/>
        <v>178.34291706944961</v>
      </c>
      <c r="O37" s="28">
        <f t="shared" si="3"/>
        <v>0</v>
      </c>
      <c r="P37" s="28">
        <f t="shared" si="3"/>
        <v>0.21679441607333821</v>
      </c>
      <c r="Q37" s="28">
        <f t="shared" si="3"/>
        <v>0.60703350312239213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D38" si="4">COUNT(C9:C32)+24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733</v>
      </c>
      <c r="B9" s="60" t="s">
        <v>8</v>
      </c>
      <c r="C9" s="60" t="s">
        <v>8</v>
      </c>
      <c r="D9" s="60" t="s">
        <v>8</v>
      </c>
      <c r="E9" s="51">
        <v>7.15</v>
      </c>
      <c r="F9" s="51">
        <v>3.75</v>
      </c>
      <c r="G9" s="51">
        <v>109.61</v>
      </c>
      <c r="H9" s="51">
        <v>66.260000000000005</v>
      </c>
      <c r="I9" s="51">
        <v>6.16</v>
      </c>
      <c r="J9" s="51">
        <v>1.92</v>
      </c>
      <c r="K9" s="51">
        <v>340.23</v>
      </c>
      <c r="L9" s="51">
        <v>13.54</v>
      </c>
      <c r="M9" s="51">
        <v>70.540000000000006</v>
      </c>
      <c r="N9" s="51">
        <v>34.4</v>
      </c>
      <c r="O9" s="51">
        <v>0</v>
      </c>
      <c r="P9" s="51">
        <v>1.05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734</v>
      </c>
      <c r="B10" s="60" t="s">
        <v>8</v>
      </c>
      <c r="C10" s="60" t="s">
        <v>8</v>
      </c>
      <c r="D10" s="60" t="s">
        <v>8</v>
      </c>
      <c r="E10" s="51">
        <v>7.55</v>
      </c>
      <c r="F10" s="51">
        <v>4.76</v>
      </c>
      <c r="G10" s="51">
        <v>112.37</v>
      </c>
      <c r="H10" s="51">
        <v>47.5</v>
      </c>
      <c r="I10" s="51">
        <v>5.87</v>
      </c>
      <c r="J10" s="51">
        <v>2.68</v>
      </c>
      <c r="K10" s="51">
        <v>346.85</v>
      </c>
      <c r="L10" s="51">
        <v>13.41</v>
      </c>
      <c r="M10" s="51">
        <v>67.540000000000006</v>
      </c>
      <c r="N10" s="51">
        <v>34.5</v>
      </c>
      <c r="O10" s="51">
        <v>0</v>
      </c>
      <c r="P10" s="51">
        <v>0.96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735</v>
      </c>
      <c r="B11" s="60" t="s">
        <v>8</v>
      </c>
      <c r="C11" s="60" t="s">
        <v>8</v>
      </c>
      <c r="D11" s="60" t="s">
        <v>8</v>
      </c>
      <c r="E11" s="51">
        <v>7.12</v>
      </c>
      <c r="F11" s="51">
        <v>4.8</v>
      </c>
      <c r="G11" s="51">
        <v>98.5</v>
      </c>
      <c r="H11" s="51">
        <v>40.31</v>
      </c>
      <c r="I11" s="51">
        <v>5.66</v>
      </c>
      <c r="J11" s="51">
        <v>2.4300000000000002</v>
      </c>
      <c r="K11" s="51">
        <v>342.96</v>
      </c>
      <c r="L11" s="51">
        <v>12.75</v>
      </c>
      <c r="M11" s="51">
        <v>70.69</v>
      </c>
      <c r="N11" s="51">
        <v>34.4</v>
      </c>
      <c r="O11" s="51">
        <v>0</v>
      </c>
      <c r="P11" s="51">
        <v>0.9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736</v>
      </c>
      <c r="B12" s="60" t="s">
        <v>8</v>
      </c>
      <c r="C12" s="60" t="s">
        <v>8</v>
      </c>
      <c r="D12" s="60" t="s">
        <v>8</v>
      </c>
      <c r="E12" s="51">
        <v>7.02</v>
      </c>
      <c r="F12" s="51">
        <v>4.74</v>
      </c>
      <c r="G12" s="51">
        <v>93.38</v>
      </c>
      <c r="H12" s="51">
        <v>41.32</v>
      </c>
      <c r="I12" s="51">
        <v>4.78</v>
      </c>
      <c r="J12" s="51">
        <v>2.34</v>
      </c>
      <c r="K12" s="51">
        <v>348.62</v>
      </c>
      <c r="L12" s="51">
        <v>12.08</v>
      </c>
      <c r="M12" s="51">
        <v>75.12</v>
      </c>
      <c r="N12" s="51">
        <v>34.4</v>
      </c>
      <c r="O12" s="51">
        <v>0</v>
      </c>
      <c r="P12" s="51">
        <v>0.83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737</v>
      </c>
      <c r="B13" s="60" t="s">
        <v>8</v>
      </c>
      <c r="C13" s="60" t="s">
        <v>8</v>
      </c>
      <c r="D13" s="60" t="s">
        <v>8</v>
      </c>
      <c r="E13" s="51">
        <v>7.91</v>
      </c>
      <c r="F13" s="51">
        <v>4.3</v>
      </c>
      <c r="G13" s="51">
        <v>93.82</v>
      </c>
      <c r="H13" s="51">
        <v>44.47</v>
      </c>
      <c r="I13" s="51">
        <v>4.58</v>
      </c>
      <c r="J13" s="51">
        <v>2.4900000000000002</v>
      </c>
      <c r="K13" s="51">
        <v>344.88</v>
      </c>
      <c r="L13" s="51">
        <v>11.81</v>
      </c>
      <c r="M13" s="51">
        <v>78.599999999999994</v>
      </c>
      <c r="N13" s="51">
        <v>34.4</v>
      </c>
      <c r="O13" s="51">
        <v>0</v>
      </c>
      <c r="P13" s="51">
        <v>0.8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738</v>
      </c>
      <c r="B14" s="60" t="s">
        <v>8</v>
      </c>
      <c r="C14" s="60" t="s">
        <v>8</v>
      </c>
      <c r="D14" s="60" t="s">
        <v>8</v>
      </c>
      <c r="E14" s="51">
        <v>7.88</v>
      </c>
      <c r="F14" s="51">
        <v>4.82</v>
      </c>
      <c r="G14" s="51">
        <v>91.47</v>
      </c>
      <c r="H14" s="51">
        <v>45.67</v>
      </c>
      <c r="I14" s="51">
        <v>4.4400000000000004</v>
      </c>
      <c r="J14" s="51">
        <v>2.62</v>
      </c>
      <c r="K14" s="51">
        <v>345.51</v>
      </c>
      <c r="L14" s="51">
        <v>11.32</v>
      </c>
      <c r="M14" s="51">
        <v>81.36</v>
      </c>
      <c r="N14" s="51">
        <v>34.4</v>
      </c>
      <c r="O14" s="51">
        <v>0</v>
      </c>
      <c r="P14" s="51">
        <v>0.76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739</v>
      </c>
      <c r="B15" s="60" t="s">
        <v>8</v>
      </c>
      <c r="C15" s="60" t="s">
        <v>8</v>
      </c>
      <c r="D15" s="60" t="s">
        <v>8</v>
      </c>
      <c r="E15" s="51">
        <v>7.73</v>
      </c>
      <c r="F15" s="51">
        <v>4.4000000000000004</v>
      </c>
      <c r="G15" s="51">
        <v>91.76</v>
      </c>
      <c r="H15" s="51">
        <v>37.630000000000003</v>
      </c>
      <c r="I15" s="51">
        <v>4.38</v>
      </c>
      <c r="J15" s="51">
        <v>2.4700000000000002</v>
      </c>
      <c r="K15" s="51">
        <v>345.68</v>
      </c>
      <c r="L15" s="51">
        <v>10.96</v>
      </c>
      <c r="M15" s="51">
        <v>83.47</v>
      </c>
      <c r="N15" s="51">
        <v>57.1</v>
      </c>
      <c r="O15" s="51">
        <v>0</v>
      </c>
      <c r="P15" s="51">
        <v>0.77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740</v>
      </c>
      <c r="B16" s="60" t="s">
        <v>8</v>
      </c>
      <c r="C16" s="60" t="s">
        <v>8</v>
      </c>
      <c r="D16" s="60" t="s">
        <v>8</v>
      </c>
      <c r="E16" s="51">
        <v>7.58</v>
      </c>
      <c r="F16" s="51">
        <v>4.22</v>
      </c>
      <c r="G16" s="51">
        <v>87.81</v>
      </c>
      <c r="H16" s="51">
        <v>34.79</v>
      </c>
      <c r="I16" s="51">
        <v>4.3099999999999996</v>
      </c>
      <c r="J16" s="51">
        <v>0.52</v>
      </c>
      <c r="K16" s="51">
        <v>343.82</v>
      </c>
      <c r="L16" s="51">
        <v>13.71</v>
      </c>
      <c r="M16" s="51">
        <v>81.790000000000006</v>
      </c>
      <c r="N16" s="51">
        <v>202.1</v>
      </c>
      <c r="O16" s="51">
        <v>0</v>
      </c>
      <c r="P16" s="51">
        <v>0.79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741</v>
      </c>
      <c r="B17" s="60" t="s">
        <v>8</v>
      </c>
      <c r="C17" s="60" t="s">
        <v>8</v>
      </c>
      <c r="D17" s="60" t="s">
        <v>8</v>
      </c>
      <c r="E17" s="51">
        <v>7.59</v>
      </c>
      <c r="F17" s="51">
        <v>3.88</v>
      </c>
      <c r="G17" s="51">
        <v>91.28</v>
      </c>
      <c r="H17" s="51">
        <v>39.32</v>
      </c>
      <c r="I17" s="51">
        <v>5</v>
      </c>
      <c r="J17" s="51">
        <v>1.41</v>
      </c>
      <c r="K17" s="51">
        <v>108.76</v>
      </c>
      <c r="L17" s="51">
        <v>15.95</v>
      </c>
      <c r="M17" s="51">
        <v>66.59</v>
      </c>
      <c r="N17" s="51">
        <v>318.3</v>
      </c>
      <c r="O17" s="51">
        <v>0</v>
      </c>
      <c r="P17" s="51">
        <v>0.8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742</v>
      </c>
      <c r="B18" s="60" t="s">
        <v>8</v>
      </c>
      <c r="C18" s="60" t="s">
        <v>8</v>
      </c>
      <c r="D18" s="60" t="s">
        <v>8</v>
      </c>
      <c r="E18" s="51">
        <v>7.94</v>
      </c>
      <c r="F18" s="51">
        <v>4.72</v>
      </c>
      <c r="G18" s="51">
        <v>95.46</v>
      </c>
      <c r="H18" s="51">
        <v>48.24</v>
      </c>
      <c r="I18" s="51">
        <v>6.08</v>
      </c>
      <c r="J18" s="51">
        <v>1.04</v>
      </c>
      <c r="K18" s="51">
        <v>102.37</v>
      </c>
      <c r="L18" s="51">
        <v>18.96</v>
      </c>
      <c r="M18" s="51">
        <v>58.57</v>
      </c>
      <c r="N18" s="51">
        <v>467.2</v>
      </c>
      <c r="O18" s="51">
        <v>0</v>
      </c>
      <c r="P18" s="51">
        <v>0.81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743</v>
      </c>
      <c r="B19" s="60" t="s">
        <v>8</v>
      </c>
      <c r="C19" s="60" t="s">
        <v>8</v>
      </c>
      <c r="D19" s="60" t="s">
        <v>8</v>
      </c>
      <c r="E19" s="51">
        <v>7.47</v>
      </c>
      <c r="F19" s="51">
        <v>5.64</v>
      </c>
      <c r="G19" s="51">
        <v>96.99</v>
      </c>
      <c r="H19" s="51">
        <v>53.35</v>
      </c>
      <c r="I19" s="51">
        <v>6.75</v>
      </c>
      <c r="J19" s="51">
        <v>1.73</v>
      </c>
      <c r="K19" s="51">
        <v>329.44</v>
      </c>
      <c r="L19" s="51">
        <v>22.37</v>
      </c>
      <c r="M19" s="51">
        <v>50.95</v>
      </c>
      <c r="N19" s="51">
        <v>561</v>
      </c>
      <c r="O19" s="51">
        <v>0</v>
      </c>
      <c r="P19" s="51">
        <v>0.81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744</v>
      </c>
      <c r="B20" s="60" t="s">
        <v>8</v>
      </c>
      <c r="C20" s="60" t="s">
        <v>8</v>
      </c>
      <c r="D20" s="60" t="s">
        <v>8</v>
      </c>
      <c r="E20" s="51">
        <v>7.67</v>
      </c>
      <c r="F20" s="51">
        <v>5.5</v>
      </c>
      <c r="G20" s="51">
        <v>93.53</v>
      </c>
      <c r="H20" s="51">
        <v>44.13</v>
      </c>
      <c r="I20" s="51">
        <v>7.24</v>
      </c>
      <c r="J20" s="51">
        <v>1.56</v>
      </c>
      <c r="K20" s="51">
        <v>355.36</v>
      </c>
      <c r="L20" s="51">
        <v>24.02</v>
      </c>
      <c r="M20" s="51">
        <v>46.41</v>
      </c>
      <c r="N20" s="51">
        <v>567.5</v>
      </c>
      <c r="O20" s="51">
        <v>0</v>
      </c>
      <c r="P20" s="51">
        <v>0.82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745</v>
      </c>
      <c r="B21" s="60" t="s">
        <v>8</v>
      </c>
      <c r="C21" s="60" t="s">
        <v>8</v>
      </c>
      <c r="D21" s="60" t="s">
        <v>8</v>
      </c>
      <c r="E21" s="51">
        <v>7.43</v>
      </c>
      <c r="F21" s="51">
        <v>5.95</v>
      </c>
      <c r="G21" s="51">
        <v>93.83</v>
      </c>
      <c r="H21" s="51">
        <v>45.69</v>
      </c>
      <c r="I21" s="51">
        <v>7.09</v>
      </c>
      <c r="J21" s="51">
        <v>2.5</v>
      </c>
      <c r="K21" s="51">
        <v>112.82</v>
      </c>
      <c r="L21" s="51">
        <v>23.82</v>
      </c>
      <c r="M21" s="51">
        <v>44.78</v>
      </c>
      <c r="N21" s="51">
        <v>522.5</v>
      </c>
      <c r="O21" s="51">
        <v>0</v>
      </c>
      <c r="P21" s="51">
        <v>0.82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746</v>
      </c>
      <c r="B22" s="60" t="s">
        <v>8</v>
      </c>
      <c r="C22" s="60" t="s">
        <v>8</v>
      </c>
      <c r="D22" s="60" t="s">
        <v>8</v>
      </c>
      <c r="E22" s="51">
        <v>7.79</v>
      </c>
      <c r="F22" s="51">
        <v>5.78</v>
      </c>
      <c r="G22" s="51">
        <v>92.3</v>
      </c>
      <c r="H22" s="51">
        <v>44.26</v>
      </c>
      <c r="I22" s="51">
        <v>6.91</v>
      </c>
      <c r="J22" s="51">
        <v>2.48</v>
      </c>
      <c r="K22" s="51">
        <v>359.06</v>
      </c>
      <c r="L22" s="51">
        <v>24.41</v>
      </c>
      <c r="M22" s="51">
        <v>43.57</v>
      </c>
      <c r="N22" s="51">
        <v>486.2</v>
      </c>
      <c r="O22" s="51">
        <v>0</v>
      </c>
      <c r="P22" s="51">
        <v>0.79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747</v>
      </c>
      <c r="B23" s="60" t="s">
        <v>8</v>
      </c>
      <c r="C23" s="60" t="s">
        <v>8</v>
      </c>
      <c r="D23" s="60" t="s">
        <v>8</v>
      </c>
      <c r="E23" s="51">
        <v>7.66</v>
      </c>
      <c r="F23" s="51">
        <v>6.45</v>
      </c>
      <c r="G23" s="51">
        <v>86.46</v>
      </c>
      <c r="H23" s="51">
        <v>31.84</v>
      </c>
      <c r="I23" s="51">
        <v>7.85</v>
      </c>
      <c r="J23" s="51">
        <v>2.67</v>
      </c>
      <c r="K23" s="51">
        <v>343.03</v>
      </c>
      <c r="L23" s="51">
        <v>24.14</v>
      </c>
      <c r="M23" s="51">
        <v>42.25</v>
      </c>
      <c r="N23" s="51">
        <v>182.4</v>
      </c>
      <c r="O23" s="51">
        <v>0</v>
      </c>
      <c r="P23" s="51">
        <v>0.8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748</v>
      </c>
      <c r="B24" s="60" t="s">
        <v>8</v>
      </c>
      <c r="C24" s="60" t="s">
        <v>8</v>
      </c>
      <c r="D24" s="60" t="s">
        <v>8</v>
      </c>
      <c r="E24" s="51">
        <v>7.28</v>
      </c>
      <c r="F24" s="51">
        <v>6.03</v>
      </c>
      <c r="G24" s="51">
        <v>84.97</v>
      </c>
      <c r="H24" s="51">
        <v>30.47</v>
      </c>
      <c r="I24" s="51">
        <v>6.69</v>
      </c>
      <c r="J24" s="51">
        <v>1.22</v>
      </c>
      <c r="K24" s="51">
        <v>354.94</v>
      </c>
      <c r="L24" s="51">
        <v>23.05</v>
      </c>
      <c r="M24" s="51">
        <v>45.19</v>
      </c>
      <c r="N24" s="51">
        <v>104.4</v>
      </c>
      <c r="O24" s="51">
        <v>0</v>
      </c>
      <c r="P24" s="51">
        <v>0.8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749</v>
      </c>
      <c r="B25" s="60" t="s">
        <v>8</v>
      </c>
      <c r="C25" s="60" t="s">
        <v>8</v>
      </c>
      <c r="D25" s="60" t="s">
        <v>8</v>
      </c>
      <c r="E25" s="51">
        <v>4.95</v>
      </c>
      <c r="F25" s="51">
        <v>4.7</v>
      </c>
      <c r="G25" s="51">
        <v>80.239999999999995</v>
      </c>
      <c r="H25" s="51">
        <v>31.3</v>
      </c>
      <c r="I25" s="51">
        <v>5.91</v>
      </c>
      <c r="J25" s="51">
        <v>1.95</v>
      </c>
      <c r="K25" s="51">
        <v>342.17</v>
      </c>
      <c r="L25" s="51">
        <v>22.28</v>
      </c>
      <c r="M25" s="51">
        <v>48</v>
      </c>
      <c r="N25" s="51">
        <v>69</v>
      </c>
      <c r="O25" s="51">
        <v>0</v>
      </c>
      <c r="P25" s="51">
        <v>0.87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750</v>
      </c>
      <c r="B26" s="60" t="s">
        <v>8</v>
      </c>
      <c r="C26" s="60" t="s">
        <v>8</v>
      </c>
      <c r="D26" s="60" t="s">
        <v>8</v>
      </c>
      <c r="E26" s="51">
        <v>5.26</v>
      </c>
      <c r="F26" s="51">
        <v>4.28</v>
      </c>
      <c r="G26" s="51">
        <v>77.92</v>
      </c>
      <c r="H26" s="51">
        <v>33.65</v>
      </c>
      <c r="I26" s="51">
        <v>5.24</v>
      </c>
      <c r="J26" s="51">
        <v>1.48</v>
      </c>
      <c r="K26" s="51">
        <v>105.18</v>
      </c>
      <c r="L26" s="51">
        <v>20.66</v>
      </c>
      <c r="M26" s="51">
        <v>54.57</v>
      </c>
      <c r="N26" s="51">
        <v>40</v>
      </c>
      <c r="O26" s="51">
        <v>0</v>
      </c>
      <c r="P26" s="51">
        <v>0.99</v>
      </c>
      <c r="Q26" s="51">
        <v>8.44</v>
      </c>
      <c r="R26" s="43"/>
      <c r="S26" s="43"/>
      <c r="T26" s="43"/>
      <c r="U26" s="43"/>
    </row>
    <row r="27" spans="1:21" s="11" customFormat="1" x14ac:dyDescent="0.25">
      <c r="A27" s="50" t="s">
        <v>751</v>
      </c>
      <c r="B27" s="60" t="s">
        <v>8</v>
      </c>
      <c r="C27" s="60" t="s">
        <v>8</v>
      </c>
      <c r="D27" s="60" t="s">
        <v>8</v>
      </c>
      <c r="E27" s="51">
        <v>5.76</v>
      </c>
      <c r="F27" s="51">
        <v>4.5</v>
      </c>
      <c r="G27" s="51">
        <v>87.3</v>
      </c>
      <c r="H27" s="51">
        <v>38.83</v>
      </c>
      <c r="I27" s="51">
        <v>7.76</v>
      </c>
      <c r="J27" s="51">
        <v>1.81</v>
      </c>
      <c r="K27" s="51">
        <v>356.9</v>
      </c>
      <c r="L27" s="51">
        <v>19.05</v>
      </c>
      <c r="M27" s="51">
        <v>59.82</v>
      </c>
      <c r="N27" s="51">
        <v>34.799999999999997</v>
      </c>
      <c r="O27" s="51">
        <v>0</v>
      </c>
      <c r="P27" s="51">
        <v>1.17</v>
      </c>
      <c r="Q27" s="51">
        <v>8.9700000000000006</v>
      </c>
      <c r="R27" s="43"/>
      <c r="S27" s="43"/>
      <c r="T27" s="43"/>
      <c r="U27" s="43"/>
    </row>
    <row r="28" spans="1:21" s="11" customFormat="1" x14ac:dyDescent="0.25">
      <c r="A28" s="50" t="s">
        <v>752</v>
      </c>
      <c r="B28" s="60" t="s">
        <v>8</v>
      </c>
      <c r="C28" s="60" t="s">
        <v>8</v>
      </c>
      <c r="D28" s="60" t="s">
        <v>8</v>
      </c>
      <c r="E28" s="51">
        <v>6.12</v>
      </c>
      <c r="F28" s="51">
        <v>4.17</v>
      </c>
      <c r="G28" s="51">
        <v>96.64</v>
      </c>
      <c r="H28" s="51">
        <v>46.88</v>
      </c>
      <c r="I28" s="51">
        <v>8.2799999999999994</v>
      </c>
      <c r="J28" s="51">
        <v>2.34</v>
      </c>
      <c r="K28" s="51">
        <v>351.19</v>
      </c>
      <c r="L28" s="51">
        <v>18.239999999999998</v>
      </c>
      <c r="M28" s="51">
        <v>60.21</v>
      </c>
      <c r="N28" s="51">
        <v>34.6</v>
      </c>
      <c r="O28" s="51">
        <v>0</v>
      </c>
      <c r="P28" s="51">
        <v>1.35</v>
      </c>
      <c r="Q28" s="51">
        <v>9.17</v>
      </c>
      <c r="R28" s="43"/>
      <c r="S28" s="43"/>
      <c r="T28" s="43"/>
      <c r="U28" s="43"/>
    </row>
    <row r="29" spans="1:21" s="11" customFormat="1" x14ac:dyDescent="0.25">
      <c r="A29" s="50" t="s">
        <v>753</v>
      </c>
      <c r="B29" s="60" t="s">
        <v>8</v>
      </c>
      <c r="C29" s="60" t="s">
        <v>8</v>
      </c>
      <c r="D29" s="60" t="s">
        <v>8</v>
      </c>
      <c r="E29" s="51">
        <v>6.27</v>
      </c>
      <c r="F29" s="51">
        <v>4.1500000000000004</v>
      </c>
      <c r="G29" s="51">
        <v>102.53</v>
      </c>
      <c r="H29" s="51">
        <v>49.21</v>
      </c>
      <c r="I29" s="51">
        <v>8.39</v>
      </c>
      <c r="J29" s="51">
        <v>1.53</v>
      </c>
      <c r="K29" s="51">
        <v>315.48</v>
      </c>
      <c r="L29" s="51">
        <v>18.260000000000002</v>
      </c>
      <c r="M29" s="51">
        <v>59.17</v>
      </c>
      <c r="N29" s="51">
        <v>34.799999999999997</v>
      </c>
      <c r="O29" s="51">
        <v>0</v>
      </c>
      <c r="P29" s="51">
        <v>1.49</v>
      </c>
      <c r="Q29" s="51">
        <v>9.35</v>
      </c>
      <c r="R29" s="43"/>
      <c r="S29" s="43"/>
      <c r="T29" s="43"/>
      <c r="U29" s="43"/>
    </row>
    <row r="30" spans="1:21" s="11" customFormat="1" x14ac:dyDescent="0.25">
      <c r="A30" s="50" t="s">
        <v>754</v>
      </c>
      <c r="B30" s="60" t="s">
        <v>8</v>
      </c>
      <c r="C30" s="60" t="s">
        <v>8</v>
      </c>
      <c r="D30" s="60" t="s">
        <v>8</v>
      </c>
      <c r="E30" s="51">
        <v>5.93</v>
      </c>
      <c r="F30" s="51">
        <v>4.2300000000000004</v>
      </c>
      <c r="G30" s="51">
        <v>104.95</v>
      </c>
      <c r="H30" s="51">
        <v>49.98</v>
      </c>
      <c r="I30" s="51">
        <v>7.41</v>
      </c>
      <c r="J30" s="51">
        <v>1.98</v>
      </c>
      <c r="K30" s="51">
        <v>330.73</v>
      </c>
      <c r="L30" s="51">
        <v>18.03</v>
      </c>
      <c r="M30" s="51">
        <v>55.86</v>
      </c>
      <c r="N30" s="51">
        <v>35.1</v>
      </c>
      <c r="O30" s="51">
        <v>0</v>
      </c>
      <c r="P30" s="51">
        <v>1.45</v>
      </c>
      <c r="Q30" s="51">
        <v>10.17</v>
      </c>
      <c r="R30" s="43"/>
      <c r="S30" s="43"/>
      <c r="T30" s="43"/>
      <c r="U30" s="43"/>
    </row>
    <row r="31" spans="1:21" s="11" customFormat="1" x14ac:dyDescent="0.25">
      <c r="A31" s="50" t="s">
        <v>755</v>
      </c>
      <c r="B31" s="60" t="s">
        <v>8</v>
      </c>
      <c r="C31" s="60" t="s">
        <v>8</v>
      </c>
      <c r="D31" s="60" t="s">
        <v>8</v>
      </c>
      <c r="E31" s="51">
        <v>5.98</v>
      </c>
      <c r="F31" s="51">
        <v>4.28</v>
      </c>
      <c r="G31" s="51">
        <v>103.32</v>
      </c>
      <c r="H31" s="51">
        <v>50.9</v>
      </c>
      <c r="I31" s="51">
        <v>8.66</v>
      </c>
      <c r="J31" s="51">
        <v>1.25</v>
      </c>
      <c r="K31" s="51">
        <v>348.49</v>
      </c>
      <c r="L31" s="51">
        <v>17.850000000000001</v>
      </c>
      <c r="M31" s="51">
        <v>59.75</v>
      </c>
      <c r="N31" s="51">
        <v>35.1</v>
      </c>
      <c r="O31" s="51">
        <v>0</v>
      </c>
      <c r="P31" s="51">
        <v>1.41</v>
      </c>
      <c r="Q31" s="51">
        <v>10.210000000000001</v>
      </c>
      <c r="R31" s="43"/>
      <c r="S31" s="43"/>
      <c r="T31" s="43"/>
      <c r="U31" s="43"/>
    </row>
    <row r="32" spans="1:21" s="11" customFormat="1" x14ac:dyDescent="0.25">
      <c r="A32" s="50" t="s">
        <v>756</v>
      </c>
      <c r="B32" s="60" t="s">
        <v>8</v>
      </c>
      <c r="C32" s="60" t="s">
        <v>8</v>
      </c>
      <c r="D32" s="60" t="s">
        <v>8</v>
      </c>
      <c r="E32" s="51">
        <v>5.32</v>
      </c>
      <c r="F32" s="51">
        <v>4.0599999999999996</v>
      </c>
      <c r="G32" s="51">
        <v>92.25</v>
      </c>
      <c r="H32" s="51">
        <v>39.14</v>
      </c>
      <c r="I32" s="51">
        <v>8.43</v>
      </c>
      <c r="J32" s="51">
        <v>1.82</v>
      </c>
      <c r="K32" s="51">
        <v>335.37</v>
      </c>
      <c r="L32" s="51">
        <v>16.71</v>
      </c>
      <c r="M32" s="51">
        <v>63.26</v>
      </c>
      <c r="N32" s="51">
        <v>34.799999999999997</v>
      </c>
      <c r="O32" s="51">
        <v>0</v>
      </c>
      <c r="P32" s="51">
        <v>1.28</v>
      </c>
      <c r="Q32" s="51">
        <v>9.0500000000000007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4.95</v>
      </c>
      <c r="F34" s="28">
        <f t="shared" si="0"/>
        <v>3.75</v>
      </c>
      <c r="G34" s="28">
        <f t="shared" si="0"/>
        <v>77.92</v>
      </c>
      <c r="H34" s="28">
        <f t="shared" si="0"/>
        <v>30.47</v>
      </c>
      <c r="I34" s="28">
        <f t="shared" si="0"/>
        <v>4.3099999999999996</v>
      </c>
      <c r="J34" s="28">
        <f t="shared" si="0"/>
        <v>0.52</v>
      </c>
      <c r="K34" s="28">
        <f t="shared" si="0"/>
        <v>102.37</v>
      </c>
      <c r="L34" s="28">
        <f t="shared" si="0"/>
        <v>10.96</v>
      </c>
      <c r="M34" s="28">
        <f t="shared" si="0"/>
        <v>42.25</v>
      </c>
      <c r="N34" s="28">
        <f t="shared" si="0"/>
        <v>34.4</v>
      </c>
      <c r="O34" s="28">
        <f t="shared" si="0"/>
        <v>0</v>
      </c>
      <c r="P34" s="28">
        <f t="shared" si="0"/>
        <v>0.76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7.94</v>
      </c>
      <c r="F35" s="29">
        <f t="shared" si="1"/>
        <v>6.45</v>
      </c>
      <c r="G35" s="29">
        <f t="shared" si="1"/>
        <v>112.37</v>
      </c>
      <c r="H35" s="29">
        <f t="shared" si="1"/>
        <v>66.260000000000005</v>
      </c>
      <c r="I35" s="29">
        <f t="shared" si="1"/>
        <v>8.66</v>
      </c>
      <c r="J35" s="29">
        <f t="shared" si="1"/>
        <v>2.68</v>
      </c>
      <c r="K35" s="29">
        <f t="shared" si="1"/>
        <v>359.06</v>
      </c>
      <c r="L35" s="29">
        <f t="shared" si="1"/>
        <v>24.41</v>
      </c>
      <c r="M35" s="29">
        <f t="shared" si="1"/>
        <v>83.47</v>
      </c>
      <c r="N35" s="29">
        <f t="shared" si="1"/>
        <v>567.5</v>
      </c>
      <c r="O35" s="29">
        <f t="shared" si="1"/>
        <v>0</v>
      </c>
      <c r="P35" s="29">
        <f t="shared" si="1"/>
        <v>1.49</v>
      </c>
      <c r="Q35" s="29">
        <f t="shared" si="1"/>
        <v>10.210000000000001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6.9316666666666658</v>
      </c>
      <c r="F36" s="28">
        <f t="shared" si="2"/>
        <v>4.7545833333333345</v>
      </c>
      <c r="G36" s="28">
        <f t="shared" si="2"/>
        <v>94.112083333333331</v>
      </c>
      <c r="H36" s="28">
        <f t="shared" si="2"/>
        <v>43.130833333333335</v>
      </c>
      <c r="I36" s="28">
        <f t="shared" si="2"/>
        <v>6.4112499999999999</v>
      </c>
      <c r="J36" s="28">
        <f t="shared" si="2"/>
        <v>1.9266666666666665</v>
      </c>
      <c r="K36" s="28">
        <f t="shared" si="2"/>
        <v>304.57666666666665</v>
      </c>
      <c r="L36" s="28">
        <f t="shared" si="2"/>
        <v>17.807500000000001</v>
      </c>
      <c r="M36" s="28">
        <f t="shared" si="2"/>
        <v>61.169166666666662</v>
      </c>
      <c r="N36" s="28">
        <f t="shared" si="2"/>
        <v>166.39166666666668</v>
      </c>
      <c r="O36" s="28">
        <f t="shared" si="2"/>
        <v>0</v>
      </c>
      <c r="P36" s="28">
        <f t="shared" si="2"/>
        <v>0.97166666666666679</v>
      </c>
      <c r="Q36" s="28">
        <f t="shared" si="2"/>
        <v>8.5387500000000021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0.95568626226605369</v>
      </c>
      <c r="F37" s="28">
        <f t="shared" si="3"/>
        <v>0.74321264536596487</v>
      </c>
      <c r="G37" s="28">
        <f t="shared" si="3"/>
        <v>8.3238348076951336</v>
      </c>
      <c r="H37" s="28">
        <f t="shared" si="3"/>
        <v>8.1762529510063384</v>
      </c>
      <c r="I37" s="28">
        <f t="shared" si="3"/>
        <v>1.4157754443045147</v>
      </c>
      <c r="J37" s="28">
        <f t="shared" si="3"/>
        <v>0.58942615178306934</v>
      </c>
      <c r="K37" s="28">
        <f t="shared" si="3"/>
        <v>90.636885555431789</v>
      </c>
      <c r="L37" s="28">
        <f t="shared" si="3"/>
        <v>4.5707798307148364</v>
      </c>
      <c r="M37" s="28">
        <f t="shared" si="3"/>
        <v>12.948085276165065</v>
      </c>
      <c r="N37" s="28">
        <f t="shared" si="3"/>
        <v>198.94640728350564</v>
      </c>
      <c r="O37" s="28">
        <f t="shared" si="3"/>
        <v>0</v>
      </c>
      <c r="P37" s="28">
        <f t="shared" si="3"/>
        <v>0.24467665738003394</v>
      </c>
      <c r="Q37" s="28">
        <f t="shared" si="3"/>
        <v>0.61873160930069337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D38" si="4">COUNT(C9:C32)+24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H51" sqref="H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757</v>
      </c>
      <c r="B9" s="60" t="s">
        <v>8</v>
      </c>
      <c r="C9" s="60" t="s">
        <v>8</v>
      </c>
      <c r="D9" s="60" t="s">
        <v>8</v>
      </c>
      <c r="E9" s="51">
        <v>6.21</v>
      </c>
      <c r="F9" s="51">
        <v>3.85</v>
      </c>
      <c r="G9" s="51">
        <v>87.37</v>
      </c>
      <c r="H9" s="51">
        <v>42.93</v>
      </c>
      <c r="I9" s="51">
        <v>7.7</v>
      </c>
      <c r="J9" s="51">
        <v>1.43</v>
      </c>
      <c r="K9" s="51">
        <v>347.51</v>
      </c>
      <c r="L9" s="51">
        <v>16.100000000000001</v>
      </c>
      <c r="M9" s="51">
        <v>66.489999999999995</v>
      </c>
      <c r="N9" s="51">
        <v>34.9</v>
      </c>
      <c r="O9" s="51">
        <v>0</v>
      </c>
      <c r="P9" s="51">
        <v>1.1599999999999999</v>
      </c>
      <c r="Q9" s="51">
        <v>8.86</v>
      </c>
      <c r="R9" s="43"/>
      <c r="S9" s="43"/>
      <c r="T9" s="43"/>
      <c r="U9" s="43"/>
    </row>
    <row r="10" spans="1:21" s="11" customFormat="1" x14ac:dyDescent="0.25">
      <c r="A10" s="50" t="s">
        <v>758</v>
      </c>
      <c r="B10" s="60" t="s">
        <v>8</v>
      </c>
      <c r="C10" s="60" t="s">
        <v>8</v>
      </c>
      <c r="D10" s="60" t="s">
        <v>8</v>
      </c>
      <c r="E10" s="51">
        <v>6.09</v>
      </c>
      <c r="F10" s="51">
        <v>3.97</v>
      </c>
      <c r="G10" s="51">
        <v>86.8</v>
      </c>
      <c r="H10" s="51">
        <v>43.21</v>
      </c>
      <c r="I10" s="51">
        <v>6.45</v>
      </c>
      <c r="J10" s="51">
        <v>2.38</v>
      </c>
      <c r="K10" s="51">
        <v>349.48</v>
      </c>
      <c r="L10" s="51">
        <v>15.76</v>
      </c>
      <c r="M10" s="51">
        <v>71.39</v>
      </c>
      <c r="N10" s="51">
        <v>34.799999999999997</v>
      </c>
      <c r="O10" s="51">
        <v>0</v>
      </c>
      <c r="P10" s="51">
        <v>0.99</v>
      </c>
      <c r="Q10" s="51">
        <v>8.89</v>
      </c>
      <c r="R10" s="43"/>
      <c r="S10" s="43"/>
      <c r="T10" s="43"/>
      <c r="U10" s="43"/>
    </row>
    <row r="11" spans="1:21" s="11" customFormat="1" x14ac:dyDescent="0.25">
      <c r="A11" s="50" t="s">
        <v>759</v>
      </c>
      <c r="B11" s="60" t="s">
        <v>8</v>
      </c>
      <c r="C11" s="60" t="s">
        <v>8</v>
      </c>
      <c r="D11" s="60" t="s">
        <v>8</v>
      </c>
      <c r="E11" s="51">
        <v>6.23</v>
      </c>
      <c r="F11" s="51">
        <v>4.0599999999999996</v>
      </c>
      <c r="G11" s="51">
        <v>81.41</v>
      </c>
      <c r="H11" s="51">
        <v>41.53</v>
      </c>
      <c r="I11" s="51">
        <v>6.78</v>
      </c>
      <c r="J11" s="51">
        <v>2.94</v>
      </c>
      <c r="K11" s="51">
        <v>345.28</v>
      </c>
      <c r="L11" s="51">
        <v>14.93</v>
      </c>
      <c r="M11" s="51">
        <v>74.94</v>
      </c>
      <c r="N11" s="51">
        <v>34.799999999999997</v>
      </c>
      <c r="O11" s="51">
        <v>0</v>
      </c>
      <c r="P11" s="51">
        <v>0.96</v>
      </c>
      <c r="Q11" s="51">
        <v>8.4600000000000009</v>
      </c>
      <c r="R11" s="43"/>
      <c r="S11" s="43"/>
      <c r="T11" s="43"/>
      <c r="U11" s="43"/>
    </row>
    <row r="12" spans="1:21" s="11" customFormat="1" x14ac:dyDescent="0.25">
      <c r="A12" s="50" t="s">
        <v>760</v>
      </c>
      <c r="B12" s="60" t="s">
        <v>8</v>
      </c>
      <c r="C12" s="60" t="s">
        <v>8</v>
      </c>
      <c r="D12" s="60" t="s">
        <v>8</v>
      </c>
      <c r="E12" s="51">
        <v>6.08</v>
      </c>
      <c r="F12" s="51">
        <v>4.17</v>
      </c>
      <c r="G12" s="51">
        <v>81.599999999999994</v>
      </c>
      <c r="H12" s="51">
        <v>37.130000000000003</v>
      </c>
      <c r="I12" s="51">
        <v>6.54</v>
      </c>
      <c r="J12" s="51">
        <v>3.25</v>
      </c>
      <c r="K12" s="51">
        <v>347.88</v>
      </c>
      <c r="L12" s="51">
        <v>14.5</v>
      </c>
      <c r="M12" s="51">
        <v>79.09</v>
      </c>
      <c r="N12" s="51">
        <v>34.799999999999997</v>
      </c>
      <c r="O12" s="51">
        <v>0</v>
      </c>
      <c r="P12" s="51">
        <v>0.88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761</v>
      </c>
      <c r="B13" s="60" t="s">
        <v>8</v>
      </c>
      <c r="C13" s="60" t="s">
        <v>8</v>
      </c>
      <c r="D13" s="60" t="s">
        <v>8</v>
      </c>
      <c r="E13" s="51">
        <v>5.97</v>
      </c>
      <c r="F13" s="51">
        <v>4.33</v>
      </c>
      <c r="G13" s="51">
        <v>79.069999999999993</v>
      </c>
      <c r="H13" s="51">
        <v>43.26</v>
      </c>
      <c r="I13" s="51">
        <v>5.95</v>
      </c>
      <c r="J13" s="51">
        <v>3.03</v>
      </c>
      <c r="K13" s="51">
        <v>345.87</v>
      </c>
      <c r="L13" s="51">
        <v>14.08</v>
      </c>
      <c r="M13" s="51">
        <v>80.28</v>
      </c>
      <c r="N13" s="51">
        <v>34.799999999999997</v>
      </c>
      <c r="O13" s="51">
        <v>0</v>
      </c>
      <c r="P13" s="51">
        <v>0.81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762</v>
      </c>
      <c r="B14" s="60" t="s">
        <v>8</v>
      </c>
      <c r="C14" s="60" t="s">
        <v>8</v>
      </c>
      <c r="D14" s="60" t="s">
        <v>8</v>
      </c>
      <c r="E14" s="51">
        <v>6.41</v>
      </c>
      <c r="F14" s="51">
        <v>3.95</v>
      </c>
      <c r="G14" s="51">
        <v>81.47</v>
      </c>
      <c r="H14" s="51">
        <v>44.17</v>
      </c>
      <c r="I14" s="51">
        <v>5.14</v>
      </c>
      <c r="J14" s="51">
        <v>3.19</v>
      </c>
      <c r="K14" s="51">
        <v>342.82</v>
      </c>
      <c r="L14" s="51">
        <v>13.99</v>
      </c>
      <c r="M14" s="51">
        <v>83.31</v>
      </c>
      <c r="N14" s="51">
        <v>34.799999999999997</v>
      </c>
      <c r="O14" s="51">
        <v>0</v>
      </c>
      <c r="P14" s="51">
        <v>0.76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763</v>
      </c>
      <c r="B15" s="60" t="s">
        <v>8</v>
      </c>
      <c r="C15" s="60" t="s">
        <v>8</v>
      </c>
      <c r="D15" s="60" t="s">
        <v>8</v>
      </c>
      <c r="E15" s="51">
        <v>6.77</v>
      </c>
      <c r="F15" s="51">
        <v>4.09</v>
      </c>
      <c r="G15" s="51">
        <v>78.900000000000006</v>
      </c>
      <c r="H15" s="51">
        <v>41.02</v>
      </c>
      <c r="I15" s="51">
        <v>5.04</v>
      </c>
      <c r="J15" s="51">
        <v>3.56</v>
      </c>
      <c r="K15" s="51">
        <v>345.05</v>
      </c>
      <c r="L15" s="51">
        <v>13.52</v>
      </c>
      <c r="M15" s="51">
        <v>85.01</v>
      </c>
      <c r="N15" s="51">
        <v>44.4</v>
      </c>
      <c r="O15" s="51">
        <v>0</v>
      </c>
      <c r="P15" s="51">
        <v>0.71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764</v>
      </c>
      <c r="B16" s="60" t="s">
        <v>8</v>
      </c>
      <c r="C16" s="60" t="s">
        <v>8</v>
      </c>
      <c r="D16" s="60" t="s">
        <v>8</v>
      </c>
      <c r="E16" s="51">
        <v>7.1</v>
      </c>
      <c r="F16" s="51">
        <v>4.1399999999999997</v>
      </c>
      <c r="G16" s="51">
        <v>77.58</v>
      </c>
      <c r="H16" s="51">
        <v>38.61</v>
      </c>
      <c r="I16" s="51">
        <v>4.91</v>
      </c>
      <c r="J16" s="51">
        <v>2.91</v>
      </c>
      <c r="K16" s="51">
        <v>346.72</v>
      </c>
      <c r="L16" s="51">
        <v>14.43</v>
      </c>
      <c r="M16" s="51">
        <v>85.4</v>
      </c>
      <c r="N16" s="51">
        <v>105.6</v>
      </c>
      <c r="O16" s="51">
        <v>0</v>
      </c>
      <c r="P16" s="51">
        <v>0.75</v>
      </c>
      <c r="Q16" s="51">
        <v>8.2799999999999994</v>
      </c>
      <c r="R16" s="43"/>
      <c r="S16" s="43"/>
      <c r="T16" s="43"/>
      <c r="U16" s="43"/>
    </row>
    <row r="17" spans="1:21" s="11" customFormat="1" x14ac:dyDescent="0.25">
      <c r="A17" s="50" t="s">
        <v>765</v>
      </c>
      <c r="B17" s="60" t="s">
        <v>8</v>
      </c>
      <c r="C17" s="60" t="s">
        <v>8</v>
      </c>
      <c r="D17" s="60" t="s">
        <v>8</v>
      </c>
      <c r="E17" s="51">
        <v>7.44</v>
      </c>
      <c r="F17" s="51">
        <v>3.99</v>
      </c>
      <c r="G17" s="51">
        <v>79.02</v>
      </c>
      <c r="H17" s="51">
        <v>38.99</v>
      </c>
      <c r="I17" s="51">
        <v>5.17</v>
      </c>
      <c r="J17" s="51">
        <v>1</v>
      </c>
      <c r="K17" s="51">
        <v>65.86</v>
      </c>
      <c r="L17" s="51">
        <v>16.079999999999998</v>
      </c>
      <c r="M17" s="51">
        <v>84.45</v>
      </c>
      <c r="N17" s="51">
        <v>138.19999999999999</v>
      </c>
      <c r="O17" s="51">
        <v>0</v>
      </c>
      <c r="P17" s="51">
        <v>0.79</v>
      </c>
      <c r="Q17" s="51">
        <v>8.8000000000000007</v>
      </c>
      <c r="R17" s="43"/>
      <c r="S17" s="43"/>
      <c r="T17" s="43"/>
      <c r="U17" s="43"/>
    </row>
    <row r="18" spans="1:21" s="11" customFormat="1" x14ac:dyDescent="0.25">
      <c r="A18" s="50" t="s">
        <v>766</v>
      </c>
      <c r="B18" s="60" t="s">
        <v>8</v>
      </c>
      <c r="C18" s="60" t="s">
        <v>8</v>
      </c>
      <c r="D18" s="60" t="s">
        <v>8</v>
      </c>
      <c r="E18" s="51">
        <v>7.48</v>
      </c>
      <c r="F18" s="51">
        <v>3.81</v>
      </c>
      <c r="G18" s="51">
        <v>80.180000000000007</v>
      </c>
      <c r="H18" s="51">
        <v>40.49</v>
      </c>
      <c r="I18" s="51">
        <v>5.66</v>
      </c>
      <c r="J18" s="51">
        <v>1.31</v>
      </c>
      <c r="K18" s="51">
        <v>342.73</v>
      </c>
      <c r="L18" s="51">
        <v>17.45</v>
      </c>
      <c r="M18" s="51">
        <v>84.94</v>
      </c>
      <c r="N18" s="51">
        <v>169.9</v>
      </c>
      <c r="O18" s="51">
        <v>0</v>
      </c>
      <c r="P18" s="51">
        <v>0.82</v>
      </c>
      <c r="Q18" s="51">
        <v>9.15</v>
      </c>
      <c r="R18" s="43"/>
      <c r="S18" s="43"/>
      <c r="T18" s="43"/>
      <c r="U18" s="43"/>
    </row>
    <row r="19" spans="1:21" s="11" customFormat="1" x14ac:dyDescent="0.25">
      <c r="A19" s="50" t="s">
        <v>767</v>
      </c>
      <c r="B19" s="60" t="s">
        <v>8</v>
      </c>
      <c r="C19" s="60" t="s">
        <v>8</v>
      </c>
      <c r="D19" s="60" t="s">
        <v>8</v>
      </c>
      <c r="E19" s="51">
        <v>7.4</v>
      </c>
      <c r="F19" s="51">
        <v>3.83</v>
      </c>
      <c r="G19" s="51">
        <v>81.459999999999994</v>
      </c>
      <c r="H19" s="51">
        <v>41.48</v>
      </c>
      <c r="I19" s="51">
        <v>6.53</v>
      </c>
      <c r="J19" s="51">
        <v>1.41</v>
      </c>
      <c r="K19" s="51">
        <v>100.16</v>
      </c>
      <c r="L19" s="51">
        <v>19.420000000000002</v>
      </c>
      <c r="M19" s="51">
        <v>82.7</v>
      </c>
      <c r="N19" s="51">
        <v>345.5</v>
      </c>
      <c r="O19" s="51">
        <v>0</v>
      </c>
      <c r="P19" s="51">
        <v>0.82</v>
      </c>
      <c r="Q19" s="51">
        <v>9.17</v>
      </c>
      <c r="R19" s="43"/>
      <c r="S19" s="43"/>
      <c r="T19" s="43"/>
      <c r="U19" s="43"/>
    </row>
    <row r="20" spans="1:21" s="11" customFormat="1" x14ac:dyDescent="0.25">
      <c r="A20" s="50" t="s">
        <v>768</v>
      </c>
      <c r="B20" s="60" t="s">
        <v>8</v>
      </c>
      <c r="C20" s="60" t="s">
        <v>8</v>
      </c>
      <c r="D20" s="60" t="s">
        <v>8</v>
      </c>
      <c r="E20" s="51">
        <v>7.43</v>
      </c>
      <c r="F20" s="51">
        <v>4.66</v>
      </c>
      <c r="G20" s="51">
        <v>81.849999999999994</v>
      </c>
      <c r="H20" s="51">
        <v>38.89</v>
      </c>
      <c r="I20" s="51">
        <v>7.25</v>
      </c>
      <c r="J20" s="51">
        <v>3.09</v>
      </c>
      <c r="K20" s="51">
        <v>352.1</v>
      </c>
      <c r="L20" s="51">
        <v>20.49</v>
      </c>
      <c r="M20" s="51">
        <v>72.260000000000005</v>
      </c>
      <c r="N20" s="51">
        <v>338.4</v>
      </c>
      <c r="O20" s="51">
        <v>0</v>
      </c>
      <c r="P20" s="51">
        <v>0.83</v>
      </c>
      <c r="Q20" s="51">
        <v>8.6999999999999993</v>
      </c>
      <c r="R20" s="43"/>
      <c r="S20" s="43"/>
      <c r="T20" s="43"/>
      <c r="U20" s="43"/>
    </row>
    <row r="21" spans="1:21" s="11" customFormat="1" x14ac:dyDescent="0.25">
      <c r="A21" s="50" t="s">
        <v>769</v>
      </c>
      <c r="B21" s="60" t="s">
        <v>8</v>
      </c>
      <c r="C21" s="60" t="s">
        <v>8</v>
      </c>
      <c r="D21" s="60" t="s">
        <v>8</v>
      </c>
      <c r="E21" s="51">
        <v>7.42</v>
      </c>
      <c r="F21" s="51">
        <v>4.6500000000000004</v>
      </c>
      <c r="G21" s="51">
        <v>80.13</v>
      </c>
      <c r="H21" s="51">
        <v>39.26</v>
      </c>
      <c r="I21" s="51">
        <v>8.1199999999999992</v>
      </c>
      <c r="J21" s="51">
        <v>3.61</v>
      </c>
      <c r="K21" s="51">
        <v>111.96</v>
      </c>
      <c r="L21" s="51">
        <v>20.329999999999998</v>
      </c>
      <c r="M21" s="51">
        <v>74.650000000000006</v>
      </c>
      <c r="N21" s="51">
        <v>220.3</v>
      </c>
      <c r="O21" s="51">
        <v>0</v>
      </c>
      <c r="P21" s="51">
        <v>0.8</v>
      </c>
      <c r="Q21" s="51">
        <v>8.36</v>
      </c>
      <c r="R21" s="43"/>
      <c r="S21" s="43"/>
      <c r="T21" s="43"/>
      <c r="U21" s="43"/>
    </row>
    <row r="22" spans="1:21" s="11" customFormat="1" x14ac:dyDescent="0.25">
      <c r="A22" s="50" t="s">
        <v>770</v>
      </c>
      <c r="B22" s="60" t="s">
        <v>8</v>
      </c>
      <c r="C22" s="60" t="s">
        <v>8</v>
      </c>
      <c r="D22" s="60" t="s">
        <v>8</v>
      </c>
      <c r="E22" s="51">
        <v>7.72</v>
      </c>
      <c r="F22" s="51">
        <v>4.45</v>
      </c>
      <c r="G22" s="51">
        <v>81.040000000000006</v>
      </c>
      <c r="H22" s="51">
        <v>41.12</v>
      </c>
      <c r="I22" s="51">
        <v>7.94</v>
      </c>
      <c r="J22" s="51">
        <v>1.42</v>
      </c>
      <c r="K22" s="51">
        <v>345.24</v>
      </c>
      <c r="L22" s="51">
        <v>20.260000000000002</v>
      </c>
      <c r="M22" s="51">
        <v>71.22</v>
      </c>
      <c r="N22" s="51">
        <v>176.9</v>
      </c>
      <c r="O22" s="51">
        <v>0</v>
      </c>
      <c r="P22" s="51">
        <v>0.77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771</v>
      </c>
      <c r="B23" s="60" t="s">
        <v>8</v>
      </c>
      <c r="C23" s="60" t="s">
        <v>8</v>
      </c>
      <c r="D23" s="60" t="s">
        <v>8</v>
      </c>
      <c r="E23" s="51">
        <v>7.63</v>
      </c>
      <c r="F23" s="51">
        <v>4.54</v>
      </c>
      <c r="G23" s="51">
        <v>77.8</v>
      </c>
      <c r="H23" s="51">
        <v>40.17</v>
      </c>
      <c r="I23" s="51">
        <v>7.6</v>
      </c>
      <c r="J23" s="51">
        <v>2.4300000000000002</v>
      </c>
      <c r="K23" s="51">
        <v>356.95</v>
      </c>
      <c r="L23" s="51">
        <v>19.84</v>
      </c>
      <c r="M23" s="51">
        <v>70.81</v>
      </c>
      <c r="N23" s="51">
        <v>100.2</v>
      </c>
      <c r="O23" s="51">
        <v>0</v>
      </c>
      <c r="P23" s="51">
        <v>0.83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772</v>
      </c>
      <c r="B24" s="60" t="s">
        <v>8</v>
      </c>
      <c r="C24" s="60" t="s">
        <v>8</v>
      </c>
      <c r="D24" s="60" t="s">
        <v>8</v>
      </c>
      <c r="E24" s="51">
        <v>7.6</v>
      </c>
      <c r="F24" s="51">
        <v>4.8899999999999997</v>
      </c>
      <c r="G24" s="51">
        <v>81.75</v>
      </c>
      <c r="H24" s="51">
        <v>40.36</v>
      </c>
      <c r="I24" s="51">
        <v>8.2899999999999991</v>
      </c>
      <c r="J24" s="51">
        <v>1.89</v>
      </c>
      <c r="K24" s="51">
        <v>112.47</v>
      </c>
      <c r="L24" s="51">
        <v>19.45</v>
      </c>
      <c r="M24" s="51">
        <v>81.290000000000006</v>
      </c>
      <c r="N24" s="51">
        <v>81.099999999999994</v>
      </c>
      <c r="O24" s="51">
        <v>0</v>
      </c>
      <c r="P24" s="51">
        <v>0.85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773</v>
      </c>
      <c r="B25" s="60" t="s">
        <v>8</v>
      </c>
      <c r="C25" s="60" t="s">
        <v>8</v>
      </c>
      <c r="D25" s="60" t="s">
        <v>8</v>
      </c>
      <c r="E25" s="51">
        <v>6.62</v>
      </c>
      <c r="F25" s="51">
        <v>4.29</v>
      </c>
      <c r="G25" s="51">
        <v>82.76</v>
      </c>
      <c r="H25" s="51">
        <v>40.409999999999997</v>
      </c>
      <c r="I25" s="51">
        <v>8.25</v>
      </c>
      <c r="J25" s="51">
        <v>3.34</v>
      </c>
      <c r="K25" s="51">
        <v>343.99</v>
      </c>
      <c r="L25" s="51">
        <v>18.63</v>
      </c>
      <c r="M25" s="51">
        <v>79.27</v>
      </c>
      <c r="N25" s="51">
        <v>73.599999999999994</v>
      </c>
      <c r="O25" s="51">
        <v>0</v>
      </c>
      <c r="P25" s="51">
        <v>0.87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774</v>
      </c>
      <c r="B26" s="60" t="s">
        <v>8</v>
      </c>
      <c r="C26" s="60" t="s">
        <v>8</v>
      </c>
      <c r="D26" s="60" t="s">
        <v>8</v>
      </c>
      <c r="E26" s="51">
        <v>6.17</v>
      </c>
      <c r="F26" s="51">
        <v>4.1399999999999997</v>
      </c>
      <c r="G26" s="51">
        <v>70.17</v>
      </c>
      <c r="H26" s="51">
        <v>36.24</v>
      </c>
      <c r="I26" s="51">
        <v>8.16</v>
      </c>
      <c r="J26" s="51">
        <v>3.48</v>
      </c>
      <c r="K26" s="51">
        <v>349.48</v>
      </c>
      <c r="L26" s="51">
        <v>17.84</v>
      </c>
      <c r="M26" s="51">
        <v>88.98</v>
      </c>
      <c r="N26" s="51">
        <v>41.7</v>
      </c>
      <c r="O26" s="51">
        <v>0</v>
      </c>
      <c r="P26" s="51">
        <v>0.92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775</v>
      </c>
      <c r="B27" s="60" t="s">
        <v>8</v>
      </c>
      <c r="C27" s="60" t="s">
        <v>8</v>
      </c>
      <c r="D27" s="60" t="s">
        <v>8</v>
      </c>
      <c r="E27" s="51">
        <v>6.68</v>
      </c>
      <c r="F27" s="51">
        <v>3.94</v>
      </c>
      <c r="G27" s="51">
        <v>73.239999999999995</v>
      </c>
      <c r="H27" s="51">
        <v>23.55</v>
      </c>
      <c r="I27" s="51">
        <v>8.1300000000000008</v>
      </c>
      <c r="J27" s="51">
        <v>1.48</v>
      </c>
      <c r="K27" s="51">
        <v>325.61</v>
      </c>
      <c r="L27" s="51">
        <v>17.09</v>
      </c>
      <c r="M27" s="51">
        <v>93.15</v>
      </c>
      <c r="N27" s="51">
        <v>35.1</v>
      </c>
      <c r="O27" s="51">
        <v>0</v>
      </c>
      <c r="P27" s="51">
        <v>0.93</v>
      </c>
      <c r="Q27" s="51">
        <v>8.25</v>
      </c>
      <c r="R27" s="43"/>
      <c r="S27" s="43"/>
      <c r="T27" s="43"/>
      <c r="U27" s="43"/>
    </row>
    <row r="28" spans="1:21" s="11" customFormat="1" x14ac:dyDescent="0.25">
      <c r="A28" s="50" t="s">
        <v>776</v>
      </c>
      <c r="B28" s="60" t="s">
        <v>8</v>
      </c>
      <c r="C28" s="60" t="s">
        <v>8</v>
      </c>
      <c r="D28" s="60" t="s">
        <v>8</v>
      </c>
      <c r="E28" s="51">
        <v>7.2</v>
      </c>
      <c r="F28" s="51">
        <v>4.07</v>
      </c>
      <c r="G28" s="51">
        <v>71.47</v>
      </c>
      <c r="H28" s="51">
        <v>14.13</v>
      </c>
      <c r="I28" s="51">
        <v>8.7200000000000006</v>
      </c>
      <c r="J28" s="51">
        <v>2.76</v>
      </c>
      <c r="K28" s="51">
        <v>114.03</v>
      </c>
      <c r="L28" s="51">
        <v>16.690000000000001</v>
      </c>
      <c r="M28" s="51">
        <v>98.35</v>
      </c>
      <c r="N28" s="51">
        <v>35.1</v>
      </c>
      <c r="O28" s="51">
        <v>0</v>
      </c>
      <c r="P28" s="51">
        <v>0.96</v>
      </c>
      <c r="Q28" s="51">
        <v>8.4</v>
      </c>
      <c r="R28" s="43"/>
      <c r="S28" s="43"/>
      <c r="T28" s="43"/>
      <c r="U28" s="43"/>
    </row>
    <row r="29" spans="1:21" s="11" customFormat="1" x14ac:dyDescent="0.25">
      <c r="A29" s="50" t="s">
        <v>777</v>
      </c>
      <c r="B29" s="60" t="s">
        <v>8</v>
      </c>
      <c r="C29" s="60" t="s">
        <v>8</v>
      </c>
      <c r="D29" s="60" t="s">
        <v>8</v>
      </c>
      <c r="E29" s="51">
        <v>6.48</v>
      </c>
      <c r="F29" s="51">
        <v>3.97</v>
      </c>
      <c r="G29" s="51">
        <v>168.92</v>
      </c>
      <c r="H29" s="51">
        <v>198.49</v>
      </c>
      <c r="I29" s="51">
        <v>8.77</v>
      </c>
      <c r="J29" s="51">
        <v>3.96</v>
      </c>
      <c r="K29" s="51">
        <v>113.77</v>
      </c>
      <c r="L29" s="51">
        <v>16.12</v>
      </c>
      <c r="M29" s="51">
        <v>100.52</v>
      </c>
      <c r="N29" s="51">
        <v>35.1</v>
      </c>
      <c r="O29" s="51">
        <v>0</v>
      </c>
      <c r="P29" s="51">
        <v>0.95</v>
      </c>
      <c r="Q29" s="51">
        <v>8.2899999999999991</v>
      </c>
      <c r="R29" s="43"/>
      <c r="S29" s="43"/>
      <c r="T29" s="43"/>
      <c r="U29" s="43"/>
    </row>
    <row r="30" spans="1:21" s="11" customFormat="1" x14ac:dyDescent="0.25">
      <c r="A30" s="50" t="s">
        <v>778</v>
      </c>
      <c r="B30" s="60" t="s">
        <v>8</v>
      </c>
      <c r="C30" s="60" t="s">
        <v>8</v>
      </c>
      <c r="D30" s="60" t="s">
        <v>8</v>
      </c>
      <c r="E30" s="51">
        <v>6.45</v>
      </c>
      <c r="F30" s="51">
        <v>3.96</v>
      </c>
      <c r="G30" s="51">
        <v>244.98</v>
      </c>
      <c r="H30" s="51">
        <v>264.32</v>
      </c>
      <c r="I30" s="51">
        <v>9.01</v>
      </c>
      <c r="J30" s="51">
        <v>3.64</v>
      </c>
      <c r="K30" s="51">
        <v>117.46</v>
      </c>
      <c r="L30" s="51">
        <v>15.85</v>
      </c>
      <c r="M30" s="51">
        <v>102.59</v>
      </c>
      <c r="N30" s="51">
        <v>34.799999999999997</v>
      </c>
      <c r="O30" s="51">
        <v>0</v>
      </c>
      <c r="P30" s="51">
        <v>0.91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779</v>
      </c>
      <c r="B31" s="60" t="s">
        <v>8</v>
      </c>
      <c r="C31" s="60" t="s">
        <v>8</v>
      </c>
      <c r="D31" s="60" t="s">
        <v>8</v>
      </c>
      <c r="E31" s="51">
        <v>6.58</v>
      </c>
      <c r="F31" s="51">
        <v>3.78</v>
      </c>
      <c r="G31" s="51">
        <v>61.35</v>
      </c>
      <c r="H31" s="51">
        <v>39.979999999999997</v>
      </c>
      <c r="I31" s="51">
        <v>8.81</v>
      </c>
      <c r="J31" s="51">
        <v>3.66</v>
      </c>
      <c r="K31" s="51">
        <v>115.31</v>
      </c>
      <c r="L31" s="51">
        <v>15.54</v>
      </c>
      <c r="M31" s="51">
        <v>102.5</v>
      </c>
      <c r="N31" s="51">
        <v>35.1</v>
      </c>
      <c r="O31" s="51">
        <v>0</v>
      </c>
      <c r="P31" s="51">
        <v>0.86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780</v>
      </c>
      <c r="B32" s="60" t="s">
        <v>8</v>
      </c>
      <c r="C32" s="60" t="s">
        <v>8</v>
      </c>
      <c r="D32" s="60" t="s">
        <v>8</v>
      </c>
      <c r="E32" s="51">
        <v>6.57</v>
      </c>
      <c r="F32" s="51">
        <v>4.1900000000000004</v>
      </c>
      <c r="G32" s="51">
        <v>38.57</v>
      </c>
      <c r="H32" s="51">
        <v>45.16</v>
      </c>
      <c r="I32" s="51">
        <v>9.01</v>
      </c>
      <c r="J32" s="51">
        <v>4.09</v>
      </c>
      <c r="K32" s="51">
        <v>110.83</v>
      </c>
      <c r="L32" s="51">
        <v>15.35</v>
      </c>
      <c r="M32" s="51">
        <v>102.51</v>
      </c>
      <c r="N32" s="51">
        <v>35.4</v>
      </c>
      <c r="O32" s="51">
        <v>0</v>
      </c>
      <c r="P32" s="51">
        <v>0.8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5.97</v>
      </c>
      <c r="F34" s="28">
        <f t="shared" si="0"/>
        <v>3.78</v>
      </c>
      <c r="G34" s="28">
        <f t="shared" si="0"/>
        <v>38.57</v>
      </c>
      <c r="H34" s="28">
        <f t="shared" si="0"/>
        <v>14.13</v>
      </c>
      <c r="I34" s="28">
        <f t="shared" si="0"/>
        <v>4.91</v>
      </c>
      <c r="J34" s="28">
        <f t="shared" si="0"/>
        <v>1</v>
      </c>
      <c r="K34" s="28">
        <f t="shared" si="0"/>
        <v>65.86</v>
      </c>
      <c r="L34" s="28">
        <f t="shared" si="0"/>
        <v>13.52</v>
      </c>
      <c r="M34" s="28">
        <f t="shared" si="0"/>
        <v>66.489999999999995</v>
      </c>
      <c r="N34" s="28">
        <f t="shared" si="0"/>
        <v>34.799999999999997</v>
      </c>
      <c r="O34" s="28">
        <f t="shared" si="0"/>
        <v>0</v>
      </c>
      <c r="P34" s="28">
        <f t="shared" si="0"/>
        <v>0.71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7.72</v>
      </c>
      <c r="F35" s="29">
        <f t="shared" si="1"/>
        <v>4.8899999999999997</v>
      </c>
      <c r="G35" s="29">
        <f t="shared" si="1"/>
        <v>244.98</v>
      </c>
      <c r="H35" s="29">
        <f t="shared" si="1"/>
        <v>264.32</v>
      </c>
      <c r="I35" s="29">
        <f t="shared" si="1"/>
        <v>9.01</v>
      </c>
      <c r="J35" s="29">
        <f t="shared" si="1"/>
        <v>4.09</v>
      </c>
      <c r="K35" s="29">
        <f t="shared" si="1"/>
        <v>356.95</v>
      </c>
      <c r="L35" s="29">
        <f t="shared" si="1"/>
        <v>20.49</v>
      </c>
      <c r="M35" s="29">
        <f t="shared" si="1"/>
        <v>102.59</v>
      </c>
      <c r="N35" s="29">
        <f t="shared" si="1"/>
        <v>345.5</v>
      </c>
      <c r="O35" s="29">
        <f t="shared" si="1"/>
        <v>0</v>
      </c>
      <c r="P35" s="29">
        <f t="shared" si="1"/>
        <v>1.1599999999999999</v>
      </c>
      <c r="Q35" s="29">
        <f t="shared" si="1"/>
        <v>9.17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6.8220833333333317</v>
      </c>
      <c r="F36" s="28">
        <f t="shared" si="2"/>
        <v>4.1549999999999994</v>
      </c>
      <c r="G36" s="28">
        <f t="shared" si="2"/>
        <v>87.870416666666685</v>
      </c>
      <c r="H36" s="28">
        <f t="shared" si="2"/>
        <v>54.787500000000001</v>
      </c>
      <c r="I36" s="28">
        <f t="shared" si="2"/>
        <v>7.2470833333333324</v>
      </c>
      <c r="J36" s="28">
        <f t="shared" si="2"/>
        <v>2.7191666666666663</v>
      </c>
      <c r="K36" s="28">
        <f t="shared" si="2"/>
        <v>256.19000000000005</v>
      </c>
      <c r="L36" s="28">
        <f t="shared" si="2"/>
        <v>16.822500000000002</v>
      </c>
      <c r="M36" s="28">
        <f t="shared" si="2"/>
        <v>84.004166666666663</v>
      </c>
      <c r="N36" s="28">
        <f t="shared" si="2"/>
        <v>93.970833333333346</v>
      </c>
      <c r="O36" s="28">
        <f t="shared" si="2"/>
        <v>0</v>
      </c>
      <c r="P36" s="28">
        <f t="shared" si="2"/>
        <v>0.86375000000000002</v>
      </c>
      <c r="Q36" s="28">
        <f t="shared" si="2"/>
        <v>8.4220833333333349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0.57988738911789672</v>
      </c>
      <c r="F37" s="28">
        <f t="shared" si="3"/>
        <v>0.29686770586004924</v>
      </c>
      <c r="G37" s="28">
        <f t="shared" si="3"/>
        <v>39.593720020177834</v>
      </c>
      <c r="H37" s="28">
        <f t="shared" si="3"/>
        <v>55.653566958618129</v>
      </c>
      <c r="I37" s="28">
        <f t="shared" si="3"/>
        <v>1.3765378093534975</v>
      </c>
      <c r="J37" s="28">
        <f t="shared" si="3"/>
        <v>0.95252486749082232</v>
      </c>
      <c r="K37" s="28">
        <f t="shared" si="3"/>
        <v>118.64655417411537</v>
      </c>
      <c r="L37" s="28">
        <f t="shared" si="3"/>
        <v>2.223548378449268</v>
      </c>
      <c r="M37" s="28">
        <f t="shared" si="3"/>
        <v>11.037406326026023</v>
      </c>
      <c r="N37" s="28">
        <f t="shared" si="3"/>
        <v>93.554125134652111</v>
      </c>
      <c r="O37" s="28">
        <f t="shared" si="3"/>
        <v>0</v>
      </c>
      <c r="P37" s="28">
        <f t="shared" si="3"/>
        <v>9.7481882374646348E-2</v>
      </c>
      <c r="Q37" s="28">
        <f t="shared" si="3"/>
        <v>0.31847434087709686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D38" si="4">COUNT(C9:C32)+24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80" zoomScaleNormal="80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5" sqref="G55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01/11/2024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01/11/2024 01:00</v>
      </c>
      <c r="B9" s="24">
        <f>'01'!B36</f>
        <v>17.825416666666669</v>
      </c>
      <c r="C9" s="24">
        <f>'01'!C36</f>
        <v>12.094999999999997</v>
      </c>
      <c r="D9" s="24">
        <f>'01'!D36</f>
        <v>19.043749999999996</v>
      </c>
      <c r="E9" s="24">
        <f>'01'!E36</f>
        <v>7.3500000000000005</v>
      </c>
      <c r="F9" s="24">
        <f>'01'!F36</f>
        <v>6.0420833333333333</v>
      </c>
      <c r="G9" s="24">
        <f>'01'!G36</f>
        <v>108.42352941176469</v>
      </c>
      <c r="H9" s="24">
        <f>'01'!H36</f>
        <v>58.118823529411777</v>
      </c>
      <c r="I9" s="24">
        <f>'01'!I36</f>
        <v>5.5875000000000012</v>
      </c>
      <c r="J9" s="24">
        <f>'01'!J36</f>
        <v>0.84916666666666674</v>
      </c>
      <c r="K9" s="24">
        <f>'01'!K36</f>
        <v>280.51083333333332</v>
      </c>
      <c r="L9" s="24">
        <f>'01'!L36</f>
        <v>26.693749999999994</v>
      </c>
      <c r="M9" s="24">
        <f>'01'!M36</f>
        <v>70.617083333333341</v>
      </c>
      <c r="N9" s="24">
        <f>'01'!N36</f>
        <v>198.31250000000009</v>
      </c>
      <c r="O9" s="24">
        <f>'01'!O36</f>
        <v>0</v>
      </c>
      <c r="P9" s="30">
        <f>'01'!$P$36</f>
        <v>1.0175000000000001</v>
      </c>
      <c r="Q9" s="24">
        <f>'01'!Q36</f>
        <v>9.6254166666666663</v>
      </c>
      <c r="R9" s="44"/>
      <c r="S9" s="44"/>
      <c r="T9" s="44"/>
      <c r="U9" s="45"/>
    </row>
    <row r="10" spans="1:21" s="34" customFormat="1" x14ac:dyDescent="0.25">
      <c r="A10" s="36" t="str">
        <f>'02'!$B$2</f>
        <v>02/11/2024 01:00</v>
      </c>
      <c r="B10" s="33">
        <f>'02'!B36</f>
        <v>21.359166666666667</v>
      </c>
      <c r="C10" s="33">
        <f>'02'!C36</f>
        <v>14.511666666666663</v>
      </c>
      <c r="D10" s="33">
        <f>'02'!D36</f>
        <v>23.041249999999994</v>
      </c>
      <c r="E10" s="33">
        <f>'02'!E36</f>
        <v>6.0291666666666677</v>
      </c>
      <c r="F10" s="33">
        <f>'02'!F36</f>
        <v>5.4508333333333328</v>
      </c>
      <c r="G10" s="33">
        <f>'02'!G36</f>
        <v>119.42458333333332</v>
      </c>
      <c r="H10" s="33">
        <f>'02'!H36</f>
        <v>63.283749999999991</v>
      </c>
      <c r="I10" s="33">
        <f>'02'!I36</f>
        <v>5.2804166666666665</v>
      </c>
      <c r="J10" s="33">
        <f>'02'!J36</f>
        <v>0.60791666666666677</v>
      </c>
      <c r="K10" s="33">
        <f>'02'!K36</f>
        <v>304.68833333333333</v>
      </c>
      <c r="L10" s="33">
        <f>'02'!L36</f>
        <v>26.748749999999998</v>
      </c>
      <c r="M10" s="33">
        <f>'02'!M36</f>
        <v>67.679583333333355</v>
      </c>
      <c r="N10" s="33">
        <f>'02'!N36</f>
        <v>172.51666666666665</v>
      </c>
      <c r="O10" s="33">
        <f>'02'!O36</f>
        <v>0</v>
      </c>
      <c r="P10" s="30">
        <f>'02'!$P$36</f>
        <v>0.92583333333333317</v>
      </c>
      <c r="Q10" s="33">
        <f>'02'!Q36</f>
        <v>9.6283333333333339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03/11/2024 01:00</v>
      </c>
      <c r="B11" s="33">
        <f>'03'!B36</f>
        <v>15.772499999999999</v>
      </c>
      <c r="C11" s="33">
        <f>'03'!C36</f>
        <v>15.865</v>
      </c>
      <c r="D11" s="33">
        <f>'03'!D36</f>
        <v>19.374583333333334</v>
      </c>
      <c r="E11" s="33">
        <f>'03'!E36</f>
        <v>6.066250000000001</v>
      </c>
      <c r="F11" s="33">
        <f>'03'!F36</f>
        <v>5.6191666666666675</v>
      </c>
      <c r="G11" s="33">
        <f>'03'!G36</f>
        <v>92.092083333333335</v>
      </c>
      <c r="H11" s="33">
        <f>'03'!H36</f>
        <v>47.861666666666672</v>
      </c>
      <c r="I11" s="33">
        <f>'03'!I36</f>
        <v>5.3024999999999984</v>
      </c>
      <c r="J11" s="33">
        <f>'03'!J36</f>
        <v>0.71166666666666656</v>
      </c>
      <c r="K11" s="33">
        <f>'03'!K36</f>
        <v>285.60874999999993</v>
      </c>
      <c r="L11" s="33">
        <f>'03'!L36</f>
        <v>26.325000000000003</v>
      </c>
      <c r="M11" s="33">
        <f>'03'!M36</f>
        <v>65.577500000000001</v>
      </c>
      <c r="N11" s="33">
        <f>'03'!N36</f>
        <v>173.17083333333338</v>
      </c>
      <c r="O11" s="33">
        <f>'03'!O36</f>
        <v>0</v>
      </c>
      <c r="P11" s="30">
        <f>'03'!$P$36</f>
        <v>0.9258333333333334</v>
      </c>
      <c r="Q11" s="33">
        <f>'03'!Q36</f>
        <v>9.6295833333333309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04/11/2024 01:00</v>
      </c>
      <c r="B12" s="33">
        <f>'04'!B36</f>
        <v>34.31333333333334</v>
      </c>
      <c r="C12" s="33">
        <f>'04'!C36</f>
        <v>20.317916666666665</v>
      </c>
      <c r="D12" s="33">
        <f>'04'!D36</f>
        <v>36.451666666666661</v>
      </c>
      <c r="E12" s="33">
        <f>'04'!E36</f>
        <v>7.2641666666666671</v>
      </c>
      <c r="F12" s="33">
        <f>'04'!F36</f>
        <v>7.2525000000000004</v>
      </c>
      <c r="G12" s="33">
        <f>'04'!G36</f>
        <v>100.34521739130435</v>
      </c>
      <c r="H12" s="33">
        <f>'04'!H36</f>
        <v>44.640434782608686</v>
      </c>
      <c r="I12" s="33">
        <f>'04'!I36</f>
        <v>5.5733333333333333</v>
      </c>
      <c r="J12" s="33">
        <f>'04'!J36</f>
        <v>0.80708333333333337</v>
      </c>
      <c r="K12" s="33">
        <f>'04'!K36</f>
        <v>292.18708333333331</v>
      </c>
      <c r="L12" s="33">
        <f>'04'!L36</f>
        <v>23.986666666666665</v>
      </c>
      <c r="M12" s="33">
        <f>'04'!M36</f>
        <v>69.458750000000023</v>
      </c>
      <c r="N12" s="33">
        <f>'04'!N36</f>
        <v>185.6541666666667</v>
      </c>
      <c r="O12" s="33">
        <f>'04'!O36</f>
        <v>0</v>
      </c>
      <c r="P12" s="30">
        <f>'04'!$P$36</f>
        <v>1.1891666666666665</v>
      </c>
      <c r="Q12" s="33">
        <f>'04'!Q36</f>
        <v>9.6320833333333322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05/11/2024 01:00</v>
      </c>
      <c r="B13" s="33">
        <f>'05'!B36</f>
        <v>23.458749999999998</v>
      </c>
      <c r="C13" s="33">
        <f>'05'!C36</f>
        <v>19.370833333333337</v>
      </c>
      <c r="D13" s="33">
        <f>'05'!D36</f>
        <v>27.388750000000002</v>
      </c>
      <c r="E13" s="33">
        <f>'05'!E36</f>
        <v>5.8245833333333357</v>
      </c>
      <c r="F13" s="33">
        <f>'05'!F36</f>
        <v>4.9108333333333327</v>
      </c>
      <c r="G13" s="33">
        <f>'05'!G36</f>
        <v>74.076666666666668</v>
      </c>
      <c r="H13" s="33">
        <f>'05'!H36</f>
        <v>31.04000000000001</v>
      </c>
      <c r="I13" s="33">
        <f>'05'!I36</f>
        <v>6.326666666666668</v>
      </c>
      <c r="J13" s="33">
        <f>'05'!J36</f>
        <v>1.0083333333333331</v>
      </c>
      <c r="K13" s="33">
        <f>'05'!K36</f>
        <v>253.64750000000001</v>
      </c>
      <c r="L13" s="33">
        <f>'05'!L36</f>
        <v>22.425416666666663</v>
      </c>
      <c r="M13" s="33">
        <f>'05'!M36</f>
        <v>68.188750000000013</v>
      </c>
      <c r="N13" s="33">
        <f>'05'!N36</f>
        <v>192.62916666666663</v>
      </c>
      <c r="O13" s="33">
        <f>'05'!O36</f>
        <v>0</v>
      </c>
      <c r="P13" s="30">
        <f>'05'!$P$36</f>
        <v>0.95666666666666667</v>
      </c>
      <c r="Q13" s="33">
        <f>'05'!Q36</f>
        <v>9.6349999999999998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06/11/2024 01:00</v>
      </c>
      <c r="B14" s="33">
        <f>'06'!B36</f>
        <v>9.1866666666666674</v>
      </c>
      <c r="C14" s="33">
        <f>'06'!C36</f>
        <v>26.524166666666662</v>
      </c>
      <c r="D14" s="33">
        <f>'06'!D36</f>
        <v>19.748333333333335</v>
      </c>
      <c r="E14" s="33">
        <f>'06'!E36</f>
        <v>6.9829166666666653</v>
      </c>
      <c r="F14" s="33">
        <f>'06'!F36</f>
        <v>7.5366666666666662</v>
      </c>
      <c r="G14" s="33">
        <f>'06'!G36</f>
        <v>91.080416666666665</v>
      </c>
      <c r="H14" s="33">
        <f>'06'!H36</f>
        <v>47.208750000000002</v>
      </c>
      <c r="I14" s="33">
        <f>'06'!I36</f>
        <v>4.7962499999999997</v>
      </c>
      <c r="J14" s="33">
        <f>'06'!J36</f>
        <v>1.0225</v>
      </c>
      <c r="K14" s="33">
        <f>'06'!K36</f>
        <v>249.53041666666672</v>
      </c>
      <c r="L14" s="33">
        <f>'06'!L36</f>
        <v>22.294999999999998</v>
      </c>
      <c r="M14" s="33">
        <f>'06'!M36</f>
        <v>68.940416666666678</v>
      </c>
      <c r="N14" s="33">
        <f>'06'!N36</f>
        <v>178.21250000000001</v>
      </c>
      <c r="O14" s="33">
        <f>'06'!O36</f>
        <v>0</v>
      </c>
      <c r="P14" s="30">
        <f>'06'!$P$36</f>
        <v>0.76666666666666672</v>
      </c>
      <c r="Q14" s="33">
        <f>'06'!Q36</f>
        <v>9.6291666666666647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07/11/2024 01:00</v>
      </c>
      <c r="B15" s="33">
        <f>'07'!B36</f>
        <v>12.860000000000001</v>
      </c>
      <c r="C15" s="33">
        <f>'07'!C36</f>
        <v>20.842916666666671</v>
      </c>
      <c r="D15" s="33">
        <f>'07'!D36</f>
        <v>19.627500000000001</v>
      </c>
      <c r="E15" s="33">
        <f>'07'!E36</f>
        <v>6.1733333333333329</v>
      </c>
      <c r="F15" s="33">
        <f>'07'!F36</f>
        <v>5.2500000000000009</v>
      </c>
      <c r="G15" s="33">
        <f>'07'!G36</f>
        <v>100.85916666666667</v>
      </c>
      <c r="H15" s="33">
        <f>'07'!H36</f>
        <v>52.711666666666673</v>
      </c>
      <c r="I15" s="33">
        <f>'07'!I36</f>
        <v>5.8533333333333326</v>
      </c>
      <c r="J15" s="33">
        <f>'07'!J36</f>
        <v>0.80499999999999983</v>
      </c>
      <c r="K15" s="33">
        <f>'07'!K36</f>
        <v>287.46249999999998</v>
      </c>
      <c r="L15" s="33">
        <f>'07'!L36</f>
        <v>22.03166666666667</v>
      </c>
      <c r="M15" s="33">
        <f>'07'!M36</f>
        <v>72.35541666666667</v>
      </c>
      <c r="N15" s="33">
        <f>'07'!N36</f>
        <v>173.55833333333337</v>
      </c>
      <c r="O15" s="33">
        <f>'07'!O36</f>
        <v>0</v>
      </c>
      <c r="P15" s="33">
        <f>'07'!P36</f>
        <v>1.0487499999999998</v>
      </c>
      <c r="Q15" s="33">
        <f>'07'!Q36</f>
        <v>9.6295833333333309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08/11/2024 01:00</v>
      </c>
      <c r="B16" s="33">
        <f>'08'!B36</f>
        <v>22.598749999999999</v>
      </c>
      <c r="C16" s="33">
        <f>'08'!C36</f>
        <v>22.419583333333335</v>
      </c>
      <c r="D16" s="33">
        <f>'08'!D36</f>
        <v>28.065416666666664</v>
      </c>
      <c r="E16" s="33">
        <f>'08'!E36</f>
        <v>6.9645833333333336</v>
      </c>
      <c r="F16" s="33">
        <f>'08'!F36</f>
        <v>6.7316666666666656</v>
      </c>
      <c r="G16" s="33">
        <f>'08'!G36</f>
        <v>101.38333333333333</v>
      </c>
      <c r="H16" s="33">
        <f>'08'!H36</f>
        <v>45.850416666666668</v>
      </c>
      <c r="I16" s="33">
        <f>'08'!I36</f>
        <v>6.0470833333333331</v>
      </c>
      <c r="J16" s="33">
        <f>'08'!J36</f>
        <v>0.88041666666666651</v>
      </c>
      <c r="K16" s="33">
        <f>'08'!K36</f>
        <v>299.06333333333333</v>
      </c>
      <c r="L16" s="33">
        <f>'08'!L36</f>
        <v>21.992499999999996</v>
      </c>
      <c r="M16" s="33">
        <f>'08'!M36</f>
        <v>72.522916666666674</v>
      </c>
      <c r="N16" s="33">
        <f>'08'!N36</f>
        <v>185.20833333333334</v>
      </c>
      <c r="O16" s="33">
        <f>'08'!O36</f>
        <v>0</v>
      </c>
      <c r="P16" s="30">
        <f>'08'!$P$36</f>
        <v>1.0954166666666667</v>
      </c>
      <c r="Q16" s="33">
        <f>'08'!Q36</f>
        <v>9.6387499999999982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09/11/2024 01:00</v>
      </c>
      <c r="B17" s="33">
        <f>'09'!B36</f>
        <v>14.175416666666669</v>
      </c>
      <c r="C17" s="33">
        <f>'09'!C36</f>
        <v>21.890416666666667</v>
      </c>
      <c r="D17" s="33">
        <f>'09'!D36</f>
        <v>21.235833333333336</v>
      </c>
      <c r="E17" s="33">
        <f>'09'!E36</f>
        <v>5.7749999999999995</v>
      </c>
      <c r="F17" s="33">
        <f>'09'!F36</f>
        <v>4.7970833333333323</v>
      </c>
      <c r="G17" s="33">
        <f>'09'!G36</f>
        <v>85.384583333333353</v>
      </c>
      <c r="H17" s="33">
        <f>'09'!H36</f>
        <v>45.154583333333335</v>
      </c>
      <c r="I17" s="33">
        <f>'09'!I36</f>
        <v>5.8287500000000003</v>
      </c>
      <c r="J17" s="33">
        <f>'09'!J36</f>
        <v>0.74916666666666643</v>
      </c>
      <c r="K17" s="33">
        <f>'09'!K36</f>
        <v>273.43416666666673</v>
      </c>
      <c r="L17" s="33">
        <f>'09'!L36</f>
        <v>21.959583333333331</v>
      </c>
      <c r="M17" s="33">
        <f>'09'!M36</f>
        <v>72.584166666666661</v>
      </c>
      <c r="N17" s="33">
        <f>'09'!N36</f>
        <v>175.93333333333339</v>
      </c>
      <c r="O17" s="33">
        <f>'09'!O36</f>
        <v>0</v>
      </c>
      <c r="P17" s="33">
        <f>'09'!P36</f>
        <v>1.0691666666666666</v>
      </c>
      <c r="Q17" s="33">
        <f>'09'!Q36</f>
        <v>9.6366666666666649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10/11/2024 01:00</v>
      </c>
      <c r="B18" s="33">
        <f>'10'!B36</f>
        <v>15.095833333333333</v>
      </c>
      <c r="C18" s="33">
        <f>'10'!C36</f>
        <v>23.51541666666667</v>
      </c>
      <c r="D18" s="33">
        <f>'10'!D36</f>
        <v>22.737916666666667</v>
      </c>
      <c r="E18" s="33">
        <f>'10'!E36</f>
        <v>5.9991666666666665</v>
      </c>
      <c r="F18" s="33">
        <f>'10'!F36</f>
        <v>4.5370833333333334</v>
      </c>
      <c r="G18" s="33">
        <f>'10'!G36</f>
        <v>97.953333333333333</v>
      </c>
      <c r="H18" s="33">
        <f>'10'!H36</f>
        <v>36.686249999999987</v>
      </c>
      <c r="I18" s="33">
        <f>'10'!I36</f>
        <v>5.9458333333333329</v>
      </c>
      <c r="J18" s="33">
        <f>'10'!J36</f>
        <v>0.84958333333333325</v>
      </c>
      <c r="K18" s="33">
        <f>'10'!K36</f>
        <v>292.64833333333331</v>
      </c>
      <c r="L18" s="33">
        <f>'10'!L36</f>
        <v>21.899166666666662</v>
      </c>
      <c r="M18" s="33">
        <f>'10'!M36</f>
        <v>70.955416666666679</v>
      </c>
      <c r="N18" s="33">
        <f>'10'!N36</f>
        <v>136.29166666666666</v>
      </c>
      <c r="O18" s="33">
        <f>'10'!O36</f>
        <v>0</v>
      </c>
      <c r="P18" s="30">
        <f>'10'!$P$36</f>
        <v>1.0245833333333334</v>
      </c>
      <c r="Q18" s="33">
        <f>'10'!Q36</f>
        <v>9.6366666666666649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11/11/2024 01:00</v>
      </c>
      <c r="B19" s="33">
        <f>'11'!B36</f>
        <v>9.2049999999999983</v>
      </c>
      <c r="C19" s="33">
        <f>'11'!C36</f>
        <v>25.491666666666671</v>
      </c>
      <c r="D19" s="33">
        <f>'11'!D36</f>
        <v>18.925416666666667</v>
      </c>
      <c r="E19" s="33">
        <f>'11'!E36</f>
        <v>6.6845833333333333</v>
      </c>
      <c r="F19" s="33">
        <f>'11'!F36</f>
        <v>6.1837500000000007</v>
      </c>
      <c r="G19" s="33">
        <f>'11'!G36</f>
        <v>84.41791666666667</v>
      </c>
      <c r="H19" s="33">
        <f>'11'!H36</f>
        <v>38.112499999999997</v>
      </c>
      <c r="I19" s="33">
        <f>'11'!I36</f>
        <v>4.9779166666666663</v>
      </c>
      <c r="J19" s="33">
        <f>'11'!J36</f>
        <v>0.99541666666666673</v>
      </c>
      <c r="K19" s="33">
        <f>'11'!K36</f>
        <v>267.61416666666662</v>
      </c>
      <c r="L19" s="33">
        <f>'11'!L36</f>
        <v>22.012500000000003</v>
      </c>
      <c r="M19" s="33">
        <f>'11'!M36</f>
        <v>67.776666666666671</v>
      </c>
      <c r="N19" s="33">
        <f>'11'!N36</f>
        <v>149.47499999999999</v>
      </c>
      <c r="O19" s="33">
        <f>'11'!O36</f>
        <v>0</v>
      </c>
      <c r="P19" s="33">
        <f>'11'!P36</f>
        <v>0.88916666666666655</v>
      </c>
      <c r="Q19" s="33">
        <f>'11'!Q36</f>
        <v>9.6345833333333335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12/11/2024 01:00</v>
      </c>
      <c r="B20" s="33">
        <f>'12'!B36</f>
        <v>10.684166666666668</v>
      </c>
      <c r="C20" s="33">
        <f>'12'!C36</f>
        <v>27.701250000000002</v>
      </c>
      <c r="D20" s="33">
        <f>'12'!D36</f>
        <v>21.285416666666666</v>
      </c>
      <c r="E20" s="33">
        <f>'12'!E36</f>
        <v>6.5237499999999988</v>
      </c>
      <c r="F20" s="33">
        <f>'12'!F36</f>
        <v>6.657916666666666</v>
      </c>
      <c r="G20" s="33">
        <f>'12'!G36</f>
        <v>100.89166666666665</v>
      </c>
      <c r="H20" s="33">
        <f>'12'!H36</f>
        <v>57.666363636363627</v>
      </c>
      <c r="I20" s="33">
        <f>'12'!I36</f>
        <v>4.855833333333333</v>
      </c>
      <c r="J20" s="33">
        <f>'12'!J36</f>
        <v>0.91333333333333344</v>
      </c>
      <c r="K20" s="33">
        <f>'12'!K36</f>
        <v>301.76041666666663</v>
      </c>
      <c r="L20" s="33">
        <f>'12'!L36</f>
        <v>21.972916666666663</v>
      </c>
      <c r="M20" s="33">
        <f>'12'!M36</f>
        <v>65.139999999999986</v>
      </c>
      <c r="N20" s="33">
        <f>'12'!N36</f>
        <v>189.85833333333332</v>
      </c>
      <c r="O20" s="33">
        <f>'12'!O36</f>
        <v>0</v>
      </c>
      <c r="P20" s="33">
        <f>'12'!P36</f>
        <v>0.90375000000000005</v>
      </c>
      <c r="Q20" s="33">
        <f>'12'!Q36</f>
        <v>9.6370833333333294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13/11/2024 01:00</v>
      </c>
      <c r="B21" s="33">
        <f>'13'!B36</f>
        <v>9.7783333333333342</v>
      </c>
      <c r="C21" s="33">
        <f>'13'!C36</f>
        <v>26.395833333333339</v>
      </c>
      <c r="D21" s="33">
        <f>'13'!D36</f>
        <v>20.01125</v>
      </c>
      <c r="E21" s="33">
        <f>'13'!E36</f>
        <v>6.1812499999999995</v>
      </c>
      <c r="F21" s="33">
        <f>'13'!F36</f>
        <v>4.9262499999999996</v>
      </c>
      <c r="G21" s="33">
        <f>'13'!G36</f>
        <v>97.516249999999999</v>
      </c>
      <c r="H21" s="33">
        <f>'13'!H36</f>
        <v>46.632499999999993</v>
      </c>
      <c r="I21" s="33">
        <f>'13'!I36</f>
        <v>5.4129166666666677</v>
      </c>
      <c r="J21" s="33">
        <f>'13'!J36</f>
        <v>1.0141666666666667</v>
      </c>
      <c r="K21" s="33">
        <f>'13'!K36</f>
        <v>230.79583333333335</v>
      </c>
      <c r="L21" s="33">
        <f>'13'!L36</f>
        <v>21.701249999999998</v>
      </c>
      <c r="M21" s="33">
        <f>'13'!M36</f>
        <v>63.299166666666679</v>
      </c>
      <c r="N21" s="33">
        <f>'13'!N36</f>
        <v>184.59999999999994</v>
      </c>
      <c r="O21" s="33">
        <f>'13'!O36</f>
        <v>0</v>
      </c>
      <c r="P21" s="33">
        <f>'13'!P36</f>
        <v>0.73541666666666672</v>
      </c>
      <c r="Q21" s="33">
        <f>'13'!Q36</f>
        <v>9.6329166666666648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14/11/2024 01:00</v>
      </c>
      <c r="B22" s="30">
        <f>'14'!B36</f>
        <v>7.1512500000000001</v>
      </c>
      <c r="C22" s="30">
        <f>'14'!C36</f>
        <v>27.459166666666661</v>
      </c>
      <c r="D22" s="30">
        <f>'14'!D36</f>
        <v>18.421250000000001</v>
      </c>
      <c r="E22" s="30">
        <f>'14'!E36</f>
        <v>5.9700000000000015</v>
      </c>
      <c r="F22" s="30">
        <f>'14'!F36</f>
        <v>4.9854166666666666</v>
      </c>
      <c r="G22" s="30">
        <f>'14'!G36</f>
        <v>74.546666666666667</v>
      </c>
      <c r="H22" s="30">
        <f>'14'!H36</f>
        <v>37.212499999999999</v>
      </c>
      <c r="I22" s="30">
        <f>'14'!I36</f>
        <v>5.4383333333333317</v>
      </c>
      <c r="J22" s="30">
        <f>'14'!J36</f>
        <v>0.72833333333333339</v>
      </c>
      <c r="K22" s="30">
        <f>'14'!K36</f>
        <v>285.70666666666665</v>
      </c>
      <c r="L22" s="30">
        <f>'14'!L36</f>
        <v>21.11708333333333</v>
      </c>
      <c r="M22" s="30">
        <f>'14'!M36</f>
        <v>64.527499999999989</v>
      </c>
      <c r="N22" s="30">
        <f>'14'!N36</f>
        <v>180.00833333333335</v>
      </c>
      <c r="O22" s="30">
        <f>'14'!O36</f>
        <v>0</v>
      </c>
      <c r="P22" s="30">
        <f>'14'!P36</f>
        <v>0.73374999999999979</v>
      </c>
      <c r="Q22" s="30">
        <f>'14'!Q36</f>
        <v>9.6337499999999974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15/11/2024 01:00</v>
      </c>
      <c r="B23" s="33">
        <f>'15'!B36</f>
        <v>13.879583333333334</v>
      </c>
      <c r="C23" s="33">
        <f>'15'!C36</f>
        <v>35.057499999999997</v>
      </c>
      <c r="D23" s="33">
        <f>'15'!D36</f>
        <v>27.872083333333332</v>
      </c>
      <c r="E23" s="33">
        <f>'15'!E36</f>
        <v>6.376666666666666</v>
      </c>
      <c r="F23" s="33">
        <f>'15'!F36</f>
        <v>4.6179166666666669</v>
      </c>
      <c r="G23" s="33">
        <f>'15'!G36</f>
        <v>85.831666666666663</v>
      </c>
      <c r="H23" s="33">
        <f>'15'!H36</f>
        <v>17.403636363636362</v>
      </c>
      <c r="I23" s="33">
        <f>'15'!I36</f>
        <v>5.7470833333333315</v>
      </c>
      <c r="J23" s="33">
        <f>'15'!J36</f>
        <v>1.0249999999999999</v>
      </c>
      <c r="K23" s="33">
        <f>'15'!K36</f>
        <v>277.28000000000003</v>
      </c>
      <c r="L23" s="33">
        <f>'15'!L36</f>
        <v>20.892500000000002</v>
      </c>
      <c r="M23" s="33">
        <f>'15'!M36</f>
        <v>56.574166666666663</v>
      </c>
      <c r="N23" s="33">
        <f>'15'!N36</f>
        <v>184.78750000000002</v>
      </c>
      <c r="O23" s="33">
        <f>'15'!O36</f>
        <v>0</v>
      </c>
      <c r="P23" s="30">
        <f>'15'!P36</f>
        <v>0.90958333333333341</v>
      </c>
      <c r="Q23" s="30">
        <f>'15'!Q36</f>
        <v>9.6370833333333312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16/11/2024 01:00</v>
      </c>
      <c r="B24" s="33">
        <f>'16'!B36</f>
        <v>12.493333333333338</v>
      </c>
      <c r="C24" s="33">
        <f>'16'!C36</f>
        <v>38.116249999999994</v>
      </c>
      <c r="D24" s="33">
        <f>'16'!D36</f>
        <v>28.236666666666668</v>
      </c>
      <c r="E24" s="33">
        <f>'16'!E36</f>
        <v>6.229166666666667</v>
      </c>
      <c r="F24" s="33">
        <f>'16'!F36</f>
        <v>4.7954166666666662</v>
      </c>
      <c r="G24" s="33">
        <f>'16'!G36</f>
        <v>99.415833333333353</v>
      </c>
      <c r="H24" s="33">
        <f>'16'!H36</f>
        <v>71.678947368421063</v>
      </c>
      <c r="I24" s="33">
        <f>'16'!I36</f>
        <v>6.4020833333333327</v>
      </c>
      <c r="J24" s="33">
        <f>'16'!J36</f>
        <v>0.96541666666666648</v>
      </c>
      <c r="K24" s="33">
        <f>'16'!K36</f>
        <v>303.57875000000007</v>
      </c>
      <c r="L24" s="33">
        <f>'16'!L36</f>
        <v>20.230416666666663</v>
      </c>
      <c r="M24" s="33">
        <f>'16'!M36</f>
        <v>56.052083333333343</v>
      </c>
      <c r="N24" s="33">
        <f>'16'!N36</f>
        <v>185.6791666666667</v>
      </c>
      <c r="O24" s="33">
        <f>'16'!O36</f>
        <v>0</v>
      </c>
      <c r="P24" s="30">
        <f>'16'!P36</f>
        <v>1.0529166666666669</v>
      </c>
      <c r="Q24" s="30">
        <f>'16'!Q36</f>
        <v>9.6391666666666627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17/11/2024 01:00</v>
      </c>
      <c r="B25" s="33">
        <f>'17'!B36</f>
        <v>28.642499999999998</v>
      </c>
      <c r="C25" s="33">
        <f>'17'!C36</f>
        <v>41.645833333333336</v>
      </c>
      <c r="D25" s="33">
        <f>'17'!D36</f>
        <v>42.949166666666656</v>
      </c>
      <c r="E25" s="33">
        <f>'17'!E36</f>
        <v>7.1020833333333337</v>
      </c>
      <c r="F25" s="33">
        <f>'17'!F36</f>
        <v>4.9558333333333326</v>
      </c>
      <c r="G25" s="33">
        <f>'17'!G36</f>
        <v>107.85583333333335</v>
      </c>
      <c r="H25" s="33">
        <f>'17'!H36</f>
        <v>58.684210526315802</v>
      </c>
      <c r="I25" s="33">
        <f>'17'!I36</f>
        <v>7.1770833333333348</v>
      </c>
      <c r="J25" s="33">
        <f>'17'!J36</f>
        <v>0.81541666666666668</v>
      </c>
      <c r="K25" s="33">
        <f>'17'!K36</f>
        <v>298.11416666666662</v>
      </c>
      <c r="L25" s="33">
        <f>'17'!L36</f>
        <v>19.143333333333334</v>
      </c>
      <c r="M25" s="33">
        <f>'17'!M36</f>
        <v>62.481666666666683</v>
      </c>
      <c r="N25" s="33">
        <f>'17'!N36</f>
        <v>171.19583333333335</v>
      </c>
      <c r="O25" s="33">
        <f>'17'!O36</f>
        <v>0</v>
      </c>
      <c r="P25" s="30">
        <f>'17'!P36</f>
        <v>1.2241666666666666</v>
      </c>
      <c r="Q25" s="30">
        <f>'17'!Q36</f>
        <v>9.6595833333333321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18/11/2024 01:00</v>
      </c>
      <c r="B26" s="33">
        <f>'18'!B36</f>
        <v>34.822083333333332</v>
      </c>
      <c r="C26" s="33">
        <f>'18'!C36</f>
        <v>48.362916666666671</v>
      </c>
      <c r="D26" s="33">
        <f>'18'!D36</f>
        <v>51.085833333333333</v>
      </c>
      <c r="E26" s="33">
        <f>'18'!E36</f>
        <v>7.8108333333333348</v>
      </c>
      <c r="F26" s="33">
        <f>'18'!F36</f>
        <v>6.0095833333333344</v>
      </c>
      <c r="G26" s="33">
        <f>'18'!G36</f>
        <v>107.80363636363637</v>
      </c>
      <c r="H26" s="33">
        <f>'18'!H36</f>
        <v>63.20863636363638</v>
      </c>
      <c r="I26" s="33">
        <f>'18'!I36</f>
        <v>6.4612500000000006</v>
      </c>
      <c r="J26" s="33">
        <f>'18'!J36</f>
        <v>0.85375000000000012</v>
      </c>
      <c r="K26" s="33">
        <f>'18'!K36</f>
        <v>302.22666666666663</v>
      </c>
      <c r="L26" s="33">
        <f>'18'!L36</f>
        <v>19.47625</v>
      </c>
      <c r="M26" s="33">
        <f>'18'!M36</f>
        <v>58.969583333333325</v>
      </c>
      <c r="N26" s="33">
        <f>'18'!N36</f>
        <v>175.4</v>
      </c>
      <c r="O26" s="33">
        <f>'18'!O36</f>
        <v>0</v>
      </c>
      <c r="P26" s="30">
        <f>'18'!P36</f>
        <v>1.1549999999999996</v>
      </c>
      <c r="Q26" s="30">
        <f>'18'!Q36</f>
        <v>9.6583333333333332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19/11/2024 01:00</v>
      </c>
      <c r="B27" s="33">
        <f>'19'!B36</f>
        <v>31.16083333333334</v>
      </c>
      <c r="C27" s="33">
        <f>'19'!C36</f>
        <v>51.84249999999998</v>
      </c>
      <c r="D27" s="33">
        <f>'19'!D36</f>
        <v>49.690833333333337</v>
      </c>
      <c r="E27" s="33">
        <f>'19'!E36</f>
        <v>11.200000000000001</v>
      </c>
      <c r="F27" s="33">
        <f>'19'!F36</f>
        <v>5.7433333333333332</v>
      </c>
      <c r="G27" s="33">
        <f>'19'!G36</f>
        <v>103.96041666666667</v>
      </c>
      <c r="H27" s="33">
        <f>'19'!H36</f>
        <v>47.985833333333325</v>
      </c>
      <c r="I27" s="33">
        <f>'19'!I36</f>
        <v>6.1675000000000013</v>
      </c>
      <c r="J27" s="33">
        <f>'19'!J36</f>
        <v>1.0266666666666668</v>
      </c>
      <c r="K27" s="33">
        <f>'19'!K36</f>
        <v>327.98250000000002</v>
      </c>
      <c r="L27" s="33">
        <f>'19'!L36</f>
        <v>19.110416666666666</v>
      </c>
      <c r="M27" s="33">
        <f>'19'!M36</f>
        <v>61.639999999999986</v>
      </c>
      <c r="N27" s="33">
        <f>'19'!N36</f>
        <v>161.22500000000002</v>
      </c>
      <c r="O27" s="33">
        <f>'19'!O36</f>
        <v>0</v>
      </c>
      <c r="P27" s="30">
        <f>'19'!P36</f>
        <v>1.1779166666666665</v>
      </c>
      <c r="Q27" s="30">
        <f>'19'!Q36</f>
        <v>9.4916666666666671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20/11/2024 01:00</v>
      </c>
      <c r="B28" s="33">
        <f>'20'!B36</f>
        <v>25.242916666666662</v>
      </c>
      <c r="C28" s="33">
        <f>'20'!C36</f>
        <v>45.271250000000002</v>
      </c>
      <c r="D28" s="33">
        <f>'20'!D36</f>
        <v>42.305833333333332</v>
      </c>
      <c r="E28" s="33">
        <f>'20'!E36</f>
        <v>6.8491666666666662</v>
      </c>
      <c r="F28" s="33">
        <f>'20'!F36</f>
        <v>4.515833333333334</v>
      </c>
      <c r="G28" s="33">
        <f>'20'!G36</f>
        <v>112.51333333333334</v>
      </c>
      <c r="H28" s="33">
        <f>'20'!H36</f>
        <v>51.372500000000002</v>
      </c>
      <c r="I28" s="33">
        <f>'20'!I36</f>
        <v>6.9229166666666657</v>
      </c>
      <c r="J28" s="33">
        <f>'20'!J36</f>
        <v>2.1516666666666668</v>
      </c>
      <c r="K28" s="33">
        <f>'20'!K36</f>
        <v>311.94499999999999</v>
      </c>
      <c r="L28" s="33">
        <f>'20'!L36</f>
        <v>17.928750000000004</v>
      </c>
      <c r="M28" s="33">
        <f>'20'!M36</f>
        <v>62.949166666666663</v>
      </c>
      <c r="N28" s="33">
        <f>'20'!N36</f>
        <v>164.0625</v>
      </c>
      <c r="O28" s="33">
        <f>'20'!O36</f>
        <v>0</v>
      </c>
      <c r="P28" s="30">
        <f>'20'!P36</f>
        <v>1.2883333333333333</v>
      </c>
      <c r="Q28" s="30">
        <f>'20'!Q36</f>
        <v>10.32625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21/11/2024 01:00</v>
      </c>
      <c r="B29" s="33">
        <f>'21'!B36</f>
        <v>23.601250000000004</v>
      </c>
      <c r="C29" s="33">
        <f>'21'!C36</f>
        <v>49.759583333333332</v>
      </c>
      <c r="D29" s="33">
        <f>'21'!D36</f>
        <v>43.167499999999997</v>
      </c>
      <c r="E29" s="33">
        <f>'21'!E36</f>
        <v>7.416666666666667</v>
      </c>
      <c r="F29" s="33">
        <f>'21'!F36</f>
        <v>5.2350000000000003</v>
      </c>
      <c r="G29" s="33">
        <f>'21'!G36</f>
        <v>112.82375000000002</v>
      </c>
      <c r="H29" s="33">
        <f>'21'!H36</f>
        <v>56.524583333333332</v>
      </c>
      <c r="I29" s="33">
        <f>'21'!I36</f>
        <v>6.8962499999999984</v>
      </c>
      <c r="J29" s="33">
        <f>'21'!J36</f>
        <v>2.1566666666666667</v>
      </c>
      <c r="K29" s="33">
        <f>'21'!K36</f>
        <v>275.05958333333336</v>
      </c>
      <c r="L29" s="33">
        <f>'21'!L36</f>
        <v>17.684166666666666</v>
      </c>
      <c r="M29" s="33">
        <f>'21'!M36</f>
        <v>65.165833333333325</v>
      </c>
      <c r="N29" s="33">
        <f>'21'!N36</f>
        <v>158.51250000000002</v>
      </c>
      <c r="O29" s="33">
        <f>'21'!O36</f>
        <v>0</v>
      </c>
      <c r="P29" s="30">
        <f>'21'!P36</f>
        <v>1.2345833333333334</v>
      </c>
      <c r="Q29" s="30">
        <f>'21'!Q36</f>
        <v>10.567083333333333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22/11/2024 01:00</v>
      </c>
      <c r="B30" s="33">
        <f>'22'!B36</f>
        <v>23.079583333333336</v>
      </c>
      <c r="C30" s="33">
        <f>'22'!C36</f>
        <v>52.524583333333332</v>
      </c>
      <c r="D30" s="33">
        <f>'22'!D36</f>
        <v>44.269166666666671</v>
      </c>
      <c r="E30" s="33">
        <f>'22'!E36</f>
        <v>7.4170833333333341</v>
      </c>
      <c r="F30" s="33">
        <f>'22'!F36</f>
        <v>5.0812499999999998</v>
      </c>
      <c r="G30" s="33">
        <f>'22'!G36</f>
        <v>133.87916666666666</v>
      </c>
      <c r="H30" s="33">
        <f>'22'!H36</f>
        <v>67.171250000000001</v>
      </c>
      <c r="I30" s="33">
        <f>'22'!I36</f>
        <v>7.2120833333333332</v>
      </c>
      <c r="J30" s="33">
        <f>'22'!J36</f>
        <v>2.7662499999999999</v>
      </c>
      <c r="K30" s="33">
        <f>'22'!K36</f>
        <v>321.06874999999997</v>
      </c>
      <c r="L30" s="33">
        <f>'22'!L36</f>
        <v>17.886249999999997</v>
      </c>
      <c r="M30" s="33">
        <f>'22'!M36</f>
        <v>65.955416666666665</v>
      </c>
      <c r="N30" s="33">
        <f>'22'!N36</f>
        <v>150.47916666666669</v>
      </c>
      <c r="O30" s="33">
        <f>'22'!O36</f>
        <v>0</v>
      </c>
      <c r="P30" s="30">
        <f>'22'!P36</f>
        <v>1.3395833333333336</v>
      </c>
      <c r="Q30" s="30">
        <f>'22'!Q36</f>
        <v>10.731250000000001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23/11/2024 01:00</v>
      </c>
      <c r="B31" s="33">
        <f>'23'!B36</f>
        <v>38.464166666666671</v>
      </c>
      <c r="C31" s="33">
        <f>'23'!C36</f>
        <v>55.619583333333338</v>
      </c>
      <c r="D31" s="33">
        <f>'23'!D36</f>
        <v>58.071666666666658</v>
      </c>
      <c r="E31" s="33">
        <f>'23'!E36</f>
        <v>7.9679166666666674</v>
      </c>
      <c r="F31" s="33">
        <f>'23'!F36</f>
        <v>4.6895833333333332</v>
      </c>
      <c r="G31" s="33">
        <f>'23'!G36</f>
        <v>148.66833333333332</v>
      </c>
      <c r="H31" s="33">
        <f>'23'!H36</f>
        <v>71.584583333333313</v>
      </c>
      <c r="I31" s="33">
        <f>'23'!I36</f>
        <v>7.5929166666666665</v>
      </c>
      <c r="J31" s="33">
        <f>'23'!J36</f>
        <v>1.833333333333333</v>
      </c>
      <c r="K31" s="33">
        <f>'23'!K36</f>
        <v>309.41250000000002</v>
      </c>
      <c r="L31" s="33">
        <f>'23'!L36</f>
        <v>17.628333333333334</v>
      </c>
      <c r="M31" s="33">
        <f>'23'!M36</f>
        <v>68.728333333333339</v>
      </c>
      <c r="N31" s="33">
        <f>'23'!N36</f>
        <v>161.6583333333333</v>
      </c>
      <c r="O31" s="33">
        <f>'23'!O36</f>
        <v>0</v>
      </c>
      <c r="P31" s="33">
        <f>'23'!P36</f>
        <v>1.5237499999999999</v>
      </c>
      <c r="Q31" s="33">
        <f>'23'!Q36</f>
        <v>10.927916666666668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24/11/2024 01:00</v>
      </c>
      <c r="B32" s="33">
        <f>'24'!B36</f>
        <v>40.178749999999987</v>
      </c>
      <c r="C32" s="33">
        <f>'24'!C36</f>
        <v>56.105416666666656</v>
      </c>
      <c r="D32" s="33">
        <f>'24'!D36</f>
        <v>59.907499999999999</v>
      </c>
      <c r="E32" s="33">
        <f>'24'!E36</f>
        <v>8.0724999999999998</v>
      </c>
      <c r="F32" s="33">
        <f>'24'!F36</f>
        <v>4.5741666666666685</v>
      </c>
      <c r="G32" s="33">
        <f>'24'!G36</f>
        <v>184.15</v>
      </c>
      <c r="H32" s="33">
        <f>'24'!H36</f>
        <v>64.954166666666666</v>
      </c>
      <c r="I32" s="33">
        <f>'24'!I36</f>
        <v>7.7029166666666677</v>
      </c>
      <c r="J32" s="33">
        <f>'24'!J36</f>
        <v>1.9012499999999999</v>
      </c>
      <c r="K32" s="33">
        <f>'24'!K36</f>
        <v>326.03916666666669</v>
      </c>
      <c r="L32" s="33">
        <f>'24'!L36</f>
        <v>17.599583333333332</v>
      </c>
      <c r="M32" s="33">
        <f>'24'!M36</f>
        <v>62.838749999999976</v>
      </c>
      <c r="N32" s="33">
        <f>'24'!N36</f>
        <v>166.28750000000005</v>
      </c>
      <c r="O32" s="33">
        <f>'24'!O36</f>
        <v>0</v>
      </c>
      <c r="P32" s="33">
        <f>'24'!P36</f>
        <v>1.4924999999999999</v>
      </c>
      <c r="Q32" s="33">
        <f>'24'!Q36</f>
        <v>10.905833333333334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25/11/2024 01:00</v>
      </c>
      <c r="B33" s="33">
        <f>'25'!B36</f>
        <v>43.620416666666671</v>
      </c>
      <c r="C33" s="33">
        <f>'25'!C36</f>
        <v>54.484999999999985</v>
      </c>
      <c r="D33" s="33">
        <f>'25'!D36</f>
        <v>61.836666666666652</v>
      </c>
      <c r="E33" s="33">
        <f>'25'!E36</f>
        <v>7.6070833333333328</v>
      </c>
      <c r="F33" s="33">
        <f>'25'!F36</f>
        <v>5.9508333333333319</v>
      </c>
      <c r="G33" s="33">
        <f>'25'!G36</f>
        <v>84.506</v>
      </c>
      <c r="H33" s="33">
        <f>'25'!H36</f>
        <v>47.52</v>
      </c>
      <c r="I33" s="33">
        <f>'25'!I36</f>
        <v>6.6329166666666666</v>
      </c>
      <c r="J33" s="33">
        <f>'25'!J36</f>
        <v>1.8216666666666665</v>
      </c>
      <c r="K33" s="33">
        <f>'25'!K36</f>
        <v>268.44000000000005</v>
      </c>
      <c r="L33" s="33">
        <f>'25'!L36</f>
        <v>17.202083333333331</v>
      </c>
      <c r="M33" s="33">
        <f>'25'!M36</f>
        <v>61.095000000000006</v>
      </c>
      <c r="N33" s="33">
        <f>'25'!N36</f>
        <v>177.22083333333333</v>
      </c>
      <c r="O33" s="33">
        <f>'25'!O36</f>
        <v>0</v>
      </c>
      <c r="P33" s="33">
        <f>'25'!P36</f>
        <v>1.2304166666666665</v>
      </c>
      <c r="Q33" s="33">
        <f>'25'!Q36</f>
        <v>10.884166666666665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26/11/2024 01:00</v>
      </c>
      <c r="B34" s="33">
        <f>'26'!B36</f>
        <v>51.376666666666672</v>
      </c>
      <c r="C34" s="33">
        <f>'26'!C36</f>
        <v>56.415833333333332</v>
      </c>
      <c r="D34" s="33">
        <f>'26'!D36</f>
        <v>69.033749999999998</v>
      </c>
      <c r="E34" s="33">
        <f>'26'!E36</f>
        <v>6.9529166666666669</v>
      </c>
      <c r="F34" s="33">
        <f>'26'!F36</f>
        <v>4.5891666666666664</v>
      </c>
      <c r="G34" s="33">
        <f>'26'!G36</f>
        <v>109.57708333333331</v>
      </c>
      <c r="H34" s="33">
        <f>'26'!H36</f>
        <v>53.653333333333329</v>
      </c>
      <c r="I34" s="33">
        <f>'26'!I36</f>
        <v>7.2275</v>
      </c>
      <c r="J34" s="33">
        <f>'26'!J36</f>
        <v>2.4233333333333333</v>
      </c>
      <c r="K34" s="33">
        <f>'26'!K36</f>
        <v>277.61791666666664</v>
      </c>
      <c r="L34" s="33">
        <f>'26'!L36</f>
        <v>17.618333333333336</v>
      </c>
      <c r="M34" s="33">
        <f>'26'!M36</f>
        <v>61.062083333333355</v>
      </c>
      <c r="N34" s="33">
        <f>'26'!N36</f>
        <v>180.06666666666669</v>
      </c>
      <c r="O34" s="33">
        <f>'26'!O36</f>
        <v>0</v>
      </c>
      <c r="P34" s="33">
        <f>'26'!P36</f>
        <v>1.243333333333333</v>
      </c>
      <c r="Q34" s="33">
        <f>'26'!Q36</f>
        <v>10.897500000000003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27/11/2024 01:00</v>
      </c>
      <c r="B35" s="33">
        <f>'27'!B36</f>
        <v>62.357692307692304</v>
      </c>
      <c r="C35" s="33">
        <f>'27'!C36</f>
        <v>55.365384615384613</v>
      </c>
      <c r="D35" s="33">
        <f>'27'!D36</f>
        <v>77.062307692307698</v>
      </c>
      <c r="E35" s="33">
        <f>'27'!E36</f>
        <v>6.7512500000000006</v>
      </c>
      <c r="F35" s="33">
        <f>'27'!F36</f>
        <v>4.5981818181818195</v>
      </c>
      <c r="G35" s="33">
        <f>'27'!G36</f>
        <v>138.70318181818183</v>
      </c>
      <c r="H35" s="33">
        <f>'27'!H36</f>
        <v>73.677272727272737</v>
      </c>
      <c r="I35" s="33">
        <f>'27'!I36</f>
        <v>9.0509523809523813</v>
      </c>
      <c r="J35" s="33">
        <f>'27'!J36</f>
        <v>2.0740909090909088</v>
      </c>
      <c r="K35" s="33">
        <f>'27'!K36</f>
        <v>304.90818181818184</v>
      </c>
      <c r="L35" s="33">
        <f>'27'!L36</f>
        <v>16.87</v>
      </c>
      <c r="M35" s="33">
        <f>'27'!M36</f>
        <v>57.43181818181818</v>
      </c>
      <c r="N35" s="33">
        <f>'27'!N36</f>
        <v>165.68181818181819</v>
      </c>
      <c r="O35" s="33">
        <f>'27'!O36</f>
        <v>0</v>
      </c>
      <c r="P35" s="30">
        <f>'27'!P36</f>
        <v>1.3222727272727275</v>
      </c>
      <c r="Q35" s="33">
        <f>'27'!Q36</f>
        <v>10.671904761904759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28/11/2024 01:00</v>
      </c>
      <c r="B36" s="60" t="s">
        <v>8</v>
      </c>
      <c r="C36" s="60" t="s">
        <v>8</v>
      </c>
      <c r="D36" s="60" t="s">
        <v>8</v>
      </c>
      <c r="E36" s="33">
        <f>'28'!E36</f>
        <v>7.0120833333333339</v>
      </c>
      <c r="F36" s="33">
        <f>'28'!F36</f>
        <v>4.6274999999999995</v>
      </c>
      <c r="G36" s="33">
        <f>'28'!G36</f>
        <v>101.87124999999999</v>
      </c>
      <c r="H36" s="33">
        <f>'28'!H36</f>
        <v>56.229583333333345</v>
      </c>
      <c r="I36" s="33">
        <f>'28'!I36</f>
        <v>6.5470833333333331</v>
      </c>
      <c r="J36" s="33">
        <f>'28'!J36</f>
        <v>1.3720833333333335</v>
      </c>
      <c r="K36" s="33">
        <f>'28'!K36</f>
        <v>293.61583333333334</v>
      </c>
      <c r="L36" s="33">
        <f>'28'!L36</f>
        <v>16.560833333333338</v>
      </c>
      <c r="M36" s="33">
        <f>'28'!M36</f>
        <v>55.583333333333336</v>
      </c>
      <c r="N36" s="33">
        <f>'28'!N36</f>
        <v>155.37083333333337</v>
      </c>
      <c r="O36" s="33">
        <f>'28'!O36</f>
        <v>0</v>
      </c>
      <c r="P36" s="30">
        <f>'28'!P36</f>
        <v>0.94541666666666668</v>
      </c>
      <c r="Q36" s="33">
        <f>'28'!Q36</f>
        <v>8.4687500000000036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29/11/2024 01:00</v>
      </c>
      <c r="B37" s="60" t="s">
        <v>8</v>
      </c>
      <c r="C37" s="60" t="s">
        <v>8</v>
      </c>
      <c r="D37" s="60" t="s">
        <v>8</v>
      </c>
      <c r="E37" s="33">
        <f>'29'!E36</f>
        <v>6.9316666666666658</v>
      </c>
      <c r="F37" s="33">
        <f>'29'!F36</f>
        <v>4.7545833333333345</v>
      </c>
      <c r="G37" s="33">
        <f>'29'!G36</f>
        <v>94.112083333333331</v>
      </c>
      <c r="H37" s="33">
        <f>'29'!H36</f>
        <v>43.130833333333335</v>
      </c>
      <c r="I37" s="33">
        <f>'29'!I36</f>
        <v>6.4112499999999999</v>
      </c>
      <c r="J37" s="33">
        <f>'29'!J36</f>
        <v>1.9266666666666665</v>
      </c>
      <c r="K37" s="33">
        <f>'29'!K36</f>
        <v>304.57666666666665</v>
      </c>
      <c r="L37" s="33">
        <f>'29'!L36</f>
        <v>17.807500000000001</v>
      </c>
      <c r="M37" s="33">
        <f>'29'!M36</f>
        <v>61.169166666666662</v>
      </c>
      <c r="N37" s="33">
        <f>'29'!N36</f>
        <v>166.39166666666668</v>
      </c>
      <c r="O37" s="33">
        <f>'29'!O36</f>
        <v>0</v>
      </c>
      <c r="P37" s="33">
        <f>'29'!P36</f>
        <v>0.97166666666666679</v>
      </c>
      <c r="Q37" s="33">
        <f>'29'!Q36</f>
        <v>8.5387500000000021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30/11/2024 01:00</v>
      </c>
      <c r="B38" s="60" t="s">
        <v>8</v>
      </c>
      <c r="C38" s="60" t="s">
        <v>8</v>
      </c>
      <c r="D38" s="60" t="s">
        <v>8</v>
      </c>
      <c r="E38" s="33">
        <f>'30'!E36</f>
        <v>6.8220833333333317</v>
      </c>
      <c r="F38" s="33">
        <f>'30'!F36</f>
        <v>4.1549999999999994</v>
      </c>
      <c r="G38" s="33">
        <f>'30'!G36</f>
        <v>87.870416666666685</v>
      </c>
      <c r="H38" s="33">
        <f>'30'!H36</f>
        <v>54.787500000000001</v>
      </c>
      <c r="I38" s="33">
        <f>'30'!I36</f>
        <v>7.2470833333333324</v>
      </c>
      <c r="J38" s="33">
        <f>'30'!J36</f>
        <v>2.7191666666666663</v>
      </c>
      <c r="K38" s="33">
        <f>'30'!K36</f>
        <v>256.19000000000005</v>
      </c>
      <c r="L38" s="33">
        <f>'30'!L36</f>
        <v>16.822500000000002</v>
      </c>
      <c r="M38" s="33">
        <f>'30'!M36</f>
        <v>84.004166666666663</v>
      </c>
      <c r="N38" s="33">
        <f>'30'!N36</f>
        <v>93.970833333333346</v>
      </c>
      <c r="O38" s="33">
        <f>'30'!O36</f>
        <v>0</v>
      </c>
      <c r="P38" s="33">
        <f>'30'!P36</f>
        <v>0.86375000000000002</v>
      </c>
      <c r="Q38" s="33">
        <f>'30'!Q36</f>
        <v>8.4220833333333349</v>
      </c>
      <c r="R38" s="46"/>
      <c r="S38" s="46"/>
      <c r="T38" s="46"/>
      <c r="U38" s="46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8"/>
    </row>
    <row r="40" spans="1:21" s="21" customFormat="1" x14ac:dyDescent="0.25">
      <c r="A40" s="14" t="s">
        <v>30</v>
      </c>
      <c r="B40" s="15">
        <f t="shared" ref="B40:Q40" si="0">MIN(B9:B38)</f>
        <v>7.1512500000000001</v>
      </c>
      <c r="C40" s="15">
        <f t="shared" si="0"/>
        <v>12.094999999999997</v>
      </c>
      <c r="D40" s="15">
        <f t="shared" si="0"/>
        <v>18.421250000000001</v>
      </c>
      <c r="E40" s="15">
        <f t="shared" si="0"/>
        <v>5.7749999999999995</v>
      </c>
      <c r="F40" s="15">
        <f t="shared" si="0"/>
        <v>4.1549999999999994</v>
      </c>
      <c r="G40" s="15">
        <f t="shared" si="0"/>
        <v>74.076666666666668</v>
      </c>
      <c r="H40" s="15">
        <f t="shared" si="0"/>
        <v>17.403636363636362</v>
      </c>
      <c r="I40" s="15">
        <f t="shared" si="0"/>
        <v>4.7962499999999997</v>
      </c>
      <c r="J40" s="15">
        <f t="shared" si="0"/>
        <v>0.60791666666666677</v>
      </c>
      <c r="K40" s="15">
        <f t="shared" si="0"/>
        <v>230.79583333333335</v>
      </c>
      <c r="L40" s="15">
        <f t="shared" si="0"/>
        <v>16.560833333333338</v>
      </c>
      <c r="M40" s="15">
        <f t="shared" si="0"/>
        <v>55.583333333333336</v>
      </c>
      <c r="N40" s="15">
        <f t="shared" si="0"/>
        <v>93.970833333333346</v>
      </c>
      <c r="O40" s="15">
        <f t="shared" si="0"/>
        <v>0</v>
      </c>
      <c r="P40" s="15">
        <f t="shared" si="0"/>
        <v>0.73374999999999979</v>
      </c>
      <c r="Q40" s="15">
        <f t="shared" si="0"/>
        <v>8.4220833333333349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62.357692307692304</v>
      </c>
      <c r="C41" s="15">
        <f t="shared" si="1"/>
        <v>56.415833333333332</v>
      </c>
      <c r="D41" s="15">
        <f t="shared" si="1"/>
        <v>77.062307692307698</v>
      </c>
      <c r="E41" s="15">
        <f t="shared" si="1"/>
        <v>11.200000000000001</v>
      </c>
      <c r="F41" s="15">
        <f t="shared" si="1"/>
        <v>7.5366666666666662</v>
      </c>
      <c r="G41" s="15">
        <f t="shared" si="1"/>
        <v>184.15</v>
      </c>
      <c r="H41" s="15">
        <f t="shared" si="1"/>
        <v>73.677272727272737</v>
      </c>
      <c r="I41" s="15">
        <f t="shared" si="1"/>
        <v>9.0509523809523813</v>
      </c>
      <c r="J41" s="15">
        <f t="shared" si="1"/>
        <v>2.7662499999999999</v>
      </c>
      <c r="K41" s="15">
        <f t="shared" si="1"/>
        <v>327.98250000000002</v>
      </c>
      <c r="L41" s="15">
        <f t="shared" si="1"/>
        <v>26.748749999999998</v>
      </c>
      <c r="M41" s="15">
        <f t="shared" si="1"/>
        <v>84.004166666666663</v>
      </c>
      <c r="N41" s="15">
        <f t="shared" si="1"/>
        <v>198.31250000000009</v>
      </c>
      <c r="O41" s="15">
        <f t="shared" si="1"/>
        <v>0</v>
      </c>
      <c r="P41" s="15">
        <f t="shared" si="1"/>
        <v>1.5237499999999999</v>
      </c>
      <c r="Q41" s="15">
        <f t="shared" si="1"/>
        <v>10.927916666666668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24.162383665717002</v>
      </c>
      <c r="C42" s="15">
        <f t="shared" si="2"/>
        <v>34.998980294396965</v>
      </c>
      <c r="D42" s="15">
        <f t="shared" si="2"/>
        <v>35.957307692307694</v>
      </c>
      <c r="E42" s="15">
        <f t="shared" si="2"/>
        <v>6.9435972222222206</v>
      </c>
      <c r="F42" s="15">
        <f t="shared" si="2"/>
        <v>5.3258143939393934</v>
      </c>
      <c r="G42" s="15">
        <f t="shared" si="2"/>
        <v>104.73124661060734</v>
      </c>
      <c r="H42" s="15">
        <f t="shared" si="2"/>
        <v>51.724902509922217</v>
      </c>
      <c r="I42" s="15">
        <f t="shared" si="2"/>
        <v>6.2875178571428565</v>
      </c>
      <c r="J42" s="15">
        <f t="shared" si="2"/>
        <v>1.3258169191919191</v>
      </c>
      <c r="K42" s="15">
        <f t="shared" si="2"/>
        <v>288.75713383838388</v>
      </c>
      <c r="L42" s="15">
        <f t="shared" si="2"/>
        <v>20.454083333333333</v>
      </c>
      <c r="M42" s="15">
        <f t="shared" si="2"/>
        <v>65.377463383838361</v>
      </c>
      <c r="N42" s="15">
        <f t="shared" si="2"/>
        <v>169.78064393939394</v>
      </c>
      <c r="O42" s="15">
        <f t="shared" si="2"/>
        <v>0</v>
      </c>
      <c r="P42" s="15">
        <f t="shared" si="2"/>
        <v>1.0752285353535356</v>
      </c>
      <c r="Q42" s="15">
        <f t="shared" si="2"/>
        <v>9.8095634920634893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14.041731181546325</v>
      </c>
      <c r="C43" s="15">
        <f t="shared" si="3"/>
        <v>15.253609224356573</v>
      </c>
      <c r="D43" s="15">
        <f t="shared" si="3"/>
        <v>17.672913178747201</v>
      </c>
      <c r="E43" s="15">
        <f t="shared" si="3"/>
        <v>1.0298104778310806</v>
      </c>
      <c r="F43" s="15">
        <f t="shared" si="3"/>
        <v>0.8701842535394122</v>
      </c>
      <c r="G43" s="15">
        <f t="shared" si="3"/>
        <v>22.729371239375904</v>
      </c>
      <c r="H43" s="15">
        <f t="shared" si="3"/>
        <v>12.673931925280586</v>
      </c>
      <c r="I43" s="15">
        <f t="shared" si="3"/>
        <v>0.96766501391112558</v>
      </c>
      <c r="J43" s="15">
        <f t="shared" si="3"/>
        <v>0.65621772815920831</v>
      </c>
      <c r="K43" s="15">
        <f t="shared" si="3"/>
        <v>22.995365689411571</v>
      </c>
      <c r="L43" s="15">
        <f t="shared" si="3"/>
        <v>2.9770981412966426</v>
      </c>
      <c r="M43" s="15">
        <f t="shared" si="3"/>
        <v>6.0918569831121152</v>
      </c>
      <c r="N43" s="15">
        <f t="shared" si="3"/>
        <v>19.973103116501616</v>
      </c>
      <c r="O43" s="15">
        <f t="shared" si="3"/>
        <v>0</v>
      </c>
      <c r="P43" s="15">
        <f t="shared" si="3"/>
        <v>0.20667411509293399</v>
      </c>
      <c r="Q43" s="15">
        <f t="shared" si="3"/>
        <v>0.67480255036562853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5">
        <f>COUNT(B9:B38)+3</f>
        <v>30</v>
      </c>
      <c r="C44" s="15">
        <f t="shared" ref="C44:D44" si="4">COUNT(C9:C38)+3</f>
        <v>30</v>
      </c>
      <c r="D44" s="15">
        <f t="shared" si="4"/>
        <v>30</v>
      </c>
      <c r="E44" s="12">
        <f t="shared" ref="B44:Q44" si="5">COUNT(E9:E38)</f>
        <v>30</v>
      </c>
      <c r="F44" s="12">
        <f t="shared" si="5"/>
        <v>30</v>
      </c>
      <c r="G44" s="12">
        <f t="shared" si="5"/>
        <v>30</v>
      </c>
      <c r="H44" s="12">
        <f t="shared" si="5"/>
        <v>30</v>
      </c>
      <c r="I44" s="12">
        <f t="shared" si="5"/>
        <v>30</v>
      </c>
      <c r="J44" s="12">
        <f t="shared" si="5"/>
        <v>30</v>
      </c>
      <c r="K44" s="12">
        <f t="shared" si="5"/>
        <v>30</v>
      </c>
      <c r="L44" s="12">
        <f t="shared" si="5"/>
        <v>30</v>
      </c>
      <c r="M44" s="12">
        <f t="shared" si="5"/>
        <v>30</v>
      </c>
      <c r="N44" s="12">
        <f t="shared" si="5"/>
        <v>30</v>
      </c>
      <c r="O44" s="12">
        <f t="shared" si="5"/>
        <v>30</v>
      </c>
      <c r="P44" s="12">
        <f t="shared" si="5"/>
        <v>30</v>
      </c>
      <c r="Q44" s="12">
        <f t="shared" si="5"/>
        <v>30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6">IF(C44&gt;=28,"&gt;90%",IF(C44&lt;=28,"&lt;90%"))</f>
        <v>&gt;90%</v>
      </c>
      <c r="D45" s="12" t="str">
        <f t="shared" si="6"/>
        <v>&gt;90%</v>
      </c>
      <c r="E45" s="12" t="str">
        <f t="shared" si="6"/>
        <v>&gt;90%</v>
      </c>
      <c r="F45" s="12" t="str">
        <f t="shared" si="6"/>
        <v>&gt;90%</v>
      </c>
      <c r="G45" s="12" t="str">
        <f t="shared" si="6"/>
        <v>&gt;90%</v>
      </c>
      <c r="H45" s="12" t="str">
        <f t="shared" si="6"/>
        <v>&gt;90%</v>
      </c>
      <c r="I45" s="12" t="str">
        <f t="shared" si="6"/>
        <v>&gt;90%</v>
      </c>
      <c r="J45" s="12" t="str">
        <f t="shared" si="6"/>
        <v>&gt;90%</v>
      </c>
      <c r="K45" s="12" t="str">
        <f t="shared" si="6"/>
        <v>&gt;90%</v>
      </c>
      <c r="L45" s="12" t="str">
        <f t="shared" si="6"/>
        <v>&gt;90%</v>
      </c>
      <c r="M45" s="12" t="str">
        <f t="shared" si="6"/>
        <v>&gt;90%</v>
      </c>
      <c r="N45" s="12" t="str">
        <f t="shared" si="6"/>
        <v>&gt;90%</v>
      </c>
      <c r="O45" s="12" t="str">
        <f t="shared" si="6"/>
        <v>&gt;90%</v>
      </c>
      <c r="P45" s="12" t="str">
        <f t="shared" si="6"/>
        <v>&gt;90%</v>
      </c>
      <c r="Q45" s="12" t="str">
        <f t="shared" si="6"/>
        <v>&gt;90%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7">IF(C44&gt;=28,"OK",IF(C44&lt;=28,"LESS"))</f>
        <v>OK</v>
      </c>
      <c r="D46" s="12" t="str">
        <f t="shared" si="7"/>
        <v>OK</v>
      </c>
      <c r="E46" s="12" t="str">
        <f t="shared" si="7"/>
        <v>OK</v>
      </c>
      <c r="F46" s="12" t="str">
        <f t="shared" si="7"/>
        <v>OK</v>
      </c>
      <c r="G46" s="12" t="str">
        <f t="shared" si="7"/>
        <v>OK</v>
      </c>
      <c r="H46" s="12" t="str">
        <f t="shared" si="7"/>
        <v>OK</v>
      </c>
      <c r="I46" s="12" t="str">
        <f t="shared" si="7"/>
        <v>OK</v>
      </c>
      <c r="J46" s="12" t="str">
        <f t="shared" si="7"/>
        <v>OK</v>
      </c>
      <c r="K46" s="12" t="str">
        <f t="shared" si="7"/>
        <v>OK</v>
      </c>
      <c r="L46" s="12" t="str">
        <f t="shared" si="7"/>
        <v>OK</v>
      </c>
      <c r="M46" s="12" t="str">
        <f t="shared" si="7"/>
        <v>OK</v>
      </c>
      <c r="N46" s="12" t="str">
        <f t="shared" si="7"/>
        <v>OK</v>
      </c>
      <c r="O46" s="12" t="str">
        <f t="shared" si="7"/>
        <v>OK</v>
      </c>
      <c r="P46" s="12" t="str">
        <f t="shared" si="7"/>
        <v>OK</v>
      </c>
      <c r="Q46" s="12" t="str">
        <f t="shared" si="7"/>
        <v>OK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2024-12-23T11:54:46Z</dcterms:modified>
  <cp:category/>
</cp:coreProperties>
</file>